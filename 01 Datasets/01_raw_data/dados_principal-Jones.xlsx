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ila\OneDrive\Documentos\01 Masters_LA\00 MASTERS-DATA\01 Datasets\01_raw_data\"/>
    </mc:Choice>
  </mc:AlternateContent>
  <bookViews>
    <workbookView xWindow="-19320" yWindow="-4140" windowWidth="19440" windowHeight="15600" activeTab="2"/>
  </bookViews>
  <sheets>
    <sheet name="principal" sheetId="1" r:id="rId1"/>
    <sheet name="principal (2)" sheetId="26" r:id="rId2"/>
    <sheet name="Planilha4" sheetId="28" r:id="rId3"/>
    <sheet name="Planilha3" sheetId="27" r:id="rId4"/>
    <sheet name="obs" sheetId="10" r:id="rId5"/>
    <sheet name="stem" sheetId="25" r:id="rId6"/>
    <sheet name="dom_todos" sheetId="19" r:id="rId7"/>
    <sheet name="regua_dom" sheetId="7" r:id="rId8"/>
    <sheet name="ML_dom" sheetId="5" r:id="rId9"/>
    <sheet name="Planilha2" sheetId="9" r:id="rId10"/>
    <sheet name="Sheet1" sheetId="23" r:id="rId11"/>
  </sheets>
  <definedNames>
    <definedName name="_xlnm._FilterDatabase" localSheetId="3" hidden="1">Planilha3!$A$1:$E$294</definedName>
    <definedName name="_xlnm._FilterDatabase" localSheetId="0" hidden="1">principal!$A$1:$L$1315</definedName>
    <definedName name="_xlnm._FilterDatabase" localSheetId="1" hidden="1">'principal (2)'!$A$1:$L$1315</definedName>
    <definedName name="_xlnm._FilterDatabase" localSheetId="5" hidden="1">stem!$A$1:$J$1718</definedName>
  </definedNames>
  <calcPr calcId="162913"/>
  <pivotCaches>
    <pivotCache cacheId="0" r:id="rId12"/>
    <pivotCache cacheId="1" r:id="rId13"/>
    <pivotCache cacheId="2" r:id="rId14"/>
    <pivotCache cacheId="3" r:id="rId15"/>
    <pivotCache cacheId="4" r:id="rId16"/>
    <pivotCache cacheId="7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7" l="1"/>
  <c r="F4" i="27"/>
  <c r="F5" i="27"/>
  <c r="F6" i="27"/>
  <c r="F7" i="27"/>
  <c r="F8" i="27"/>
  <c r="F9" i="27"/>
  <c r="F10" i="27"/>
  <c r="F11" i="27"/>
  <c r="F12" i="27"/>
  <c r="F13" i="27"/>
  <c r="F14" i="27"/>
  <c r="F15" i="27"/>
  <c r="F16" i="27"/>
  <c r="F17" i="27"/>
  <c r="F18" i="27"/>
  <c r="F19" i="27"/>
  <c r="F20" i="27"/>
  <c r="F21" i="27"/>
  <c r="F22" i="27"/>
  <c r="F23" i="27"/>
  <c r="F24" i="27"/>
  <c r="F25" i="27"/>
  <c r="F26" i="27"/>
  <c r="F27" i="27"/>
  <c r="F28" i="27"/>
  <c r="F29" i="27"/>
  <c r="F30" i="27"/>
  <c r="F31" i="27"/>
  <c r="F32" i="27"/>
  <c r="F33" i="27"/>
  <c r="F34" i="27"/>
  <c r="F35" i="27"/>
  <c r="F36" i="27"/>
  <c r="F37" i="27"/>
  <c r="F38" i="27"/>
  <c r="F39" i="27"/>
  <c r="F40" i="27"/>
  <c r="F41" i="27"/>
  <c r="F42" i="27"/>
  <c r="F43" i="27"/>
  <c r="F44" i="27"/>
  <c r="F45" i="27"/>
  <c r="F46" i="27"/>
  <c r="F47" i="27"/>
  <c r="F48" i="27"/>
  <c r="F49" i="27"/>
  <c r="F50" i="27"/>
  <c r="F51" i="27"/>
  <c r="F52" i="27"/>
  <c r="F53" i="27"/>
  <c r="F54" i="27"/>
  <c r="F55" i="27"/>
  <c r="F56" i="27"/>
  <c r="F57" i="27"/>
  <c r="F58" i="27"/>
  <c r="F59" i="27"/>
  <c r="F60" i="27"/>
  <c r="F61" i="27"/>
  <c r="F62" i="27"/>
  <c r="F63" i="27"/>
  <c r="F64" i="27"/>
  <c r="F65" i="27"/>
  <c r="F66" i="27"/>
  <c r="F67" i="27"/>
  <c r="F68" i="27"/>
  <c r="F69" i="27"/>
  <c r="F70" i="27"/>
  <c r="F71" i="27"/>
  <c r="F72" i="27"/>
  <c r="F73" i="27"/>
  <c r="F74" i="27"/>
  <c r="F75" i="27"/>
  <c r="F76" i="27"/>
  <c r="F77" i="27"/>
  <c r="F78" i="27"/>
  <c r="F79" i="27"/>
  <c r="F80" i="27"/>
  <c r="F81" i="27"/>
  <c r="F82" i="27"/>
  <c r="F83" i="27"/>
  <c r="F84" i="27"/>
  <c r="F85" i="27"/>
  <c r="F86" i="27"/>
  <c r="F87" i="27"/>
  <c r="F88" i="27"/>
  <c r="F89" i="27"/>
  <c r="F90" i="27"/>
  <c r="F91" i="27"/>
  <c r="F92" i="27"/>
  <c r="F93" i="27"/>
  <c r="F94" i="27"/>
  <c r="F95" i="27"/>
  <c r="F96" i="27"/>
  <c r="F97" i="27"/>
  <c r="F98" i="27"/>
  <c r="F99" i="27"/>
  <c r="F100" i="27"/>
  <c r="F101" i="27"/>
  <c r="F102" i="27"/>
  <c r="F103" i="27"/>
  <c r="F104" i="27"/>
  <c r="F105" i="27"/>
  <c r="F106" i="27"/>
  <c r="F107" i="27"/>
  <c r="F108" i="27"/>
  <c r="F109" i="27"/>
  <c r="F110" i="27"/>
  <c r="F111" i="27"/>
  <c r="F112" i="27"/>
  <c r="F113" i="27"/>
  <c r="F114" i="27"/>
  <c r="F115" i="27"/>
  <c r="F116" i="27"/>
  <c r="F117" i="27"/>
  <c r="F118" i="27"/>
  <c r="F119" i="27"/>
  <c r="F120" i="27"/>
  <c r="F121" i="27"/>
  <c r="F122" i="27"/>
  <c r="F123" i="27"/>
  <c r="F124" i="27"/>
  <c r="F125" i="27"/>
  <c r="F126" i="27"/>
  <c r="F127" i="27"/>
  <c r="F128" i="27"/>
  <c r="F129" i="27"/>
  <c r="F130" i="27"/>
  <c r="F131" i="27"/>
  <c r="F132" i="27"/>
  <c r="F133" i="27"/>
  <c r="F134" i="27"/>
  <c r="F135" i="27"/>
  <c r="F136" i="27"/>
  <c r="F137" i="27"/>
  <c r="F138" i="27"/>
  <c r="F139" i="27"/>
  <c r="F140" i="27"/>
  <c r="F141" i="27"/>
  <c r="F142" i="27"/>
  <c r="F143" i="27"/>
  <c r="F144" i="27"/>
  <c r="F145" i="27"/>
  <c r="F146" i="27"/>
  <c r="F147" i="27"/>
  <c r="F148" i="27"/>
  <c r="F149" i="27"/>
  <c r="F150" i="27"/>
  <c r="F151" i="27"/>
  <c r="F152" i="27"/>
  <c r="F153" i="27"/>
  <c r="F154" i="27"/>
  <c r="F155" i="27"/>
  <c r="F156" i="27"/>
  <c r="F157" i="27"/>
  <c r="F158" i="27"/>
  <c r="F159" i="27"/>
  <c r="F160" i="27"/>
  <c r="F161" i="27"/>
  <c r="F162" i="27"/>
  <c r="F163" i="27"/>
  <c r="F164" i="27"/>
  <c r="F165" i="27"/>
  <c r="F166" i="27"/>
  <c r="F167" i="27"/>
  <c r="F168" i="27"/>
  <c r="F169" i="27"/>
  <c r="F170" i="27"/>
  <c r="F171" i="27"/>
  <c r="F172" i="27"/>
  <c r="F173" i="27"/>
  <c r="F174" i="27"/>
  <c r="F175" i="27"/>
  <c r="F176" i="27"/>
  <c r="F177" i="27"/>
  <c r="F178" i="27"/>
  <c r="F179" i="27"/>
  <c r="F180" i="27"/>
  <c r="F181" i="27"/>
  <c r="F182" i="27"/>
  <c r="F183" i="27"/>
  <c r="F184" i="27"/>
  <c r="F185" i="27"/>
  <c r="F186" i="27"/>
  <c r="F187" i="27"/>
  <c r="F188" i="27"/>
  <c r="F189" i="27"/>
  <c r="F190" i="27"/>
  <c r="F191" i="27"/>
  <c r="F192" i="27"/>
  <c r="F193" i="27"/>
  <c r="F194" i="27"/>
  <c r="F195" i="27"/>
  <c r="F196" i="27"/>
  <c r="F197" i="27"/>
  <c r="F198" i="27"/>
  <c r="F199" i="27"/>
  <c r="F200" i="27"/>
  <c r="F201" i="27"/>
  <c r="F202" i="27"/>
  <c r="F203" i="27"/>
  <c r="F204" i="27"/>
  <c r="F205" i="27"/>
  <c r="F206" i="27"/>
  <c r="F207" i="27"/>
  <c r="F208" i="27"/>
  <c r="F209" i="27"/>
  <c r="F210" i="27"/>
  <c r="F211" i="27"/>
  <c r="F212" i="27"/>
  <c r="F213" i="27"/>
  <c r="F214" i="27"/>
  <c r="F215" i="27"/>
  <c r="F216" i="27"/>
  <c r="F217" i="27"/>
  <c r="F218" i="27"/>
  <c r="F219" i="27"/>
  <c r="F220" i="27"/>
  <c r="F221" i="27"/>
  <c r="F222" i="27"/>
  <c r="F223" i="27"/>
  <c r="F224" i="27"/>
  <c r="F225" i="27"/>
  <c r="F226" i="27"/>
  <c r="F227" i="27"/>
  <c r="F228" i="27"/>
  <c r="F229" i="27"/>
  <c r="F230" i="27"/>
  <c r="F231" i="27"/>
  <c r="F232" i="27"/>
  <c r="F233" i="27"/>
  <c r="F234" i="27"/>
  <c r="F235" i="27"/>
  <c r="F236" i="27"/>
  <c r="F237" i="27"/>
  <c r="F238" i="27"/>
  <c r="F239" i="27"/>
  <c r="F240" i="27"/>
  <c r="F241" i="27"/>
  <c r="F242" i="27"/>
  <c r="F243" i="27"/>
  <c r="F244" i="27"/>
  <c r="F245" i="27"/>
  <c r="F246" i="27"/>
  <c r="F247" i="27"/>
  <c r="F248" i="27"/>
  <c r="F249" i="27"/>
  <c r="F250" i="27"/>
  <c r="F251" i="27"/>
  <c r="F252" i="27"/>
  <c r="F253" i="27"/>
  <c r="F254" i="27"/>
  <c r="F255" i="27"/>
  <c r="F256" i="27"/>
  <c r="F257" i="27"/>
  <c r="F258" i="27"/>
  <c r="F259" i="27"/>
  <c r="F260" i="27"/>
  <c r="F261" i="27"/>
  <c r="F262" i="27"/>
  <c r="F263" i="27"/>
  <c r="F264" i="27"/>
  <c r="F265" i="27"/>
  <c r="F266" i="27"/>
  <c r="F267" i="27"/>
  <c r="F268" i="27"/>
  <c r="F269" i="27"/>
  <c r="F270" i="27"/>
  <c r="F271" i="27"/>
  <c r="F272" i="27"/>
  <c r="F273" i="27"/>
  <c r="F274" i="27"/>
  <c r="F275" i="27"/>
  <c r="F276" i="27"/>
  <c r="F277" i="27"/>
  <c r="F278" i="27"/>
  <c r="F279" i="27"/>
  <c r="F280" i="27"/>
  <c r="F281" i="27"/>
  <c r="F282" i="27"/>
  <c r="F283" i="27"/>
  <c r="F284" i="27"/>
  <c r="F285" i="27"/>
  <c r="F286" i="27"/>
  <c r="F287" i="27"/>
  <c r="F288" i="27"/>
  <c r="F289" i="27"/>
  <c r="F290" i="27"/>
  <c r="F291" i="27"/>
  <c r="F292" i="27"/>
  <c r="F293" i="27"/>
  <c r="F294" i="27"/>
  <c r="F2" i="27"/>
  <c r="K1315" i="26"/>
  <c r="J1315" i="26"/>
  <c r="H1315" i="26"/>
  <c r="I1315" i="26" s="1"/>
  <c r="G1315" i="26"/>
  <c r="J1314" i="26"/>
  <c r="K1314" i="26" s="1"/>
  <c r="H1314" i="26"/>
  <c r="I1314" i="26" s="1"/>
  <c r="G1314" i="26"/>
  <c r="J1313" i="26"/>
  <c r="K1313" i="26" s="1"/>
  <c r="H1313" i="26"/>
  <c r="I1313" i="26" s="1"/>
  <c r="G1313" i="26"/>
  <c r="J1312" i="26"/>
  <c r="K1312" i="26" s="1"/>
  <c r="H1312" i="26"/>
  <c r="I1312" i="26" s="1"/>
  <c r="G1312" i="26"/>
  <c r="J1311" i="26"/>
  <c r="K1311" i="26" s="1"/>
  <c r="H1311" i="26"/>
  <c r="I1311" i="26" s="1"/>
  <c r="G1311" i="26"/>
  <c r="J1310" i="26"/>
  <c r="K1310" i="26" s="1"/>
  <c r="H1310" i="26"/>
  <c r="I1310" i="26" s="1"/>
  <c r="G1310" i="26"/>
  <c r="J1309" i="26"/>
  <c r="K1309" i="26" s="1"/>
  <c r="I1309" i="26"/>
  <c r="H1309" i="26"/>
  <c r="G1309" i="26"/>
  <c r="J1308" i="26"/>
  <c r="K1308" i="26" s="1"/>
  <c r="H1308" i="26"/>
  <c r="I1308" i="26" s="1"/>
  <c r="G1308" i="26"/>
  <c r="J1307" i="26"/>
  <c r="K1307" i="26" s="1"/>
  <c r="H1307" i="26"/>
  <c r="I1307" i="26" s="1"/>
  <c r="G1307" i="26"/>
  <c r="J1306" i="26"/>
  <c r="K1306" i="26" s="1"/>
  <c r="I1306" i="26"/>
  <c r="H1306" i="26"/>
  <c r="G1306" i="26"/>
  <c r="J1305" i="26"/>
  <c r="K1305" i="26" s="1"/>
  <c r="H1305" i="26"/>
  <c r="I1305" i="26" s="1"/>
  <c r="G1305" i="26"/>
  <c r="J1304" i="26"/>
  <c r="K1304" i="26" s="1"/>
  <c r="H1304" i="26"/>
  <c r="I1304" i="26" s="1"/>
  <c r="G1304" i="26"/>
  <c r="J1303" i="26"/>
  <c r="K1303" i="26" s="1"/>
  <c r="I1303" i="26"/>
  <c r="H1303" i="26"/>
  <c r="G1303" i="26"/>
  <c r="J1302" i="26"/>
  <c r="K1302" i="26" s="1"/>
  <c r="H1302" i="26"/>
  <c r="I1302" i="26" s="1"/>
  <c r="G1302" i="26"/>
  <c r="J1301" i="26"/>
  <c r="K1301" i="26" s="1"/>
  <c r="H1301" i="26"/>
  <c r="I1301" i="26" s="1"/>
  <c r="G1301" i="26"/>
  <c r="J1300" i="26"/>
  <c r="K1300" i="26" s="1"/>
  <c r="H1300" i="26"/>
  <c r="I1300" i="26" s="1"/>
  <c r="G1300" i="26"/>
  <c r="J1299" i="26"/>
  <c r="K1299" i="26" s="1"/>
  <c r="H1299" i="26"/>
  <c r="I1299" i="26" s="1"/>
  <c r="G1299" i="26"/>
  <c r="J1298" i="26"/>
  <c r="K1298" i="26" s="1"/>
  <c r="H1298" i="26"/>
  <c r="I1298" i="26" s="1"/>
  <c r="G1298" i="26"/>
  <c r="J1297" i="26"/>
  <c r="K1297" i="26" s="1"/>
  <c r="H1297" i="26"/>
  <c r="I1297" i="26" s="1"/>
  <c r="G1297" i="26"/>
  <c r="J1296" i="26"/>
  <c r="K1296" i="26" s="1"/>
  <c r="H1296" i="26"/>
  <c r="I1296" i="26" s="1"/>
  <c r="G1296" i="26"/>
  <c r="J1295" i="26"/>
  <c r="K1295" i="26" s="1"/>
  <c r="H1295" i="26"/>
  <c r="I1295" i="26" s="1"/>
  <c r="G1295" i="26"/>
  <c r="J1294" i="26"/>
  <c r="K1294" i="26" s="1"/>
  <c r="H1294" i="26"/>
  <c r="I1294" i="26" s="1"/>
  <c r="G1294" i="26"/>
  <c r="K1293" i="26"/>
  <c r="J1293" i="26"/>
  <c r="H1293" i="26"/>
  <c r="I1293" i="26" s="1"/>
  <c r="G1293" i="26"/>
  <c r="J1292" i="26"/>
  <c r="K1292" i="26" s="1"/>
  <c r="H1292" i="26"/>
  <c r="I1292" i="26" s="1"/>
  <c r="G1292" i="26"/>
  <c r="J1291" i="26"/>
  <c r="K1291" i="26" s="1"/>
  <c r="H1291" i="26"/>
  <c r="I1291" i="26" s="1"/>
  <c r="G1291" i="26"/>
  <c r="J1290" i="26"/>
  <c r="K1290" i="26" s="1"/>
  <c r="H1290" i="26"/>
  <c r="I1290" i="26" s="1"/>
  <c r="G1290" i="26"/>
  <c r="J1289" i="26"/>
  <c r="K1289" i="26" s="1"/>
  <c r="H1289" i="26"/>
  <c r="I1289" i="26" s="1"/>
  <c r="G1289" i="26"/>
  <c r="J1288" i="26"/>
  <c r="K1288" i="26" s="1"/>
  <c r="H1288" i="26"/>
  <c r="I1288" i="26" s="1"/>
  <c r="G1288" i="26"/>
  <c r="J1287" i="26"/>
  <c r="K1287" i="26" s="1"/>
  <c r="H1287" i="26"/>
  <c r="I1287" i="26" s="1"/>
  <c r="G1287" i="26"/>
  <c r="J1286" i="26"/>
  <c r="K1286" i="26" s="1"/>
  <c r="H1286" i="26"/>
  <c r="I1286" i="26" s="1"/>
  <c r="G1286" i="26"/>
  <c r="K1285" i="26"/>
  <c r="J1285" i="26"/>
  <c r="H1285" i="26"/>
  <c r="I1285" i="26" s="1"/>
  <c r="G1285" i="26"/>
  <c r="J1284" i="26"/>
  <c r="K1284" i="26" s="1"/>
  <c r="H1284" i="26"/>
  <c r="I1284" i="26" s="1"/>
  <c r="G1284" i="26"/>
  <c r="J1283" i="26"/>
  <c r="K1283" i="26" s="1"/>
  <c r="H1283" i="26"/>
  <c r="I1283" i="26" s="1"/>
  <c r="G1283" i="26"/>
  <c r="J1282" i="26"/>
  <c r="K1282" i="26" s="1"/>
  <c r="H1282" i="26"/>
  <c r="I1282" i="26" s="1"/>
  <c r="G1282" i="26"/>
  <c r="J1281" i="26"/>
  <c r="K1281" i="26" s="1"/>
  <c r="I1281" i="26"/>
  <c r="H1281" i="26"/>
  <c r="G1281" i="26"/>
  <c r="J1280" i="26"/>
  <c r="K1280" i="26" s="1"/>
  <c r="H1280" i="26"/>
  <c r="I1280" i="26" s="1"/>
  <c r="G1280" i="26"/>
  <c r="K1279" i="26"/>
  <c r="J1279" i="26"/>
  <c r="H1279" i="26"/>
  <c r="I1279" i="26" s="1"/>
  <c r="G1279" i="26"/>
  <c r="K1278" i="26"/>
  <c r="J1278" i="26"/>
  <c r="H1278" i="26"/>
  <c r="I1278" i="26" s="1"/>
  <c r="G1278" i="26"/>
  <c r="J1277" i="26"/>
  <c r="K1277" i="26" s="1"/>
  <c r="H1277" i="26"/>
  <c r="I1277" i="26" s="1"/>
  <c r="G1277" i="26"/>
  <c r="J1276" i="26"/>
  <c r="K1276" i="26" s="1"/>
  <c r="H1276" i="26"/>
  <c r="I1276" i="26" s="1"/>
  <c r="G1276" i="26"/>
  <c r="K1275" i="26"/>
  <c r="J1275" i="26"/>
  <c r="H1275" i="26"/>
  <c r="I1275" i="26" s="1"/>
  <c r="G1275" i="26"/>
  <c r="J1274" i="26"/>
  <c r="K1274" i="26" s="1"/>
  <c r="H1274" i="26"/>
  <c r="I1274" i="26" s="1"/>
  <c r="G1274" i="26"/>
  <c r="J1273" i="26"/>
  <c r="K1273" i="26" s="1"/>
  <c r="I1273" i="26"/>
  <c r="H1273" i="26"/>
  <c r="G1273" i="26"/>
  <c r="J1272" i="26"/>
  <c r="K1272" i="26" s="1"/>
  <c r="H1272" i="26"/>
  <c r="I1272" i="26" s="1"/>
  <c r="G1272" i="26"/>
  <c r="J1271" i="26"/>
  <c r="K1271" i="26" s="1"/>
  <c r="H1271" i="26"/>
  <c r="I1271" i="26" s="1"/>
  <c r="G1271" i="26"/>
  <c r="J1270" i="26"/>
  <c r="K1270" i="26" s="1"/>
  <c r="H1270" i="26"/>
  <c r="I1270" i="26" s="1"/>
  <c r="G1270" i="26"/>
  <c r="J1269" i="26"/>
  <c r="K1269" i="26" s="1"/>
  <c r="I1269" i="26"/>
  <c r="H1269" i="26"/>
  <c r="G1269" i="26"/>
  <c r="J1268" i="26"/>
  <c r="K1268" i="26" s="1"/>
  <c r="H1268" i="26"/>
  <c r="I1268" i="26" s="1"/>
  <c r="G1268" i="26"/>
  <c r="J1267" i="26"/>
  <c r="K1267" i="26" s="1"/>
  <c r="I1267" i="26"/>
  <c r="H1267" i="26"/>
  <c r="G1267" i="26"/>
  <c r="K1266" i="26"/>
  <c r="J1266" i="26"/>
  <c r="H1266" i="26"/>
  <c r="I1266" i="26" s="1"/>
  <c r="G1266" i="26"/>
  <c r="J1265" i="26"/>
  <c r="K1265" i="26" s="1"/>
  <c r="H1265" i="26"/>
  <c r="I1265" i="26" s="1"/>
  <c r="G1265" i="26"/>
  <c r="J1264" i="26"/>
  <c r="K1264" i="26" s="1"/>
  <c r="H1264" i="26"/>
  <c r="I1264" i="26" s="1"/>
  <c r="G1264" i="26"/>
  <c r="K1263" i="26"/>
  <c r="J1263" i="26"/>
  <c r="H1263" i="26"/>
  <c r="I1263" i="26" s="1"/>
  <c r="G1263" i="26"/>
  <c r="J1262" i="26"/>
  <c r="K1262" i="26" s="1"/>
  <c r="H1262" i="26"/>
  <c r="I1262" i="26" s="1"/>
  <c r="G1262" i="26"/>
  <c r="J1261" i="26"/>
  <c r="K1261" i="26" s="1"/>
  <c r="H1261" i="26"/>
  <c r="I1261" i="26" s="1"/>
  <c r="G1261" i="26"/>
  <c r="J1260" i="26"/>
  <c r="K1260" i="26" s="1"/>
  <c r="H1260" i="26"/>
  <c r="I1260" i="26" s="1"/>
  <c r="G1260" i="26"/>
  <c r="J1259" i="26"/>
  <c r="K1259" i="26" s="1"/>
  <c r="H1259" i="26"/>
  <c r="I1259" i="26" s="1"/>
  <c r="G1259" i="26"/>
  <c r="J1258" i="26"/>
  <c r="K1258" i="26" s="1"/>
  <c r="H1258" i="26"/>
  <c r="I1258" i="26" s="1"/>
  <c r="G1258" i="26"/>
  <c r="K1257" i="26"/>
  <c r="J1257" i="26"/>
  <c r="I1257" i="26"/>
  <c r="H1257" i="26"/>
  <c r="G1257" i="26"/>
  <c r="J1256" i="26"/>
  <c r="K1256" i="26" s="1"/>
  <c r="H1256" i="26"/>
  <c r="I1256" i="26" s="1"/>
  <c r="G1256" i="26"/>
  <c r="J1255" i="26"/>
  <c r="K1255" i="26" s="1"/>
  <c r="H1255" i="26"/>
  <c r="I1255" i="26" s="1"/>
  <c r="G1255" i="26"/>
  <c r="J1254" i="26"/>
  <c r="K1254" i="26" s="1"/>
  <c r="H1254" i="26"/>
  <c r="I1254" i="26" s="1"/>
  <c r="G1254" i="26"/>
  <c r="J1253" i="26"/>
  <c r="K1253" i="26" s="1"/>
  <c r="H1253" i="26"/>
  <c r="I1253" i="26" s="1"/>
  <c r="G1253" i="26"/>
  <c r="J1252" i="26"/>
  <c r="K1252" i="26" s="1"/>
  <c r="H1252" i="26"/>
  <c r="I1252" i="26" s="1"/>
  <c r="G1252" i="26"/>
  <c r="J1251" i="26"/>
  <c r="K1251" i="26" s="1"/>
  <c r="H1251" i="26"/>
  <c r="I1251" i="26" s="1"/>
  <c r="G1251" i="26"/>
  <c r="J1250" i="26"/>
  <c r="K1250" i="26" s="1"/>
  <c r="H1250" i="26"/>
  <c r="I1250" i="26" s="1"/>
  <c r="G1250" i="26"/>
  <c r="J1249" i="26"/>
  <c r="K1249" i="26" s="1"/>
  <c r="H1249" i="26"/>
  <c r="I1249" i="26" s="1"/>
  <c r="G1249" i="26"/>
  <c r="J1248" i="26"/>
  <c r="K1248" i="26" s="1"/>
  <c r="H1248" i="26"/>
  <c r="I1248" i="26" s="1"/>
  <c r="G1248" i="26"/>
  <c r="J1247" i="26"/>
  <c r="K1247" i="26" s="1"/>
  <c r="I1247" i="26"/>
  <c r="H1247" i="26"/>
  <c r="G1247" i="26"/>
  <c r="J1246" i="26"/>
  <c r="K1246" i="26" s="1"/>
  <c r="H1246" i="26"/>
  <c r="I1246" i="26" s="1"/>
  <c r="G1246" i="26"/>
  <c r="J1245" i="26"/>
  <c r="K1245" i="26" s="1"/>
  <c r="H1245" i="26"/>
  <c r="I1245" i="26" s="1"/>
  <c r="G1245" i="26"/>
  <c r="K1244" i="26"/>
  <c r="J1244" i="26"/>
  <c r="H1244" i="26"/>
  <c r="I1244" i="26" s="1"/>
  <c r="G1244" i="26"/>
  <c r="J1243" i="26"/>
  <c r="K1243" i="26" s="1"/>
  <c r="H1243" i="26"/>
  <c r="I1243" i="26" s="1"/>
  <c r="G1243" i="26"/>
  <c r="J1242" i="26"/>
  <c r="K1242" i="26" s="1"/>
  <c r="H1242" i="26"/>
  <c r="I1242" i="26" s="1"/>
  <c r="G1242" i="26"/>
  <c r="J1241" i="26"/>
  <c r="K1241" i="26" s="1"/>
  <c r="H1241" i="26"/>
  <c r="I1241" i="26" s="1"/>
  <c r="G1241" i="26"/>
  <c r="J1240" i="26"/>
  <c r="K1240" i="26" s="1"/>
  <c r="H1240" i="26"/>
  <c r="I1240" i="26" s="1"/>
  <c r="G1240" i="26"/>
  <c r="J1239" i="26"/>
  <c r="K1239" i="26" s="1"/>
  <c r="H1239" i="26"/>
  <c r="I1239" i="26" s="1"/>
  <c r="G1239" i="26"/>
  <c r="J1238" i="26"/>
  <c r="K1238" i="26" s="1"/>
  <c r="H1238" i="26"/>
  <c r="I1238" i="26" s="1"/>
  <c r="G1238" i="26"/>
  <c r="J1237" i="26"/>
  <c r="K1237" i="26" s="1"/>
  <c r="H1237" i="26"/>
  <c r="I1237" i="26" s="1"/>
  <c r="G1237" i="26"/>
  <c r="J1236" i="26"/>
  <c r="K1236" i="26" s="1"/>
  <c r="H1236" i="26"/>
  <c r="I1236" i="26" s="1"/>
  <c r="G1236" i="26"/>
  <c r="J1235" i="26"/>
  <c r="K1235" i="26" s="1"/>
  <c r="I1235" i="26"/>
  <c r="H1235" i="26"/>
  <c r="G1235" i="26"/>
  <c r="J1234" i="26"/>
  <c r="K1234" i="26" s="1"/>
  <c r="H1234" i="26"/>
  <c r="I1234" i="26" s="1"/>
  <c r="G1234" i="26"/>
  <c r="J1233" i="26"/>
  <c r="K1233" i="26" s="1"/>
  <c r="H1233" i="26"/>
  <c r="I1233" i="26" s="1"/>
  <c r="G1233" i="26"/>
  <c r="J1232" i="26"/>
  <c r="K1232" i="26" s="1"/>
  <c r="I1232" i="26"/>
  <c r="H1232" i="26"/>
  <c r="G1232" i="26"/>
  <c r="J1231" i="26"/>
  <c r="K1231" i="26" s="1"/>
  <c r="H1231" i="26"/>
  <c r="I1231" i="26" s="1"/>
  <c r="G1231" i="26"/>
  <c r="J1230" i="26"/>
  <c r="K1230" i="26" s="1"/>
  <c r="H1230" i="26"/>
  <c r="I1230" i="26" s="1"/>
  <c r="G1230" i="26"/>
  <c r="J1229" i="26"/>
  <c r="K1229" i="26" s="1"/>
  <c r="H1229" i="26"/>
  <c r="I1229" i="26" s="1"/>
  <c r="G1229" i="26"/>
  <c r="J1228" i="26"/>
  <c r="K1228" i="26" s="1"/>
  <c r="H1228" i="26"/>
  <c r="I1228" i="26" s="1"/>
  <c r="G1228" i="26"/>
  <c r="J1227" i="26"/>
  <c r="K1227" i="26" s="1"/>
  <c r="H1227" i="26"/>
  <c r="I1227" i="26" s="1"/>
  <c r="G1227" i="26"/>
  <c r="J1226" i="26"/>
  <c r="K1226" i="26" s="1"/>
  <c r="H1226" i="26"/>
  <c r="I1226" i="26" s="1"/>
  <c r="G1226" i="26"/>
  <c r="J1225" i="26"/>
  <c r="K1225" i="26" s="1"/>
  <c r="I1225" i="26"/>
  <c r="H1225" i="26"/>
  <c r="G1225" i="26"/>
  <c r="J1224" i="26"/>
  <c r="K1224" i="26" s="1"/>
  <c r="H1224" i="26"/>
  <c r="I1224" i="26" s="1"/>
  <c r="G1224" i="26"/>
  <c r="J1223" i="26"/>
  <c r="K1223" i="26" s="1"/>
  <c r="H1223" i="26"/>
  <c r="I1223" i="26" s="1"/>
  <c r="G1223" i="26"/>
  <c r="J1222" i="26"/>
  <c r="K1222" i="26" s="1"/>
  <c r="I1222" i="26"/>
  <c r="H1222" i="26"/>
  <c r="G1222" i="26"/>
  <c r="J1221" i="26"/>
  <c r="K1221" i="26" s="1"/>
  <c r="H1221" i="26"/>
  <c r="I1221" i="26" s="1"/>
  <c r="G1221" i="26"/>
  <c r="J1220" i="26"/>
  <c r="K1220" i="26" s="1"/>
  <c r="H1220" i="26"/>
  <c r="I1220" i="26" s="1"/>
  <c r="G1220" i="26"/>
  <c r="K1219" i="26"/>
  <c r="J1219" i="26"/>
  <c r="H1219" i="26"/>
  <c r="I1219" i="26" s="1"/>
  <c r="G1219" i="26"/>
  <c r="J1218" i="26"/>
  <c r="K1218" i="26" s="1"/>
  <c r="H1218" i="26"/>
  <c r="I1218" i="26" s="1"/>
  <c r="G1218" i="26"/>
  <c r="J1217" i="26"/>
  <c r="K1217" i="26" s="1"/>
  <c r="H1217" i="26"/>
  <c r="I1217" i="26" s="1"/>
  <c r="G1217" i="26"/>
  <c r="J1216" i="26"/>
  <c r="K1216" i="26" s="1"/>
  <c r="I1216" i="26"/>
  <c r="H1216" i="26"/>
  <c r="G1216" i="26"/>
  <c r="J1215" i="26"/>
  <c r="K1215" i="26" s="1"/>
  <c r="H1215" i="26"/>
  <c r="I1215" i="26" s="1"/>
  <c r="G1215" i="26"/>
  <c r="J1214" i="26"/>
  <c r="K1214" i="26" s="1"/>
  <c r="H1214" i="26"/>
  <c r="I1214" i="26" s="1"/>
  <c r="G1214" i="26"/>
  <c r="J1213" i="26"/>
  <c r="K1213" i="26" s="1"/>
  <c r="I1213" i="26"/>
  <c r="H1213" i="26"/>
  <c r="G1213" i="26"/>
  <c r="J1212" i="26"/>
  <c r="K1212" i="26" s="1"/>
  <c r="H1212" i="26"/>
  <c r="I1212" i="26" s="1"/>
  <c r="G1212" i="26"/>
  <c r="J1211" i="26"/>
  <c r="K1211" i="26" s="1"/>
  <c r="H1211" i="26"/>
  <c r="I1211" i="26" s="1"/>
  <c r="G1211" i="26"/>
  <c r="K1210" i="26"/>
  <c r="J1210" i="26"/>
  <c r="H1210" i="26"/>
  <c r="I1210" i="26" s="1"/>
  <c r="G1210" i="26"/>
  <c r="J1209" i="26"/>
  <c r="K1209" i="26" s="1"/>
  <c r="H1209" i="26"/>
  <c r="I1209" i="26" s="1"/>
  <c r="G1209" i="26"/>
  <c r="J1208" i="26"/>
  <c r="K1208" i="26" s="1"/>
  <c r="H1208" i="26"/>
  <c r="I1208" i="26" s="1"/>
  <c r="G1208" i="26"/>
  <c r="K1207" i="26"/>
  <c r="J1207" i="26"/>
  <c r="H1207" i="26"/>
  <c r="I1207" i="26" s="1"/>
  <c r="G1207" i="26"/>
  <c r="J1206" i="26"/>
  <c r="K1206" i="26" s="1"/>
  <c r="H1206" i="26"/>
  <c r="I1206" i="26" s="1"/>
  <c r="G1206" i="26"/>
  <c r="J1205" i="26"/>
  <c r="K1205" i="26" s="1"/>
  <c r="H1205" i="26"/>
  <c r="I1205" i="26" s="1"/>
  <c r="G1205" i="26"/>
  <c r="J1204" i="26"/>
  <c r="K1204" i="26" s="1"/>
  <c r="H1204" i="26"/>
  <c r="I1204" i="26" s="1"/>
  <c r="G1204" i="26"/>
  <c r="J1203" i="26"/>
  <c r="K1203" i="26" s="1"/>
  <c r="H1203" i="26"/>
  <c r="I1203" i="26" s="1"/>
  <c r="G1203" i="26"/>
  <c r="J1202" i="26"/>
  <c r="K1202" i="26" s="1"/>
  <c r="H1202" i="26"/>
  <c r="I1202" i="26" s="1"/>
  <c r="G1202" i="26"/>
  <c r="J1201" i="26"/>
  <c r="K1201" i="26" s="1"/>
  <c r="I1201" i="26"/>
  <c r="H1201" i="26"/>
  <c r="G1201" i="26"/>
  <c r="J1200" i="26"/>
  <c r="K1200" i="26" s="1"/>
  <c r="H1200" i="26"/>
  <c r="I1200" i="26" s="1"/>
  <c r="G1200" i="26"/>
  <c r="J1199" i="26"/>
  <c r="K1199" i="26" s="1"/>
  <c r="H1199" i="26"/>
  <c r="I1199" i="26" s="1"/>
  <c r="G1199" i="26"/>
  <c r="J1198" i="26"/>
  <c r="K1198" i="26" s="1"/>
  <c r="I1198" i="26"/>
  <c r="H1198" i="26"/>
  <c r="G1198" i="26"/>
  <c r="J1197" i="26"/>
  <c r="K1197" i="26" s="1"/>
  <c r="H1197" i="26"/>
  <c r="I1197" i="26" s="1"/>
  <c r="G1197" i="26"/>
  <c r="J1196" i="26"/>
  <c r="K1196" i="26" s="1"/>
  <c r="H1196" i="26"/>
  <c r="I1196" i="26" s="1"/>
  <c r="G1196" i="26"/>
  <c r="J1195" i="26"/>
  <c r="K1195" i="26" s="1"/>
  <c r="I1195" i="26"/>
  <c r="H1195" i="26"/>
  <c r="G1195" i="26"/>
  <c r="J1194" i="26"/>
  <c r="K1194" i="26" s="1"/>
  <c r="H1194" i="26"/>
  <c r="I1194" i="26" s="1"/>
  <c r="G1194" i="26"/>
  <c r="J1193" i="26"/>
  <c r="K1193" i="26" s="1"/>
  <c r="H1193" i="26"/>
  <c r="I1193" i="26" s="1"/>
  <c r="G1193" i="26"/>
  <c r="J1192" i="26"/>
  <c r="K1192" i="26" s="1"/>
  <c r="H1192" i="26"/>
  <c r="I1192" i="26" s="1"/>
  <c r="G1192" i="26"/>
  <c r="K1191" i="26"/>
  <c r="J1191" i="26"/>
  <c r="H1191" i="26"/>
  <c r="I1191" i="26" s="1"/>
  <c r="G1191" i="26"/>
  <c r="J1190" i="26"/>
  <c r="K1190" i="26" s="1"/>
  <c r="H1190" i="26"/>
  <c r="I1190" i="26" s="1"/>
  <c r="G1190" i="26"/>
  <c r="J1189" i="26"/>
  <c r="K1189" i="26" s="1"/>
  <c r="H1189" i="26"/>
  <c r="I1189" i="26" s="1"/>
  <c r="G1189" i="26"/>
  <c r="J1188" i="26"/>
  <c r="K1188" i="26" s="1"/>
  <c r="H1188" i="26"/>
  <c r="I1188" i="26" s="1"/>
  <c r="G1188" i="26"/>
  <c r="J1187" i="26"/>
  <c r="K1187" i="26" s="1"/>
  <c r="H1187" i="26"/>
  <c r="I1187" i="26" s="1"/>
  <c r="G1187" i="26"/>
  <c r="J1186" i="26"/>
  <c r="K1186" i="26" s="1"/>
  <c r="H1186" i="26"/>
  <c r="I1186" i="26" s="1"/>
  <c r="G1186" i="26"/>
  <c r="K1185" i="26"/>
  <c r="J1185" i="26"/>
  <c r="H1185" i="26"/>
  <c r="I1185" i="26" s="1"/>
  <c r="G1185" i="26"/>
  <c r="J1184" i="26"/>
  <c r="K1184" i="26" s="1"/>
  <c r="I1184" i="26"/>
  <c r="H1184" i="26"/>
  <c r="G1184" i="26"/>
  <c r="J1183" i="26"/>
  <c r="K1183" i="26" s="1"/>
  <c r="H1183" i="26"/>
  <c r="I1183" i="26" s="1"/>
  <c r="G1183" i="26"/>
  <c r="K1182" i="26"/>
  <c r="J1182" i="26"/>
  <c r="H1182" i="26"/>
  <c r="I1182" i="26" s="1"/>
  <c r="G1182" i="26"/>
  <c r="J1181" i="26"/>
  <c r="K1181" i="26" s="1"/>
  <c r="H1181" i="26"/>
  <c r="I1181" i="26" s="1"/>
  <c r="G1181" i="26"/>
  <c r="J1180" i="26"/>
  <c r="K1180" i="26" s="1"/>
  <c r="H1180" i="26"/>
  <c r="I1180" i="26" s="1"/>
  <c r="G1180" i="26"/>
  <c r="J1179" i="26"/>
  <c r="K1179" i="26" s="1"/>
  <c r="H1179" i="26"/>
  <c r="I1179" i="26" s="1"/>
  <c r="G1179" i="26"/>
  <c r="J1178" i="26"/>
  <c r="K1178" i="26" s="1"/>
  <c r="H1178" i="26"/>
  <c r="I1178" i="26" s="1"/>
  <c r="G1178" i="26"/>
  <c r="J1177" i="26"/>
  <c r="K1177" i="26" s="1"/>
  <c r="H1177" i="26"/>
  <c r="I1177" i="26" s="1"/>
  <c r="G1177" i="26"/>
  <c r="J1176" i="26"/>
  <c r="K1176" i="26" s="1"/>
  <c r="H1176" i="26"/>
  <c r="I1176" i="26" s="1"/>
  <c r="G1176" i="26"/>
  <c r="J1175" i="26"/>
  <c r="K1175" i="26" s="1"/>
  <c r="H1175" i="26"/>
  <c r="I1175" i="26" s="1"/>
  <c r="G1175" i="26"/>
  <c r="K1174" i="26"/>
  <c r="J1174" i="26"/>
  <c r="H1174" i="26"/>
  <c r="I1174" i="26" s="1"/>
  <c r="G1174" i="26"/>
  <c r="J1173" i="26"/>
  <c r="K1173" i="26" s="1"/>
  <c r="H1173" i="26"/>
  <c r="I1173" i="26" s="1"/>
  <c r="G1173" i="26"/>
  <c r="J1172" i="26"/>
  <c r="K1172" i="26" s="1"/>
  <c r="H1172" i="26"/>
  <c r="I1172" i="26" s="1"/>
  <c r="G1172" i="26"/>
  <c r="J1171" i="26"/>
  <c r="K1171" i="26" s="1"/>
  <c r="I1171" i="26"/>
  <c r="H1171" i="26"/>
  <c r="G1171" i="26"/>
  <c r="J1170" i="26"/>
  <c r="K1170" i="26" s="1"/>
  <c r="H1170" i="26"/>
  <c r="I1170" i="26" s="1"/>
  <c r="G1170" i="26"/>
  <c r="J1169" i="26"/>
  <c r="K1169" i="26" s="1"/>
  <c r="H1169" i="26"/>
  <c r="I1169" i="26" s="1"/>
  <c r="G1169" i="26"/>
  <c r="J1168" i="26"/>
  <c r="K1168" i="26" s="1"/>
  <c r="H1168" i="26"/>
  <c r="I1168" i="26" s="1"/>
  <c r="G1168" i="26"/>
  <c r="J1167" i="26"/>
  <c r="K1167" i="26" s="1"/>
  <c r="H1167" i="26"/>
  <c r="I1167" i="26" s="1"/>
  <c r="G1167" i="26"/>
  <c r="J1166" i="26"/>
  <c r="K1166" i="26" s="1"/>
  <c r="H1166" i="26"/>
  <c r="I1166" i="26" s="1"/>
  <c r="G1166" i="26"/>
  <c r="J1165" i="26"/>
  <c r="K1165" i="26" s="1"/>
  <c r="H1165" i="26"/>
  <c r="I1165" i="26" s="1"/>
  <c r="G1165" i="26"/>
  <c r="J1164" i="26"/>
  <c r="K1164" i="26" s="1"/>
  <c r="H1164" i="26"/>
  <c r="I1164" i="26" s="1"/>
  <c r="G1164" i="26"/>
  <c r="J1163" i="26"/>
  <c r="K1163" i="26" s="1"/>
  <c r="I1163" i="26"/>
  <c r="H1163" i="26"/>
  <c r="G1163" i="26"/>
  <c r="J1162" i="26"/>
  <c r="K1162" i="26" s="1"/>
  <c r="H1162" i="26"/>
  <c r="I1162" i="26" s="1"/>
  <c r="G1162" i="26"/>
  <c r="J1161" i="26"/>
  <c r="K1161" i="26" s="1"/>
  <c r="H1161" i="26"/>
  <c r="I1161" i="26" s="1"/>
  <c r="G1161" i="26"/>
  <c r="K1160" i="26"/>
  <c r="J1160" i="26"/>
  <c r="H1160" i="26"/>
  <c r="I1160" i="26" s="1"/>
  <c r="G1160" i="26"/>
  <c r="J1159" i="26"/>
  <c r="K1159" i="26" s="1"/>
  <c r="H1159" i="26"/>
  <c r="I1159" i="26" s="1"/>
  <c r="G1159" i="26"/>
  <c r="J1158" i="26"/>
  <c r="K1158" i="26" s="1"/>
  <c r="H1158" i="26"/>
  <c r="I1158" i="26" s="1"/>
  <c r="G1158" i="26"/>
  <c r="J1157" i="26"/>
  <c r="K1157" i="26" s="1"/>
  <c r="H1157" i="26"/>
  <c r="I1157" i="26" s="1"/>
  <c r="G1157" i="26"/>
  <c r="J1156" i="26"/>
  <c r="K1156" i="26" s="1"/>
  <c r="H1156" i="26"/>
  <c r="I1156" i="26" s="1"/>
  <c r="G1156" i="26"/>
  <c r="J1155" i="26"/>
  <c r="K1155" i="26" s="1"/>
  <c r="H1155" i="26"/>
  <c r="I1155" i="26" s="1"/>
  <c r="G1155" i="26"/>
  <c r="J1154" i="26"/>
  <c r="K1154" i="26" s="1"/>
  <c r="H1154" i="26"/>
  <c r="I1154" i="26" s="1"/>
  <c r="G1154" i="26"/>
  <c r="J1153" i="26"/>
  <c r="K1153" i="26" s="1"/>
  <c r="H1153" i="26"/>
  <c r="I1153" i="26" s="1"/>
  <c r="G1153" i="26"/>
  <c r="J1152" i="26"/>
  <c r="K1152" i="26" s="1"/>
  <c r="H1152" i="26"/>
  <c r="I1152" i="26" s="1"/>
  <c r="G1152" i="26"/>
  <c r="J1151" i="26"/>
  <c r="K1151" i="26" s="1"/>
  <c r="I1151" i="26"/>
  <c r="H1151" i="26"/>
  <c r="G1151" i="26"/>
  <c r="K1150" i="26"/>
  <c r="J1150" i="26"/>
  <c r="H1150" i="26"/>
  <c r="I1150" i="26" s="1"/>
  <c r="G1150" i="26"/>
  <c r="J1149" i="26"/>
  <c r="K1149" i="26" s="1"/>
  <c r="H1149" i="26"/>
  <c r="I1149" i="26" s="1"/>
  <c r="G1149" i="26"/>
  <c r="J1148" i="26"/>
  <c r="K1148" i="26" s="1"/>
  <c r="H1148" i="26"/>
  <c r="I1148" i="26" s="1"/>
  <c r="G1148" i="26"/>
  <c r="K1147" i="26"/>
  <c r="J1147" i="26"/>
  <c r="H1147" i="26"/>
  <c r="I1147" i="26" s="1"/>
  <c r="G1147" i="26"/>
  <c r="J1146" i="26"/>
  <c r="K1146" i="26" s="1"/>
  <c r="H1146" i="26"/>
  <c r="I1146" i="26" s="1"/>
  <c r="G1146" i="26"/>
  <c r="J1145" i="26"/>
  <c r="K1145" i="26" s="1"/>
  <c r="H1145" i="26"/>
  <c r="I1145" i="26" s="1"/>
  <c r="G1145" i="26"/>
  <c r="J1144" i="26"/>
  <c r="K1144" i="26" s="1"/>
  <c r="H1144" i="26"/>
  <c r="I1144" i="26" s="1"/>
  <c r="G1144" i="26"/>
  <c r="J1143" i="26"/>
  <c r="K1143" i="26" s="1"/>
  <c r="H1143" i="26"/>
  <c r="I1143" i="26" s="1"/>
  <c r="G1143" i="26"/>
  <c r="J1142" i="26"/>
  <c r="K1142" i="26" s="1"/>
  <c r="H1142" i="26"/>
  <c r="I1142" i="26" s="1"/>
  <c r="G1142" i="26"/>
  <c r="K1141" i="26"/>
  <c r="J1141" i="26"/>
  <c r="H1141" i="26"/>
  <c r="I1141" i="26" s="1"/>
  <c r="G1141" i="26"/>
  <c r="J1140" i="26"/>
  <c r="K1140" i="26" s="1"/>
  <c r="H1140" i="26"/>
  <c r="I1140" i="26" s="1"/>
  <c r="G1140" i="26"/>
  <c r="J1139" i="26"/>
  <c r="K1139" i="26" s="1"/>
  <c r="I1139" i="26"/>
  <c r="H1139" i="26"/>
  <c r="G1139" i="26"/>
  <c r="K1138" i="26"/>
  <c r="J1138" i="26"/>
  <c r="H1138" i="26"/>
  <c r="I1138" i="26" s="1"/>
  <c r="G1138" i="26"/>
  <c r="J1137" i="26"/>
  <c r="K1137" i="26" s="1"/>
  <c r="H1137" i="26"/>
  <c r="I1137" i="26" s="1"/>
  <c r="G1137" i="26"/>
  <c r="J1136" i="26"/>
  <c r="K1136" i="26" s="1"/>
  <c r="H1136" i="26"/>
  <c r="I1136" i="26" s="1"/>
  <c r="G1136" i="26"/>
  <c r="J1135" i="26"/>
  <c r="K1135" i="26" s="1"/>
  <c r="H1135" i="26"/>
  <c r="I1135" i="26" s="1"/>
  <c r="G1135" i="26"/>
  <c r="J1134" i="26"/>
  <c r="K1134" i="26" s="1"/>
  <c r="H1134" i="26"/>
  <c r="I1134" i="26" s="1"/>
  <c r="G1134" i="26"/>
  <c r="J1133" i="26"/>
  <c r="K1133" i="26" s="1"/>
  <c r="H1133" i="26"/>
  <c r="I1133" i="26" s="1"/>
  <c r="G1133" i="26"/>
  <c r="J1132" i="26"/>
  <c r="K1132" i="26" s="1"/>
  <c r="H1132" i="26"/>
  <c r="I1132" i="26" s="1"/>
  <c r="G1132" i="26"/>
  <c r="J1131" i="26"/>
  <c r="K1131" i="26" s="1"/>
  <c r="H1131" i="26"/>
  <c r="I1131" i="26" s="1"/>
  <c r="G1131" i="26"/>
  <c r="J1130" i="26"/>
  <c r="K1130" i="26" s="1"/>
  <c r="H1130" i="26"/>
  <c r="I1130" i="26" s="1"/>
  <c r="G1130" i="26"/>
  <c r="J1129" i="26"/>
  <c r="K1129" i="26" s="1"/>
  <c r="I1129" i="26"/>
  <c r="H1129" i="26"/>
  <c r="G1129" i="26"/>
  <c r="J1128" i="26"/>
  <c r="K1128" i="26" s="1"/>
  <c r="H1128" i="26"/>
  <c r="I1128" i="26" s="1"/>
  <c r="G1128" i="26"/>
  <c r="J1127" i="26"/>
  <c r="K1127" i="26" s="1"/>
  <c r="H1127" i="26"/>
  <c r="I1127" i="26" s="1"/>
  <c r="G1127" i="26"/>
  <c r="K1126" i="26"/>
  <c r="J1126" i="26"/>
  <c r="H1126" i="26"/>
  <c r="I1126" i="26" s="1"/>
  <c r="G1126" i="26"/>
  <c r="J1125" i="26"/>
  <c r="K1125" i="26" s="1"/>
  <c r="H1125" i="26"/>
  <c r="I1125" i="26" s="1"/>
  <c r="G1125" i="26"/>
  <c r="J1124" i="26"/>
  <c r="K1124" i="26" s="1"/>
  <c r="H1124" i="26"/>
  <c r="I1124" i="26" s="1"/>
  <c r="G1124" i="26"/>
  <c r="K1123" i="26"/>
  <c r="J1123" i="26"/>
  <c r="H1123" i="26"/>
  <c r="I1123" i="26" s="1"/>
  <c r="G1123" i="26"/>
  <c r="J1122" i="26"/>
  <c r="K1122" i="26" s="1"/>
  <c r="H1122" i="26"/>
  <c r="I1122" i="26" s="1"/>
  <c r="G1122" i="26"/>
  <c r="J1121" i="26"/>
  <c r="K1121" i="26" s="1"/>
  <c r="I1121" i="26"/>
  <c r="H1121" i="26"/>
  <c r="G1121" i="26"/>
  <c r="J1120" i="26"/>
  <c r="K1120" i="26" s="1"/>
  <c r="H1120" i="26"/>
  <c r="I1120" i="26" s="1"/>
  <c r="G1120" i="26"/>
  <c r="J1119" i="26"/>
  <c r="K1119" i="26" s="1"/>
  <c r="H1119" i="26"/>
  <c r="I1119" i="26" s="1"/>
  <c r="G1119" i="26"/>
  <c r="J1118" i="26"/>
  <c r="K1118" i="26" s="1"/>
  <c r="H1118" i="26"/>
  <c r="I1118" i="26" s="1"/>
  <c r="G1118" i="26"/>
  <c r="J1117" i="26"/>
  <c r="K1117" i="26" s="1"/>
  <c r="H1117" i="26"/>
  <c r="I1117" i="26" s="1"/>
  <c r="G1117" i="26"/>
  <c r="J1116" i="26"/>
  <c r="K1116" i="26" s="1"/>
  <c r="H1116" i="26"/>
  <c r="I1116" i="26" s="1"/>
  <c r="G1116" i="26"/>
  <c r="J1115" i="26"/>
  <c r="K1115" i="26" s="1"/>
  <c r="H1115" i="26"/>
  <c r="I1115" i="26" s="1"/>
  <c r="G1115" i="26"/>
  <c r="J1114" i="26"/>
  <c r="K1114" i="26" s="1"/>
  <c r="H1114" i="26"/>
  <c r="I1114" i="26" s="1"/>
  <c r="G1114" i="26"/>
  <c r="J1113" i="26"/>
  <c r="K1113" i="26" s="1"/>
  <c r="H1113" i="26"/>
  <c r="I1113" i="26" s="1"/>
  <c r="G1113" i="26"/>
  <c r="J1112" i="26"/>
  <c r="K1112" i="26" s="1"/>
  <c r="I1112" i="26"/>
  <c r="H1112" i="26"/>
  <c r="G1112" i="26"/>
  <c r="J1111" i="26"/>
  <c r="K1111" i="26" s="1"/>
  <c r="I1111" i="26"/>
  <c r="H1111" i="26"/>
  <c r="G1111" i="26"/>
  <c r="J1110" i="26"/>
  <c r="K1110" i="26" s="1"/>
  <c r="H1110" i="26"/>
  <c r="I1110" i="26" s="1"/>
  <c r="G1110" i="26"/>
  <c r="J1109" i="26"/>
  <c r="K1109" i="26" s="1"/>
  <c r="H1109" i="26"/>
  <c r="I1109" i="26" s="1"/>
  <c r="G1109" i="26"/>
  <c r="J1108" i="26"/>
  <c r="K1108" i="26" s="1"/>
  <c r="H1108" i="26"/>
  <c r="I1108" i="26" s="1"/>
  <c r="G1108" i="26"/>
  <c r="J1107" i="26"/>
  <c r="K1107" i="26" s="1"/>
  <c r="H1107" i="26"/>
  <c r="I1107" i="26" s="1"/>
  <c r="G1107" i="26"/>
  <c r="J1106" i="26"/>
  <c r="K1106" i="26" s="1"/>
  <c r="H1106" i="26"/>
  <c r="I1106" i="26" s="1"/>
  <c r="G1106" i="26"/>
  <c r="J1105" i="26"/>
  <c r="K1105" i="26" s="1"/>
  <c r="H1105" i="26"/>
  <c r="I1105" i="26" s="1"/>
  <c r="G1105" i="26"/>
  <c r="J1104" i="26"/>
  <c r="K1104" i="26" s="1"/>
  <c r="H1104" i="26"/>
  <c r="I1104" i="26" s="1"/>
  <c r="G1104" i="26"/>
  <c r="J1103" i="26"/>
  <c r="K1103" i="26" s="1"/>
  <c r="H1103" i="26"/>
  <c r="I1103" i="26" s="1"/>
  <c r="G1103" i="26"/>
  <c r="K1102" i="26"/>
  <c r="J1102" i="26"/>
  <c r="H1102" i="26"/>
  <c r="I1102" i="26" s="1"/>
  <c r="G1102" i="26"/>
  <c r="J1101" i="26"/>
  <c r="K1101" i="26" s="1"/>
  <c r="H1101" i="26"/>
  <c r="I1101" i="26" s="1"/>
  <c r="G1101" i="26"/>
  <c r="J1100" i="26"/>
  <c r="K1100" i="26" s="1"/>
  <c r="H1100" i="26"/>
  <c r="I1100" i="26" s="1"/>
  <c r="G1100" i="26"/>
  <c r="J1099" i="26"/>
  <c r="K1099" i="26" s="1"/>
  <c r="H1099" i="26"/>
  <c r="I1099" i="26" s="1"/>
  <c r="G1099" i="26"/>
  <c r="J1098" i="26"/>
  <c r="K1098" i="26" s="1"/>
  <c r="H1098" i="26"/>
  <c r="I1098" i="26" s="1"/>
  <c r="G1098" i="26"/>
  <c r="J1097" i="26"/>
  <c r="K1097" i="26" s="1"/>
  <c r="H1097" i="26"/>
  <c r="I1097" i="26" s="1"/>
  <c r="G1097" i="26"/>
  <c r="J1096" i="26"/>
  <c r="K1096" i="26" s="1"/>
  <c r="H1096" i="26"/>
  <c r="I1096" i="26" s="1"/>
  <c r="G1096" i="26"/>
  <c r="J1095" i="26"/>
  <c r="K1095" i="26" s="1"/>
  <c r="H1095" i="26"/>
  <c r="I1095" i="26" s="1"/>
  <c r="G1095" i="26"/>
  <c r="J1094" i="26"/>
  <c r="K1094" i="26" s="1"/>
  <c r="H1094" i="26"/>
  <c r="I1094" i="26" s="1"/>
  <c r="G1094" i="26"/>
  <c r="J1093" i="26"/>
  <c r="K1093" i="26" s="1"/>
  <c r="I1093" i="26"/>
  <c r="H1093" i="26"/>
  <c r="G1093" i="26"/>
  <c r="J1092" i="26"/>
  <c r="K1092" i="26" s="1"/>
  <c r="H1092" i="26"/>
  <c r="I1092" i="26" s="1"/>
  <c r="G1092" i="26"/>
  <c r="J1091" i="26"/>
  <c r="K1091" i="26" s="1"/>
  <c r="H1091" i="26"/>
  <c r="I1091" i="26" s="1"/>
  <c r="G1091" i="26"/>
  <c r="K1090" i="26"/>
  <c r="J1090" i="26"/>
  <c r="I1090" i="26"/>
  <c r="H1090" i="26"/>
  <c r="G1090" i="26"/>
  <c r="J1089" i="26"/>
  <c r="K1089" i="26" s="1"/>
  <c r="H1089" i="26"/>
  <c r="I1089" i="26" s="1"/>
  <c r="G1089" i="26"/>
  <c r="J1088" i="26"/>
  <c r="K1088" i="26" s="1"/>
  <c r="H1088" i="26"/>
  <c r="I1088" i="26" s="1"/>
  <c r="G1088" i="26"/>
  <c r="J1087" i="26"/>
  <c r="K1087" i="26" s="1"/>
  <c r="H1087" i="26"/>
  <c r="I1087" i="26" s="1"/>
  <c r="G1087" i="26"/>
  <c r="J1086" i="26"/>
  <c r="K1086" i="26" s="1"/>
  <c r="H1086" i="26"/>
  <c r="I1086" i="26" s="1"/>
  <c r="G1086" i="26"/>
  <c r="J1085" i="26"/>
  <c r="K1085" i="26" s="1"/>
  <c r="H1085" i="26"/>
  <c r="I1085" i="26" s="1"/>
  <c r="G1085" i="26"/>
  <c r="J1084" i="26"/>
  <c r="K1084" i="26" s="1"/>
  <c r="I1084" i="26"/>
  <c r="H1084" i="26"/>
  <c r="G1084" i="26"/>
  <c r="J1083" i="26"/>
  <c r="K1083" i="26" s="1"/>
  <c r="H1083" i="26"/>
  <c r="I1083" i="26" s="1"/>
  <c r="G1083" i="26"/>
  <c r="J1082" i="26"/>
  <c r="K1082" i="26" s="1"/>
  <c r="H1082" i="26"/>
  <c r="I1082" i="26" s="1"/>
  <c r="G1082" i="26"/>
  <c r="J1081" i="26"/>
  <c r="K1081" i="26" s="1"/>
  <c r="I1081" i="26"/>
  <c r="H1081" i="26"/>
  <c r="G1081" i="26"/>
  <c r="J1080" i="26"/>
  <c r="K1080" i="26" s="1"/>
  <c r="H1080" i="26"/>
  <c r="I1080" i="26" s="1"/>
  <c r="G1080" i="26"/>
  <c r="J1079" i="26"/>
  <c r="K1079" i="26" s="1"/>
  <c r="H1079" i="26"/>
  <c r="I1079" i="26" s="1"/>
  <c r="G1079" i="26"/>
  <c r="J1078" i="26"/>
  <c r="K1078" i="26" s="1"/>
  <c r="I1078" i="26"/>
  <c r="H1078" i="26"/>
  <c r="G1078" i="26"/>
  <c r="J1077" i="26"/>
  <c r="K1077" i="26" s="1"/>
  <c r="H1077" i="26"/>
  <c r="I1077" i="26" s="1"/>
  <c r="G1077" i="26"/>
  <c r="J1076" i="26"/>
  <c r="K1076" i="26" s="1"/>
  <c r="H1076" i="26"/>
  <c r="I1076" i="26" s="1"/>
  <c r="G1076" i="26"/>
  <c r="K1075" i="26"/>
  <c r="J1075" i="26"/>
  <c r="I1075" i="26"/>
  <c r="H1075" i="26"/>
  <c r="G1075" i="26"/>
  <c r="J1074" i="26"/>
  <c r="K1074" i="26" s="1"/>
  <c r="H1074" i="26"/>
  <c r="I1074" i="26" s="1"/>
  <c r="G1074" i="26"/>
  <c r="J1073" i="26"/>
  <c r="K1073" i="26" s="1"/>
  <c r="H1073" i="26"/>
  <c r="I1073" i="26" s="1"/>
  <c r="G1073" i="26"/>
  <c r="J1072" i="26"/>
  <c r="K1072" i="26" s="1"/>
  <c r="I1072" i="26"/>
  <c r="H1072" i="26"/>
  <c r="G1072" i="26"/>
  <c r="J1071" i="26"/>
  <c r="K1071" i="26" s="1"/>
  <c r="H1071" i="26"/>
  <c r="I1071" i="26" s="1"/>
  <c r="G1071" i="26"/>
  <c r="J1070" i="26"/>
  <c r="K1070" i="26" s="1"/>
  <c r="H1070" i="26"/>
  <c r="I1070" i="26" s="1"/>
  <c r="G1070" i="26"/>
  <c r="J1069" i="26"/>
  <c r="K1069" i="26" s="1"/>
  <c r="H1069" i="26"/>
  <c r="I1069" i="26" s="1"/>
  <c r="G1069" i="26"/>
  <c r="K1068" i="26"/>
  <c r="J1068" i="26"/>
  <c r="H1068" i="26"/>
  <c r="I1068" i="26" s="1"/>
  <c r="G1068" i="26"/>
  <c r="J1067" i="26"/>
  <c r="K1067" i="26" s="1"/>
  <c r="H1067" i="26"/>
  <c r="I1067" i="26" s="1"/>
  <c r="G1067" i="26"/>
  <c r="J1066" i="26"/>
  <c r="K1066" i="26" s="1"/>
  <c r="I1066" i="26"/>
  <c r="H1066" i="26"/>
  <c r="G1066" i="26"/>
  <c r="J1065" i="26"/>
  <c r="K1065" i="26" s="1"/>
  <c r="I1065" i="26"/>
  <c r="H1065" i="26"/>
  <c r="G1065" i="26"/>
  <c r="J1064" i="26"/>
  <c r="K1064" i="26" s="1"/>
  <c r="H1064" i="26"/>
  <c r="I1064" i="26" s="1"/>
  <c r="G1064" i="26"/>
  <c r="J1063" i="26"/>
  <c r="K1063" i="26" s="1"/>
  <c r="H1063" i="26"/>
  <c r="I1063" i="26" s="1"/>
  <c r="G1063" i="26"/>
  <c r="J1062" i="26"/>
  <c r="K1062" i="26" s="1"/>
  <c r="H1062" i="26"/>
  <c r="I1062" i="26" s="1"/>
  <c r="G1062" i="26"/>
  <c r="J1061" i="26"/>
  <c r="K1061" i="26" s="1"/>
  <c r="H1061" i="26"/>
  <c r="I1061" i="26" s="1"/>
  <c r="G1061" i="26"/>
  <c r="J1060" i="26"/>
  <c r="K1060" i="26" s="1"/>
  <c r="H1060" i="26"/>
  <c r="I1060" i="26" s="1"/>
  <c r="G1060" i="26"/>
  <c r="J1059" i="26"/>
  <c r="K1059" i="26" s="1"/>
  <c r="H1059" i="26"/>
  <c r="I1059" i="26" s="1"/>
  <c r="G1059" i="26"/>
  <c r="J1058" i="26"/>
  <c r="K1058" i="26" s="1"/>
  <c r="H1058" i="26"/>
  <c r="I1058" i="26" s="1"/>
  <c r="G1058" i="26"/>
  <c r="J1057" i="26"/>
  <c r="K1057" i="26" s="1"/>
  <c r="H1057" i="26"/>
  <c r="I1057" i="26" s="1"/>
  <c r="G1057" i="26"/>
  <c r="K1056" i="26"/>
  <c r="J1056" i="26"/>
  <c r="H1056" i="26"/>
  <c r="I1056" i="26" s="1"/>
  <c r="G1056" i="26"/>
  <c r="J1055" i="26"/>
  <c r="K1055" i="26" s="1"/>
  <c r="H1055" i="26"/>
  <c r="I1055" i="26" s="1"/>
  <c r="G1055" i="26"/>
  <c r="J1054" i="26"/>
  <c r="K1054" i="26" s="1"/>
  <c r="H1054" i="26"/>
  <c r="I1054" i="26" s="1"/>
  <c r="G1054" i="26"/>
  <c r="J1053" i="26"/>
  <c r="K1053" i="26" s="1"/>
  <c r="H1053" i="26"/>
  <c r="I1053" i="26" s="1"/>
  <c r="G1053" i="26"/>
  <c r="J1052" i="26"/>
  <c r="K1052" i="26" s="1"/>
  <c r="H1052" i="26"/>
  <c r="I1052" i="26" s="1"/>
  <c r="G1052" i="26"/>
  <c r="J1051" i="26"/>
  <c r="K1051" i="26" s="1"/>
  <c r="H1051" i="26"/>
  <c r="I1051" i="26" s="1"/>
  <c r="G1051" i="26"/>
  <c r="J1050" i="26"/>
  <c r="K1050" i="26" s="1"/>
  <c r="H1050" i="26"/>
  <c r="I1050" i="26" s="1"/>
  <c r="G1050" i="26"/>
  <c r="J1049" i="26"/>
  <c r="K1049" i="26" s="1"/>
  <c r="H1049" i="26"/>
  <c r="I1049" i="26" s="1"/>
  <c r="G1049" i="26"/>
  <c r="J1048" i="26"/>
  <c r="K1048" i="26" s="1"/>
  <c r="H1048" i="26"/>
  <c r="I1048" i="26" s="1"/>
  <c r="G1048" i="26"/>
  <c r="J1047" i="26"/>
  <c r="K1047" i="26" s="1"/>
  <c r="H1047" i="26"/>
  <c r="I1047" i="26" s="1"/>
  <c r="G1047" i="26"/>
  <c r="J1046" i="26"/>
  <c r="K1046" i="26" s="1"/>
  <c r="H1046" i="26"/>
  <c r="I1046" i="26" s="1"/>
  <c r="G1046" i="26"/>
  <c r="J1045" i="26"/>
  <c r="K1045" i="26" s="1"/>
  <c r="H1045" i="26"/>
  <c r="I1045" i="26" s="1"/>
  <c r="G1045" i="26"/>
  <c r="J1044" i="26"/>
  <c r="K1044" i="26" s="1"/>
  <c r="H1044" i="26"/>
  <c r="I1044" i="26" s="1"/>
  <c r="G1044" i="26"/>
  <c r="K1043" i="26"/>
  <c r="J1043" i="26"/>
  <c r="H1043" i="26"/>
  <c r="I1043" i="26" s="1"/>
  <c r="G1043" i="26"/>
  <c r="J1042" i="26"/>
  <c r="K1042" i="26" s="1"/>
  <c r="H1042" i="26"/>
  <c r="I1042" i="26" s="1"/>
  <c r="G1042" i="26"/>
  <c r="J1041" i="26"/>
  <c r="K1041" i="26" s="1"/>
  <c r="H1041" i="26"/>
  <c r="I1041" i="26" s="1"/>
  <c r="G1041" i="26"/>
  <c r="J1040" i="26"/>
  <c r="K1040" i="26" s="1"/>
  <c r="H1040" i="26"/>
  <c r="I1040" i="26" s="1"/>
  <c r="G1040" i="26"/>
  <c r="J1039" i="26"/>
  <c r="K1039" i="26" s="1"/>
  <c r="I1039" i="26"/>
  <c r="H1039" i="26"/>
  <c r="G1039" i="26"/>
  <c r="J1038" i="26"/>
  <c r="K1038" i="26" s="1"/>
  <c r="H1038" i="26"/>
  <c r="I1038" i="26" s="1"/>
  <c r="G1038" i="26"/>
  <c r="J1037" i="26"/>
  <c r="K1037" i="26" s="1"/>
  <c r="H1037" i="26"/>
  <c r="I1037" i="26" s="1"/>
  <c r="G1037" i="26"/>
  <c r="J1036" i="26"/>
  <c r="K1036" i="26" s="1"/>
  <c r="H1036" i="26"/>
  <c r="I1036" i="26" s="1"/>
  <c r="G1036" i="26"/>
  <c r="J1035" i="26"/>
  <c r="K1035" i="26" s="1"/>
  <c r="H1035" i="26"/>
  <c r="I1035" i="26" s="1"/>
  <c r="G1035" i="26"/>
  <c r="J1034" i="26"/>
  <c r="K1034" i="26" s="1"/>
  <c r="H1034" i="26"/>
  <c r="I1034" i="26" s="1"/>
  <c r="G1034" i="26"/>
  <c r="J1033" i="26"/>
  <c r="K1033" i="26" s="1"/>
  <c r="H1033" i="26"/>
  <c r="I1033" i="26" s="1"/>
  <c r="G1033" i="26"/>
  <c r="J1032" i="26"/>
  <c r="K1032" i="26" s="1"/>
  <c r="H1032" i="26"/>
  <c r="I1032" i="26" s="1"/>
  <c r="G1032" i="26"/>
  <c r="J1031" i="26"/>
  <c r="K1031" i="26" s="1"/>
  <c r="H1031" i="26"/>
  <c r="I1031" i="26" s="1"/>
  <c r="G1031" i="26"/>
  <c r="J1030" i="26"/>
  <c r="K1030" i="26" s="1"/>
  <c r="H1030" i="26"/>
  <c r="I1030" i="26" s="1"/>
  <c r="G1030" i="26"/>
  <c r="J1029" i="26"/>
  <c r="K1029" i="26" s="1"/>
  <c r="H1029" i="26"/>
  <c r="I1029" i="26" s="1"/>
  <c r="G1029" i="26"/>
  <c r="J1028" i="26"/>
  <c r="K1028" i="26" s="1"/>
  <c r="I1028" i="26"/>
  <c r="H1028" i="26"/>
  <c r="G1028" i="26"/>
  <c r="K1027" i="26"/>
  <c r="J1027" i="26"/>
  <c r="H1027" i="26"/>
  <c r="I1027" i="26" s="1"/>
  <c r="G1027" i="26"/>
  <c r="J1026" i="26"/>
  <c r="K1026" i="26" s="1"/>
  <c r="H1026" i="26"/>
  <c r="I1026" i="26" s="1"/>
  <c r="G1026" i="26"/>
  <c r="K1025" i="26"/>
  <c r="J1025" i="26"/>
  <c r="I1025" i="26"/>
  <c r="H1025" i="26"/>
  <c r="G1025" i="26"/>
  <c r="J1024" i="26"/>
  <c r="K1024" i="26" s="1"/>
  <c r="H1024" i="26"/>
  <c r="I1024" i="26" s="1"/>
  <c r="G1024" i="26"/>
  <c r="J1023" i="26"/>
  <c r="K1023" i="26" s="1"/>
  <c r="H1023" i="26"/>
  <c r="I1023" i="26" s="1"/>
  <c r="G1023" i="26"/>
  <c r="J1022" i="26"/>
  <c r="K1022" i="26" s="1"/>
  <c r="H1022" i="26"/>
  <c r="I1022" i="26" s="1"/>
  <c r="G1022" i="26"/>
  <c r="J1021" i="26"/>
  <c r="K1021" i="26" s="1"/>
  <c r="I1021" i="26"/>
  <c r="H1021" i="26"/>
  <c r="G1021" i="26"/>
  <c r="J1020" i="26"/>
  <c r="K1020" i="26" s="1"/>
  <c r="H1020" i="26"/>
  <c r="I1020" i="26" s="1"/>
  <c r="G1020" i="26"/>
  <c r="J1019" i="26"/>
  <c r="K1019" i="26" s="1"/>
  <c r="H1019" i="26"/>
  <c r="I1019" i="26" s="1"/>
  <c r="G1019" i="26"/>
  <c r="K1018" i="26"/>
  <c r="J1018" i="26"/>
  <c r="H1018" i="26"/>
  <c r="I1018" i="26" s="1"/>
  <c r="G1018" i="26"/>
  <c r="J1017" i="26"/>
  <c r="K1017" i="26" s="1"/>
  <c r="H1017" i="26"/>
  <c r="I1017" i="26" s="1"/>
  <c r="G1017" i="26"/>
  <c r="J1016" i="26"/>
  <c r="K1016" i="26" s="1"/>
  <c r="H1016" i="26"/>
  <c r="I1016" i="26" s="1"/>
  <c r="G1016" i="26"/>
  <c r="J1015" i="26"/>
  <c r="K1015" i="26" s="1"/>
  <c r="H1015" i="26"/>
  <c r="I1015" i="26" s="1"/>
  <c r="G1015" i="26"/>
  <c r="J1014" i="26"/>
  <c r="K1014" i="26" s="1"/>
  <c r="H1014" i="26"/>
  <c r="I1014" i="26" s="1"/>
  <c r="G1014" i="26"/>
  <c r="J1013" i="26"/>
  <c r="K1013" i="26" s="1"/>
  <c r="H1013" i="26"/>
  <c r="I1013" i="26" s="1"/>
  <c r="G1013" i="26"/>
  <c r="J1012" i="26"/>
  <c r="K1012" i="26" s="1"/>
  <c r="H1012" i="26"/>
  <c r="I1012" i="26" s="1"/>
  <c r="G1012" i="26"/>
  <c r="J1011" i="26"/>
  <c r="K1011" i="26" s="1"/>
  <c r="H1011" i="26"/>
  <c r="I1011" i="26" s="1"/>
  <c r="G1011" i="26"/>
  <c r="J1010" i="26"/>
  <c r="K1010" i="26" s="1"/>
  <c r="H1010" i="26"/>
  <c r="I1010" i="26" s="1"/>
  <c r="G1010" i="26"/>
  <c r="J1009" i="26"/>
  <c r="K1009" i="26" s="1"/>
  <c r="H1009" i="26"/>
  <c r="I1009" i="26" s="1"/>
  <c r="G1009" i="26"/>
  <c r="J1008" i="26"/>
  <c r="K1008" i="26" s="1"/>
  <c r="H1008" i="26"/>
  <c r="I1008" i="26" s="1"/>
  <c r="G1008" i="26"/>
  <c r="J1007" i="26"/>
  <c r="K1007" i="26" s="1"/>
  <c r="H1007" i="26"/>
  <c r="I1007" i="26" s="1"/>
  <c r="G1007" i="26"/>
  <c r="J1006" i="26"/>
  <c r="K1006" i="26" s="1"/>
  <c r="H1006" i="26"/>
  <c r="I1006" i="26" s="1"/>
  <c r="G1006" i="26"/>
  <c r="J1005" i="26"/>
  <c r="K1005" i="26" s="1"/>
  <c r="H1005" i="26"/>
  <c r="I1005" i="26" s="1"/>
  <c r="G1005" i="26"/>
  <c r="J1004" i="26"/>
  <c r="K1004" i="26" s="1"/>
  <c r="H1004" i="26"/>
  <c r="I1004" i="26" s="1"/>
  <c r="G1004" i="26"/>
  <c r="J1003" i="26"/>
  <c r="K1003" i="26" s="1"/>
  <c r="I1003" i="26"/>
  <c r="H1003" i="26"/>
  <c r="G1003" i="26"/>
  <c r="J1002" i="26"/>
  <c r="K1002" i="26" s="1"/>
  <c r="H1002" i="26"/>
  <c r="I1002" i="26" s="1"/>
  <c r="G1002" i="26"/>
  <c r="J1001" i="26"/>
  <c r="K1001" i="26" s="1"/>
  <c r="H1001" i="26"/>
  <c r="I1001" i="26" s="1"/>
  <c r="G1001" i="26"/>
  <c r="J1000" i="26"/>
  <c r="K1000" i="26" s="1"/>
  <c r="H1000" i="26"/>
  <c r="I1000" i="26" s="1"/>
  <c r="G1000" i="26"/>
  <c r="J999" i="26"/>
  <c r="K999" i="26" s="1"/>
  <c r="H999" i="26"/>
  <c r="I999" i="26" s="1"/>
  <c r="G999" i="26"/>
  <c r="J998" i="26"/>
  <c r="K998" i="26" s="1"/>
  <c r="H998" i="26"/>
  <c r="I998" i="26" s="1"/>
  <c r="G998" i="26"/>
  <c r="J997" i="26"/>
  <c r="K997" i="26" s="1"/>
  <c r="H997" i="26"/>
  <c r="I997" i="26" s="1"/>
  <c r="G997" i="26"/>
  <c r="J996" i="26"/>
  <c r="K996" i="26" s="1"/>
  <c r="H996" i="26"/>
  <c r="I996" i="26" s="1"/>
  <c r="G996" i="26"/>
  <c r="J995" i="26"/>
  <c r="K995" i="26" s="1"/>
  <c r="H995" i="26"/>
  <c r="I995" i="26" s="1"/>
  <c r="G995" i="26"/>
  <c r="J994" i="26"/>
  <c r="K994" i="26" s="1"/>
  <c r="H994" i="26"/>
  <c r="I994" i="26" s="1"/>
  <c r="G994" i="26"/>
  <c r="J993" i="26"/>
  <c r="K993" i="26" s="1"/>
  <c r="H993" i="26"/>
  <c r="I993" i="26" s="1"/>
  <c r="G993" i="26"/>
  <c r="J992" i="26"/>
  <c r="K992" i="26" s="1"/>
  <c r="H992" i="26"/>
  <c r="I992" i="26" s="1"/>
  <c r="G992" i="26"/>
  <c r="J991" i="26"/>
  <c r="K991" i="26" s="1"/>
  <c r="H991" i="26"/>
  <c r="I991" i="26" s="1"/>
  <c r="G991" i="26"/>
  <c r="J990" i="26"/>
  <c r="K990" i="26" s="1"/>
  <c r="H990" i="26"/>
  <c r="I990" i="26" s="1"/>
  <c r="G990" i="26"/>
  <c r="J989" i="26"/>
  <c r="K989" i="26" s="1"/>
  <c r="H989" i="26"/>
  <c r="I989" i="26" s="1"/>
  <c r="G989" i="26"/>
  <c r="J988" i="26"/>
  <c r="K988" i="26" s="1"/>
  <c r="H988" i="26"/>
  <c r="I988" i="26" s="1"/>
  <c r="G988" i="26"/>
  <c r="J987" i="26"/>
  <c r="K987" i="26" s="1"/>
  <c r="H987" i="26"/>
  <c r="I987" i="26" s="1"/>
  <c r="G987" i="26"/>
  <c r="J986" i="26"/>
  <c r="K986" i="26" s="1"/>
  <c r="H986" i="26"/>
  <c r="I986" i="26" s="1"/>
  <c r="G986" i="26"/>
  <c r="J985" i="26"/>
  <c r="K985" i="26" s="1"/>
  <c r="I985" i="26"/>
  <c r="H985" i="26"/>
  <c r="G985" i="26"/>
  <c r="K984" i="26"/>
  <c r="J984" i="26"/>
  <c r="H984" i="26"/>
  <c r="I984" i="26" s="1"/>
  <c r="G984" i="26"/>
  <c r="J983" i="26"/>
  <c r="K983" i="26" s="1"/>
  <c r="H983" i="26"/>
  <c r="I983" i="26" s="1"/>
  <c r="G983" i="26"/>
  <c r="J982" i="26"/>
  <c r="K982" i="26" s="1"/>
  <c r="I982" i="26"/>
  <c r="H982" i="26"/>
  <c r="G982" i="26"/>
  <c r="K981" i="26"/>
  <c r="J981" i="26"/>
  <c r="H981" i="26"/>
  <c r="I981" i="26" s="1"/>
  <c r="G981" i="26"/>
  <c r="J980" i="26"/>
  <c r="K980" i="26" s="1"/>
  <c r="H980" i="26"/>
  <c r="I980" i="26" s="1"/>
  <c r="G980" i="26"/>
  <c r="J979" i="26"/>
  <c r="K979" i="26" s="1"/>
  <c r="H979" i="26"/>
  <c r="I979" i="26" s="1"/>
  <c r="G979" i="26"/>
  <c r="J978" i="26"/>
  <c r="K978" i="26" s="1"/>
  <c r="H978" i="26"/>
  <c r="I978" i="26" s="1"/>
  <c r="G978" i="26"/>
  <c r="J977" i="26"/>
  <c r="K977" i="26" s="1"/>
  <c r="H977" i="26"/>
  <c r="I977" i="26" s="1"/>
  <c r="G977" i="26"/>
  <c r="J976" i="26"/>
  <c r="K976" i="26" s="1"/>
  <c r="I976" i="26"/>
  <c r="H976" i="26"/>
  <c r="G976" i="26"/>
  <c r="J975" i="26"/>
  <c r="K975" i="26" s="1"/>
  <c r="H975" i="26"/>
  <c r="I975" i="26" s="1"/>
  <c r="G975" i="26"/>
  <c r="J974" i="26"/>
  <c r="K974" i="26" s="1"/>
  <c r="H974" i="26"/>
  <c r="I974" i="26" s="1"/>
  <c r="G974" i="26"/>
  <c r="J973" i="26"/>
  <c r="K973" i="26" s="1"/>
  <c r="H973" i="26"/>
  <c r="I973" i="26" s="1"/>
  <c r="G973" i="26"/>
  <c r="K972" i="26"/>
  <c r="J972" i="26"/>
  <c r="H972" i="26"/>
  <c r="I972" i="26" s="1"/>
  <c r="G972" i="26"/>
  <c r="K971" i="26"/>
  <c r="J971" i="26"/>
  <c r="H971" i="26"/>
  <c r="I971" i="26" s="1"/>
  <c r="G971" i="26"/>
  <c r="J970" i="26"/>
  <c r="K970" i="26" s="1"/>
  <c r="H970" i="26"/>
  <c r="I970" i="26" s="1"/>
  <c r="G970" i="26"/>
  <c r="J969" i="26"/>
  <c r="K969" i="26" s="1"/>
  <c r="H969" i="26"/>
  <c r="I969" i="26" s="1"/>
  <c r="G969" i="26"/>
  <c r="J968" i="26"/>
  <c r="K968" i="26" s="1"/>
  <c r="H968" i="26"/>
  <c r="I968" i="26" s="1"/>
  <c r="G968" i="26"/>
  <c r="J967" i="26"/>
  <c r="K967" i="26" s="1"/>
  <c r="H967" i="26"/>
  <c r="I967" i="26" s="1"/>
  <c r="G967" i="26"/>
  <c r="J966" i="26"/>
  <c r="K966" i="26" s="1"/>
  <c r="H966" i="26"/>
  <c r="I966" i="26" s="1"/>
  <c r="G966" i="26"/>
  <c r="J965" i="26"/>
  <c r="K965" i="26" s="1"/>
  <c r="H965" i="26"/>
  <c r="I965" i="26" s="1"/>
  <c r="G965" i="26"/>
  <c r="J964" i="26"/>
  <c r="K964" i="26" s="1"/>
  <c r="H964" i="26"/>
  <c r="I964" i="26" s="1"/>
  <c r="G964" i="26"/>
  <c r="J963" i="26"/>
  <c r="K963" i="26" s="1"/>
  <c r="H963" i="26"/>
  <c r="I963" i="26" s="1"/>
  <c r="G963" i="26"/>
  <c r="J962" i="26"/>
  <c r="K962" i="26" s="1"/>
  <c r="H962" i="26"/>
  <c r="I962" i="26" s="1"/>
  <c r="G962" i="26"/>
  <c r="J961" i="26"/>
  <c r="K961" i="26" s="1"/>
  <c r="H961" i="26"/>
  <c r="I961" i="26" s="1"/>
  <c r="G961" i="26"/>
  <c r="J960" i="26"/>
  <c r="K960" i="26" s="1"/>
  <c r="H960" i="26"/>
  <c r="I960" i="26" s="1"/>
  <c r="G960" i="26"/>
  <c r="J959" i="26"/>
  <c r="K959" i="26" s="1"/>
  <c r="H959" i="26"/>
  <c r="I959" i="26" s="1"/>
  <c r="G959" i="26"/>
  <c r="J958" i="26"/>
  <c r="K958" i="26" s="1"/>
  <c r="H958" i="26"/>
  <c r="I958" i="26" s="1"/>
  <c r="G958" i="26"/>
  <c r="J957" i="26"/>
  <c r="K957" i="26" s="1"/>
  <c r="H957" i="26"/>
  <c r="I957" i="26" s="1"/>
  <c r="G957" i="26"/>
  <c r="J956" i="26"/>
  <c r="K956" i="26" s="1"/>
  <c r="H956" i="26"/>
  <c r="I956" i="26" s="1"/>
  <c r="G956" i="26"/>
  <c r="K955" i="26"/>
  <c r="J955" i="26"/>
  <c r="H955" i="26"/>
  <c r="I955" i="26" s="1"/>
  <c r="G955" i="26"/>
  <c r="J954" i="26"/>
  <c r="K954" i="26" s="1"/>
  <c r="H954" i="26"/>
  <c r="I954" i="26" s="1"/>
  <c r="G954" i="26"/>
  <c r="J953" i="26"/>
  <c r="K953" i="26" s="1"/>
  <c r="H953" i="26"/>
  <c r="I953" i="26" s="1"/>
  <c r="G953" i="26"/>
  <c r="J952" i="26"/>
  <c r="K952" i="26" s="1"/>
  <c r="H952" i="26"/>
  <c r="I952" i="26" s="1"/>
  <c r="G952" i="26"/>
  <c r="J951" i="26"/>
  <c r="K951" i="26" s="1"/>
  <c r="H951" i="26"/>
  <c r="I951" i="26" s="1"/>
  <c r="G951" i="26"/>
  <c r="J950" i="26"/>
  <c r="K950" i="26" s="1"/>
  <c r="H950" i="26"/>
  <c r="I950" i="26" s="1"/>
  <c r="G950" i="26"/>
  <c r="J949" i="26"/>
  <c r="K949" i="26" s="1"/>
  <c r="I949" i="26"/>
  <c r="H949" i="26"/>
  <c r="G949" i="26"/>
  <c r="J948" i="26"/>
  <c r="K948" i="26" s="1"/>
  <c r="H948" i="26"/>
  <c r="I948" i="26" s="1"/>
  <c r="G948" i="26"/>
  <c r="J947" i="26"/>
  <c r="K947" i="26" s="1"/>
  <c r="H947" i="26"/>
  <c r="I947" i="26" s="1"/>
  <c r="G947" i="26"/>
  <c r="J946" i="26"/>
  <c r="K946" i="26" s="1"/>
  <c r="H946" i="26"/>
  <c r="I946" i="26" s="1"/>
  <c r="G946" i="26"/>
  <c r="J945" i="26"/>
  <c r="K945" i="26" s="1"/>
  <c r="H945" i="26"/>
  <c r="I945" i="26" s="1"/>
  <c r="G945" i="26"/>
  <c r="J944" i="26"/>
  <c r="K944" i="26" s="1"/>
  <c r="H944" i="26"/>
  <c r="I944" i="26" s="1"/>
  <c r="G944" i="26"/>
  <c r="J943" i="26"/>
  <c r="K943" i="26" s="1"/>
  <c r="H943" i="26"/>
  <c r="I943" i="26" s="1"/>
  <c r="G943" i="26"/>
  <c r="J942" i="26"/>
  <c r="K942" i="26" s="1"/>
  <c r="H942" i="26"/>
  <c r="I942" i="26" s="1"/>
  <c r="G942" i="26"/>
  <c r="J941" i="26"/>
  <c r="K941" i="26" s="1"/>
  <c r="H941" i="26"/>
  <c r="I941" i="26" s="1"/>
  <c r="G941" i="26"/>
  <c r="J940" i="26"/>
  <c r="K940" i="26" s="1"/>
  <c r="H940" i="26"/>
  <c r="I940" i="26" s="1"/>
  <c r="G940" i="26"/>
  <c r="J939" i="26"/>
  <c r="K939" i="26" s="1"/>
  <c r="H939" i="26"/>
  <c r="I939" i="26" s="1"/>
  <c r="G939" i="26"/>
  <c r="J938" i="26"/>
  <c r="K938" i="26" s="1"/>
  <c r="H938" i="26"/>
  <c r="I938" i="26" s="1"/>
  <c r="G938" i="26"/>
  <c r="J937" i="26"/>
  <c r="K937" i="26" s="1"/>
  <c r="H937" i="26"/>
  <c r="I937" i="26" s="1"/>
  <c r="G937" i="26"/>
  <c r="K936" i="26"/>
  <c r="J936" i="26"/>
  <c r="H936" i="26"/>
  <c r="I936" i="26" s="1"/>
  <c r="G936" i="26"/>
  <c r="J935" i="26"/>
  <c r="K935" i="26" s="1"/>
  <c r="H935" i="26"/>
  <c r="I935" i="26" s="1"/>
  <c r="G935" i="26"/>
  <c r="J934" i="26"/>
  <c r="K934" i="26" s="1"/>
  <c r="H934" i="26"/>
  <c r="I934" i="26" s="1"/>
  <c r="G934" i="26"/>
  <c r="K933" i="26"/>
  <c r="J933" i="26"/>
  <c r="H933" i="26"/>
  <c r="I933" i="26" s="1"/>
  <c r="G933" i="26"/>
  <c r="J932" i="26"/>
  <c r="K932" i="26" s="1"/>
  <c r="I932" i="26"/>
  <c r="H932" i="26"/>
  <c r="G932" i="26"/>
  <c r="J931" i="26"/>
  <c r="K931" i="26" s="1"/>
  <c r="H931" i="26"/>
  <c r="I931" i="26" s="1"/>
  <c r="G931" i="26"/>
  <c r="J930" i="26"/>
  <c r="K930" i="26" s="1"/>
  <c r="H930" i="26"/>
  <c r="I930" i="26" s="1"/>
  <c r="G930" i="26"/>
  <c r="J929" i="26"/>
  <c r="K929" i="26" s="1"/>
  <c r="H929" i="26"/>
  <c r="I929" i="26" s="1"/>
  <c r="G929" i="26"/>
  <c r="J928" i="26"/>
  <c r="K928" i="26" s="1"/>
  <c r="H928" i="26"/>
  <c r="I928" i="26" s="1"/>
  <c r="G928" i="26"/>
  <c r="J927" i="26"/>
  <c r="K927" i="26" s="1"/>
  <c r="I927" i="26"/>
  <c r="H927" i="26"/>
  <c r="G927" i="26"/>
  <c r="J926" i="26"/>
  <c r="K926" i="26" s="1"/>
  <c r="H926" i="26"/>
  <c r="I926" i="26" s="1"/>
  <c r="G926" i="26"/>
  <c r="J925" i="26"/>
  <c r="K925" i="26" s="1"/>
  <c r="H925" i="26"/>
  <c r="I925" i="26" s="1"/>
  <c r="G925" i="26"/>
  <c r="J924" i="26"/>
  <c r="K924" i="26" s="1"/>
  <c r="H924" i="26"/>
  <c r="I924" i="26" s="1"/>
  <c r="G924" i="26"/>
  <c r="J923" i="26"/>
  <c r="K923" i="26" s="1"/>
  <c r="H923" i="26"/>
  <c r="I923" i="26" s="1"/>
  <c r="G923" i="26"/>
  <c r="J922" i="26"/>
  <c r="K922" i="26" s="1"/>
  <c r="I922" i="26"/>
  <c r="H922" i="26"/>
  <c r="G922" i="26"/>
  <c r="K921" i="26"/>
  <c r="J921" i="26"/>
  <c r="H921" i="26"/>
  <c r="I921" i="26" s="1"/>
  <c r="G921" i="26"/>
  <c r="J920" i="26"/>
  <c r="K920" i="26" s="1"/>
  <c r="H920" i="26"/>
  <c r="I920" i="26" s="1"/>
  <c r="G920" i="26"/>
  <c r="J919" i="26"/>
  <c r="K919" i="26" s="1"/>
  <c r="H919" i="26"/>
  <c r="I919" i="26" s="1"/>
  <c r="G919" i="26"/>
  <c r="J918" i="26"/>
  <c r="K918" i="26" s="1"/>
  <c r="H918" i="26"/>
  <c r="I918" i="26" s="1"/>
  <c r="G918" i="26"/>
  <c r="J917" i="26"/>
  <c r="K917" i="26" s="1"/>
  <c r="H917" i="26"/>
  <c r="I917" i="26" s="1"/>
  <c r="G917" i="26"/>
  <c r="J916" i="26"/>
  <c r="K916" i="26" s="1"/>
  <c r="H916" i="26"/>
  <c r="I916" i="26" s="1"/>
  <c r="G916" i="26"/>
  <c r="J915" i="26"/>
  <c r="K915" i="26" s="1"/>
  <c r="H915" i="26"/>
  <c r="I915" i="26" s="1"/>
  <c r="G915" i="26"/>
  <c r="J914" i="26"/>
  <c r="K914" i="26" s="1"/>
  <c r="H914" i="26"/>
  <c r="I914" i="26" s="1"/>
  <c r="G914" i="26"/>
  <c r="J913" i="26"/>
  <c r="K913" i="26" s="1"/>
  <c r="H913" i="26"/>
  <c r="I913" i="26" s="1"/>
  <c r="G913" i="26"/>
  <c r="J912" i="26"/>
  <c r="K912" i="26" s="1"/>
  <c r="H912" i="26"/>
  <c r="I912" i="26" s="1"/>
  <c r="G912" i="26"/>
  <c r="J911" i="26"/>
  <c r="K911" i="26" s="1"/>
  <c r="H911" i="26"/>
  <c r="I911" i="26" s="1"/>
  <c r="G911" i="26"/>
  <c r="K910" i="26"/>
  <c r="J910" i="26"/>
  <c r="H910" i="26"/>
  <c r="I910" i="26" s="1"/>
  <c r="G910" i="26"/>
  <c r="J909" i="26"/>
  <c r="K909" i="26" s="1"/>
  <c r="H909" i="26"/>
  <c r="I909" i="26" s="1"/>
  <c r="G909" i="26"/>
  <c r="J908" i="26"/>
  <c r="K908" i="26" s="1"/>
  <c r="H908" i="26"/>
  <c r="I908" i="26" s="1"/>
  <c r="G908" i="26"/>
  <c r="J907" i="26"/>
  <c r="K907" i="26" s="1"/>
  <c r="I907" i="26"/>
  <c r="H907" i="26"/>
  <c r="G907" i="26"/>
  <c r="J906" i="26"/>
  <c r="K906" i="26" s="1"/>
  <c r="H906" i="26"/>
  <c r="I906" i="26" s="1"/>
  <c r="G906" i="26"/>
  <c r="J905" i="26"/>
  <c r="K905" i="26" s="1"/>
  <c r="H905" i="26"/>
  <c r="I905" i="26" s="1"/>
  <c r="G905" i="26"/>
  <c r="J904" i="26"/>
  <c r="K904" i="26" s="1"/>
  <c r="H904" i="26"/>
  <c r="I904" i="26" s="1"/>
  <c r="G904" i="26"/>
  <c r="J903" i="26"/>
  <c r="K903" i="26" s="1"/>
  <c r="H903" i="26"/>
  <c r="I903" i="26" s="1"/>
  <c r="G903" i="26"/>
  <c r="J902" i="26"/>
  <c r="K902" i="26" s="1"/>
  <c r="H902" i="26"/>
  <c r="I902" i="26" s="1"/>
  <c r="G902" i="26"/>
  <c r="J901" i="26"/>
  <c r="K901" i="26" s="1"/>
  <c r="H901" i="26"/>
  <c r="I901" i="26" s="1"/>
  <c r="G901" i="26"/>
  <c r="J900" i="26"/>
  <c r="K900" i="26" s="1"/>
  <c r="H900" i="26"/>
  <c r="I900" i="26" s="1"/>
  <c r="G900" i="26"/>
  <c r="J899" i="26"/>
  <c r="K899" i="26" s="1"/>
  <c r="H899" i="26"/>
  <c r="I899" i="26" s="1"/>
  <c r="G899" i="26"/>
  <c r="J898" i="26"/>
  <c r="K898" i="26" s="1"/>
  <c r="H898" i="26"/>
  <c r="I898" i="26" s="1"/>
  <c r="G898" i="26"/>
  <c r="J897" i="26"/>
  <c r="K897" i="26" s="1"/>
  <c r="H897" i="26"/>
  <c r="I897" i="26" s="1"/>
  <c r="G897" i="26"/>
  <c r="K896" i="26"/>
  <c r="J896" i="26"/>
  <c r="H896" i="26"/>
  <c r="I896" i="26" s="1"/>
  <c r="G896" i="26"/>
  <c r="J895" i="26"/>
  <c r="K895" i="26" s="1"/>
  <c r="H895" i="26"/>
  <c r="I895" i="26" s="1"/>
  <c r="G895" i="26"/>
  <c r="J894" i="26"/>
  <c r="K894" i="26" s="1"/>
  <c r="H894" i="26"/>
  <c r="I894" i="26" s="1"/>
  <c r="G894" i="26"/>
  <c r="J893" i="26"/>
  <c r="K893" i="26" s="1"/>
  <c r="H893" i="26"/>
  <c r="I893" i="26" s="1"/>
  <c r="G893" i="26"/>
  <c r="J892" i="26"/>
  <c r="K892" i="26" s="1"/>
  <c r="H892" i="26"/>
  <c r="I892" i="26" s="1"/>
  <c r="G892" i="26"/>
  <c r="J891" i="26"/>
  <c r="K891" i="26" s="1"/>
  <c r="H891" i="26"/>
  <c r="I891" i="26" s="1"/>
  <c r="G891" i="26"/>
  <c r="J890" i="26"/>
  <c r="K890" i="26" s="1"/>
  <c r="H890" i="26"/>
  <c r="I890" i="26" s="1"/>
  <c r="G890" i="26"/>
  <c r="K889" i="26"/>
  <c r="J889" i="26"/>
  <c r="H889" i="26"/>
  <c r="I889" i="26" s="1"/>
  <c r="G889" i="26"/>
  <c r="J888" i="26"/>
  <c r="K888" i="26" s="1"/>
  <c r="H888" i="26"/>
  <c r="I888" i="26" s="1"/>
  <c r="G888" i="26"/>
  <c r="J887" i="26"/>
  <c r="K887" i="26" s="1"/>
  <c r="H887" i="26"/>
  <c r="I887" i="26" s="1"/>
  <c r="G887" i="26"/>
  <c r="J886" i="26"/>
  <c r="K886" i="26" s="1"/>
  <c r="I886" i="26"/>
  <c r="H886" i="26"/>
  <c r="G886" i="26"/>
  <c r="J885" i="26"/>
  <c r="K885" i="26" s="1"/>
  <c r="I885" i="26"/>
  <c r="H885" i="26"/>
  <c r="G885" i="26"/>
  <c r="J884" i="26"/>
  <c r="K884" i="26" s="1"/>
  <c r="H884" i="26"/>
  <c r="I884" i="26" s="1"/>
  <c r="G884" i="26"/>
  <c r="K883" i="26"/>
  <c r="J883" i="26"/>
  <c r="H883" i="26"/>
  <c r="I883" i="26" s="1"/>
  <c r="G883" i="26"/>
  <c r="J882" i="26"/>
  <c r="K882" i="26" s="1"/>
  <c r="I882" i="26"/>
  <c r="H882" i="26"/>
  <c r="G882" i="26"/>
  <c r="J881" i="26"/>
  <c r="K881" i="26" s="1"/>
  <c r="H881" i="26"/>
  <c r="I881" i="26" s="1"/>
  <c r="G881" i="26"/>
  <c r="J880" i="26"/>
  <c r="K880" i="26" s="1"/>
  <c r="H880" i="26"/>
  <c r="I880" i="26" s="1"/>
  <c r="G880" i="26"/>
  <c r="J879" i="26"/>
  <c r="K879" i="26" s="1"/>
  <c r="H879" i="26"/>
  <c r="I879" i="26" s="1"/>
  <c r="G879" i="26"/>
  <c r="J878" i="26"/>
  <c r="K878" i="26" s="1"/>
  <c r="H878" i="26"/>
  <c r="I878" i="26" s="1"/>
  <c r="G878" i="26"/>
  <c r="J877" i="26"/>
  <c r="K877" i="26" s="1"/>
  <c r="H877" i="26"/>
  <c r="I877" i="26" s="1"/>
  <c r="G877" i="26"/>
  <c r="J876" i="26"/>
  <c r="K876" i="26" s="1"/>
  <c r="H876" i="26"/>
  <c r="I876" i="26" s="1"/>
  <c r="G876" i="26"/>
  <c r="J875" i="26"/>
  <c r="K875" i="26" s="1"/>
  <c r="H875" i="26"/>
  <c r="I875" i="26" s="1"/>
  <c r="G875" i="26"/>
  <c r="J874" i="26"/>
  <c r="K874" i="26" s="1"/>
  <c r="H874" i="26"/>
  <c r="I874" i="26" s="1"/>
  <c r="G874" i="26"/>
  <c r="J873" i="26"/>
  <c r="K873" i="26" s="1"/>
  <c r="H873" i="26"/>
  <c r="I873" i="26" s="1"/>
  <c r="G873" i="26"/>
  <c r="J872" i="26"/>
  <c r="K872" i="26" s="1"/>
  <c r="H872" i="26"/>
  <c r="I872" i="26" s="1"/>
  <c r="G872" i="26"/>
  <c r="J871" i="26"/>
  <c r="K871" i="26" s="1"/>
  <c r="H871" i="26"/>
  <c r="I871" i="26" s="1"/>
  <c r="G871" i="26"/>
  <c r="J870" i="26"/>
  <c r="K870" i="26" s="1"/>
  <c r="H870" i="26"/>
  <c r="I870" i="26" s="1"/>
  <c r="G870" i="26"/>
  <c r="J869" i="26"/>
  <c r="K869" i="26" s="1"/>
  <c r="H869" i="26"/>
  <c r="I869" i="26" s="1"/>
  <c r="G869" i="26"/>
  <c r="J868" i="26"/>
  <c r="K868" i="26" s="1"/>
  <c r="H868" i="26"/>
  <c r="I868" i="26" s="1"/>
  <c r="G868" i="26"/>
  <c r="J867" i="26"/>
  <c r="K867" i="26" s="1"/>
  <c r="H867" i="26"/>
  <c r="I867" i="26" s="1"/>
  <c r="G867" i="26"/>
  <c r="J866" i="26"/>
  <c r="K866" i="26" s="1"/>
  <c r="H866" i="26"/>
  <c r="I866" i="26" s="1"/>
  <c r="G866" i="26"/>
  <c r="J865" i="26"/>
  <c r="K865" i="26" s="1"/>
  <c r="H865" i="26"/>
  <c r="I865" i="26" s="1"/>
  <c r="G865" i="26"/>
  <c r="J864" i="26"/>
  <c r="K864" i="26" s="1"/>
  <c r="H864" i="26"/>
  <c r="I864" i="26" s="1"/>
  <c r="G864" i="26"/>
  <c r="J863" i="26"/>
  <c r="K863" i="26" s="1"/>
  <c r="H863" i="26"/>
  <c r="I863" i="26" s="1"/>
  <c r="G863" i="26"/>
  <c r="J862" i="26"/>
  <c r="K862" i="26" s="1"/>
  <c r="H862" i="26"/>
  <c r="I862" i="26" s="1"/>
  <c r="G862" i="26"/>
  <c r="K861" i="26"/>
  <c r="J861" i="26"/>
  <c r="H861" i="26"/>
  <c r="I861" i="26" s="1"/>
  <c r="G861" i="26"/>
  <c r="J860" i="26"/>
  <c r="K860" i="26" s="1"/>
  <c r="H860" i="26"/>
  <c r="I860" i="26" s="1"/>
  <c r="G860" i="26"/>
  <c r="J859" i="26"/>
  <c r="K859" i="26" s="1"/>
  <c r="H859" i="26"/>
  <c r="I859" i="26" s="1"/>
  <c r="G859" i="26"/>
  <c r="J858" i="26"/>
  <c r="K858" i="26" s="1"/>
  <c r="H858" i="26"/>
  <c r="I858" i="26" s="1"/>
  <c r="G858" i="26"/>
  <c r="J857" i="26"/>
  <c r="K857" i="26" s="1"/>
  <c r="H857" i="26"/>
  <c r="I857" i="26" s="1"/>
  <c r="G857" i="26"/>
  <c r="J856" i="26"/>
  <c r="K856" i="26" s="1"/>
  <c r="H856" i="26"/>
  <c r="I856" i="26" s="1"/>
  <c r="G856" i="26"/>
  <c r="J855" i="26"/>
  <c r="K855" i="26" s="1"/>
  <c r="H855" i="26"/>
  <c r="I855" i="26" s="1"/>
  <c r="G855" i="26"/>
  <c r="J854" i="26"/>
  <c r="K854" i="26" s="1"/>
  <c r="H854" i="26"/>
  <c r="I854" i="26" s="1"/>
  <c r="G854" i="26"/>
  <c r="J853" i="26"/>
  <c r="K853" i="26" s="1"/>
  <c r="I853" i="26"/>
  <c r="H853" i="26"/>
  <c r="G853" i="26"/>
  <c r="K852" i="26"/>
  <c r="J852" i="26"/>
  <c r="H852" i="26"/>
  <c r="I852" i="26" s="1"/>
  <c r="G852" i="26"/>
  <c r="J851" i="26"/>
  <c r="K851" i="26" s="1"/>
  <c r="H851" i="26"/>
  <c r="I851" i="26" s="1"/>
  <c r="G851" i="26"/>
  <c r="J850" i="26"/>
  <c r="K850" i="26" s="1"/>
  <c r="H850" i="26"/>
  <c r="I850" i="26" s="1"/>
  <c r="G850" i="26"/>
  <c r="J849" i="26"/>
  <c r="K849" i="26" s="1"/>
  <c r="H849" i="26"/>
  <c r="I849" i="26" s="1"/>
  <c r="G849" i="26"/>
  <c r="J848" i="26"/>
  <c r="K848" i="26" s="1"/>
  <c r="H848" i="26"/>
  <c r="I848" i="26" s="1"/>
  <c r="G848" i="26"/>
  <c r="K847" i="26"/>
  <c r="J847" i="26"/>
  <c r="H847" i="26"/>
  <c r="I847" i="26" s="1"/>
  <c r="G847" i="26"/>
  <c r="J846" i="26"/>
  <c r="K846" i="26" s="1"/>
  <c r="H846" i="26"/>
  <c r="I846" i="26" s="1"/>
  <c r="G846" i="26"/>
  <c r="J845" i="26"/>
  <c r="K845" i="26" s="1"/>
  <c r="H845" i="26"/>
  <c r="I845" i="26" s="1"/>
  <c r="G845" i="26"/>
  <c r="J844" i="26"/>
  <c r="K844" i="26" s="1"/>
  <c r="H844" i="26"/>
  <c r="I844" i="26" s="1"/>
  <c r="G844" i="26"/>
  <c r="K843" i="26"/>
  <c r="J843" i="26"/>
  <c r="H843" i="26"/>
  <c r="I843" i="26" s="1"/>
  <c r="G843" i="26"/>
  <c r="J842" i="26"/>
  <c r="K842" i="26" s="1"/>
  <c r="H842" i="26"/>
  <c r="I842" i="26" s="1"/>
  <c r="G842" i="26"/>
  <c r="J841" i="26"/>
  <c r="K841" i="26" s="1"/>
  <c r="I841" i="26"/>
  <c r="H841" i="26"/>
  <c r="G841" i="26"/>
  <c r="K840" i="26"/>
  <c r="J840" i="26"/>
  <c r="H840" i="26"/>
  <c r="I840" i="26" s="1"/>
  <c r="G840" i="26"/>
  <c r="J839" i="26"/>
  <c r="K839" i="26" s="1"/>
  <c r="H839" i="26"/>
  <c r="I839" i="26" s="1"/>
  <c r="G839" i="26"/>
  <c r="J838" i="26"/>
  <c r="K838" i="26" s="1"/>
  <c r="I838" i="26"/>
  <c r="H838" i="26"/>
  <c r="G838" i="26"/>
  <c r="K837" i="26"/>
  <c r="J837" i="26"/>
  <c r="H837" i="26"/>
  <c r="I837" i="26" s="1"/>
  <c r="G837" i="26"/>
  <c r="J836" i="26"/>
  <c r="K836" i="26" s="1"/>
  <c r="H836" i="26"/>
  <c r="I836" i="26" s="1"/>
  <c r="G836" i="26"/>
  <c r="J835" i="26"/>
  <c r="K835" i="26" s="1"/>
  <c r="H835" i="26"/>
  <c r="I835" i="26" s="1"/>
  <c r="G835" i="26"/>
  <c r="J834" i="26"/>
  <c r="K834" i="26" s="1"/>
  <c r="H834" i="26"/>
  <c r="I834" i="26" s="1"/>
  <c r="G834" i="26"/>
  <c r="J833" i="26"/>
  <c r="K833" i="26" s="1"/>
  <c r="H833" i="26"/>
  <c r="I833" i="26" s="1"/>
  <c r="G833" i="26"/>
  <c r="J832" i="26"/>
  <c r="K832" i="26" s="1"/>
  <c r="H832" i="26"/>
  <c r="I832" i="26" s="1"/>
  <c r="G832" i="26"/>
  <c r="J831" i="26"/>
  <c r="K831" i="26" s="1"/>
  <c r="H831" i="26"/>
  <c r="I831" i="26" s="1"/>
  <c r="G831" i="26"/>
  <c r="J830" i="26"/>
  <c r="K830" i="26" s="1"/>
  <c r="H830" i="26"/>
  <c r="I830" i="26" s="1"/>
  <c r="G830" i="26"/>
  <c r="J829" i="26"/>
  <c r="K829" i="26" s="1"/>
  <c r="H829" i="26"/>
  <c r="I829" i="26" s="1"/>
  <c r="G829" i="26"/>
  <c r="K828" i="26"/>
  <c r="J828" i="26"/>
  <c r="H828" i="26"/>
  <c r="I828" i="26" s="1"/>
  <c r="G828" i="26"/>
  <c r="J827" i="26"/>
  <c r="K827" i="26" s="1"/>
  <c r="H827" i="26"/>
  <c r="I827" i="26" s="1"/>
  <c r="G827" i="26"/>
  <c r="J826" i="26"/>
  <c r="K826" i="26" s="1"/>
  <c r="H826" i="26"/>
  <c r="I826" i="26" s="1"/>
  <c r="G826" i="26"/>
  <c r="K825" i="26"/>
  <c r="J825" i="26"/>
  <c r="H825" i="26"/>
  <c r="I825" i="26" s="1"/>
  <c r="G825" i="26"/>
  <c r="J824" i="26"/>
  <c r="K824" i="26" s="1"/>
  <c r="I824" i="26"/>
  <c r="H824" i="26"/>
  <c r="G824" i="26"/>
  <c r="J823" i="26"/>
  <c r="K823" i="26" s="1"/>
  <c r="H823" i="26"/>
  <c r="I823" i="26" s="1"/>
  <c r="G823" i="26"/>
  <c r="J822" i="26"/>
  <c r="K822" i="26" s="1"/>
  <c r="H822" i="26"/>
  <c r="I822" i="26" s="1"/>
  <c r="G822" i="26"/>
  <c r="J821" i="26"/>
  <c r="K821" i="26" s="1"/>
  <c r="H821" i="26"/>
  <c r="I821" i="26" s="1"/>
  <c r="G821" i="26"/>
  <c r="J820" i="26"/>
  <c r="K820" i="26" s="1"/>
  <c r="H820" i="26"/>
  <c r="I820" i="26" s="1"/>
  <c r="G820" i="26"/>
  <c r="J819" i="26"/>
  <c r="K819" i="26" s="1"/>
  <c r="H819" i="26"/>
  <c r="I819" i="26" s="1"/>
  <c r="G819" i="26"/>
  <c r="J818" i="26"/>
  <c r="K818" i="26" s="1"/>
  <c r="H818" i="26"/>
  <c r="I818" i="26" s="1"/>
  <c r="G818" i="26"/>
  <c r="J817" i="26"/>
  <c r="K817" i="26" s="1"/>
  <c r="H817" i="26"/>
  <c r="I817" i="26" s="1"/>
  <c r="G817" i="26"/>
  <c r="J816" i="26"/>
  <c r="K816" i="26" s="1"/>
  <c r="H816" i="26"/>
  <c r="I816" i="26" s="1"/>
  <c r="G816" i="26"/>
  <c r="J815" i="26"/>
  <c r="K815" i="26" s="1"/>
  <c r="H815" i="26"/>
  <c r="I815" i="26" s="1"/>
  <c r="G815" i="26"/>
  <c r="J814" i="26"/>
  <c r="K814" i="26" s="1"/>
  <c r="I814" i="26"/>
  <c r="H814" i="26"/>
  <c r="G814" i="26"/>
  <c r="J813" i="26"/>
  <c r="K813" i="26" s="1"/>
  <c r="I813" i="26"/>
  <c r="H813" i="26"/>
  <c r="G813" i="26"/>
  <c r="J812" i="26"/>
  <c r="K812" i="26" s="1"/>
  <c r="H812" i="26"/>
  <c r="I812" i="26" s="1"/>
  <c r="G812" i="26"/>
  <c r="J811" i="26"/>
  <c r="K811" i="26" s="1"/>
  <c r="I811" i="26"/>
  <c r="H811" i="26"/>
  <c r="G811" i="26"/>
  <c r="J810" i="26"/>
  <c r="K810" i="26" s="1"/>
  <c r="H810" i="26"/>
  <c r="I810" i="26" s="1"/>
  <c r="G810" i="26"/>
  <c r="J809" i="26"/>
  <c r="K809" i="26" s="1"/>
  <c r="H809" i="26"/>
  <c r="I809" i="26" s="1"/>
  <c r="G809" i="26"/>
  <c r="J808" i="26"/>
  <c r="K808" i="26" s="1"/>
  <c r="H808" i="26"/>
  <c r="I808" i="26" s="1"/>
  <c r="G808" i="26"/>
  <c r="J807" i="26"/>
  <c r="K807" i="26" s="1"/>
  <c r="H807" i="26"/>
  <c r="I807" i="26" s="1"/>
  <c r="G807" i="26"/>
  <c r="J806" i="26"/>
  <c r="K806" i="26" s="1"/>
  <c r="I806" i="26"/>
  <c r="H806" i="26"/>
  <c r="G806" i="26"/>
  <c r="J805" i="26"/>
  <c r="K805" i="26" s="1"/>
  <c r="H805" i="26"/>
  <c r="I805" i="26" s="1"/>
  <c r="G805" i="26"/>
  <c r="J804" i="26"/>
  <c r="K804" i="26" s="1"/>
  <c r="H804" i="26"/>
  <c r="I804" i="26" s="1"/>
  <c r="G804" i="26"/>
  <c r="J803" i="26"/>
  <c r="K803" i="26" s="1"/>
  <c r="I803" i="26"/>
  <c r="H803" i="26"/>
  <c r="G803" i="26"/>
  <c r="J802" i="26"/>
  <c r="K802" i="26" s="1"/>
  <c r="H802" i="26"/>
  <c r="I802" i="26" s="1"/>
  <c r="G802" i="26"/>
  <c r="J801" i="26"/>
  <c r="K801" i="26" s="1"/>
  <c r="H801" i="26"/>
  <c r="I801" i="26" s="1"/>
  <c r="G801" i="26"/>
  <c r="J800" i="26"/>
  <c r="K800" i="26" s="1"/>
  <c r="H800" i="26"/>
  <c r="I800" i="26" s="1"/>
  <c r="G800" i="26"/>
  <c r="J799" i="26"/>
  <c r="K799" i="26" s="1"/>
  <c r="H799" i="26"/>
  <c r="I799" i="26" s="1"/>
  <c r="G799" i="26"/>
  <c r="J798" i="26"/>
  <c r="K798" i="26" s="1"/>
  <c r="H798" i="26"/>
  <c r="I798" i="26" s="1"/>
  <c r="G798" i="26"/>
  <c r="J797" i="26"/>
  <c r="K797" i="26" s="1"/>
  <c r="H797" i="26"/>
  <c r="I797" i="26" s="1"/>
  <c r="G797" i="26"/>
  <c r="J796" i="26"/>
  <c r="K796" i="26" s="1"/>
  <c r="H796" i="26"/>
  <c r="I796" i="26" s="1"/>
  <c r="G796" i="26"/>
  <c r="J795" i="26"/>
  <c r="K795" i="26" s="1"/>
  <c r="H795" i="26"/>
  <c r="I795" i="26" s="1"/>
  <c r="G795" i="26"/>
  <c r="J794" i="26"/>
  <c r="K794" i="26" s="1"/>
  <c r="H794" i="26"/>
  <c r="I794" i="26" s="1"/>
  <c r="G794" i="26"/>
  <c r="K793" i="26"/>
  <c r="J793" i="26"/>
  <c r="H793" i="26"/>
  <c r="I793" i="26" s="1"/>
  <c r="G793" i="26"/>
  <c r="J792" i="26"/>
  <c r="K792" i="26" s="1"/>
  <c r="H792" i="26"/>
  <c r="I792" i="26" s="1"/>
  <c r="G792" i="26"/>
  <c r="J791" i="26"/>
  <c r="K791" i="26" s="1"/>
  <c r="H791" i="26"/>
  <c r="I791" i="26" s="1"/>
  <c r="G791" i="26"/>
  <c r="J790" i="26"/>
  <c r="K790" i="26" s="1"/>
  <c r="H790" i="26"/>
  <c r="I790" i="26" s="1"/>
  <c r="G790" i="26"/>
  <c r="J789" i="26"/>
  <c r="K789" i="26" s="1"/>
  <c r="I789" i="26"/>
  <c r="H789" i="26"/>
  <c r="G789" i="26"/>
  <c r="J788" i="26"/>
  <c r="K788" i="26" s="1"/>
  <c r="H788" i="26"/>
  <c r="I788" i="26" s="1"/>
  <c r="G788" i="26"/>
  <c r="J787" i="26"/>
  <c r="K787" i="26" s="1"/>
  <c r="H787" i="26"/>
  <c r="I787" i="26" s="1"/>
  <c r="G787" i="26"/>
  <c r="J786" i="26"/>
  <c r="K786" i="26" s="1"/>
  <c r="H786" i="26"/>
  <c r="I786" i="26" s="1"/>
  <c r="G786" i="26"/>
  <c r="J785" i="26"/>
  <c r="K785" i="26" s="1"/>
  <c r="H785" i="26"/>
  <c r="I785" i="26" s="1"/>
  <c r="G785" i="26"/>
  <c r="J784" i="26"/>
  <c r="K784" i="26" s="1"/>
  <c r="H784" i="26"/>
  <c r="I784" i="26" s="1"/>
  <c r="G784" i="26"/>
  <c r="J783" i="26"/>
  <c r="K783" i="26" s="1"/>
  <c r="H783" i="26"/>
  <c r="I783" i="26" s="1"/>
  <c r="G783" i="26"/>
  <c r="J782" i="26"/>
  <c r="K782" i="26" s="1"/>
  <c r="H782" i="26"/>
  <c r="I782" i="26" s="1"/>
  <c r="G782" i="26"/>
  <c r="J781" i="26"/>
  <c r="K781" i="26" s="1"/>
  <c r="H781" i="26"/>
  <c r="I781" i="26" s="1"/>
  <c r="G781" i="26"/>
  <c r="J780" i="26"/>
  <c r="K780" i="26" s="1"/>
  <c r="H780" i="26"/>
  <c r="I780" i="26" s="1"/>
  <c r="G780" i="26"/>
  <c r="K779" i="26"/>
  <c r="J779" i="26"/>
  <c r="H779" i="26"/>
  <c r="I779" i="26" s="1"/>
  <c r="G779" i="26"/>
  <c r="J778" i="26"/>
  <c r="K778" i="26" s="1"/>
  <c r="H778" i="26"/>
  <c r="I778" i="26" s="1"/>
  <c r="G778" i="26"/>
  <c r="J777" i="26"/>
  <c r="K777" i="26" s="1"/>
  <c r="H777" i="26"/>
  <c r="I777" i="26" s="1"/>
  <c r="G777" i="26"/>
  <c r="J776" i="26"/>
  <c r="K776" i="26" s="1"/>
  <c r="H776" i="26"/>
  <c r="I776" i="26" s="1"/>
  <c r="G776" i="26"/>
  <c r="J775" i="26"/>
  <c r="K775" i="26" s="1"/>
  <c r="H775" i="26"/>
  <c r="I775" i="26" s="1"/>
  <c r="G775" i="26"/>
  <c r="J774" i="26"/>
  <c r="K774" i="26" s="1"/>
  <c r="H774" i="26"/>
  <c r="I774" i="26" s="1"/>
  <c r="G774" i="26"/>
  <c r="J773" i="26"/>
  <c r="K773" i="26" s="1"/>
  <c r="H773" i="26"/>
  <c r="I773" i="26" s="1"/>
  <c r="G773" i="26"/>
  <c r="J772" i="26"/>
  <c r="K772" i="26" s="1"/>
  <c r="H772" i="26"/>
  <c r="I772" i="26" s="1"/>
  <c r="G772" i="26"/>
  <c r="J771" i="26"/>
  <c r="K771" i="26" s="1"/>
  <c r="H771" i="26"/>
  <c r="I771" i="26" s="1"/>
  <c r="G771" i="26"/>
  <c r="J770" i="26"/>
  <c r="K770" i="26" s="1"/>
  <c r="H770" i="26"/>
  <c r="I770" i="26" s="1"/>
  <c r="G770" i="26"/>
  <c r="J769" i="26"/>
  <c r="K769" i="26" s="1"/>
  <c r="I769" i="26"/>
  <c r="H769" i="26"/>
  <c r="G769" i="26"/>
  <c r="J768" i="26"/>
  <c r="K768" i="26" s="1"/>
  <c r="H768" i="26"/>
  <c r="I768" i="26" s="1"/>
  <c r="G768" i="26"/>
  <c r="K767" i="26"/>
  <c r="J767" i="26"/>
  <c r="H767" i="26"/>
  <c r="I767" i="26" s="1"/>
  <c r="G767" i="26"/>
  <c r="J766" i="26"/>
  <c r="K766" i="26" s="1"/>
  <c r="H766" i="26"/>
  <c r="I766" i="26" s="1"/>
  <c r="G766" i="26"/>
  <c r="J765" i="26"/>
  <c r="K765" i="26" s="1"/>
  <c r="H765" i="26"/>
  <c r="I765" i="26" s="1"/>
  <c r="G765" i="26"/>
  <c r="J764" i="26"/>
  <c r="K764" i="26" s="1"/>
  <c r="H764" i="26"/>
  <c r="I764" i="26" s="1"/>
  <c r="G764" i="26"/>
  <c r="J763" i="26"/>
  <c r="K763" i="26" s="1"/>
  <c r="H763" i="26"/>
  <c r="I763" i="26" s="1"/>
  <c r="G763" i="26"/>
  <c r="J762" i="26"/>
  <c r="K762" i="26" s="1"/>
  <c r="H762" i="26"/>
  <c r="I762" i="26" s="1"/>
  <c r="G762" i="26"/>
  <c r="J761" i="26"/>
  <c r="K761" i="26" s="1"/>
  <c r="I761" i="26"/>
  <c r="H761" i="26"/>
  <c r="G761" i="26"/>
  <c r="J760" i="26"/>
  <c r="K760" i="26" s="1"/>
  <c r="H760" i="26"/>
  <c r="I760" i="26" s="1"/>
  <c r="G760" i="26"/>
  <c r="J759" i="26"/>
  <c r="K759" i="26" s="1"/>
  <c r="H759" i="26"/>
  <c r="I759" i="26" s="1"/>
  <c r="G759" i="26"/>
  <c r="J758" i="26"/>
  <c r="K758" i="26" s="1"/>
  <c r="H758" i="26"/>
  <c r="I758" i="26" s="1"/>
  <c r="G758" i="26"/>
  <c r="K757" i="26"/>
  <c r="J757" i="26"/>
  <c r="H757" i="26"/>
  <c r="I757" i="26" s="1"/>
  <c r="G757" i="26"/>
  <c r="J756" i="26"/>
  <c r="K756" i="26" s="1"/>
  <c r="H756" i="26"/>
  <c r="I756" i="26" s="1"/>
  <c r="G756" i="26"/>
  <c r="J755" i="26"/>
  <c r="K755" i="26" s="1"/>
  <c r="I755" i="26"/>
  <c r="H755" i="26"/>
  <c r="G755" i="26"/>
  <c r="J754" i="26"/>
  <c r="K754" i="26" s="1"/>
  <c r="H754" i="26"/>
  <c r="I754" i="26" s="1"/>
  <c r="G754" i="26"/>
  <c r="J753" i="26"/>
  <c r="K753" i="26" s="1"/>
  <c r="H753" i="26"/>
  <c r="I753" i="26" s="1"/>
  <c r="G753" i="26"/>
  <c r="J752" i="26"/>
  <c r="K752" i="26" s="1"/>
  <c r="H752" i="26"/>
  <c r="I752" i="26" s="1"/>
  <c r="G752" i="26"/>
  <c r="J751" i="26"/>
  <c r="K751" i="26" s="1"/>
  <c r="H751" i="26"/>
  <c r="I751" i="26" s="1"/>
  <c r="G751" i="26"/>
  <c r="J750" i="26"/>
  <c r="K750" i="26" s="1"/>
  <c r="H750" i="26"/>
  <c r="I750" i="26" s="1"/>
  <c r="G750" i="26"/>
  <c r="J749" i="26"/>
  <c r="K749" i="26" s="1"/>
  <c r="H749" i="26"/>
  <c r="I749" i="26" s="1"/>
  <c r="G749" i="26"/>
  <c r="J748" i="26"/>
  <c r="K748" i="26" s="1"/>
  <c r="H748" i="26"/>
  <c r="I748" i="26" s="1"/>
  <c r="G748" i="26"/>
  <c r="J747" i="26"/>
  <c r="K747" i="26" s="1"/>
  <c r="H747" i="26"/>
  <c r="I747" i="26" s="1"/>
  <c r="G747" i="26"/>
  <c r="J746" i="26"/>
  <c r="K746" i="26" s="1"/>
  <c r="H746" i="26"/>
  <c r="I746" i="26" s="1"/>
  <c r="G746" i="26"/>
  <c r="J745" i="26"/>
  <c r="K745" i="26" s="1"/>
  <c r="H745" i="26"/>
  <c r="I745" i="26" s="1"/>
  <c r="G745" i="26"/>
  <c r="J744" i="26"/>
  <c r="K744" i="26" s="1"/>
  <c r="H744" i="26"/>
  <c r="I744" i="26" s="1"/>
  <c r="G744" i="26"/>
  <c r="J743" i="26"/>
  <c r="K743" i="26" s="1"/>
  <c r="H743" i="26"/>
  <c r="I743" i="26" s="1"/>
  <c r="G743" i="26"/>
  <c r="J742" i="26"/>
  <c r="K742" i="26" s="1"/>
  <c r="H742" i="26"/>
  <c r="I742" i="26" s="1"/>
  <c r="G742" i="26"/>
  <c r="J741" i="26"/>
  <c r="K741" i="26" s="1"/>
  <c r="H741" i="26"/>
  <c r="I741" i="26" s="1"/>
  <c r="G741" i="26"/>
  <c r="J740" i="26"/>
  <c r="K740" i="26" s="1"/>
  <c r="H740" i="26"/>
  <c r="I740" i="26" s="1"/>
  <c r="G740" i="26"/>
  <c r="K739" i="26"/>
  <c r="J739" i="26"/>
  <c r="H739" i="26"/>
  <c r="I739" i="26" s="1"/>
  <c r="G739" i="26"/>
  <c r="J738" i="26"/>
  <c r="K738" i="26" s="1"/>
  <c r="H738" i="26"/>
  <c r="I738" i="26" s="1"/>
  <c r="G738" i="26"/>
  <c r="J737" i="26"/>
  <c r="K737" i="26" s="1"/>
  <c r="H737" i="26"/>
  <c r="I737" i="26" s="1"/>
  <c r="G737" i="26"/>
  <c r="J736" i="26"/>
  <c r="K736" i="26" s="1"/>
  <c r="H736" i="26"/>
  <c r="I736" i="26" s="1"/>
  <c r="G736" i="26"/>
  <c r="J735" i="26"/>
  <c r="K735" i="26" s="1"/>
  <c r="H735" i="26"/>
  <c r="I735" i="26" s="1"/>
  <c r="G735" i="26"/>
  <c r="J734" i="26"/>
  <c r="K734" i="26" s="1"/>
  <c r="I734" i="26"/>
  <c r="H734" i="26"/>
  <c r="G734" i="26"/>
  <c r="J733" i="26"/>
  <c r="K733" i="26" s="1"/>
  <c r="H733" i="26"/>
  <c r="I733" i="26" s="1"/>
  <c r="G733" i="26"/>
  <c r="J732" i="26"/>
  <c r="K732" i="26" s="1"/>
  <c r="H732" i="26"/>
  <c r="I732" i="26" s="1"/>
  <c r="G732" i="26"/>
  <c r="J731" i="26"/>
  <c r="K731" i="26" s="1"/>
  <c r="H731" i="26"/>
  <c r="I731" i="26" s="1"/>
  <c r="G731" i="26"/>
  <c r="J730" i="26"/>
  <c r="K730" i="26" s="1"/>
  <c r="H730" i="26"/>
  <c r="I730" i="26" s="1"/>
  <c r="G730" i="26"/>
  <c r="J729" i="26"/>
  <c r="K729" i="26" s="1"/>
  <c r="H729" i="26"/>
  <c r="I729" i="26" s="1"/>
  <c r="G729" i="26"/>
  <c r="J728" i="26"/>
  <c r="K728" i="26" s="1"/>
  <c r="H728" i="26"/>
  <c r="I728" i="26" s="1"/>
  <c r="G728" i="26"/>
  <c r="J727" i="26"/>
  <c r="K727" i="26" s="1"/>
  <c r="H727" i="26"/>
  <c r="I727" i="26" s="1"/>
  <c r="G727" i="26"/>
  <c r="J726" i="26"/>
  <c r="K726" i="26" s="1"/>
  <c r="H726" i="26"/>
  <c r="I726" i="26" s="1"/>
  <c r="G726" i="26"/>
  <c r="J725" i="26"/>
  <c r="K725" i="26" s="1"/>
  <c r="H725" i="26"/>
  <c r="I725" i="26" s="1"/>
  <c r="G725" i="26"/>
  <c r="J724" i="26"/>
  <c r="K724" i="26" s="1"/>
  <c r="H724" i="26"/>
  <c r="I724" i="26" s="1"/>
  <c r="G724" i="26"/>
  <c r="J723" i="26"/>
  <c r="K723" i="26" s="1"/>
  <c r="H723" i="26"/>
  <c r="I723" i="26" s="1"/>
  <c r="G723" i="26"/>
  <c r="J722" i="26"/>
  <c r="K722" i="26" s="1"/>
  <c r="H722" i="26"/>
  <c r="I722" i="26" s="1"/>
  <c r="G722" i="26"/>
  <c r="J721" i="26"/>
  <c r="K721" i="26" s="1"/>
  <c r="H721" i="26"/>
  <c r="I721" i="26" s="1"/>
  <c r="G721" i="26"/>
  <c r="J720" i="26"/>
  <c r="K720" i="26" s="1"/>
  <c r="I720" i="26"/>
  <c r="H720" i="26"/>
  <c r="G720" i="26"/>
  <c r="J719" i="26"/>
  <c r="K719" i="26" s="1"/>
  <c r="H719" i="26"/>
  <c r="I719" i="26" s="1"/>
  <c r="G719" i="26"/>
  <c r="J718" i="26"/>
  <c r="K718" i="26" s="1"/>
  <c r="H718" i="26"/>
  <c r="I718" i="26" s="1"/>
  <c r="G718" i="26"/>
  <c r="J717" i="26"/>
  <c r="K717" i="26" s="1"/>
  <c r="H717" i="26"/>
  <c r="I717" i="26" s="1"/>
  <c r="G717" i="26"/>
  <c r="J716" i="26"/>
  <c r="K716" i="26" s="1"/>
  <c r="H716" i="26"/>
  <c r="I716" i="26" s="1"/>
  <c r="G716" i="26"/>
  <c r="J715" i="26"/>
  <c r="K715" i="26" s="1"/>
  <c r="H715" i="26"/>
  <c r="I715" i="26" s="1"/>
  <c r="G715" i="26"/>
  <c r="J714" i="26"/>
  <c r="K714" i="26" s="1"/>
  <c r="H714" i="26"/>
  <c r="I714" i="26" s="1"/>
  <c r="G714" i="26"/>
  <c r="J713" i="26"/>
  <c r="K713" i="26" s="1"/>
  <c r="H713" i="26"/>
  <c r="I713" i="26" s="1"/>
  <c r="G713" i="26"/>
  <c r="J712" i="26"/>
  <c r="K712" i="26" s="1"/>
  <c r="H712" i="26"/>
  <c r="I712" i="26" s="1"/>
  <c r="G712" i="26"/>
  <c r="J711" i="26"/>
  <c r="K711" i="26" s="1"/>
  <c r="H711" i="26"/>
  <c r="I711" i="26" s="1"/>
  <c r="G711" i="26"/>
  <c r="J710" i="26"/>
  <c r="K710" i="26" s="1"/>
  <c r="H710" i="26"/>
  <c r="I710" i="26" s="1"/>
  <c r="G710" i="26"/>
  <c r="J709" i="26"/>
  <c r="K709" i="26" s="1"/>
  <c r="H709" i="26"/>
  <c r="I709" i="26" s="1"/>
  <c r="G709" i="26"/>
  <c r="J708" i="26"/>
  <c r="K708" i="26" s="1"/>
  <c r="H708" i="26"/>
  <c r="I708" i="26" s="1"/>
  <c r="G708" i="26"/>
  <c r="J707" i="26"/>
  <c r="K707" i="26" s="1"/>
  <c r="H707" i="26"/>
  <c r="I707" i="26" s="1"/>
  <c r="G707" i="26"/>
  <c r="J706" i="26"/>
  <c r="K706" i="26" s="1"/>
  <c r="H706" i="26"/>
  <c r="I706" i="26" s="1"/>
  <c r="G706" i="26"/>
  <c r="J705" i="26"/>
  <c r="K705" i="26" s="1"/>
  <c r="H705" i="26"/>
  <c r="I705" i="26" s="1"/>
  <c r="G705" i="26"/>
  <c r="J704" i="26"/>
  <c r="K704" i="26" s="1"/>
  <c r="H704" i="26"/>
  <c r="I704" i="26" s="1"/>
  <c r="G704" i="26"/>
  <c r="J703" i="26"/>
  <c r="K703" i="26" s="1"/>
  <c r="I703" i="26"/>
  <c r="H703" i="26"/>
  <c r="G703" i="26"/>
  <c r="J702" i="26"/>
  <c r="K702" i="26" s="1"/>
  <c r="H702" i="26"/>
  <c r="I702" i="26" s="1"/>
  <c r="G702" i="26"/>
  <c r="J701" i="26"/>
  <c r="K701" i="26" s="1"/>
  <c r="H701" i="26"/>
  <c r="I701" i="26" s="1"/>
  <c r="G701" i="26"/>
  <c r="J700" i="26"/>
  <c r="K700" i="26" s="1"/>
  <c r="H700" i="26"/>
  <c r="I700" i="26" s="1"/>
  <c r="G700" i="26"/>
  <c r="J699" i="26"/>
  <c r="K699" i="26" s="1"/>
  <c r="H699" i="26"/>
  <c r="I699" i="26" s="1"/>
  <c r="G699" i="26"/>
  <c r="J698" i="26"/>
  <c r="K698" i="26" s="1"/>
  <c r="H698" i="26"/>
  <c r="I698" i="26" s="1"/>
  <c r="G698" i="26"/>
  <c r="J697" i="26"/>
  <c r="K697" i="26" s="1"/>
  <c r="H697" i="26"/>
  <c r="I697" i="26" s="1"/>
  <c r="G697" i="26"/>
  <c r="K696" i="26"/>
  <c r="J696" i="26"/>
  <c r="H696" i="26"/>
  <c r="I696" i="26" s="1"/>
  <c r="G696" i="26"/>
  <c r="J695" i="26"/>
  <c r="K695" i="26" s="1"/>
  <c r="H695" i="26"/>
  <c r="I695" i="26" s="1"/>
  <c r="G695" i="26"/>
  <c r="J694" i="26"/>
  <c r="K694" i="26" s="1"/>
  <c r="H694" i="26"/>
  <c r="I694" i="26" s="1"/>
  <c r="G694" i="26"/>
  <c r="J693" i="26"/>
  <c r="K693" i="26" s="1"/>
  <c r="I693" i="26"/>
  <c r="H693" i="26"/>
  <c r="G693" i="26"/>
  <c r="J692" i="26"/>
  <c r="K692" i="26" s="1"/>
  <c r="H692" i="26"/>
  <c r="I692" i="26" s="1"/>
  <c r="G692" i="26"/>
  <c r="J691" i="26"/>
  <c r="K691" i="26" s="1"/>
  <c r="H691" i="26"/>
  <c r="I691" i="26" s="1"/>
  <c r="G691" i="26"/>
  <c r="J690" i="26"/>
  <c r="K690" i="26" s="1"/>
  <c r="H690" i="26"/>
  <c r="I690" i="26" s="1"/>
  <c r="G690" i="26"/>
  <c r="J689" i="26"/>
  <c r="K689" i="26" s="1"/>
  <c r="H689" i="26"/>
  <c r="I689" i="26" s="1"/>
  <c r="G689" i="26"/>
  <c r="J688" i="26"/>
  <c r="K688" i="26" s="1"/>
  <c r="H688" i="26"/>
  <c r="I688" i="26" s="1"/>
  <c r="G688" i="26"/>
  <c r="J687" i="26"/>
  <c r="K687" i="26" s="1"/>
  <c r="H687" i="26"/>
  <c r="I687" i="26" s="1"/>
  <c r="G687" i="26"/>
  <c r="J686" i="26"/>
  <c r="K686" i="26" s="1"/>
  <c r="H686" i="26"/>
  <c r="I686" i="26" s="1"/>
  <c r="G686" i="26"/>
  <c r="J685" i="26"/>
  <c r="K685" i="26" s="1"/>
  <c r="H685" i="26"/>
  <c r="I685" i="26" s="1"/>
  <c r="G685" i="26"/>
  <c r="J684" i="26"/>
  <c r="K684" i="26" s="1"/>
  <c r="H684" i="26"/>
  <c r="I684" i="26" s="1"/>
  <c r="G684" i="26"/>
  <c r="K683" i="26"/>
  <c r="J683" i="26"/>
  <c r="H683" i="26"/>
  <c r="I683" i="26" s="1"/>
  <c r="G683" i="26"/>
  <c r="J682" i="26"/>
  <c r="K682" i="26" s="1"/>
  <c r="H682" i="26"/>
  <c r="I682" i="26" s="1"/>
  <c r="G682" i="26"/>
  <c r="J681" i="26"/>
  <c r="K681" i="26" s="1"/>
  <c r="H681" i="26"/>
  <c r="I681" i="26" s="1"/>
  <c r="G681" i="26"/>
  <c r="J680" i="26"/>
  <c r="K680" i="26" s="1"/>
  <c r="H680" i="26"/>
  <c r="I680" i="26" s="1"/>
  <c r="G680" i="26"/>
  <c r="J679" i="26"/>
  <c r="K679" i="26" s="1"/>
  <c r="H679" i="26"/>
  <c r="I679" i="26" s="1"/>
  <c r="G679" i="26"/>
  <c r="J678" i="26"/>
  <c r="K678" i="26" s="1"/>
  <c r="H678" i="26"/>
  <c r="I678" i="26" s="1"/>
  <c r="G678" i="26"/>
  <c r="J677" i="26"/>
  <c r="K677" i="26" s="1"/>
  <c r="H677" i="26"/>
  <c r="I677" i="26" s="1"/>
  <c r="G677" i="26"/>
  <c r="J676" i="26"/>
  <c r="K676" i="26" s="1"/>
  <c r="H676" i="26"/>
  <c r="I676" i="26" s="1"/>
  <c r="G676" i="26"/>
  <c r="J675" i="26"/>
  <c r="K675" i="26" s="1"/>
  <c r="H675" i="26"/>
  <c r="I675" i="26" s="1"/>
  <c r="G675" i="26"/>
  <c r="J674" i="26"/>
  <c r="K674" i="26" s="1"/>
  <c r="H674" i="26"/>
  <c r="I674" i="26" s="1"/>
  <c r="G674" i="26"/>
  <c r="J673" i="26"/>
  <c r="K673" i="26" s="1"/>
  <c r="H673" i="26"/>
  <c r="I673" i="26" s="1"/>
  <c r="G673" i="26"/>
  <c r="J672" i="26"/>
  <c r="K672" i="26" s="1"/>
  <c r="H672" i="26"/>
  <c r="I672" i="26" s="1"/>
  <c r="G672" i="26"/>
  <c r="J671" i="26"/>
  <c r="K671" i="26" s="1"/>
  <c r="H671" i="26"/>
  <c r="I671" i="26" s="1"/>
  <c r="G671" i="26"/>
  <c r="J670" i="26"/>
  <c r="K670" i="26" s="1"/>
  <c r="H670" i="26"/>
  <c r="I670" i="26" s="1"/>
  <c r="G670" i="26"/>
  <c r="J669" i="26"/>
  <c r="K669" i="26" s="1"/>
  <c r="H669" i="26"/>
  <c r="I669" i="26" s="1"/>
  <c r="G669" i="26"/>
  <c r="J668" i="26"/>
  <c r="K668" i="26" s="1"/>
  <c r="H668" i="26"/>
  <c r="I668" i="26" s="1"/>
  <c r="G668" i="26"/>
  <c r="J667" i="26"/>
  <c r="K667" i="26" s="1"/>
  <c r="H667" i="26"/>
  <c r="I667" i="26" s="1"/>
  <c r="G667" i="26"/>
  <c r="J666" i="26"/>
  <c r="K666" i="26" s="1"/>
  <c r="H666" i="26"/>
  <c r="I666" i="26" s="1"/>
  <c r="G666" i="26"/>
  <c r="J665" i="26"/>
  <c r="K665" i="26" s="1"/>
  <c r="H665" i="26"/>
  <c r="I665" i="26" s="1"/>
  <c r="G665" i="26"/>
  <c r="J664" i="26"/>
  <c r="K664" i="26" s="1"/>
  <c r="H664" i="26"/>
  <c r="I664" i="26" s="1"/>
  <c r="G664" i="26"/>
  <c r="J663" i="26"/>
  <c r="K663" i="26" s="1"/>
  <c r="H663" i="26"/>
  <c r="I663" i="26" s="1"/>
  <c r="G663" i="26"/>
  <c r="J662" i="26"/>
  <c r="K662" i="26" s="1"/>
  <c r="H662" i="26"/>
  <c r="I662" i="26" s="1"/>
  <c r="G662" i="26"/>
  <c r="J661" i="26"/>
  <c r="K661" i="26" s="1"/>
  <c r="H661" i="26"/>
  <c r="I661" i="26" s="1"/>
  <c r="G661" i="26"/>
  <c r="J660" i="26"/>
  <c r="K660" i="26" s="1"/>
  <c r="H660" i="26"/>
  <c r="I660" i="26" s="1"/>
  <c r="G660" i="26"/>
  <c r="J659" i="26"/>
  <c r="K659" i="26" s="1"/>
  <c r="H659" i="26"/>
  <c r="I659" i="26" s="1"/>
  <c r="G659" i="26"/>
  <c r="J658" i="26"/>
  <c r="K658" i="26" s="1"/>
  <c r="H658" i="26"/>
  <c r="I658" i="26" s="1"/>
  <c r="G658" i="26"/>
  <c r="J657" i="26"/>
  <c r="K657" i="26" s="1"/>
  <c r="I657" i="26"/>
  <c r="H657" i="26"/>
  <c r="G657" i="26"/>
  <c r="J656" i="26"/>
  <c r="K656" i="26" s="1"/>
  <c r="H656" i="26"/>
  <c r="I656" i="26" s="1"/>
  <c r="G656" i="26"/>
  <c r="J655" i="26"/>
  <c r="K655" i="26" s="1"/>
  <c r="H655" i="26"/>
  <c r="I655" i="26" s="1"/>
  <c r="G655" i="26"/>
  <c r="J654" i="26"/>
  <c r="K654" i="26" s="1"/>
  <c r="H654" i="26"/>
  <c r="I654" i="26" s="1"/>
  <c r="G654" i="26"/>
  <c r="J653" i="26"/>
  <c r="K653" i="26" s="1"/>
  <c r="H653" i="26"/>
  <c r="I653" i="26" s="1"/>
  <c r="G653" i="26"/>
  <c r="J652" i="26"/>
  <c r="K652" i="26" s="1"/>
  <c r="H652" i="26"/>
  <c r="I652" i="26" s="1"/>
  <c r="G652" i="26"/>
  <c r="J651" i="26"/>
  <c r="K651" i="26" s="1"/>
  <c r="H651" i="26"/>
  <c r="I651" i="26" s="1"/>
  <c r="G651" i="26"/>
  <c r="J650" i="26"/>
  <c r="K650" i="26" s="1"/>
  <c r="H650" i="26"/>
  <c r="I650" i="26" s="1"/>
  <c r="G650" i="26"/>
  <c r="J649" i="26"/>
  <c r="K649" i="26" s="1"/>
  <c r="H649" i="26"/>
  <c r="I649" i="26" s="1"/>
  <c r="G649" i="26"/>
  <c r="J648" i="26"/>
  <c r="K648" i="26" s="1"/>
  <c r="H648" i="26"/>
  <c r="I648" i="26" s="1"/>
  <c r="G648" i="26"/>
  <c r="J647" i="26"/>
  <c r="K647" i="26" s="1"/>
  <c r="H647" i="26"/>
  <c r="I647" i="26" s="1"/>
  <c r="G647" i="26"/>
  <c r="J646" i="26"/>
  <c r="K646" i="26" s="1"/>
  <c r="H646" i="26"/>
  <c r="I646" i="26" s="1"/>
  <c r="G646" i="26"/>
  <c r="J645" i="26"/>
  <c r="K645" i="26" s="1"/>
  <c r="I645" i="26"/>
  <c r="H645" i="26"/>
  <c r="G645" i="26"/>
  <c r="J644" i="26"/>
  <c r="K644" i="26" s="1"/>
  <c r="H644" i="26"/>
  <c r="I644" i="26" s="1"/>
  <c r="G644" i="26"/>
  <c r="J643" i="26"/>
  <c r="K643" i="26" s="1"/>
  <c r="H643" i="26"/>
  <c r="I643" i="26" s="1"/>
  <c r="G643" i="26"/>
  <c r="J642" i="26"/>
  <c r="K642" i="26" s="1"/>
  <c r="H642" i="26"/>
  <c r="I642" i="26" s="1"/>
  <c r="G642" i="26"/>
  <c r="J641" i="26"/>
  <c r="K641" i="26" s="1"/>
  <c r="H641" i="26"/>
  <c r="I641" i="26" s="1"/>
  <c r="G641" i="26"/>
  <c r="J640" i="26"/>
  <c r="K640" i="26" s="1"/>
  <c r="H640" i="26"/>
  <c r="I640" i="26" s="1"/>
  <c r="G640" i="26"/>
  <c r="J639" i="26"/>
  <c r="K639" i="26" s="1"/>
  <c r="H639" i="26"/>
  <c r="I639" i="26" s="1"/>
  <c r="G639" i="26"/>
  <c r="J638" i="26"/>
  <c r="K638" i="26" s="1"/>
  <c r="H638" i="26"/>
  <c r="I638" i="26" s="1"/>
  <c r="G638" i="26"/>
  <c r="K637" i="26"/>
  <c r="J637" i="26"/>
  <c r="H637" i="26"/>
  <c r="I637" i="26" s="1"/>
  <c r="G637" i="26"/>
  <c r="J636" i="26"/>
  <c r="K636" i="26" s="1"/>
  <c r="H636" i="26"/>
  <c r="I636" i="26" s="1"/>
  <c r="G636" i="26"/>
  <c r="J635" i="26"/>
  <c r="K635" i="26" s="1"/>
  <c r="H635" i="26"/>
  <c r="I635" i="26" s="1"/>
  <c r="G635" i="26"/>
  <c r="J634" i="26"/>
  <c r="K634" i="26" s="1"/>
  <c r="H634" i="26"/>
  <c r="I634" i="26" s="1"/>
  <c r="G634" i="26"/>
  <c r="J633" i="26"/>
  <c r="K633" i="26" s="1"/>
  <c r="H633" i="26"/>
  <c r="I633" i="26" s="1"/>
  <c r="G633" i="26"/>
  <c r="J632" i="26"/>
  <c r="K632" i="26" s="1"/>
  <c r="H632" i="26"/>
  <c r="I632" i="26" s="1"/>
  <c r="G632" i="26"/>
  <c r="J631" i="26"/>
  <c r="K631" i="26" s="1"/>
  <c r="H631" i="26"/>
  <c r="I631" i="26" s="1"/>
  <c r="G631" i="26"/>
  <c r="J630" i="26"/>
  <c r="K630" i="26" s="1"/>
  <c r="H630" i="26"/>
  <c r="I630" i="26" s="1"/>
  <c r="G630" i="26"/>
  <c r="J629" i="26"/>
  <c r="K629" i="26" s="1"/>
  <c r="H629" i="26"/>
  <c r="I629" i="26" s="1"/>
  <c r="G629" i="26"/>
  <c r="J628" i="26"/>
  <c r="K628" i="26" s="1"/>
  <c r="H628" i="26"/>
  <c r="I628" i="26" s="1"/>
  <c r="G628" i="26"/>
  <c r="J627" i="26"/>
  <c r="K627" i="26" s="1"/>
  <c r="I627" i="26"/>
  <c r="H627" i="26"/>
  <c r="G627" i="26"/>
  <c r="J626" i="26"/>
  <c r="K626" i="26" s="1"/>
  <c r="H626" i="26"/>
  <c r="I626" i="26" s="1"/>
  <c r="G626" i="26"/>
  <c r="J625" i="26"/>
  <c r="K625" i="26" s="1"/>
  <c r="H625" i="26"/>
  <c r="I625" i="26" s="1"/>
  <c r="G625" i="26"/>
  <c r="J624" i="26"/>
  <c r="K624" i="26" s="1"/>
  <c r="H624" i="26"/>
  <c r="I624" i="26" s="1"/>
  <c r="G624" i="26"/>
  <c r="J623" i="26"/>
  <c r="K623" i="26" s="1"/>
  <c r="H623" i="26"/>
  <c r="I623" i="26" s="1"/>
  <c r="G623" i="26"/>
  <c r="J622" i="26"/>
  <c r="K622" i="26" s="1"/>
  <c r="H622" i="26"/>
  <c r="I622" i="26" s="1"/>
  <c r="G622" i="26"/>
  <c r="J621" i="26"/>
  <c r="K621" i="26" s="1"/>
  <c r="H621" i="26"/>
  <c r="I621" i="26" s="1"/>
  <c r="G621" i="26"/>
  <c r="J620" i="26"/>
  <c r="K620" i="26" s="1"/>
  <c r="H620" i="26"/>
  <c r="I620" i="26" s="1"/>
  <c r="G620" i="26"/>
  <c r="J619" i="26"/>
  <c r="K619" i="26" s="1"/>
  <c r="H619" i="26"/>
  <c r="I619" i="26" s="1"/>
  <c r="G619" i="26"/>
  <c r="J618" i="26"/>
  <c r="K618" i="26" s="1"/>
  <c r="H618" i="26"/>
  <c r="I618" i="26" s="1"/>
  <c r="G618" i="26"/>
  <c r="J617" i="26"/>
  <c r="K617" i="26" s="1"/>
  <c r="H617" i="26"/>
  <c r="I617" i="26" s="1"/>
  <c r="G617" i="26"/>
  <c r="K616" i="26"/>
  <c r="J616" i="26"/>
  <c r="H616" i="26"/>
  <c r="I616" i="26" s="1"/>
  <c r="G616" i="26"/>
  <c r="J615" i="26"/>
  <c r="K615" i="26" s="1"/>
  <c r="H615" i="26"/>
  <c r="I615" i="26" s="1"/>
  <c r="G615" i="26"/>
  <c r="J614" i="26"/>
  <c r="K614" i="26" s="1"/>
  <c r="H614" i="26"/>
  <c r="I614" i="26" s="1"/>
  <c r="G614" i="26"/>
  <c r="J613" i="26"/>
  <c r="K613" i="26" s="1"/>
  <c r="H613" i="26"/>
  <c r="I613" i="26" s="1"/>
  <c r="G613" i="26"/>
  <c r="J612" i="26"/>
  <c r="K612" i="26" s="1"/>
  <c r="H612" i="26"/>
  <c r="I612" i="26" s="1"/>
  <c r="G612" i="26"/>
  <c r="J611" i="26"/>
  <c r="K611" i="26" s="1"/>
  <c r="H611" i="26"/>
  <c r="I611" i="26" s="1"/>
  <c r="G611" i="26"/>
  <c r="J610" i="26"/>
  <c r="K610" i="26" s="1"/>
  <c r="I610" i="26"/>
  <c r="H610" i="26"/>
  <c r="G610" i="26"/>
  <c r="J609" i="26"/>
  <c r="K609" i="26" s="1"/>
  <c r="I609" i="26"/>
  <c r="H609" i="26"/>
  <c r="G609" i="26"/>
  <c r="J608" i="26"/>
  <c r="K608" i="26" s="1"/>
  <c r="H608" i="26"/>
  <c r="I608" i="26" s="1"/>
  <c r="G608" i="26"/>
  <c r="J607" i="26"/>
  <c r="K607" i="26" s="1"/>
  <c r="H607" i="26"/>
  <c r="I607" i="26" s="1"/>
  <c r="G607" i="26"/>
  <c r="J606" i="26"/>
  <c r="K606" i="26" s="1"/>
  <c r="H606" i="26"/>
  <c r="I606" i="26" s="1"/>
  <c r="G606" i="26"/>
  <c r="J605" i="26"/>
  <c r="K605" i="26" s="1"/>
  <c r="H605" i="26"/>
  <c r="I605" i="26" s="1"/>
  <c r="G605" i="26"/>
  <c r="J604" i="26"/>
  <c r="K604" i="26" s="1"/>
  <c r="H604" i="26"/>
  <c r="I604" i="26" s="1"/>
  <c r="G604" i="26"/>
  <c r="J603" i="26"/>
  <c r="K603" i="26" s="1"/>
  <c r="H603" i="26"/>
  <c r="I603" i="26" s="1"/>
  <c r="G603" i="26"/>
  <c r="J602" i="26"/>
  <c r="K602" i="26" s="1"/>
  <c r="H602" i="26"/>
  <c r="I602" i="26" s="1"/>
  <c r="G602" i="26"/>
  <c r="J601" i="26"/>
  <c r="K601" i="26" s="1"/>
  <c r="H601" i="26"/>
  <c r="I601" i="26" s="1"/>
  <c r="G601" i="26"/>
  <c r="J600" i="26"/>
  <c r="K600" i="26" s="1"/>
  <c r="H600" i="26"/>
  <c r="I600" i="26" s="1"/>
  <c r="G600" i="26"/>
  <c r="J599" i="26"/>
  <c r="K599" i="26" s="1"/>
  <c r="H599" i="26"/>
  <c r="I599" i="26" s="1"/>
  <c r="G599" i="26"/>
  <c r="J598" i="26"/>
  <c r="K598" i="26" s="1"/>
  <c r="H598" i="26"/>
  <c r="I598" i="26" s="1"/>
  <c r="G598" i="26"/>
  <c r="J597" i="26"/>
  <c r="K597" i="26" s="1"/>
  <c r="H597" i="26"/>
  <c r="I597" i="26" s="1"/>
  <c r="G597" i="26"/>
  <c r="J596" i="26"/>
  <c r="K596" i="26" s="1"/>
  <c r="H596" i="26"/>
  <c r="I596" i="26" s="1"/>
  <c r="G596" i="26"/>
  <c r="J595" i="26"/>
  <c r="K595" i="26" s="1"/>
  <c r="H595" i="26"/>
  <c r="I595" i="26" s="1"/>
  <c r="G595" i="26"/>
  <c r="J594" i="26"/>
  <c r="K594" i="26" s="1"/>
  <c r="H594" i="26"/>
  <c r="I594" i="26" s="1"/>
  <c r="G594" i="26"/>
  <c r="J593" i="26"/>
  <c r="K593" i="26" s="1"/>
  <c r="H593" i="26"/>
  <c r="I593" i="26" s="1"/>
  <c r="G593" i="26"/>
  <c r="J592" i="26"/>
  <c r="K592" i="26" s="1"/>
  <c r="H592" i="26"/>
  <c r="I592" i="26" s="1"/>
  <c r="G592" i="26"/>
  <c r="J591" i="26"/>
  <c r="K591" i="26" s="1"/>
  <c r="H591" i="26"/>
  <c r="I591" i="26" s="1"/>
  <c r="G591" i="26"/>
  <c r="J590" i="26"/>
  <c r="K590" i="26" s="1"/>
  <c r="H590" i="26"/>
  <c r="I590" i="26" s="1"/>
  <c r="G590" i="26"/>
  <c r="J589" i="26"/>
  <c r="K589" i="26" s="1"/>
  <c r="H589" i="26"/>
  <c r="I589" i="26" s="1"/>
  <c r="G589" i="26"/>
  <c r="J588" i="26"/>
  <c r="K588" i="26" s="1"/>
  <c r="H588" i="26"/>
  <c r="I588" i="26" s="1"/>
  <c r="G588" i="26"/>
  <c r="J587" i="26"/>
  <c r="K587" i="26" s="1"/>
  <c r="H587" i="26"/>
  <c r="I587" i="26" s="1"/>
  <c r="G587" i="26"/>
  <c r="K586" i="26"/>
  <c r="J586" i="26"/>
  <c r="H586" i="26"/>
  <c r="I586" i="26" s="1"/>
  <c r="G586" i="26"/>
  <c r="J585" i="26"/>
  <c r="K585" i="26" s="1"/>
  <c r="H585" i="26"/>
  <c r="I585" i="26" s="1"/>
  <c r="G585" i="26"/>
  <c r="J584" i="26"/>
  <c r="K584" i="26" s="1"/>
  <c r="H584" i="26"/>
  <c r="I584" i="26" s="1"/>
  <c r="G584" i="26"/>
  <c r="K583" i="26"/>
  <c r="J583" i="26"/>
  <c r="H583" i="26"/>
  <c r="I583" i="26" s="1"/>
  <c r="G583" i="26"/>
  <c r="J582" i="26"/>
  <c r="K582" i="26" s="1"/>
  <c r="H582" i="26"/>
  <c r="I582" i="26" s="1"/>
  <c r="G582" i="26"/>
  <c r="J581" i="26"/>
  <c r="K581" i="26" s="1"/>
  <c r="H581" i="26"/>
  <c r="I581" i="26" s="1"/>
  <c r="G581" i="26"/>
  <c r="K580" i="26"/>
  <c r="J580" i="26"/>
  <c r="H580" i="26"/>
  <c r="I580" i="26" s="1"/>
  <c r="G580" i="26"/>
  <c r="J579" i="26"/>
  <c r="K579" i="26" s="1"/>
  <c r="H579" i="26"/>
  <c r="I579" i="26" s="1"/>
  <c r="G579" i="26"/>
  <c r="J578" i="26"/>
  <c r="K578" i="26" s="1"/>
  <c r="H578" i="26"/>
  <c r="I578" i="26" s="1"/>
  <c r="G578" i="26"/>
  <c r="J577" i="26"/>
  <c r="K577" i="26" s="1"/>
  <c r="I577" i="26"/>
  <c r="H577" i="26"/>
  <c r="G577" i="26"/>
  <c r="J576" i="26"/>
  <c r="K576" i="26" s="1"/>
  <c r="H576" i="26"/>
  <c r="I576" i="26" s="1"/>
  <c r="G576" i="26"/>
  <c r="J575" i="26"/>
  <c r="K575" i="26" s="1"/>
  <c r="H575" i="26"/>
  <c r="I575" i="26" s="1"/>
  <c r="G575" i="26"/>
  <c r="J574" i="26"/>
  <c r="K574" i="26" s="1"/>
  <c r="H574" i="26"/>
  <c r="I574" i="26" s="1"/>
  <c r="G574" i="26"/>
  <c r="J573" i="26"/>
  <c r="K573" i="26" s="1"/>
  <c r="H573" i="26"/>
  <c r="I573" i="26" s="1"/>
  <c r="G573" i="26"/>
  <c r="J572" i="26"/>
  <c r="K572" i="26" s="1"/>
  <c r="H572" i="26"/>
  <c r="I572" i="26" s="1"/>
  <c r="G572" i="26"/>
  <c r="J571" i="26"/>
  <c r="K571" i="26" s="1"/>
  <c r="H571" i="26"/>
  <c r="I571" i="26" s="1"/>
  <c r="G571" i="26"/>
  <c r="J570" i="26"/>
  <c r="K570" i="26" s="1"/>
  <c r="H570" i="26"/>
  <c r="I570" i="26" s="1"/>
  <c r="G570" i="26"/>
  <c r="J569" i="26"/>
  <c r="K569" i="26" s="1"/>
  <c r="H569" i="26"/>
  <c r="I569" i="26" s="1"/>
  <c r="G569" i="26"/>
  <c r="J568" i="26"/>
  <c r="K568" i="26" s="1"/>
  <c r="H568" i="26"/>
  <c r="I568" i="26" s="1"/>
  <c r="G568" i="26"/>
  <c r="J567" i="26"/>
  <c r="K567" i="26" s="1"/>
  <c r="H567" i="26"/>
  <c r="I567" i="26" s="1"/>
  <c r="G567" i="26"/>
  <c r="J566" i="26"/>
  <c r="K566" i="26" s="1"/>
  <c r="H566" i="26"/>
  <c r="I566" i="26" s="1"/>
  <c r="G566" i="26"/>
  <c r="J565" i="26"/>
  <c r="K565" i="26" s="1"/>
  <c r="H565" i="26"/>
  <c r="I565" i="26" s="1"/>
  <c r="G565" i="26"/>
  <c r="J564" i="26"/>
  <c r="K564" i="26" s="1"/>
  <c r="H564" i="26"/>
  <c r="I564" i="26" s="1"/>
  <c r="G564" i="26"/>
  <c r="J563" i="26"/>
  <c r="K563" i="26" s="1"/>
  <c r="H563" i="26"/>
  <c r="I563" i="26" s="1"/>
  <c r="G563" i="26"/>
  <c r="J562" i="26"/>
  <c r="K562" i="26" s="1"/>
  <c r="H562" i="26"/>
  <c r="I562" i="26" s="1"/>
  <c r="G562" i="26"/>
  <c r="J561" i="26"/>
  <c r="K561" i="26" s="1"/>
  <c r="I561" i="26"/>
  <c r="H561" i="26"/>
  <c r="G561" i="26"/>
  <c r="J560" i="26"/>
  <c r="K560" i="26" s="1"/>
  <c r="H560" i="26"/>
  <c r="I560" i="26" s="1"/>
  <c r="G560" i="26"/>
  <c r="J559" i="26"/>
  <c r="K559" i="26" s="1"/>
  <c r="I559" i="26"/>
  <c r="H559" i="26"/>
  <c r="G559" i="26"/>
  <c r="J558" i="26"/>
  <c r="K558" i="26" s="1"/>
  <c r="H558" i="26"/>
  <c r="I558" i="26" s="1"/>
  <c r="G558" i="26"/>
  <c r="J557" i="26"/>
  <c r="K557" i="26" s="1"/>
  <c r="H557" i="26"/>
  <c r="I557" i="26" s="1"/>
  <c r="G557" i="26"/>
  <c r="J556" i="26"/>
  <c r="K556" i="26" s="1"/>
  <c r="H556" i="26"/>
  <c r="I556" i="26" s="1"/>
  <c r="G556" i="26"/>
  <c r="J555" i="26"/>
  <c r="K555" i="26" s="1"/>
  <c r="H555" i="26"/>
  <c r="I555" i="26" s="1"/>
  <c r="G555" i="26"/>
  <c r="J554" i="26"/>
  <c r="K554" i="26" s="1"/>
  <c r="H554" i="26"/>
  <c r="I554" i="26" s="1"/>
  <c r="G554" i="26"/>
  <c r="J553" i="26"/>
  <c r="K553" i="26" s="1"/>
  <c r="H553" i="26"/>
  <c r="I553" i="26" s="1"/>
  <c r="G553" i="26"/>
  <c r="K552" i="26"/>
  <c r="J552" i="26"/>
  <c r="H552" i="26"/>
  <c r="I552" i="26" s="1"/>
  <c r="G552" i="26"/>
  <c r="J551" i="26"/>
  <c r="K551" i="26" s="1"/>
  <c r="H551" i="26"/>
  <c r="I551" i="26" s="1"/>
  <c r="G551" i="26"/>
  <c r="J550" i="26"/>
  <c r="K550" i="26" s="1"/>
  <c r="H550" i="26"/>
  <c r="I550" i="26" s="1"/>
  <c r="G550" i="26"/>
  <c r="J549" i="26"/>
  <c r="K549" i="26" s="1"/>
  <c r="H549" i="26"/>
  <c r="I549" i="26" s="1"/>
  <c r="G549" i="26"/>
  <c r="J548" i="26"/>
  <c r="K548" i="26" s="1"/>
  <c r="H548" i="26"/>
  <c r="I548" i="26" s="1"/>
  <c r="G548" i="26"/>
  <c r="J547" i="26"/>
  <c r="K547" i="26" s="1"/>
  <c r="H547" i="26"/>
  <c r="I547" i="26" s="1"/>
  <c r="G547" i="26"/>
  <c r="J546" i="26"/>
  <c r="K546" i="26" s="1"/>
  <c r="H546" i="26"/>
  <c r="I546" i="26" s="1"/>
  <c r="G546" i="26"/>
  <c r="J545" i="26"/>
  <c r="K545" i="26" s="1"/>
  <c r="H545" i="26"/>
  <c r="I545" i="26" s="1"/>
  <c r="G545" i="26"/>
  <c r="J544" i="26"/>
  <c r="K544" i="26" s="1"/>
  <c r="H544" i="26"/>
  <c r="I544" i="26" s="1"/>
  <c r="G544" i="26"/>
  <c r="J543" i="26"/>
  <c r="K543" i="26" s="1"/>
  <c r="H543" i="26"/>
  <c r="I543" i="26" s="1"/>
  <c r="G543" i="26"/>
  <c r="K542" i="26"/>
  <c r="J542" i="26"/>
  <c r="H542" i="26"/>
  <c r="I542" i="26" s="1"/>
  <c r="G542" i="26"/>
  <c r="J541" i="26"/>
  <c r="K541" i="26" s="1"/>
  <c r="H541" i="26"/>
  <c r="I541" i="26" s="1"/>
  <c r="G541" i="26"/>
  <c r="J540" i="26"/>
  <c r="K540" i="26" s="1"/>
  <c r="H540" i="26"/>
  <c r="I540" i="26" s="1"/>
  <c r="G540" i="26"/>
  <c r="J539" i="26"/>
  <c r="K539" i="26" s="1"/>
  <c r="H539" i="26"/>
  <c r="I539" i="26" s="1"/>
  <c r="G539" i="26"/>
  <c r="J538" i="26"/>
  <c r="K538" i="26" s="1"/>
  <c r="H538" i="26"/>
  <c r="I538" i="26" s="1"/>
  <c r="G538" i="26"/>
  <c r="J537" i="26"/>
  <c r="K537" i="26" s="1"/>
  <c r="I537" i="26"/>
  <c r="H537" i="26"/>
  <c r="G537" i="26"/>
  <c r="J536" i="26"/>
  <c r="K536" i="26" s="1"/>
  <c r="H536" i="26"/>
  <c r="I536" i="26" s="1"/>
  <c r="G536" i="26"/>
  <c r="J535" i="26"/>
  <c r="K535" i="26" s="1"/>
  <c r="H535" i="26"/>
  <c r="I535" i="26" s="1"/>
  <c r="G535" i="26"/>
  <c r="J534" i="26"/>
  <c r="K534" i="26" s="1"/>
  <c r="I534" i="26"/>
  <c r="H534" i="26"/>
  <c r="G534" i="26"/>
  <c r="J533" i="26"/>
  <c r="K533" i="26" s="1"/>
  <c r="H533" i="26"/>
  <c r="I533" i="26" s="1"/>
  <c r="G533" i="26"/>
  <c r="J532" i="26"/>
  <c r="K532" i="26" s="1"/>
  <c r="H532" i="26"/>
  <c r="I532" i="26" s="1"/>
  <c r="G532" i="26"/>
  <c r="J531" i="26"/>
  <c r="K531" i="26" s="1"/>
  <c r="H531" i="26"/>
  <c r="I531" i="26" s="1"/>
  <c r="G531" i="26"/>
  <c r="K530" i="26"/>
  <c r="J530" i="26"/>
  <c r="H530" i="26"/>
  <c r="I530" i="26" s="1"/>
  <c r="G530" i="26"/>
  <c r="J529" i="26"/>
  <c r="K529" i="26" s="1"/>
  <c r="H529" i="26"/>
  <c r="I529" i="26" s="1"/>
  <c r="G529" i="26"/>
  <c r="K528" i="26"/>
  <c r="J528" i="26"/>
  <c r="H528" i="26"/>
  <c r="I528" i="26" s="1"/>
  <c r="G528" i="26"/>
  <c r="J527" i="26"/>
  <c r="K527" i="26" s="1"/>
  <c r="H527" i="26"/>
  <c r="I527" i="26" s="1"/>
  <c r="G527" i="26"/>
  <c r="J526" i="26"/>
  <c r="K526" i="26" s="1"/>
  <c r="H526" i="26"/>
  <c r="I526" i="26" s="1"/>
  <c r="G526" i="26"/>
  <c r="J525" i="26"/>
  <c r="K525" i="26" s="1"/>
  <c r="H525" i="26"/>
  <c r="I525" i="26" s="1"/>
  <c r="G525" i="26"/>
  <c r="J524" i="26"/>
  <c r="K524" i="26" s="1"/>
  <c r="H524" i="26"/>
  <c r="I524" i="26" s="1"/>
  <c r="G524" i="26"/>
  <c r="J523" i="26"/>
  <c r="K523" i="26" s="1"/>
  <c r="H523" i="26"/>
  <c r="I523" i="26" s="1"/>
  <c r="G523" i="26"/>
  <c r="J522" i="26"/>
  <c r="K522" i="26" s="1"/>
  <c r="H522" i="26"/>
  <c r="I522" i="26" s="1"/>
  <c r="G522" i="26"/>
  <c r="J521" i="26"/>
  <c r="K521" i="26" s="1"/>
  <c r="H521" i="26"/>
  <c r="I521" i="26" s="1"/>
  <c r="G521" i="26"/>
  <c r="J520" i="26"/>
  <c r="K520" i="26" s="1"/>
  <c r="H520" i="26"/>
  <c r="I520" i="26" s="1"/>
  <c r="G520" i="26"/>
  <c r="J519" i="26"/>
  <c r="K519" i="26" s="1"/>
  <c r="H519" i="26"/>
  <c r="I519" i="26" s="1"/>
  <c r="G519" i="26"/>
  <c r="K518" i="26"/>
  <c r="J518" i="26"/>
  <c r="H518" i="26"/>
  <c r="I518" i="26" s="1"/>
  <c r="G518" i="26"/>
  <c r="J517" i="26"/>
  <c r="K517" i="26" s="1"/>
  <c r="I517" i="26"/>
  <c r="H517" i="26"/>
  <c r="G517" i="26"/>
  <c r="J516" i="26"/>
  <c r="K516" i="26" s="1"/>
  <c r="H516" i="26"/>
  <c r="I516" i="26" s="1"/>
  <c r="G516" i="26"/>
  <c r="J515" i="26"/>
  <c r="K515" i="26" s="1"/>
  <c r="H515" i="26"/>
  <c r="I515" i="26" s="1"/>
  <c r="G515" i="26"/>
  <c r="J514" i="26"/>
  <c r="K514" i="26" s="1"/>
  <c r="H514" i="26"/>
  <c r="I514" i="26" s="1"/>
  <c r="G514" i="26"/>
  <c r="J513" i="26"/>
  <c r="K513" i="26" s="1"/>
  <c r="H513" i="26"/>
  <c r="I513" i="26" s="1"/>
  <c r="G513" i="26"/>
  <c r="K512" i="26"/>
  <c r="J512" i="26"/>
  <c r="H512" i="26"/>
  <c r="I512" i="26" s="1"/>
  <c r="G512" i="26"/>
  <c r="J511" i="26"/>
  <c r="K511" i="26" s="1"/>
  <c r="H511" i="26"/>
  <c r="I511" i="26" s="1"/>
  <c r="G511" i="26"/>
  <c r="J510" i="26"/>
  <c r="K510" i="26" s="1"/>
  <c r="H510" i="26"/>
  <c r="I510" i="26" s="1"/>
  <c r="G510" i="26"/>
  <c r="J509" i="26"/>
  <c r="K509" i="26" s="1"/>
  <c r="H509" i="26"/>
  <c r="I509" i="26" s="1"/>
  <c r="G509" i="26"/>
  <c r="J508" i="26"/>
  <c r="K508" i="26" s="1"/>
  <c r="H508" i="26"/>
  <c r="I508" i="26" s="1"/>
  <c r="G508" i="26"/>
  <c r="J507" i="26"/>
  <c r="K507" i="26" s="1"/>
  <c r="H507" i="26"/>
  <c r="I507" i="26" s="1"/>
  <c r="G507" i="26"/>
  <c r="K506" i="26"/>
  <c r="J506" i="26"/>
  <c r="H506" i="26"/>
  <c r="I506" i="26" s="1"/>
  <c r="G506" i="26"/>
  <c r="J505" i="26"/>
  <c r="K505" i="26" s="1"/>
  <c r="H505" i="26"/>
  <c r="I505" i="26" s="1"/>
  <c r="G505" i="26"/>
  <c r="J504" i="26"/>
  <c r="K504" i="26" s="1"/>
  <c r="H504" i="26"/>
  <c r="I504" i="26" s="1"/>
  <c r="G504" i="26"/>
  <c r="J503" i="26"/>
  <c r="K503" i="26" s="1"/>
  <c r="H503" i="26"/>
  <c r="I503" i="26" s="1"/>
  <c r="G503" i="26"/>
  <c r="J502" i="26"/>
  <c r="K502" i="26" s="1"/>
  <c r="H502" i="26"/>
  <c r="I502" i="26" s="1"/>
  <c r="G502" i="26"/>
  <c r="J501" i="26"/>
  <c r="K501" i="26" s="1"/>
  <c r="H501" i="26"/>
  <c r="I501" i="26" s="1"/>
  <c r="G501" i="26"/>
  <c r="J500" i="26"/>
  <c r="K500" i="26" s="1"/>
  <c r="H500" i="26"/>
  <c r="I500" i="26" s="1"/>
  <c r="G500" i="26"/>
  <c r="J499" i="26"/>
  <c r="K499" i="26" s="1"/>
  <c r="H499" i="26"/>
  <c r="I499" i="26" s="1"/>
  <c r="G499" i="26"/>
  <c r="J498" i="26"/>
  <c r="K498" i="26" s="1"/>
  <c r="H498" i="26"/>
  <c r="I498" i="26" s="1"/>
  <c r="G498" i="26"/>
  <c r="J497" i="26"/>
  <c r="K497" i="26" s="1"/>
  <c r="I497" i="26"/>
  <c r="H497" i="26"/>
  <c r="G497" i="26"/>
  <c r="J496" i="26"/>
  <c r="K496" i="26" s="1"/>
  <c r="H496" i="26"/>
  <c r="I496" i="26" s="1"/>
  <c r="G496" i="26"/>
  <c r="J495" i="26"/>
  <c r="K495" i="26" s="1"/>
  <c r="H495" i="26"/>
  <c r="I495" i="26" s="1"/>
  <c r="G495" i="26"/>
  <c r="J494" i="26"/>
  <c r="K494" i="26" s="1"/>
  <c r="H494" i="26"/>
  <c r="I494" i="26" s="1"/>
  <c r="G494" i="26"/>
  <c r="J493" i="26"/>
  <c r="K493" i="26" s="1"/>
  <c r="H493" i="26"/>
  <c r="I493" i="26" s="1"/>
  <c r="G493" i="26"/>
  <c r="J492" i="26"/>
  <c r="K492" i="26" s="1"/>
  <c r="H492" i="26"/>
  <c r="I492" i="26" s="1"/>
  <c r="G492" i="26"/>
  <c r="J491" i="26"/>
  <c r="K491" i="26" s="1"/>
  <c r="H491" i="26"/>
  <c r="I491" i="26" s="1"/>
  <c r="G491" i="26"/>
  <c r="J490" i="26"/>
  <c r="K490" i="26" s="1"/>
  <c r="H490" i="26"/>
  <c r="I490" i="26" s="1"/>
  <c r="G490" i="26"/>
  <c r="K489" i="26"/>
  <c r="J489" i="26"/>
  <c r="H489" i="26"/>
  <c r="I489" i="26" s="1"/>
  <c r="G489" i="26"/>
  <c r="J488" i="26"/>
  <c r="K488" i="26" s="1"/>
  <c r="H488" i="26"/>
  <c r="I488" i="26" s="1"/>
  <c r="G488" i="26"/>
  <c r="K487" i="26"/>
  <c r="J487" i="26"/>
  <c r="H487" i="26"/>
  <c r="I487" i="26" s="1"/>
  <c r="G487" i="26"/>
  <c r="J486" i="26"/>
  <c r="K486" i="26" s="1"/>
  <c r="I486" i="26"/>
  <c r="H486" i="26"/>
  <c r="G486" i="26"/>
  <c r="J485" i="26"/>
  <c r="K485" i="26" s="1"/>
  <c r="H485" i="26"/>
  <c r="I485" i="26" s="1"/>
  <c r="G485" i="26"/>
  <c r="J484" i="26"/>
  <c r="K484" i="26" s="1"/>
  <c r="H484" i="26"/>
  <c r="I484" i="26" s="1"/>
  <c r="G484" i="26"/>
  <c r="J483" i="26"/>
  <c r="K483" i="26" s="1"/>
  <c r="H483" i="26"/>
  <c r="I483" i="26" s="1"/>
  <c r="G483" i="26"/>
  <c r="J482" i="26"/>
  <c r="K482" i="26" s="1"/>
  <c r="H482" i="26"/>
  <c r="I482" i="26" s="1"/>
  <c r="G482" i="26"/>
  <c r="J481" i="26"/>
  <c r="K481" i="26" s="1"/>
  <c r="I481" i="26"/>
  <c r="H481" i="26"/>
  <c r="G481" i="26"/>
  <c r="J480" i="26"/>
  <c r="K480" i="26" s="1"/>
  <c r="H480" i="26"/>
  <c r="I480" i="26" s="1"/>
  <c r="G480" i="26"/>
  <c r="J479" i="26"/>
  <c r="K479" i="26" s="1"/>
  <c r="H479" i="26"/>
  <c r="I479" i="26" s="1"/>
  <c r="G479" i="26"/>
  <c r="J478" i="26"/>
  <c r="K478" i="26" s="1"/>
  <c r="H478" i="26"/>
  <c r="I478" i="26" s="1"/>
  <c r="G478" i="26"/>
  <c r="J477" i="26"/>
  <c r="K477" i="26" s="1"/>
  <c r="H477" i="26"/>
  <c r="I477" i="26" s="1"/>
  <c r="G477" i="26"/>
  <c r="J476" i="26"/>
  <c r="K476" i="26" s="1"/>
  <c r="H476" i="26"/>
  <c r="I476" i="26" s="1"/>
  <c r="G476" i="26"/>
  <c r="K475" i="26"/>
  <c r="J475" i="26"/>
  <c r="I475" i="26"/>
  <c r="H475" i="26"/>
  <c r="G475" i="26"/>
  <c r="J474" i="26"/>
  <c r="K474" i="26" s="1"/>
  <c r="H474" i="26"/>
  <c r="I474" i="26" s="1"/>
  <c r="G474" i="26"/>
  <c r="J473" i="26"/>
  <c r="K473" i="26" s="1"/>
  <c r="H473" i="26"/>
  <c r="I473" i="26" s="1"/>
  <c r="G473" i="26"/>
  <c r="J472" i="26"/>
  <c r="K472" i="26" s="1"/>
  <c r="H472" i="26"/>
  <c r="I472" i="26" s="1"/>
  <c r="G472" i="26"/>
  <c r="J471" i="26"/>
  <c r="K471" i="26" s="1"/>
  <c r="H471" i="26"/>
  <c r="I471" i="26" s="1"/>
  <c r="G471" i="26"/>
  <c r="J470" i="26"/>
  <c r="K470" i="26" s="1"/>
  <c r="H470" i="26"/>
  <c r="I470" i="26" s="1"/>
  <c r="G470" i="26"/>
  <c r="J469" i="26"/>
  <c r="K469" i="26" s="1"/>
  <c r="I469" i="26"/>
  <c r="H469" i="26"/>
  <c r="G469" i="26"/>
  <c r="J468" i="26"/>
  <c r="K468" i="26" s="1"/>
  <c r="H468" i="26"/>
  <c r="I468" i="26" s="1"/>
  <c r="G468" i="26"/>
  <c r="J467" i="26"/>
  <c r="K467" i="26" s="1"/>
  <c r="H467" i="26"/>
  <c r="I467" i="26" s="1"/>
  <c r="G467" i="26"/>
  <c r="J466" i="26"/>
  <c r="K466" i="26" s="1"/>
  <c r="H466" i="26"/>
  <c r="I466" i="26" s="1"/>
  <c r="G466" i="26"/>
  <c r="K465" i="26"/>
  <c r="J465" i="26"/>
  <c r="H465" i="26"/>
  <c r="I465" i="26" s="1"/>
  <c r="G465" i="26"/>
  <c r="J464" i="26"/>
  <c r="K464" i="26" s="1"/>
  <c r="H464" i="26"/>
  <c r="I464" i="26" s="1"/>
  <c r="G464" i="26"/>
  <c r="K463" i="26"/>
  <c r="J463" i="26"/>
  <c r="H463" i="26"/>
  <c r="I463" i="26" s="1"/>
  <c r="G463" i="26"/>
  <c r="J462" i="26"/>
  <c r="K462" i="26" s="1"/>
  <c r="H462" i="26"/>
  <c r="I462" i="26" s="1"/>
  <c r="G462" i="26"/>
  <c r="J461" i="26"/>
  <c r="K461" i="26" s="1"/>
  <c r="H461" i="26"/>
  <c r="I461" i="26" s="1"/>
  <c r="G461" i="26"/>
  <c r="J460" i="26"/>
  <c r="K460" i="26" s="1"/>
  <c r="H460" i="26"/>
  <c r="I460" i="26" s="1"/>
  <c r="G460" i="26"/>
  <c r="K459" i="26"/>
  <c r="J459" i="26"/>
  <c r="H459" i="26"/>
  <c r="I459" i="26" s="1"/>
  <c r="G459" i="26"/>
  <c r="J458" i="26"/>
  <c r="K458" i="26" s="1"/>
  <c r="H458" i="26"/>
  <c r="I458" i="26" s="1"/>
  <c r="G458" i="26"/>
  <c r="J457" i="26"/>
  <c r="K457" i="26" s="1"/>
  <c r="I457" i="26"/>
  <c r="H457" i="26"/>
  <c r="G457" i="26"/>
  <c r="J456" i="26"/>
  <c r="K456" i="26" s="1"/>
  <c r="H456" i="26"/>
  <c r="I456" i="26" s="1"/>
  <c r="G456" i="26"/>
  <c r="J455" i="26"/>
  <c r="K455" i="26" s="1"/>
  <c r="H455" i="26"/>
  <c r="I455" i="26" s="1"/>
  <c r="G455" i="26"/>
  <c r="J454" i="26"/>
  <c r="K454" i="26" s="1"/>
  <c r="H454" i="26"/>
  <c r="I454" i="26" s="1"/>
  <c r="G454" i="26"/>
  <c r="K453" i="26"/>
  <c r="J453" i="26"/>
  <c r="H453" i="26"/>
  <c r="I453" i="26" s="1"/>
  <c r="G453" i="26"/>
  <c r="J452" i="26"/>
  <c r="K452" i="26" s="1"/>
  <c r="H452" i="26"/>
  <c r="I452" i="26" s="1"/>
  <c r="G452" i="26"/>
  <c r="J451" i="26"/>
  <c r="K451" i="26" s="1"/>
  <c r="H451" i="26"/>
  <c r="I451" i="26" s="1"/>
  <c r="G451" i="26"/>
  <c r="J450" i="26"/>
  <c r="K450" i="26" s="1"/>
  <c r="H450" i="26"/>
  <c r="I450" i="26" s="1"/>
  <c r="G450" i="26"/>
  <c r="J449" i="26"/>
  <c r="K449" i="26" s="1"/>
  <c r="H449" i="26"/>
  <c r="I449" i="26" s="1"/>
  <c r="G449" i="26"/>
  <c r="J448" i="26"/>
  <c r="K448" i="26" s="1"/>
  <c r="H448" i="26"/>
  <c r="I448" i="26" s="1"/>
  <c r="G448" i="26"/>
  <c r="J447" i="26"/>
  <c r="K447" i="26" s="1"/>
  <c r="H447" i="26"/>
  <c r="I447" i="26" s="1"/>
  <c r="G447" i="26"/>
  <c r="J446" i="26"/>
  <c r="K446" i="26" s="1"/>
  <c r="H446" i="26"/>
  <c r="I446" i="26" s="1"/>
  <c r="G446" i="26"/>
  <c r="J445" i="26"/>
  <c r="K445" i="26" s="1"/>
  <c r="H445" i="26"/>
  <c r="I445" i="26" s="1"/>
  <c r="G445" i="26"/>
  <c r="J444" i="26"/>
  <c r="K444" i="26" s="1"/>
  <c r="H444" i="26"/>
  <c r="I444" i="26" s="1"/>
  <c r="G444" i="26"/>
  <c r="J443" i="26"/>
  <c r="K443" i="26" s="1"/>
  <c r="H443" i="26"/>
  <c r="I443" i="26" s="1"/>
  <c r="G443" i="26"/>
  <c r="J442" i="26"/>
  <c r="K442" i="26" s="1"/>
  <c r="H442" i="26"/>
  <c r="I442" i="26" s="1"/>
  <c r="G442" i="26"/>
  <c r="J441" i="26"/>
  <c r="K441" i="26" s="1"/>
  <c r="H441" i="26"/>
  <c r="I441" i="26" s="1"/>
  <c r="G441" i="26"/>
  <c r="J440" i="26"/>
  <c r="K440" i="26" s="1"/>
  <c r="H440" i="26"/>
  <c r="I440" i="26" s="1"/>
  <c r="G440" i="26"/>
  <c r="J439" i="26"/>
  <c r="K439" i="26" s="1"/>
  <c r="H439" i="26"/>
  <c r="I439" i="26" s="1"/>
  <c r="G439" i="26"/>
  <c r="J438" i="26"/>
  <c r="K438" i="26" s="1"/>
  <c r="H438" i="26"/>
  <c r="I438" i="26" s="1"/>
  <c r="G438" i="26"/>
  <c r="J437" i="26"/>
  <c r="K437" i="26" s="1"/>
  <c r="H437" i="26"/>
  <c r="I437" i="26" s="1"/>
  <c r="G437" i="26"/>
  <c r="K436" i="26"/>
  <c r="J436" i="26"/>
  <c r="H436" i="26"/>
  <c r="I436" i="26" s="1"/>
  <c r="G436" i="26"/>
  <c r="J435" i="26"/>
  <c r="K435" i="26" s="1"/>
  <c r="H435" i="26"/>
  <c r="I435" i="26" s="1"/>
  <c r="G435" i="26"/>
  <c r="J434" i="26"/>
  <c r="K434" i="26" s="1"/>
  <c r="H434" i="26"/>
  <c r="I434" i="26" s="1"/>
  <c r="G434" i="26"/>
  <c r="J433" i="26"/>
  <c r="K433" i="26" s="1"/>
  <c r="I433" i="26"/>
  <c r="H433" i="26"/>
  <c r="G433" i="26"/>
  <c r="J432" i="26"/>
  <c r="K432" i="26" s="1"/>
  <c r="I432" i="26"/>
  <c r="H432" i="26"/>
  <c r="G432" i="26"/>
  <c r="J431" i="26"/>
  <c r="K431" i="26" s="1"/>
  <c r="H431" i="26"/>
  <c r="I431" i="26" s="1"/>
  <c r="G431" i="26"/>
  <c r="J430" i="26"/>
  <c r="K430" i="26" s="1"/>
  <c r="H430" i="26"/>
  <c r="I430" i="26" s="1"/>
  <c r="G430" i="26"/>
  <c r="J429" i="26"/>
  <c r="K429" i="26" s="1"/>
  <c r="H429" i="26"/>
  <c r="I429" i="26" s="1"/>
  <c r="G429" i="26"/>
  <c r="K428" i="26"/>
  <c r="J428" i="26"/>
  <c r="H428" i="26"/>
  <c r="I428" i="26" s="1"/>
  <c r="G428" i="26"/>
  <c r="J427" i="26"/>
  <c r="K427" i="26" s="1"/>
  <c r="H427" i="26"/>
  <c r="I427" i="26" s="1"/>
  <c r="G427" i="26"/>
  <c r="J426" i="26"/>
  <c r="K426" i="26" s="1"/>
  <c r="H426" i="26"/>
  <c r="I426" i="26" s="1"/>
  <c r="G426" i="26"/>
  <c r="J425" i="26"/>
  <c r="K425" i="26" s="1"/>
  <c r="I425" i="26"/>
  <c r="H425" i="26"/>
  <c r="G425" i="26"/>
  <c r="K424" i="26"/>
  <c r="J424" i="26"/>
  <c r="H424" i="26"/>
  <c r="I424" i="26" s="1"/>
  <c r="G424" i="26"/>
  <c r="J423" i="26"/>
  <c r="K423" i="26" s="1"/>
  <c r="H423" i="26"/>
  <c r="I423" i="26" s="1"/>
  <c r="G423" i="26"/>
  <c r="J422" i="26"/>
  <c r="K422" i="26" s="1"/>
  <c r="H422" i="26"/>
  <c r="I422" i="26" s="1"/>
  <c r="G422" i="26"/>
  <c r="J421" i="26"/>
  <c r="K421" i="26" s="1"/>
  <c r="I421" i="26"/>
  <c r="H421" i="26"/>
  <c r="G421" i="26"/>
  <c r="J420" i="26"/>
  <c r="K420" i="26" s="1"/>
  <c r="H420" i="26"/>
  <c r="I420" i="26" s="1"/>
  <c r="G420" i="26"/>
  <c r="J419" i="26"/>
  <c r="K419" i="26" s="1"/>
  <c r="H419" i="26"/>
  <c r="I419" i="26" s="1"/>
  <c r="G419" i="26"/>
  <c r="J418" i="26"/>
  <c r="K418" i="26" s="1"/>
  <c r="H418" i="26"/>
  <c r="I418" i="26" s="1"/>
  <c r="G418" i="26"/>
  <c r="K417" i="26"/>
  <c r="J417" i="26"/>
  <c r="H417" i="26"/>
  <c r="I417" i="26" s="1"/>
  <c r="G417" i="26"/>
  <c r="J416" i="26"/>
  <c r="K416" i="26" s="1"/>
  <c r="H416" i="26"/>
  <c r="I416" i="26" s="1"/>
  <c r="G416" i="26"/>
  <c r="J415" i="26"/>
  <c r="K415" i="26" s="1"/>
  <c r="I415" i="26"/>
  <c r="H415" i="26"/>
  <c r="G415" i="26"/>
  <c r="J414" i="26"/>
  <c r="K414" i="26" s="1"/>
  <c r="I414" i="26"/>
  <c r="H414" i="26"/>
  <c r="G414" i="26"/>
  <c r="J413" i="26"/>
  <c r="K413" i="26" s="1"/>
  <c r="H413" i="26"/>
  <c r="I413" i="26" s="1"/>
  <c r="G413" i="26"/>
  <c r="J412" i="26"/>
  <c r="K412" i="26" s="1"/>
  <c r="H412" i="26"/>
  <c r="I412" i="26" s="1"/>
  <c r="G412" i="26"/>
  <c r="J411" i="26"/>
  <c r="K411" i="26" s="1"/>
  <c r="H411" i="26"/>
  <c r="I411" i="26" s="1"/>
  <c r="G411" i="26"/>
  <c r="J410" i="26"/>
  <c r="K410" i="26" s="1"/>
  <c r="H410" i="26"/>
  <c r="I410" i="26" s="1"/>
  <c r="G410" i="26"/>
  <c r="J409" i="26"/>
  <c r="K409" i="26" s="1"/>
  <c r="H409" i="26"/>
  <c r="I409" i="26" s="1"/>
  <c r="G409" i="26"/>
  <c r="J408" i="26"/>
  <c r="K408" i="26" s="1"/>
  <c r="I408" i="26"/>
  <c r="H408" i="26"/>
  <c r="G408" i="26"/>
  <c r="J407" i="26"/>
  <c r="K407" i="26" s="1"/>
  <c r="H407" i="26"/>
  <c r="I407" i="26" s="1"/>
  <c r="G407" i="26"/>
  <c r="J406" i="26"/>
  <c r="K406" i="26" s="1"/>
  <c r="H406" i="26"/>
  <c r="I406" i="26" s="1"/>
  <c r="G406" i="26"/>
  <c r="J405" i="26"/>
  <c r="K405" i="26" s="1"/>
  <c r="H405" i="26"/>
  <c r="I405" i="26" s="1"/>
  <c r="G405" i="26"/>
  <c r="J404" i="26"/>
  <c r="K404" i="26" s="1"/>
  <c r="H404" i="26"/>
  <c r="I404" i="26" s="1"/>
  <c r="G404" i="26"/>
  <c r="J403" i="26"/>
  <c r="K403" i="26" s="1"/>
  <c r="H403" i="26"/>
  <c r="I403" i="26" s="1"/>
  <c r="G403" i="26"/>
  <c r="J402" i="26"/>
  <c r="K402" i="26" s="1"/>
  <c r="H402" i="26"/>
  <c r="I402" i="26" s="1"/>
  <c r="G402" i="26"/>
  <c r="J401" i="26"/>
  <c r="K401" i="26" s="1"/>
  <c r="H401" i="26"/>
  <c r="I401" i="26" s="1"/>
  <c r="G401" i="26"/>
  <c r="J400" i="26"/>
  <c r="K400" i="26" s="1"/>
  <c r="H400" i="26"/>
  <c r="I400" i="26" s="1"/>
  <c r="G400" i="26"/>
  <c r="J399" i="26"/>
  <c r="K399" i="26" s="1"/>
  <c r="H399" i="26"/>
  <c r="I399" i="26" s="1"/>
  <c r="G399" i="26"/>
  <c r="J398" i="26"/>
  <c r="K398" i="26" s="1"/>
  <c r="H398" i="26"/>
  <c r="I398" i="26" s="1"/>
  <c r="G398" i="26"/>
  <c r="J397" i="26"/>
  <c r="K397" i="26" s="1"/>
  <c r="H397" i="26"/>
  <c r="I397" i="26" s="1"/>
  <c r="G397" i="26"/>
  <c r="J396" i="26"/>
  <c r="K396" i="26" s="1"/>
  <c r="H396" i="26"/>
  <c r="I396" i="26" s="1"/>
  <c r="G396" i="26"/>
  <c r="J395" i="26"/>
  <c r="K395" i="26" s="1"/>
  <c r="H395" i="26"/>
  <c r="I395" i="26" s="1"/>
  <c r="G395" i="26"/>
  <c r="J394" i="26"/>
  <c r="K394" i="26" s="1"/>
  <c r="H394" i="26"/>
  <c r="I394" i="26" s="1"/>
  <c r="G394" i="26"/>
  <c r="J393" i="26"/>
  <c r="K393" i="26" s="1"/>
  <c r="H393" i="26"/>
  <c r="I393" i="26" s="1"/>
  <c r="G393" i="26"/>
  <c r="J392" i="26"/>
  <c r="K392" i="26" s="1"/>
  <c r="H392" i="26"/>
  <c r="I392" i="26" s="1"/>
  <c r="G392" i="26"/>
  <c r="K391" i="26"/>
  <c r="J391" i="26"/>
  <c r="H391" i="26"/>
  <c r="I391" i="26" s="1"/>
  <c r="G391" i="26"/>
  <c r="J390" i="26"/>
  <c r="K390" i="26" s="1"/>
  <c r="H390" i="26"/>
  <c r="I390" i="26" s="1"/>
  <c r="G390" i="26"/>
  <c r="J389" i="26"/>
  <c r="K389" i="26" s="1"/>
  <c r="H389" i="26"/>
  <c r="I389" i="26" s="1"/>
  <c r="G389" i="26"/>
  <c r="K388" i="26"/>
  <c r="J388" i="26"/>
  <c r="H388" i="26"/>
  <c r="I388" i="26" s="1"/>
  <c r="G388" i="26"/>
  <c r="J387" i="26"/>
  <c r="K387" i="26" s="1"/>
  <c r="H387" i="26"/>
  <c r="I387" i="26" s="1"/>
  <c r="G387" i="26"/>
  <c r="J386" i="26"/>
  <c r="K386" i="26" s="1"/>
  <c r="H386" i="26"/>
  <c r="I386" i="26" s="1"/>
  <c r="G386" i="26"/>
  <c r="J385" i="26"/>
  <c r="K385" i="26" s="1"/>
  <c r="I385" i="26"/>
  <c r="H385" i="26"/>
  <c r="G385" i="26"/>
  <c r="J384" i="26"/>
  <c r="K384" i="26" s="1"/>
  <c r="H384" i="26"/>
  <c r="I384" i="26" s="1"/>
  <c r="G384" i="26"/>
  <c r="J383" i="26"/>
  <c r="K383" i="26" s="1"/>
  <c r="H383" i="26"/>
  <c r="I383" i="26" s="1"/>
  <c r="G383" i="26"/>
  <c r="J382" i="26"/>
  <c r="K382" i="26" s="1"/>
  <c r="H382" i="26"/>
  <c r="I382" i="26" s="1"/>
  <c r="G382" i="26"/>
  <c r="K381" i="26"/>
  <c r="J381" i="26"/>
  <c r="H381" i="26"/>
  <c r="I381" i="26" s="1"/>
  <c r="G381" i="26"/>
  <c r="J380" i="26"/>
  <c r="K380" i="26" s="1"/>
  <c r="H380" i="26"/>
  <c r="I380" i="26" s="1"/>
  <c r="G380" i="26"/>
  <c r="K379" i="26"/>
  <c r="J379" i="26"/>
  <c r="H379" i="26"/>
  <c r="I379" i="26" s="1"/>
  <c r="G379" i="26"/>
  <c r="J378" i="26"/>
  <c r="K378" i="26" s="1"/>
  <c r="H378" i="26"/>
  <c r="I378" i="26" s="1"/>
  <c r="G378" i="26"/>
  <c r="J377" i="26"/>
  <c r="K377" i="26" s="1"/>
  <c r="H377" i="26"/>
  <c r="I377" i="26" s="1"/>
  <c r="G377" i="26"/>
  <c r="K376" i="26"/>
  <c r="J376" i="26"/>
  <c r="H376" i="26"/>
  <c r="I376" i="26" s="1"/>
  <c r="G376" i="26"/>
  <c r="K375" i="26"/>
  <c r="J375" i="26"/>
  <c r="H375" i="26"/>
  <c r="I375" i="26" s="1"/>
  <c r="G375" i="26"/>
  <c r="J374" i="26"/>
  <c r="K374" i="26" s="1"/>
  <c r="H374" i="26"/>
  <c r="I374" i="26" s="1"/>
  <c r="G374" i="26"/>
  <c r="J373" i="26"/>
  <c r="K373" i="26" s="1"/>
  <c r="H373" i="26"/>
  <c r="I373" i="26" s="1"/>
  <c r="G373" i="26"/>
  <c r="J372" i="26"/>
  <c r="K372" i="26" s="1"/>
  <c r="H372" i="26"/>
  <c r="I372" i="26" s="1"/>
  <c r="G372" i="26"/>
  <c r="J371" i="26"/>
  <c r="K371" i="26" s="1"/>
  <c r="H371" i="26"/>
  <c r="I371" i="26" s="1"/>
  <c r="G371" i="26"/>
  <c r="J370" i="26"/>
  <c r="K370" i="26" s="1"/>
  <c r="I370" i="26"/>
  <c r="H370" i="26"/>
  <c r="G370" i="26"/>
  <c r="J369" i="26"/>
  <c r="K369" i="26" s="1"/>
  <c r="H369" i="26"/>
  <c r="I369" i="26" s="1"/>
  <c r="G369" i="26"/>
  <c r="J368" i="26"/>
  <c r="K368" i="26" s="1"/>
  <c r="H368" i="26"/>
  <c r="I368" i="26" s="1"/>
  <c r="G368" i="26"/>
  <c r="J367" i="26"/>
  <c r="K367" i="26" s="1"/>
  <c r="I367" i="26"/>
  <c r="H367" i="26"/>
  <c r="G367" i="26"/>
  <c r="J366" i="26"/>
  <c r="K366" i="26" s="1"/>
  <c r="H366" i="26"/>
  <c r="I366" i="26" s="1"/>
  <c r="G366" i="26"/>
  <c r="J365" i="26"/>
  <c r="K365" i="26" s="1"/>
  <c r="H365" i="26"/>
  <c r="I365" i="26" s="1"/>
  <c r="G365" i="26"/>
  <c r="J364" i="26"/>
  <c r="K364" i="26" s="1"/>
  <c r="H364" i="26"/>
  <c r="I364" i="26" s="1"/>
  <c r="G364" i="26"/>
  <c r="K363" i="26"/>
  <c r="J363" i="26"/>
  <c r="H363" i="26"/>
  <c r="I363" i="26" s="1"/>
  <c r="G363" i="26"/>
  <c r="J362" i="26"/>
  <c r="K362" i="26" s="1"/>
  <c r="H362" i="26"/>
  <c r="I362" i="26" s="1"/>
  <c r="G362" i="26"/>
  <c r="J361" i="26"/>
  <c r="K361" i="26" s="1"/>
  <c r="H361" i="26"/>
  <c r="I361" i="26" s="1"/>
  <c r="G361" i="26"/>
  <c r="J360" i="26"/>
  <c r="K360" i="26" s="1"/>
  <c r="H360" i="26"/>
  <c r="I360" i="26" s="1"/>
  <c r="G360" i="26"/>
  <c r="J359" i="26"/>
  <c r="K359" i="26" s="1"/>
  <c r="H359" i="26"/>
  <c r="I359" i="26" s="1"/>
  <c r="G359" i="26"/>
  <c r="J358" i="26"/>
  <c r="K358" i="26" s="1"/>
  <c r="H358" i="26"/>
  <c r="I358" i="26" s="1"/>
  <c r="G358" i="26"/>
  <c r="K357" i="26"/>
  <c r="J357" i="26"/>
  <c r="H357" i="26"/>
  <c r="I357" i="26" s="1"/>
  <c r="G357" i="26"/>
  <c r="J356" i="26"/>
  <c r="K356" i="26" s="1"/>
  <c r="H356" i="26"/>
  <c r="I356" i="26" s="1"/>
  <c r="G356" i="26"/>
  <c r="J355" i="26"/>
  <c r="K355" i="26" s="1"/>
  <c r="H355" i="26"/>
  <c r="I355" i="26" s="1"/>
  <c r="G355" i="26"/>
  <c r="J354" i="26"/>
  <c r="K354" i="26" s="1"/>
  <c r="H354" i="26"/>
  <c r="I354" i="26" s="1"/>
  <c r="G354" i="26"/>
  <c r="J353" i="26"/>
  <c r="K353" i="26" s="1"/>
  <c r="H353" i="26"/>
  <c r="I353" i="26" s="1"/>
  <c r="G353" i="26"/>
  <c r="J352" i="26"/>
  <c r="K352" i="26" s="1"/>
  <c r="H352" i="26"/>
  <c r="I352" i="26" s="1"/>
  <c r="G352" i="26"/>
  <c r="J351" i="26"/>
  <c r="K351" i="26" s="1"/>
  <c r="H351" i="26"/>
  <c r="I351" i="26" s="1"/>
  <c r="G351" i="26"/>
  <c r="J350" i="26"/>
  <c r="K350" i="26" s="1"/>
  <c r="H350" i="26"/>
  <c r="I350" i="26" s="1"/>
  <c r="G350" i="26"/>
  <c r="J349" i="26"/>
  <c r="K349" i="26" s="1"/>
  <c r="H349" i="26"/>
  <c r="I349" i="26" s="1"/>
  <c r="G349" i="26"/>
  <c r="J348" i="26"/>
  <c r="K348" i="26" s="1"/>
  <c r="H348" i="26"/>
  <c r="I348" i="26" s="1"/>
  <c r="G348" i="26"/>
  <c r="J347" i="26"/>
  <c r="K347" i="26" s="1"/>
  <c r="H347" i="26"/>
  <c r="I347" i="26" s="1"/>
  <c r="G347" i="26"/>
  <c r="J346" i="26"/>
  <c r="K346" i="26" s="1"/>
  <c r="H346" i="26"/>
  <c r="I346" i="26" s="1"/>
  <c r="G346" i="26"/>
  <c r="J345" i="26"/>
  <c r="K345" i="26" s="1"/>
  <c r="H345" i="26"/>
  <c r="I345" i="26" s="1"/>
  <c r="G345" i="26"/>
  <c r="J344" i="26"/>
  <c r="K344" i="26" s="1"/>
  <c r="H344" i="26"/>
  <c r="I344" i="26" s="1"/>
  <c r="G344" i="26"/>
  <c r="J343" i="26"/>
  <c r="K343" i="26" s="1"/>
  <c r="H343" i="26"/>
  <c r="I343" i="26" s="1"/>
  <c r="G343" i="26"/>
  <c r="J342" i="26"/>
  <c r="K342" i="26" s="1"/>
  <c r="H342" i="26"/>
  <c r="I342" i="26" s="1"/>
  <c r="G342" i="26"/>
  <c r="J341" i="26"/>
  <c r="K341" i="26" s="1"/>
  <c r="H341" i="26"/>
  <c r="I341" i="26" s="1"/>
  <c r="G341" i="26"/>
  <c r="J340" i="26"/>
  <c r="K340" i="26" s="1"/>
  <c r="H340" i="26"/>
  <c r="I340" i="26" s="1"/>
  <c r="G340" i="26"/>
  <c r="J339" i="26"/>
  <c r="K339" i="26" s="1"/>
  <c r="H339" i="26"/>
  <c r="I339" i="26" s="1"/>
  <c r="G339" i="26"/>
  <c r="J338" i="26"/>
  <c r="K338" i="26" s="1"/>
  <c r="H338" i="26"/>
  <c r="I338" i="26" s="1"/>
  <c r="G338" i="26"/>
  <c r="K337" i="26"/>
  <c r="J337" i="26"/>
  <c r="H337" i="26"/>
  <c r="I337" i="26" s="1"/>
  <c r="G337" i="26"/>
  <c r="J336" i="26"/>
  <c r="K336" i="26" s="1"/>
  <c r="H336" i="26"/>
  <c r="I336" i="26" s="1"/>
  <c r="G336" i="26"/>
  <c r="J335" i="26"/>
  <c r="K335" i="26" s="1"/>
  <c r="H335" i="26"/>
  <c r="I335" i="26" s="1"/>
  <c r="G335" i="26"/>
  <c r="J334" i="26"/>
  <c r="K334" i="26" s="1"/>
  <c r="H334" i="26"/>
  <c r="I334" i="26" s="1"/>
  <c r="G334" i="26"/>
  <c r="K333" i="26"/>
  <c r="J333" i="26"/>
  <c r="H333" i="26"/>
  <c r="I333" i="26" s="1"/>
  <c r="G333" i="26"/>
  <c r="J332" i="26"/>
  <c r="K332" i="26" s="1"/>
  <c r="H332" i="26"/>
  <c r="I332" i="26" s="1"/>
  <c r="G332" i="26"/>
  <c r="J331" i="26"/>
  <c r="K331" i="26" s="1"/>
  <c r="H331" i="26"/>
  <c r="I331" i="26" s="1"/>
  <c r="G331" i="26"/>
  <c r="J330" i="26"/>
  <c r="K330" i="26" s="1"/>
  <c r="H330" i="26"/>
  <c r="I330" i="26" s="1"/>
  <c r="G330" i="26"/>
  <c r="J329" i="26"/>
  <c r="K329" i="26" s="1"/>
  <c r="H329" i="26"/>
  <c r="I329" i="26" s="1"/>
  <c r="G329" i="26"/>
  <c r="J328" i="26"/>
  <c r="K328" i="26" s="1"/>
  <c r="H328" i="26"/>
  <c r="I328" i="26" s="1"/>
  <c r="G328" i="26"/>
  <c r="J327" i="26"/>
  <c r="K327" i="26" s="1"/>
  <c r="H327" i="26"/>
  <c r="I327" i="26" s="1"/>
  <c r="G327" i="26"/>
  <c r="J326" i="26"/>
  <c r="K326" i="26" s="1"/>
  <c r="H326" i="26"/>
  <c r="I326" i="26" s="1"/>
  <c r="G326" i="26"/>
  <c r="J325" i="26"/>
  <c r="K325" i="26" s="1"/>
  <c r="H325" i="26"/>
  <c r="I325" i="26" s="1"/>
  <c r="G325" i="26"/>
  <c r="J324" i="26"/>
  <c r="K324" i="26" s="1"/>
  <c r="H324" i="26"/>
  <c r="I324" i="26" s="1"/>
  <c r="G324" i="26"/>
  <c r="J323" i="26"/>
  <c r="K323" i="26" s="1"/>
  <c r="H323" i="26"/>
  <c r="I323" i="26" s="1"/>
  <c r="G323" i="26"/>
  <c r="J322" i="26"/>
  <c r="K322" i="26" s="1"/>
  <c r="I322" i="26"/>
  <c r="H322" i="26"/>
  <c r="G322" i="26"/>
  <c r="J321" i="26"/>
  <c r="K321" i="26" s="1"/>
  <c r="H321" i="26"/>
  <c r="I321" i="26" s="1"/>
  <c r="G321" i="26"/>
  <c r="K320" i="26"/>
  <c r="J320" i="26"/>
  <c r="H320" i="26"/>
  <c r="I320" i="26" s="1"/>
  <c r="G320" i="26"/>
  <c r="J319" i="26"/>
  <c r="K319" i="26" s="1"/>
  <c r="I319" i="26"/>
  <c r="H319" i="26"/>
  <c r="G319" i="26"/>
  <c r="J318" i="26"/>
  <c r="K318" i="26" s="1"/>
  <c r="H318" i="26"/>
  <c r="I318" i="26" s="1"/>
  <c r="G318" i="26"/>
  <c r="J317" i="26"/>
  <c r="K317" i="26" s="1"/>
  <c r="H317" i="26"/>
  <c r="I317" i="26" s="1"/>
  <c r="G317" i="26"/>
  <c r="J316" i="26"/>
  <c r="K316" i="26" s="1"/>
  <c r="H316" i="26"/>
  <c r="I316" i="26" s="1"/>
  <c r="G316" i="26"/>
  <c r="J315" i="26"/>
  <c r="K315" i="26" s="1"/>
  <c r="H315" i="26"/>
  <c r="I315" i="26" s="1"/>
  <c r="G315" i="26"/>
  <c r="J314" i="26"/>
  <c r="K314" i="26" s="1"/>
  <c r="H314" i="26"/>
  <c r="I314" i="26" s="1"/>
  <c r="G314" i="26"/>
  <c r="K313" i="26"/>
  <c r="J313" i="26"/>
  <c r="H313" i="26"/>
  <c r="I313" i="26" s="1"/>
  <c r="G313" i="26"/>
  <c r="J312" i="26"/>
  <c r="K312" i="26" s="1"/>
  <c r="H312" i="26"/>
  <c r="I312" i="26" s="1"/>
  <c r="G312" i="26"/>
  <c r="J311" i="26"/>
  <c r="K311" i="26" s="1"/>
  <c r="H311" i="26"/>
  <c r="I311" i="26" s="1"/>
  <c r="G311" i="26"/>
  <c r="J310" i="26"/>
  <c r="K310" i="26" s="1"/>
  <c r="H310" i="26"/>
  <c r="I310" i="26" s="1"/>
  <c r="G310" i="26"/>
  <c r="K309" i="26"/>
  <c r="J309" i="26"/>
  <c r="H309" i="26"/>
  <c r="I309" i="26" s="1"/>
  <c r="G309" i="26"/>
  <c r="J308" i="26"/>
  <c r="K308" i="26" s="1"/>
  <c r="H308" i="26"/>
  <c r="I308" i="26" s="1"/>
  <c r="G308" i="26"/>
  <c r="J307" i="26"/>
  <c r="K307" i="26" s="1"/>
  <c r="H307" i="26"/>
  <c r="I307" i="26" s="1"/>
  <c r="G307" i="26"/>
  <c r="J306" i="26"/>
  <c r="K306" i="26" s="1"/>
  <c r="H306" i="26"/>
  <c r="I306" i="26" s="1"/>
  <c r="G306" i="26"/>
  <c r="J305" i="26"/>
  <c r="K305" i="26" s="1"/>
  <c r="H305" i="26"/>
  <c r="I305" i="26" s="1"/>
  <c r="G305" i="26"/>
  <c r="J304" i="26"/>
  <c r="K304" i="26" s="1"/>
  <c r="H304" i="26"/>
  <c r="I304" i="26" s="1"/>
  <c r="G304" i="26"/>
  <c r="J303" i="26"/>
  <c r="K303" i="26" s="1"/>
  <c r="H303" i="26"/>
  <c r="I303" i="26" s="1"/>
  <c r="G303" i="26"/>
  <c r="J302" i="26"/>
  <c r="K302" i="26" s="1"/>
  <c r="H302" i="26"/>
  <c r="I302" i="26" s="1"/>
  <c r="G302" i="26"/>
  <c r="J301" i="26"/>
  <c r="K301" i="26" s="1"/>
  <c r="H301" i="26"/>
  <c r="I301" i="26" s="1"/>
  <c r="G301" i="26"/>
  <c r="J300" i="26"/>
  <c r="K300" i="26" s="1"/>
  <c r="H300" i="26"/>
  <c r="I300" i="26" s="1"/>
  <c r="G300" i="26"/>
  <c r="J299" i="26"/>
  <c r="K299" i="26" s="1"/>
  <c r="H299" i="26"/>
  <c r="I299" i="26" s="1"/>
  <c r="G299" i="26"/>
  <c r="J298" i="26"/>
  <c r="K298" i="26" s="1"/>
  <c r="H298" i="26"/>
  <c r="I298" i="26" s="1"/>
  <c r="G298" i="26"/>
  <c r="J297" i="26"/>
  <c r="K297" i="26" s="1"/>
  <c r="H297" i="26"/>
  <c r="I297" i="26" s="1"/>
  <c r="G297" i="26"/>
  <c r="J296" i="26"/>
  <c r="K296" i="26" s="1"/>
  <c r="H296" i="26"/>
  <c r="I296" i="26" s="1"/>
  <c r="G296" i="26"/>
  <c r="J295" i="26"/>
  <c r="K295" i="26" s="1"/>
  <c r="H295" i="26"/>
  <c r="I295" i="26" s="1"/>
  <c r="G295" i="26"/>
  <c r="J294" i="26"/>
  <c r="K294" i="26" s="1"/>
  <c r="H294" i="26"/>
  <c r="I294" i="26" s="1"/>
  <c r="G294" i="26"/>
  <c r="J293" i="26"/>
  <c r="K293" i="26" s="1"/>
  <c r="H293" i="26"/>
  <c r="I293" i="26" s="1"/>
  <c r="G293" i="26"/>
  <c r="J292" i="26"/>
  <c r="K292" i="26" s="1"/>
  <c r="H292" i="26"/>
  <c r="I292" i="26" s="1"/>
  <c r="G292" i="26"/>
  <c r="J291" i="26"/>
  <c r="K291" i="26" s="1"/>
  <c r="H291" i="26"/>
  <c r="I291" i="26" s="1"/>
  <c r="G291" i="26"/>
  <c r="J290" i="26"/>
  <c r="K290" i="26" s="1"/>
  <c r="H290" i="26"/>
  <c r="I290" i="26" s="1"/>
  <c r="G290" i="26"/>
  <c r="J289" i="26"/>
  <c r="K289" i="26" s="1"/>
  <c r="H289" i="26"/>
  <c r="I289" i="26" s="1"/>
  <c r="G289" i="26"/>
  <c r="J288" i="26"/>
  <c r="K288" i="26" s="1"/>
  <c r="H288" i="26"/>
  <c r="I288" i="26" s="1"/>
  <c r="G288" i="26"/>
  <c r="J287" i="26"/>
  <c r="K287" i="26" s="1"/>
  <c r="H287" i="26"/>
  <c r="I287" i="26" s="1"/>
  <c r="G287" i="26"/>
  <c r="J286" i="26"/>
  <c r="K286" i="26" s="1"/>
  <c r="H286" i="26"/>
  <c r="I286" i="26" s="1"/>
  <c r="G286" i="26"/>
  <c r="J285" i="26"/>
  <c r="K285" i="26" s="1"/>
  <c r="H285" i="26"/>
  <c r="I285" i="26" s="1"/>
  <c r="G285" i="26"/>
  <c r="J284" i="26"/>
  <c r="K284" i="26" s="1"/>
  <c r="H284" i="26"/>
  <c r="I284" i="26" s="1"/>
  <c r="G284" i="26"/>
  <c r="J283" i="26"/>
  <c r="K283" i="26" s="1"/>
  <c r="H283" i="26"/>
  <c r="I283" i="26" s="1"/>
  <c r="G283" i="26"/>
  <c r="J282" i="26"/>
  <c r="K282" i="26" s="1"/>
  <c r="H282" i="26"/>
  <c r="I282" i="26" s="1"/>
  <c r="G282" i="26"/>
  <c r="J281" i="26"/>
  <c r="K281" i="26" s="1"/>
  <c r="H281" i="26"/>
  <c r="I281" i="26" s="1"/>
  <c r="G281" i="26"/>
  <c r="J280" i="26"/>
  <c r="K280" i="26" s="1"/>
  <c r="H280" i="26"/>
  <c r="I280" i="26" s="1"/>
  <c r="G280" i="26"/>
  <c r="J279" i="26"/>
  <c r="K279" i="26" s="1"/>
  <c r="H279" i="26"/>
  <c r="I279" i="26" s="1"/>
  <c r="G279" i="26"/>
  <c r="J278" i="26"/>
  <c r="K278" i="26" s="1"/>
  <c r="H278" i="26"/>
  <c r="I278" i="26" s="1"/>
  <c r="G278" i="26"/>
  <c r="J277" i="26"/>
  <c r="K277" i="26" s="1"/>
  <c r="I277" i="26"/>
  <c r="H277" i="26"/>
  <c r="G277" i="26"/>
  <c r="J276" i="26"/>
  <c r="K276" i="26" s="1"/>
  <c r="H276" i="26"/>
  <c r="I276" i="26" s="1"/>
  <c r="G276" i="26"/>
  <c r="J275" i="26"/>
  <c r="K275" i="26" s="1"/>
  <c r="H275" i="26"/>
  <c r="I275" i="26" s="1"/>
  <c r="G275" i="26"/>
  <c r="J274" i="26"/>
  <c r="K274" i="26" s="1"/>
  <c r="H274" i="26"/>
  <c r="I274" i="26" s="1"/>
  <c r="G274" i="26"/>
  <c r="J273" i="26"/>
  <c r="K273" i="26" s="1"/>
  <c r="H273" i="26"/>
  <c r="I273" i="26" s="1"/>
  <c r="G273" i="26"/>
  <c r="J272" i="26"/>
  <c r="K272" i="26" s="1"/>
  <c r="H272" i="26"/>
  <c r="I272" i="26" s="1"/>
  <c r="G272" i="26"/>
  <c r="J271" i="26"/>
  <c r="K271" i="26" s="1"/>
  <c r="I271" i="26"/>
  <c r="H271" i="26"/>
  <c r="G271" i="26"/>
  <c r="J270" i="26"/>
  <c r="K270" i="26" s="1"/>
  <c r="H270" i="26"/>
  <c r="I270" i="26" s="1"/>
  <c r="G270" i="26"/>
  <c r="J269" i="26"/>
  <c r="K269" i="26" s="1"/>
  <c r="H269" i="26"/>
  <c r="I269" i="26" s="1"/>
  <c r="G269" i="26"/>
  <c r="J268" i="26"/>
  <c r="K268" i="26" s="1"/>
  <c r="H268" i="26"/>
  <c r="I268" i="26" s="1"/>
  <c r="G268" i="26"/>
  <c r="J267" i="26"/>
  <c r="K267" i="26" s="1"/>
  <c r="H267" i="26"/>
  <c r="I267" i="26" s="1"/>
  <c r="G267" i="26"/>
  <c r="J266" i="26"/>
  <c r="K266" i="26" s="1"/>
  <c r="H266" i="26"/>
  <c r="I266" i="26" s="1"/>
  <c r="G266" i="26"/>
  <c r="J265" i="26"/>
  <c r="K265" i="26" s="1"/>
  <c r="H265" i="26"/>
  <c r="I265" i="26" s="1"/>
  <c r="G265" i="26"/>
  <c r="J264" i="26"/>
  <c r="K264" i="26" s="1"/>
  <c r="I264" i="26"/>
  <c r="H264" i="26"/>
  <c r="G264" i="26"/>
  <c r="J263" i="26"/>
  <c r="K263" i="26" s="1"/>
  <c r="H263" i="26"/>
  <c r="I263" i="26" s="1"/>
  <c r="G263" i="26"/>
  <c r="J262" i="26"/>
  <c r="K262" i="26" s="1"/>
  <c r="H262" i="26"/>
  <c r="I262" i="26" s="1"/>
  <c r="G262" i="26"/>
  <c r="K261" i="26"/>
  <c r="J261" i="26"/>
  <c r="H261" i="26"/>
  <c r="I261" i="26" s="1"/>
  <c r="G261" i="26"/>
  <c r="J260" i="26"/>
  <c r="K260" i="26" s="1"/>
  <c r="H260" i="26"/>
  <c r="I260" i="26" s="1"/>
  <c r="G260" i="26"/>
  <c r="J259" i="26"/>
  <c r="K259" i="26" s="1"/>
  <c r="H259" i="26"/>
  <c r="I259" i="26" s="1"/>
  <c r="G259" i="26"/>
  <c r="J258" i="26"/>
  <c r="K258" i="26" s="1"/>
  <c r="I258" i="26"/>
  <c r="H258" i="26"/>
  <c r="G258" i="26"/>
  <c r="J257" i="26"/>
  <c r="K257" i="26" s="1"/>
  <c r="H257" i="26"/>
  <c r="I257" i="26" s="1"/>
  <c r="G257" i="26"/>
  <c r="J256" i="26"/>
  <c r="K256" i="26" s="1"/>
  <c r="H256" i="26"/>
  <c r="I256" i="26" s="1"/>
  <c r="G256" i="26"/>
  <c r="J255" i="26"/>
  <c r="K255" i="26" s="1"/>
  <c r="H255" i="26"/>
  <c r="I255" i="26" s="1"/>
  <c r="G255" i="26"/>
  <c r="J254" i="26"/>
  <c r="K254" i="26" s="1"/>
  <c r="H254" i="26"/>
  <c r="I254" i="26" s="1"/>
  <c r="G254" i="26"/>
  <c r="J253" i="26"/>
  <c r="K253" i="26" s="1"/>
  <c r="H253" i="26"/>
  <c r="I253" i="26" s="1"/>
  <c r="G253" i="26"/>
  <c r="J252" i="26"/>
  <c r="K252" i="26" s="1"/>
  <c r="H252" i="26"/>
  <c r="I252" i="26" s="1"/>
  <c r="G252" i="26"/>
  <c r="J251" i="26"/>
  <c r="K251" i="26" s="1"/>
  <c r="I251" i="26"/>
  <c r="H251" i="26"/>
  <c r="G251" i="26"/>
  <c r="J250" i="26"/>
  <c r="K250" i="26" s="1"/>
  <c r="H250" i="26"/>
  <c r="I250" i="26" s="1"/>
  <c r="G250" i="26"/>
  <c r="J249" i="26"/>
  <c r="K249" i="26" s="1"/>
  <c r="H249" i="26"/>
  <c r="I249" i="26" s="1"/>
  <c r="G249" i="26"/>
  <c r="J248" i="26"/>
  <c r="K248" i="26" s="1"/>
  <c r="H248" i="26"/>
  <c r="I248" i="26" s="1"/>
  <c r="G248" i="26"/>
  <c r="J247" i="26"/>
  <c r="K247" i="26" s="1"/>
  <c r="H247" i="26"/>
  <c r="I247" i="26" s="1"/>
  <c r="G247" i="26"/>
  <c r="J246" i="26"/>
  <c r="K246" i="26" s="1"/>
  <c r="H246" i="26"/>
  <c r="I246" i="26" s="1"/>
  <c r="G246" i="26"/>
  <c r="J245" i="26"/>
  <c r="K245" i="26" s="1"/>
  <c r="H245" i="26"/>
  <c r="I245" i="26" s="1"/>
  <c r="G245" i="26"/>
  <c r="J244" i="26"/>
  <c r="K244" i="26" s="1"/>
  <c r="H244" i="26"/>
  <c r="I244" i="26" s="1"/>
  <c r="G244" i="26"/>
  <c r="J243" i="26"/>
  <c r="K243" i="26" s="1"/>
  <c r="H243" i="26"/>
  <c r="I243" i="26" s="1"/>
  <c r="G243" i="26"/>
  <c r="J242" i="26"/>
  <c r="K242" i="26" s="1"/>
  <c r="H242" i="26"/>
  <c r="I242" i="26" s="1"/>
  <c r="G242" i="26"/>
  <c r="K241" i="26"/>
  <c r="J241" i="26"/>
  <c r="H241" i="26"/>
  <c r="I241" i="26" s="1"/>
  <c r="G241" i="26"/>
  <c r="J240" i="26"/>
  <c r="K240" i="26" s="1"/>
  <c r="H240" i="26"/>
  <c r="I240" i="26" s="1"/>
  <c r="G240" i="26"/>
  <c r="J239" i="26"/>
  <c r="K239" i="26" s="1"/>
  <c r="H239" i="26"/>
  <c r="I239" i="26" s="1"/>
  <c r="G239" i="26"/>
  <c r="J238" i="26"/>
  <c r="K238" i="26" s="1"/>
  <c r="H238" i="26"/>
  <c r="I238" i="26" s="1"/>
  <c r="G238" i="26"/>
  <c r="J237" i="26"/>
  <c r="K237" i="26" s="1"/>
  <c r="H237" i="26"/>
  <c r="I237" i="26" s="1"/>
  <c r="G237" i="26"/>
  <c r="J236" i="26"/>
  <c r="K236" i="26" s="1"/>
  <c r="H236" i="26"/>
  <c r="I236" i="26" s="1"/>
  <c r="G236" i="26"/>
  <c r="J235" i="26"/>
  <c r="K235" i="26" s="1"/>
  <c r="I235" i="26"/>
  <c r="H235" i="26"/>
  <c r="G235" i="26"/>
  <c r="J234" i="26"/>
  <c r="K234" i="26" s="1"/>
  <c r="H234" i="26"/>
  <c r="I234" i="26" s="1"/>
  <c r="G234" i="26"/>
  <c r="J233" i="26"/>
  <c r="K233" i="26" s="1"/>
  <c r="H233" i="26"/>
  <c r="I233" i="26" s="1"/>
  <c r="G233" i="26"/>
  <c r="J232" i="26"/>
  <c r="K232" i="26" s="1"/>
  <c r="H232" i="26"/>
  <c r="I232" i="26" s="1"/>
  <c r="G232" i="26"/>
  <c r="J231" i="26"/>
  <c r="K231" i="26" s="1"/>
  <c r="H231" i="26"/>
  <c r="I231" i="26" s="1"/>
  <c r="G231" i="26"/>
  <c r="J230" i="26"/>
  <c r="K230" i="26" s="1"/>
  <c r="H230" i="26"/>
  <c r="I230" i="26" s="1"/>
  <c r="G230" i="26"/>
  <c r="J229" i="26"/>
  <c r="K229" i="26" s="1"/>
  <c r="H229" i="26"/>
  <c r="I229" i="26" s="1"/>
  <c r="G229" i="26"/>
  <c r="J228" i="26"/>
  <c r="K228" i="26" s="1"/>
  <c r="H228" i="26"/>
  <c r="I228" i="26" s="1"/>
  <c r="G228" i="26"/>
  <c r="J227" i="26"/>
  <c r="K227" i="26" s="1"/>
  <c r="H227" i="26"/>
  <c r="I227" i="26" s="1"/>
  <c r="G227" i="26"/>
  <c r="J226" i="26"/>
  <c r="K226" i="26" s="1"/>
  <c r="H226" i="26"/>
  <c r="I226" i="26" s="1"/>
  <c r="G226" i="26"/>
  <c r="K225" i="26"/>
  <c r="J225" i="26"/>
  <c r="H225" i="26"/>
  <c r="I225" i="26" s="1"/>
  <c r="G225" i="26"/>
  <c r="J224" i="26"/>
  <c r="K224" i="26" s="1"/>
  <c r="H224" i="26"/>
  <c r="I224" i="26" s="1"/>
  <c r="G224" i="26"/>
  <c r="J223" i="26"/>
  <c r="K223" i="26" s="1"/>
  <c r="H223" i="26"/>
  <c r="I223" i="26" s="1"/>
  <c r="G223" i="26"/>
  <c r="J222" i="26"/>
  <c r="K222" i="26" s="1"/>
  <c r="H222" i="26"/>
  <c r="I222" i="26" s="1"/>
  <c r="G222" i="26"/>
  <c r="J221" i="26"/>
  <c r="K221" i="26" s="1"/>
  <c r="H221" i="26"/>
  <c r="I221" i="26" s="1"/>
  <c r="G221" i="26"/>
  <c r="J220" i="26"/>
  <c r="K220" i="26" s="1"/>
  <c r="H220" i="26"/>
  <c r="I220" i="26" s="1"/>
  <c r="G220" i="26"/>
  <c r="K219" i="26"/>
  <c r="J219" i="26"/>
  <c r="H219" i="26"/>
  <c r="I219" i="26" s="1"/>
  <c r="G219" i="26"/>
  <c r="J218" i="26"/>
  <c r="K218" i="26" s="1"/>
  <c r="H218" i="26"/>
  <c r="I218" i="26" s="1"/>
  <c r="G218" i="26"/>
  <c r="J217" i="26"/>
  <c r="K217" i="26" s="1"/>
  <c r="H217" i="26"/>
  <c r="I217" i="26" s="1"/>
  <c r="G217" i="26"/>
  <c r="J216" i="26"/>
  <c r="K216" i="26" s="1"/>
  <c r="H216" i="26"/>
  <c r="I216" i="26" s="1"/>
  <c r="G216" i="26"/>
  <c r="J215" i="26"/>
  <c r="K215" i="26" s="1"/>
  <c r="H215" i="26"/>
  <c r="I215" i="26" s="1"/>
  <c r="G215" i="26"/>
  <c r="J214" i="26"/>
  <c r="K214" i="26" s="1"/>
  <c r="H214" i="26"/>
  <c r="I214" i="26" s="1"/>
  <c r="G214" i="26"/>
  <c r="J213" i="26"/>
  <c r="K213" i="26" s="1"/>
  <c r="H213" i="26"/>
  <c r="I213" i="26" s="1"/>
  <c r="G213" i="26"/>
  <c r="J212" i="26"/>
  <c r="K212" i="26" s="1"/>
  <c r="H212" i="26"/>
  <c r="I212" i="26" s="1"/>
  <c r="G212" i="26"/>
  <c r="K211" i="26"/>
  <c r="J211" i="26"/>
  <c r="H211" i="26"/>
  <c r="I211" i="26" s="1"/>
  <c r="G211" i="26"/>
  <c r="J210" i="26"/>
  <c r="K210" i="26" s="1"/>
  <c r="H210" i="26"/>
  <c r="I210" i="26" s="1"/>
  <c r="G210" i="26"/>
  <c r="J209" i="26"/>
  <c r="K209" i="26" s="1"/>
  <c r="H209" i="26"/>
  <c r="I209" i="26" s="1"/>
  <c r="G209" i="26"/>
  <c r="J208" i="26"/>
  <c r="K208" i="26" s="1"/>
  <c r="H208" i="26"/>
  <c r="I208" i="26" s="1"/>
  <c r="G208" i="26"/>
  <c r="K207" i="26"/>
  <c r="J207" i="26"/>
  <c r="H207" i="26"/>
  <c r="I207" i="26" s="1"/>
  <c r="G207" i="26"/>
  <c r="J206" i="26"/>
  <c r="K206" i="26" s="1"/>
  <c r="H206" i="26"/>
  <c r="I206" i="26" s="1"/>
  <c r="G206" i="26"/>
  <c r="J205" i="26"/>
  <c r="K205" i="26" s="1"/>
  <c r="I205" i="26"/>
  <c r="H205" i="26"/>
  <c r="G205" i="26"/>
  <c r="K204" i="26"/>
  <c r="J204" i="26"/>
  <c r="H204" i="26"/>
  <c r="I204" i="26" s="1"/>
  <c r="G204" i="26"/>
  <c r="J203" i="26"/>
  <c r="K203" i="26" s="1"/>
  <c r="H203" i="26"/>
  <c r="I203" i="26" s="1"/>
  <c r="G203" i="26"/>
  <c r="J202" i="26"/>
  <c r="K202" i="26" s="1"/>
  <c r="H202" i="26"/>
  <c r="I202" i="26" s="1"/>
  <c r="G202" i="26"/>
  <c r="J201" i="26"/>
  <c r="K201" i="26" s="1"/>
  <c r="H201" i="26"/>
  <c r="I201" i="26" s="1"/>
  <c r="G201" i="26"/>
  <c r="J200" i="26"/>
  <c r="K200" i="26" s="1"/>
  <c r="H200" i="26"/>
  <c r="I200" i="26" s="1"/>
  <c r="G200" i="26"/>
  <c r="J199" i="26"/>
  <c r="K199" i="26" s="1"/>
  <c r="H199" i="26"/>
  <c r="I199" i="26" s="1"/>
  <c r="G199" i="26"/>
  <c r="J198" i="26"/>
  <c r="K198" i="26" s="1"/>
  <c r="H198" i="26"/>
  <c r="I198" i="26" s="1"/>
  <c r="G198" i="26"/>
  <c r="J197" i="26"/>
  <c r="K197" i="26" s="1"/>
  <c r="H197" i="26"/>
  <c r="I197" i="26" s="1"/>
  <c r="G197" i="26"/>
  <c r="J196" i="26"/>
  <c r="K196" i="26" s="1"/>
  <c r="H196" i="26"/>
  <c r="I196" i="26" s="1"/>
  <c r="G196" i="26"/>
  <c r="K195" i="26"/>
  <c r="J195" i="26"/>
  <c r="H195" i="26"/>
  <c r="I195" i="26" s="1"/>
  <c r="G195" i="26"/>
  <c r="J194" i="26"/>
  <c r="K194" i="26" s="1"/>
  <c r="H194" i="26"/>
  <c r="I194" i="26" s="1"/>
  <c r="G194" i="26"/>
  <c r="J193" i="26"/>
  <c r="K193" i="26" s="1"/>
  <c r="H193" i="26"/>
  <c r="I193" i="26" s="1"/>
  <c r="G193" i="26"/>
  <c r="J192" i="26"/>
  <c r="K192" i="26" s="1"/>
  <c r="H192" i="26"/>
  <c r="I192" i="26" s="1"/>
  <c r="G192" i="26"/>
  <c r="J191" i="26"/>
  <c r="K191" i="26" s="1"/>
  <c r="H191" i="26"/>
  <c r="I191" i="26" s="1"/>
  <c r="G191" i="26"/>
  <c r="J190" i="26"/>
  <c r="K190" i="26" s="1"/>
  <c r="H190" i="26"/>
  <c r="I190" i="26" s="1"/>
  <c r="G190" i="26"/>
  <c r="K189" i="26"/>
  <c r="J189" i="26"/>
  <c r="H189" i="26"/>
  <c r="I189" i="26" s="1"/>
  <c r="G189" i="26"/>
  <c r="J188" i="26"/>
  <c r="K188" i="26" s="1"/>
  <c r="H188" i="26"/>
  <c r="I188" i="26" s="1"/>
  <c r="G188" i="26"/>
  <c r="J187" i="26"/>
  <c r="K187" i="26" s="1"/>
  <c r="H187" i="26"/>
  <c r="I187" i="26" s="1"/>
  <c r="G187" i="26"/>
  <c r="J186" i="26"/>
  <c r="K186" i="26" s="1"/>
  <c r="H186" i="26"/>
  <c r="I186" i="26" s="1"/>
  <c r="G186" i="26"/>
  <c r="J185" i="26"/>
  <c r="K185" i="26" s="1"/>
  <c r="H185" i="26"/>
  <c r="I185" i="26" s="1"/>
  <c r="G185" i="26"/>
  <c r="J184" i="26"/>
  <c r="K184" i="26" s="1"/>
  <c r="H184" i="26"/>
  <c r="I184" i="26" s="1"/>
  <c r="G184" i="26"/>
  <c r="J183" i="26"/>
  <c r="K183" i="26" s="1"/>
  <c r="I183" i="26"/>
  <c r="H183" i="26"/>
  <c r="G183" i="26"/>
  <c r="J182" i="26"/>
  <c r="K182" i="26" s="1"/>
  <c r="H182" i="26"/>
  <c r="I182" i="26" s="1"/>
  <c r="G182" i="26"/>
  <c r="J181" i="26"/>
  <c r="K181" i="26" s="1"/>
  <c r="H181" i="26"/>
  <c r="I181" i="26" s="1"/>
  <c r="G181" i="26"/>
  <c r="J180" i="26"/>
  <c r="K180" i="26" s="1"/>
  <c r="H180" i="26"/>
  <c r="I180" i="26" s="1"/>
  <c r="G180" i="26"/>
  <c r="J179" i="26"/>
  <c r="K179" i="26" s="1"/>
  <c r="H179" i="26"/>
  <c r="I179" i="26" s="1"/>
  <c r="G179" i="26"/>
  <c r="J178" i="26"/>
  <c r="K178" i="26" s="1"/>
  <c r="H178" i="26"/>
  <c r="I178" i="26" s="1"/>
  <c r="G178" i="26"/>
  <c r="J177" i="26"/>
  <c r="K177" i="26" s="1"/>
  <c r="H177" i="26"/>
  <c r="I177" i="26" s="1"/>
  <c r="G177" i="26"/>
  <c r="J176" i="26"/>
  <c r="K176" i="26" s="1"/>
  <c r="H176" i="26"/>
  <c r="I176" i="26" s="1"/>
  <c r="G176" i="26"/>
  <c r="J175" i="26"/>
  <c r="K175" i="26" s="1"/>
  <c r="H175" i="26"/>
  <c r="I175" i="26" s="1"/>
  <c r="G175" i="26"/>
  <c r="J174" i="26"/>
  <c r="K174" i="26" s="1"/>
  <c r="H174" i="26"/>
  <c r="I174" i="26" s="1"/>
  <c r="G174" i="26"/>
  <c r="J173" i="26"/>
  <c r="K173" i="26" s="1"/>
  <c r="H173" i="26"/>
  <c r="I173" i="26" s="1"/>
  <c r="G173" i="26"/>
  <c r="J172" i="26"/>
  <c r="K172" i="26" s="1"/>
  <c r="H172" i="26"/>
  <c r="I172" i="26" s="1"/>
  <c r="G172" i="26"/>
  <c r="J171" i="26"/>
  <c r="K171" i="26" s="1"/>
  <c r="H171" i="26"/>
  <c r="I171" i="26" s="1"/>
  <c r="G171" i="26"/>
  <c r="J170" i="26"/>
  <c r="K170" i="26" s="1"/>
  <c r="H170" i="26"/>
  <c r="I170" i="26" s="1"/>
  <c r="G170" i="26"/>
  <c r="K169" i="26"/>
  <c r="J169" i="26"/>
  <c r="H169" i="26"/>
  <c r="I169" i="26" s="1"/>
  <c r="G169" i="26"/>
  <c r="J168" i="26"/>
  <c r="K168" i="26" s="1"/>
  <c r="H168" i="26"/>
  <c r="I168" i="26" s="1"/>
  <c r="G168" i="26"/>
  <c r="J167" i="26"/>
  <c r="K167" i="26" s="1"/>
  <c r="H167" i="26"/>
  <c r="I167" i="26" s="1"/>
  <c r="G167" i="26"/>
  <c r="J166" i="26"/>
  <c r="K166" i="26" s="1"/>
  <c r="H166" i="26"/>
  <c r="I166" i="26" s="1"/>
  <c r="G166" i="26"/>
  <c r="J165" i="26"/>
  <c r="K165" i="26" s="1"/>
  <c r="H165" i="26"/>
  <c r="I165" i="26" s="1"/>
  <c r="G165" i="26"/>
  <c r="J164" i="26"/>
  <c r="K164" i="26" s="1"/>
  <c r="H164" i="26"/>
  <c r="I164" i="26" s="1"/>
  <c r="G164" i="26"/>
  <c r="J163" i="26"/>
  <c r="K163" i="26" s="1"/>
  <c r="I163" i="26"/>
  <c r="H163" i="26"/>
  <c r="G163" i="26"/>
  <c r="J162" i="26"/>
  <c r="K162" i="26" s="1"/>
  <c r="H162" i="26"/>
  <c r="I162" i="26" s="1"/>
  <c r="G162" i="26"/>
  <c r="K161" i="26"/>
  <c r="J161" i="26"/>
  <c r="H161" i="26"/>
  <c r="I161" i="26" s="1"/>
  <c r="G161" i="26"/>
  <c r="K160" i="26"/>
  <c r="J160" i="26"/>
  <c r="H160" i="26"/>
  <c r="I160" i="26" s="1"/>
  <c r="G160" i="26"/>
  <c r="J159" i="26"/>
  <c r="K159" i="26" s="1"/>
  <c r="H159" i="26"/>
  <c r="I159" i="26" s="1"/>
  <c r="G159" i="26"/>
  <c r="J158" i="26"/>
  <c r="K158" i="26" s="1"/>
  <c r="H158" i="26"/>
  <c r="I158" i="26" s="1"/>
  <c r="G158" i="26"/>
  <c r="J157" i="26"/>
  <c r="K157" i="26" s="1"/>
  <c r="I157" i="26"/>
  <c r="H157" i="26"/>
  <c r="G157" i="26"/>
  <c r="J156" i="26"/>
  <c r="K156" i="26" s="1"/>
  <c r="H156" i="26"/>
  <c r="I156" i="26" s="1"/>
  <c r="G156" i="26"/>
  <c r="J155" i="26"/>
  <c r="K155" i="26" s="1"/>
  <c r="H155" i="26"/>
  <c r="I155" i="26" s="1"/>
  <c r="G155" i="26"/>
  <c r="J154" i="26"/>
  <c r="K154" i="26" s="1"/>
  <c r="H154" i="26"/>
  <c r="I154" i="26" s="1"/>
  <c r="G154" i="26"/>
  <c r="J153" i="26"/>
  <c r="K153" i="26" s="1"/>
  <c r="H153" i="26"/>
  <c r="I153" i="26" s="1"/>
  <c r="G153" i="26"/>
  <c r="K152" i="26"/>
  <c r="J152" i="26"/>
  <c r="H152" i="26"/>
  <c r="I152" i="26" s="1"/>
  <c r="G152" i="26"/>
  <c r="J151" i="26"/>
  <c r="K151" i="26" s="1"/>
  <c r="H151" i="26"/>
  <c r="I151" i="26" s="1"/>
  <c r="G151" i="26"/>
  <c r="J150" i="26"/>
  <c r="K150" i="26" s="1"/>
  <c r="H150" i="26"/>
  <c r="I150" i="26" s="1"/>
  <c r="G150" i="26"/>
  <c r="J149" i="26"/>
  <c r="K149" i="26" s="1"/>
  <c r="H149" i="26"/>
  <c r="I149" i="26" s="1"/>
  <c r="G149" i="26"/>
  <c r="J148" i="26"/>
  <c r="K148" i="26" s="1"/>
  <c r="H148" i="26"/>
  <c r="I148" i="26" s="1"/>
  <c r="G148" i="26"/>
  <c r="J147" i="26"/>
  <c r="K147" i="26" s="1"/>
  <c r="H147" i="26"/>
  <c r="I147" i="26" s="1"/>
  <c r="G147" i="26"/>
  <c r="J146" i="26"/>
  <c r="K146" i="26" s="1"/>
  <c r="H146" i="26"/>
  <c r="I146" i="26" s="1"/>
  <c r="G146" i="26"/>
  <c r="J145" i="26"/>
  <c r="K145" i="26" s="1"/>
  <c r="H145" i="26"/>
  <c r="I145" i="26" s="1"/>
  <c r="G145" i="26"/>
  <c r="J144" i="26"/>
  <c r="K144" i="26" s="1"/>
  <c r="H144" i="26"/>
  <c r="I144" i="26" s="1"/>
  <c r="G144" i="26"/>
  <c r="J143" i="26"/>
  <c r="K143" i="26" s="1"/>
  <c r="H143" i="26"/>
  <c r="I143" i="26" s="1"/>
  <c r="G143" i="26"/>
  <c r="J142" i="26"/>
  <c r="K142" i="26" s="1"/>
  <c r="H142" i="26"/>
  <c r="I142" i="26" s="1"/>
  <c r="G142" i="26"/>
  <c r="K141" i="26"/>
  <c r="J141" i="26"/>
  <c r="H141" i="26"/>
  <c r="I141" i="26" s="1"/>
  <c r="G141" i="26"/>
  <c r="J140" i="26"/>
  <c r="K140" i="26" s="1"/>
  <c r="H140" i="26"/>
  <c r="I140" i="26" s="1"/>
  <c r="G140" i="26"/>
  <c r="J139" i="26"/>
  <c r="K139" i="26" s="1"/>
  <c r="H139" i="26"/>
  <c r="I139" i="26" s="1"/>
  <c r="G139" i="26"/>
  <c r="J138" i="26"/>
  <c r="K138" i="26" s="1"/>
  <c r="H138" i="26"/>
  <c r="I138" i="26" s="1"/>
  <c r="G138" i="26"/>
  <c r="J137" i="26"/>
  <c r="K137" i="26" s="1"/>
  <c r="H137" i="26"/>
  <c r="I137" i="26" s="1"/>
  <c r="G137" i="26"/>
  <c r="J136" i="26"/>
  <c r="K136" i="26" s="1"/>
  <c r="H136" i="26"/>
  <c r="I136" i="26" s="1"/>
  <c r="G136" i="26"/>
  <c r="J135" i="26"/>
  <c r="K135" i="26" s="1"/>
  <c r="H135" i="26"/>
  <c r="I135" i="26" s="1"/>
  <c r="G135" i="26"/>
  <c r="J134" i="26"/>
  <c r="K134" i="26" s="1"/>
  <c r="H134" i="26"/>
  <c r="I134" i="26" s="1"/>
  <c r="G134" i="26"/>
  <c r="J133" i="26"/>
  <c r="K133" i="26" s="1"/>
  <c r="H133" i="26"/>
  <c r="I133" i="26" s="1"/>
  <c r="G133" i="26"/>
  <c r="J132" i="26"/>
  <c r="K132" i="26" s="1"/>
  <c r="H132" i="26"/>
  <c r="I132" i="26" s="1"/>
  <c r="G132" i="26"/>
  <c r="J131" i="26"/>
  <c r="K131" i="26" s="1"/>
  <c r="H131" i="26"/>
  <c r="I131" i="26" s="1"/>
  <c r="G131" i="26"/>
  <c r="J130" i="26"/>
  <c r="K130" i="26" s="1"/>
  <c r="H130" i="26"/>
  <c r="I130" i="26" s="1"/>
  <c r="G130" i="26"/>
  <c r="J129" i="26"/>
  <c r="K129" i="26" s="1"/>
  <c r="H129" i="26"/>
  <c r="I129" i="26" s="1"/>
  <c r="G129" i="26"/>
  <c r="J128" i="26"/>
  <c r="K128" i="26" s="1"/>
  <c r="H128" i="26"/>
  <c r="I128" i="26" s="1"/>
  <c r="G128" i="26"/>
  <c r="J127" i="26"/>
  <c r="K127" i="26" s="1"/>
  <c r="H127" i="26"/>
  <c r="I127" i="26" s="1"/>
  <c r="G127" i="26"/>
  <c r="J126" i="26"/>
  <c r="K126" i="26" s="1"/>
  <c r="H126" i="26"/>
  <c r="I126" i="26" s="1"/>
  <c r="G126" i="26"/>
  <c r="J125" i="26"/>
  <c r="K125" i="26" s="1"/>
  <c r="H125" i="26"/>
  <c r="I125" i="26" s="1"/>
  <c r="G125" i="26"/>
  <c r="J124" i="26"/>
  <c r="K124" i="26" s="1"/>
  <c r="H124" i="26"/>
  <c r="I124" i="26" s="1"/>
  <c r="G124" i="26"/>
  <c r="K123" i="26"/>
  <c r="J123" i="26"/>
  <c r="H123" i="26"/>
  <c r="I123" i="26" s="1"/>
  <c r="G123" i="26"/>
  <c r="J122" i="26"/>
  <c r="K122" i="26" s="1"/>
  <c r="H122" i="26"/>
  <c r="I122" i="26" s="1"/>
  <c r="G122" i="26"/>
  <c r="J121" i="26"/>
  <c r="K121" i="26" s="1"/>
  <c r="H121" i="26"/>
  <c r="I121" i="26" s="1"/>
  <c r="G121" i="26"/>
  <c r="J120" i="26"/>
  <c r="K120" i="26" s="1"/>
  <c r="H120" i="26"/>
  <c r="I120" i="26" s="1"/>
  <c r="G120" i="26"/>
  <c r="J119" i="26"/>
  <c r="K119" i="26" s="1"/>
  <c r="H119" i="26"/>
  <c r="I119" i="26" s="1"/>
  <c r="G119" i="26"/>
  <c r="J118" i="26"/>
  <c r="K118" i="26" s="1"/>
  <c r="I118" i="26"/>
  <c r="H118" i="26"/>
  <c r="G118" i="26"/>
  <c r="J117" i="26"/>
  <c r="K117" i="26" s="1"/>
  <c r="H117" i="26"/>
  <c r="I117" i="26" s="1"/>
  <c r="G117" i="26"/>
  <c r="J116" i="26"/>
  <c r="K116" i="26" s="1"/>
  <c r="H116" i="26"/>
  <c r="I116" i="26" s="1"/>
  <c r="G116" i="26"/>
  <c r="J115" i="26"/>
  <c r="K115" i="26" s="1"/>
  <c r="I115" i="26"/>
  <c r="H115" i="26"/>
  <c r="G115" i="26"/>
  <c r="J114" i="26"/>
  <c r="K114" i="26" s="1"/>
  <c r="H114" i="26"/>
  <c r="I114" i="26" s="1"/>
  <c r="G114" i="26"/>
  <c r="J113" i="26"/>
  <c r="K113" i="26" s="1"/>
  <c r="H113" i="26"/>
  <c r="I113" i="26" s="1"/>
  <c r="G113" i="26"/>
  <c r="J112" i="26"/>
  <c r="K112" i="26" s="1"/>
  <c r="H112" i="26"/>
  <c r="I112" i="26" s="1"/>
  <c r="G112" i="26"/>
  <c r="J111" i="26"/>
  <c r="K111" i="26" s="1"/>
  <c r="H111" i="26"/>
  <c r="I111" i="26" s="1"/>
  <c r="G111" i="26"/>
  <c r="J110" i="26"/>
  <c r="K110" i="26" s="1"/>
  <c r="H110" i="26"/>
  <c r="I110" i="26" s="1"/>
  <c r="G110" i="26"/>
  <c r="J109" i="26"/>
  <c r="K109" i="26" s="1"/>
  <c r="H109" i="26"/>
  <c r="I109" i="26" s="1"/>
  <c r="G109" i="26"/>
  <c r="J108" i="26"/>
  <c r="K108" i="26" s="1"/>
  <c r="H108" i="26"/>
  <c r="I108" i="26" s="1"/>
  <c r="G108" i="26"/>
  <c r="K107" i="26"/>
  <c r="J107" i="26"/>
  <c r="H107" i="26"/>
  <c r="I107" i="26" s="1"/>
  <c r="G107" i="26"/>
  <c r="J106" i="26"/>
  <c r="K106" i="26" s="1"/>
  <c r="H106" i="26"/>
  <c r="I106" i="26" s="1"/>
  <c r="G106" i="26"/>
  <c r="J105" i="26"/>
  <c r="K105" i="26" s="1"/>
  <c r="I105" i="26"/>
  <c r="H105" i="26"/>
  <c r="G105" i="26"/>
  <c r="J104" i="26"/>
  <c r="K104" i="26" s="1"/>
  <c r="H104" i="26"/>
  <c r="I104" i="26" s="1"/>
  <c r="G104" i="26"/>
  <c r="J103" i="26"/>
  <c r="K103" i="26" s="1"/>
  <c r="H103" i="26"/>
  <c r="I103" i="26" s="1"/>
  <c r="G103" i="26"/>
  <c r="J102" i="26"/>
  <c r="K102" i="26" s="1"/>
  <c r="H102" i="26"/>
  <c r="I102" i="26" s="1"/>
  <c r="G102" i="26"/>
  <c r="J101" i="26"/>
  <c r="K101" i="26" s="1"/>
  <c r="I101" i="26"/>
  <c r="H101" i="26"/>
  <c r="G101" i="26"/>
  <c r="J100" i="26"/>
  <c r="K100" i="26" s="1"/>
  <c r="H100" i="26"/>
  <c r="I100" i="26" s="1"/>
  <c r="G100" i="26"/>
  <c r="J99" i="26"/>
  <c r="K99" i="26" s="1"/>
  <c r="H99" i="26"/>
  <c r="I99" i="26" s="1"/>
  <c r="G99" i="26"/>
  <c r="J98" i="26"/>
  <c r="K98" i="26" s="1"/>
  <c r="H98" i="26"/>
  <c r="I98" i="26" s="1"/>
  <c r="G98" i="26"/>
  <c r="J97" i="26"/>
  <c r="K97" i="26" s="1"/>
  <c r="H97" i="26"/>
  <c r="I97" i="26" s="1"/>
  <c r="G97" i="26"/>
  <c r="J96" i="26"/>
  <c r="K96" i="26" s="1"/>
  <c r="H96" i="26"/>
  <c r="I96" i="26" s="1"/>
  <c r="G96" i="26"/>
  <c r="K95" i="26"/>
  <c r="J95" i="26"/>
  <c r="H95" i="26"/>
  <c r="I95" i="26" s="1"/>
  <c r="G95" i="26"/>
  <c r="J94" i="26"/>
  <c r="K94" i="26" s="1"/>
  <c r="H94" i="26"/>
  <c r="I94" i="26" s="1"/>
  <c r="G94" i="26"/>
  <c r="J93" i="26"/>
  <c r="K93" i="26" s="1"/>
  <c r="H93" i="26"/>
  <c r="I93" i="26" s="1"/>
  <c r="G93" i="26"/>
  <c r="J92" i="26"/>
  <c r="K92" i="26" s="1"/>
  <c r="H92" i="26"/>
  <c r="I92" i="26" s="1"/>
  <c r="G92" i="26"/>
  <c r="J91" i="26"/>
  <c r="K91" i="26" s="1"/>
  <c r="H91" i="26"/>
  <c r="I91" i="26" s="1"/>
  <c r="G91" i="26"/>
  <c r="J90" i="26"/>
  <c r="K90" i="26" s="1"/>
  <c r="H90" i="26"/>
  <c r="I90" i="26" s="1"/>
  <c r="G90" i="26"/>
  <c r="J89" i="26"/>
  <c r="K89" i="26" s="1"/>
  <c r="I89" i="26"/>
  <c r="H89" i="26"/>
  <c r="G89" i="26"/>
  <c r="J88" i="26"/>
  <c r="K88" i="26" s="1"/>
  <c r="H88" i="26"/>
  <c r="I88" i="26" s="1"/>
  <c r="G88" i="26"/>
  <c r="K87" i="26"/>
  <c r="J87" i="26"/>
  <c r="H87" i="26"/>
  <c r="I87" i="26" s="1"/>
  <c r="G87" i="26"/>
  <c r="J86" i="26"/>
  <c r="K86" i="26" s="1"/>
  <c r="H86" i="26"/>
  <c r="I86" i="26" s="1"/>
  <c r="G86" i="26"/>
  <c r="J85" i="26"/>
  <c r="K85" i="26" s="1"/>
  <c r="I85" i="26"/>
  <c r="H85" i="26"/>
  <c r="G85" i="26"/>
  <c r="J84" i="26"/>
  <c r="K84" i="26" s="1"/>
  <c r="H84" i="26"/>
  <c r="I84" i="26" s="1"/>
  <c r="G84" i="26"/>
  <c r="J83" i="26"/>
  <c r="K83" i="26" s="1"/>
  <c r="H83" i="26"/>
  <c r="I83" i="26" s="1"/>
  <c r="G83" i="26"/>
  <c r="J82" i="26"/>
  <c r="K82" i="26" s="1"/>
  <c r="H82" i="26"/>
  <c r="I82" i="26" s="1"/>
  <c r="G82" i="26"/>
  <c r="J81" i="26"/>
  <c r="K81" i="26" s="1"/>
  <c r="H81" i="26"/>
  <c r="I81" i="26" s="1"/>
  <c r="G81" i="26"/>
  <c r="J80" i="26"/>
  <c r="K80" i="26" s="1"/>
  <c r="H80" i="26"/>
  <c r="I80" i="26" s="1"/>
  <c r="G80" i="26"/>
  <c r="J79" i="26"/>
  <c r="K79" i="26" s="1"/>
  <c r="H79" i="26"/>
  <c r="I79" i="26" s="1"/>
  <c r="G79" i="26"/>
  <c r="J78" i="26"/>
  <c r="K78" i="26" s="1"/>
  <c r="H78" i="26"/>
  <c r="I78" i="26" s="1"/>
  <c r="G78" i="26"/>
  <c r="J77" i="26"/>
  <c r="K77" i="26" s="1"/>
  <c r="H77" i="26"/>
  <c r="I77" i="26" s="1"/>
  <c r="G77" i="26"/>
  <c r="J76" i="26"/>
  <c r="K76" i="26" s="1"/>
  <c r="H76" i="26"/>
  <c r="I76" i="26" s="1"/>
  <c r="G76" i="26"/>
  <c r="K75" i="26"/>
  <c r="J75" i="26"/>
  <c r="H75" i="26"/>
  <c r="I75" i="26" s="1"/>
  <c r="G75" i="26"/>
  <c r="J74" i="26"/>
  <c r="K74" i="26" s="1"/>
  <c r="H74" i="26"/>
  <c r="I74" i="26" s="1"/>
  <c r="G74" i="26"/>
  <c r="J73" i="26"/>
  <c r="K73" i="26" s="1"/>
  <c r="H73" i="26"/>
  <c r="I73" i="26" s="1"/>
  <c r="G73" i="26"/>
  <c r="J72" i="26"/>
  <c r="K72" i="26" s="1"/>
  <c r="H72" i="26"/>
  <c r="I72" i="26" s="1"/>
  <c r="G72" i="26"/>
  <c r="J71" i="26"/>
  <c r="K71" i="26" s="1"/>
  <c r="H71" i="26"/>
  <c r="I71" i="26" s="1"/>
  <c r="G71" i="26"/>
  <c r="J70" i="26"/>
  <c r="K70" i="26" s="1"/>
  <c r="H70" i="26"/>
  <c r="I70" i="26" s="1"/>
  <c r="G70" i="26"/>
  <c r="J69" i="26"/>
  <c r="K69" i="26" s="1"/>
  <c r="H69" i="26"/>
  <c r="I69" i="26" s="1"/>
  <c r="G69" i="26"/>
  <c r="J68" i="26"/>
  <c r="K68" i="26" s="1"/>
  <c r="H68" i="26"/>
  <c r="I68" i="26" s="1"/>
  <c r="G68" i="26"/>
  <c r="J67" i="26"/>
  <c r="K67" i="26" s="1"/>
  <c r="H67" i="26"/>
  <c r="I67" i="26" s="1"/>
  <c r="G67" i="26"/>
  <c r="J66" i="26"/>
  <c r="K66" i="26" s="1"/>
  <c r="H66" i="26"/>
  <c r="I66" i="26" s="1"/>
  <c r="G66" i="26"/>
  <c r="J65" i="26"/>
  <c r="K65" i="26" s="1"/>
  <c r="I65" i="26"/>
  <c r="H65" i="26"/>
  <c r="G65" i="26"/>
  <c r="J64" i="26"/>
  <c r="K64" i="26" s="1"/>
  <c r="H64" i="26"/>
  <c r="I64" i="26" s="1"/>
  <c r="G64" i="26"/>
  <c r="J63" i="26"/>
  <c r="K63" i="26" s="1"/>
  <c r="H63" i="26"/>
  <c r="I63" i="26" s="1"/>
  <c r="G63" i="26"/>
  <c r="K62" i="26"/>
  <c r="J62" i="26"/>
  <c r="H62" i="26"/>
  <c r="I62" i="26" s="1"/>
  <c r="G62" i="26"/>
  <c r="J61" i="26"/>
  <c r="K61" i="26" s="1"/>
  <c r="H61" i="26"/>
  <c r="I61" i="26" s="1"/>
  <c r="G61" i="26"/>
  <c r="J60" i="26"/>
  <c r="K60" i="26" s="1"/>
  <c r="H60" i="26"/>
  <c r="I60" i="26" s="1"/>
  <c r="G60" i="26"/>
  <c r="J59" i="26"/>
  <c r="K59" i="26" s="1"/>
  <c r="I59" i="26"/>
  <c r="H59" i="26"/>
  <c r="G59" i="26"/>
  <c r="J58" i="26"/>
  <c r="K58" i="26" s="1"/>
  <c r="H58" i="26"/>
  <c r="I58" i="26" s="1"/>
  <c r="G58" i="26"/>
  <c r="J57" i="26"/>
  <c r="K57" i="26" s="1"/>
  <c r="H57" i="26"/>
  <c r="I57" i="26" s="1"/>
  <c r="G57" i="26"/>
  <c r="K56" i="26"/>
  <c r="J56" i="26"/>
  <c r="H56" i="26"/>
  <c r="I56" i="26" s="1"/>
  <c r="G56" i="26"/>
  <c r="J55" i="26"/>
  <c r="K55" i="26" s="1"/>
  <c r="H55" i="26"/>
  <c r="I55" i="26" s="1"/>
  <c r="G55" i="26"/>
  <c r="J54" i="26"/>
  <c r="K54" i="26" s="1"/>
  <c r="H54" i="26"/>
  <c r="I54" i="26" s="1"/>
  <c r="G54" i="26"/>
  <c r="J53" i="26"/>
  <c r="K53" i="26" s="1"/>
  <c r="H53" i="26"/>
  <c r="I53" i="26" s="1"/>
  <c r="G53" i="26"/>
  <c r="J52" i="26"/>
  <c r="K52" i="26" s="1"/>
  <c r="H52" i="26"/>
  <c r="I52" i="26" s="1"/>
  <c r="G52" i="26"/>
  <c r="J51" i="26"/>
  <c r="K51" i="26" s="1"/>
  <c r="H51" i="26"/>
  <c r="I51" i="26" s="1"/>
  <c r="G51" i="26"/>
  <c r="J50" i="26"/>
  <c r="K50" i="26" s="1"/>
  <c r="H50" i="26"/>
  <c r="I50" i="26" s="1"/>
  <c r="G50" i="26"/>
  <c r="K49" i="26"/>
  <c r="J49" i="26"/>
  <c r="H49" i="26"/>
  <c r="I49" i="26" s="1"/>
  <c r="G49" i="26"/>
  <c r="J48" i="26"/>
  <c r="K48" i="26" s="1"/>
  <c r="H48" i="26"/>
  <c r="I48" i="26" s="1"/>
  <c r="G48" i="26"/>
  <c r="J47" i="26"/>
  <c r="K47" i="26" s="1"/>
  <c r="H47" i="26"/>
  <c r="I47" i="26" s="1"/>
  <c r="G47" i="26"/>
  <c r="J46" i="26"/>
  <c r="K46" i="26" s="1"/>
  <c r="H46" i="26"/>
  <c r="I46" i="26" s="1"/>
  <c r="G46" i="26"/>
  <c r="J45" i="26"/>
  <c r="K45" i="26" s="1"/>
  <c r="H45" i="26"/>
  <c r="I45" i="26" s="1"/>
  <c r="G45" i="26"/>
  <c r="J44" i="26"/>
  <c r="K44" i="26" s="1"/>
  <c r="H44" i="26"/>
  <c r="I44" i="26" s="1"/>
  <c r="G44" i="26"/>
  <c r="J43" i="26"/>
  <c r="K43" i="26" s="1"/>
  <c r="I43" i="26"/>
  <c r="H43" i="26"/>
  <c r="G43" i="26"/>
  <c r="J42" i="26"/>
  <c r="K42" i="26" s="1"/>
  <c r="H42" i="26"/>
  <c r="I42" i="26" s="1"/>
  <c r="G42" i="26"/>
  <c r="J41" i="26"/>
  <c r="K41" i="26" s="1"/>
  <c r="H41" i="26"/>
  <c r="I41" i="26" s="1"/>
  <c r="G41" i="26"/>
  <c r="J40" i="26"/>
  <c r="K40" i="26" s="1"/>
  <c r="H40" i="26"/>
  <c r="I40" i="26" s="1"/>
  <c r="G40" i="26"/>
  <c r="J39" i="26"/>
  <c r="K39" i="26" s="1"/>
  <c r="H39" i="26"/>
  <c r="I39" i="26" s="1"/>
  <c r="G39" i="26"/>
  <c r="J38" i="26"/>
  <c r="K38" i="26" s="1"/>
  <c r="H38" i="26"/>
  <c r="I38" i="26" s="1"/>
  <c r="G38" i="26"/>
  <c r="J37" i="26"/>
  <c r="K37" i="26" s="1"/>
  <c r="H37" i="26"/>
  <c r="I37" i="26" s="1"/>
  <c r="G37" i="26"/>
  <c r="J36" i="26"/>
  <c r="K36" i="26" s="1"/>
  <c r="H36" i="26"/>
  <c r="I36" i="26" s="1"/>
  <c r="G36" i="26"/>
  <c r="J35" i="26"/>
  <c r="K35" i="26" s="1"/>
  <c r="H35" i="26"/>
  <c r="I35" i="26" s="1"/>
  <c r="G35" i="26"/>
  <c r="J34" i="26"/>
  <c r="K34" i="26" s="1"/>
  <c r="H34" i="26"/>
  <c r="I34" i="26" s="1"/>
  <c r="G34" i="26"/>
  <c r="J33" i="26"/>
  <c r="K33" i="26" s="1"/>
  <c r="H33" i="26"/>
  <c r="I33" i="26" s="1"/>
  <c r="G33" i="26"/>
  <c r="J32" i="26"/>
  <c r="K32" i="26" s="1"/>
  <c r="H32" i="26"/>
  <c r="I32" i="26" s="1"/>
  <c r="G32" i="26"/>
  <c r="J31" i="26"/>
  <c r="K31" i="26" s="1"/>
  <c r="H31" i="26"/>
  <c r="I31" i="26" s="1"/>
  <c r="G31" i="26"/>
  <c r="J30" i="26"/>
  <c r="K30" i="26" s="1"/>
  <c r="H30" i="26"/>
  <c r="I30" i="26" s="1"/>
  <c r="G30" i="26"/>
  <c r="J29" i="26"/>
  <c r="K29" i="26" s="1"/>
  <c r="H29" i="26"/>
  <c r="I29" i="26" s="1"/>
  <c r="G29" i="26"/>
  <c r="J28" i="26"/>
  <c r="K28" i="26" s="1"/>
  <c r="H28" i="26"/>
  <c r="I28" i="26" s="1"/>
  <c r="G28" i="26"/>
  <c r="J27" i="26"/>
  <c r="K27" i="26" s="1"/>
  <c r="H27" i="26"/>
  <c r="I27" i="26" s="1"/>
  <c r="G27" i="26"/>
  <c r="J26" i="26"/>
  <c r="K26" i="26" s="1"/>
  <c r="H26" i="26"/>
  <c r="I26" i="26" s="1"/>
  <c r="G26" i="26"/>
  <c r="J25" i="26"/>
  <c r="K25" i="26" s="1"/>
  <c r="H25" i="26"/>
  <c r="I25" i="26" s="1"/>
  <c r="G25" i="26"/>
  <c r="J24" i="26"/>
  <c r="K24" i="26" s="1"/>
  <c r="H24" i="26"/>
  <c r="I24" i="26" s="1"/>
  <c r="G24" i="26"/>
  <c r="J23" i="26"/>
  <c r="K23" i="26" s="1"/>
  <c r="H23" i="26"/>
  <c r="I23" i="26" s="1"/>
  <c r="G23" i="26"/>
  <c r="J22" i="26"/>
  <c r="K22" i="26" s="1"/>
  <c r="H22" i="26"/>
  <c r="I22" i="26" s="1"/>
  <c r="G22" i="26"/>
  <c r="J21" i="26"/>
  <c r="K21" i="26" s="1"/>
  <c r="H21" i="26"/>
  <c r="I21" i="26" s="1"/>
  <c r="G21" i="26"/>
  <c r="J20" i="26"/>
  <c r="K20" i="26" s="1"/>
  <c r="H20" i="26"/>
  <c r="I20" i="26" s="1"/>
  <c r="G20" i="26"/>
  <c r="K19" i="26"/>
  <c r="J19" i="26"/>
  <c r="H19" i="26"/>
  <c r="I19" i="26" s="1"/>
  <c r="G19" i="26"/>
  <c r="J18" i="26"/>
  <c r="K18" i="26" s="1"/>
  <c r="H18" i="26"/>
  <c r="I18" i="26" s="1"/>
  <c r="G18" i="26"/>
  <c r="J17" i="26"/>
  <c r="K17" i="26" s="1"/>
  <c r="H17" i="26"/>
  <c r="I17" i="26" s="1"/>
  <c r="G17" i="26"/>
  <c r="J16" i="26"/>
  <c r="K16" i="26" s="1"/>
  <c r="H16" i="26"/>
  <c r="I16" i="26" s="1"/>
  <c r="G16" i="26"/>
  <c r="J15" i="26"/>
  <c r="K15" i="26" s="1"/>
  <c r="H15" i="26"/>
  <c r="I15" i="26" s="1"/>
  <c r="G15" i="26"/>
  <c r="J14" i="26"/>
  <c r="K14" i="26" s="1"/>
  <c r="H14" i="26"/>
  <c r="I14" i="26" s="1"/>
  <c r="G14" i="26"/>
  <c r="J13" i="26"/>
  <c r="K13" i="26" s="1"/>
  <c r="H13" i="26"/>
  <c r="I13" i="26" s="1"/>
  <c r="G13" i="26"/>
  <c r="J12" i="26"/>
  <c r="K12" i="26" s="1"/>
  <c r="H12" i="26"/>
  <c r="I12" i="26" s="1"/>
  <c r="G12" i="26"/>
  <c r="J11" i="26"/>
  <c r="K11" i="26" s="1"/>
  <c r="H11" i="26"/>
  <c r="I11" i="26" s="1"/>
  <c r="G11" i="26"/>
  <c r="J10" i="26"/>
  <c r="K10" i="26" s="1"/>
  <c r="H10" i="26"/>
  <c r="I10" i="26" s="1"/>
  <c r="G10" i="26"/>
  <c r="J9" i="26"/>
  <c r="K9" i="26" s="1"/>
  <c r="H9" i="26"/>
  <c r="I9" i="26" s="1"/>
  <c r="G9" i="26"/>
  <c r="J8" i="26"/>
  <c r="K8" i="26" s="1"/>
  <c r="H8" i="26"/>
  <c r="I8" i="26" s="1"/>
  <c r="G8" i="26"/>
  <c r="J7" i="26"/>
  <c r="K7" i="26" s="1"/>
  <c r="H7" i="26"/>
  <c r="I7" i="26" s="1"/>
  <c r="G7" i="26"/>
  <c r="K6" i="26"/>
  <c r="J6" i="26"/>
  <c r="H6" i="26"/>
  <c r="I6" i="26" s="1"/>
  <c r="G6" i="26"/>
  <c r="J5" i="26"/>
  <c r="K5" i="26" s="1"/>
  <c r="H5" i="26"/>
  <c r="I5" i="26" s="1"/>
  <c r="G5" i="26"/>
  <c r="J4" i="26"/>
  <c r="K4" i="26" s="1"/>
  <c r="H4" i="26"/>
  <c r="I4" i="26" s="1"/>
  <c r="G4" i="26"/>
  <c r="J3" i="26"/>
  <c r="K3" i="26" s="1"/>
  <c r="H3" i="26"/>
  <c r="I3" i="26" s="1"/>
  <c r="G3" i="26"/>
  <c r="J2" i="26"/>
  <c r="K2" i="26" s="1"/>
  <c r="H2" i="26"/>
  <c r="I2" i="26" s="1"/>
  <c r="G2" i="26"/>
  <c r="H793" i="25" l="1"/>
  <c r="I793" i="25" s="1"/>
  <c r="H792" i="25"/>
  <c r="I792" i="25"/>
  <c r="H791" i="25"/>
  <c r="I791" i="25"/>
  <c r="H790" i="25"/>
  <c r="I790" i="25"/>
  <c r="H789" i="25"/>
  <c r="I789" i="25"/>
  <c r="H788" i="25"/>
  <c r="I788" i="25"/>
  <c r="H786" i="25"/>
  <c r="I786" i="25" s="1"/>
  <c r="H785" i="25"/>
  <c r="I785" i="25" s="1"/>
  <c r="H784" i="25"/>
  <c r="I784" i="25"/>
  <c r="H783" i="25"/>
  <c r="I783" i="25" s="1"/>
  <c r="H781" i="25"/>
  <c r="I781" i="25" s="1"/>
  <c r="H780" i="25"/>
  <c r="I780" i="25" s="1"/>
  <c r="H779" i="25"/>
  <c r="I779" i="25" s="1"/>
  <c r="H778" i="25"/>
  <c r="I778" i="25"/>
  <c r="H777" i="25"/>
  <c r="I777" i="25"/>
  <c r="H776" i="25"/>
  <c r="I776" i="25"/>
  <c r="H775" i="25"/>
  <c r="I775" i="25" s="1"/>
  <c r="H773" i="25"/>
  <c r="I773" i="25" s="1"/>
  <c r="H772" i="25"/>
  <c r="I772" i="25"/>
  <c r="H771" i="25"/>
  <c r="I771" i="25" s="1"/>
  <c r="H770" i="25"/>
  <c r="I770" i="25" s="1"/>
  <c r="H769" i="25"/>
  <c r="I769" i="25"/>
  <c r="H768" i="25"/>
  <c r="I768" i="25" s="1"/>
  <c r="H766" i="25"/>
  <c r="I766" i="25" s="1"/>
  <c r="H765" i="25"/>
  <c r="I765" i="25" s="1"/>
  <c r="H764" i="25"/>
  <c r="I764" i="25" s="1"/>
  <c r="H763" i="25"/>
  <c r="I763" i="25" s="1"/>
  <c r="H762" i="25"/>
  <c r="I762" i="25" s="1"/>
  <c r="H760" i="25"/>
  <c r="I760" i="25" s="1"/>
  <c r="H759" i="25"/>
  <c r="I759" i="25" s="1"/>
  <c r="H758" i="25"/>
  <c r="I758" i="25" s="1"/>
  <c r="H757" i="25"/>
  <c r="I757" i="25" s="1"/>
  <c r="H756" i="25"/>
  <c r="I756" i="25" s="1"/>
  <c r="H750" i="25"/>
  <c r="I750" i="25" s="1"/>
  <c r="H748" i="25"/>
  <c r="I748" i="25" s="1"/>
  <c r="H738" i="25"/>
  <c r="I738" i="25" s="1"/>
  <c r="H736" i="25"/>
  <c r="I736" i="25" s="1"/>
  <c r="H734" i="25"/>
  <c r="I734" i="25" s="1"/>
  <c r="H733" i="25"/>
  <c r="I733" i="25" s="1"/>
  <c r="H732" i="25"/>
  <c r="I732" i="25" s="1"/>
  <c r="H731" i="25"/>
  <c r="I731" i="25" s="1"/>
  <c r="H730" i="25"/>
  <c r="I730" i="25" s="1"/>
  <c r="H728" i="25"/>
  <c r="I728" i="25" s="1"/>
  <c r="H720" i="25"/>
  <c r="H721" i="25"/>
  <c r="H722" i="25"/>
  <c r="I722" i="25" s="1"/>
  <c r="H723" i="25"/>
  <c r="H724" i="25"/>
  <c r="H725" i="25"/>
  <c r="I725" i="25" s="1"/>
  <c r="H726" i="25"/>
  <c r="I726" i="25" s="1"/>
  <c r="H727" i="25"/>
  <c r="I727" i="25" s="1"/>
  <c r="H729" i="25"/>
  <c r="H735" i="25"/>
  <c r="H737" i="25"/>
  <c r="H739" i="25"/>
  <c r="H740" i="25"/>
  <c r="H741" i="25"/>
  <c r="H742" i="25"/>
  <c r="H743" i="25"/>
  <c r="H744" i="25"/>
  <c r="H745" i="25"/>
  <c r="H746" i="25"/>
  <c r="H747" i="25"/>
  <c r="H749" i="25"/>
  <c r="H751" i="25"/>
  <c r="H752" i="25"/>
  <c r="H753" i="25"/>
  <c r="H754" i="25"/>
  <c r="H755" i="25"/>
  <c r="H761" i="25"/>
  <c r="H767" i="25"/>
  <c r="H774" i="25"/>
  <c r="H782" i="25"/>
  <c r="H787" i="25"/>
  <c r="H794" i="25"/>
  <c r="H795" i="25"/>
  <c r="H796" i="25"/>
  <c r="H797" i="25"/>
  <c r="H798" i="25"/>
  <c r="H799" i="25"/>
  <c r="H800" i="25"/>
  <c r="H801" i="25"/>
  <c r="H802" i="25"/>
  <c r="H803" i="25"/>
  <c r="H804" i="25"/>
  <c r="H805" i="25"/>
  <c r="H806" i="25"/>
  <c r="H807" i="25"/>
  <c r="H808" i="25"/>
  <c r="H809" i="25"/>
  <c r="H810" i="25"/>
  <c r="H811" i="25"/>
  <c r="H812" i="25"/>
  <c r="H813" i="25"/>
  <c r="H814" i="25"/>
  <c r="H815" i="25"/>
  <c r="H816" i="25"/>
  <c r="H817" i="25"/>
  <c r="H818" i="25"/>
  <c r="H819" i="25"/>
  <c r="H820" i="25"/>
  <c r="H821" i="25"/>
  <c r="H822" i="25"/>
  <c r="H823" i="25"/>
  <c r="H824" i="25"/>
  <c r="H825" i="25"/>
  <c r="H826" i="25"/>
  <c r="H827" i="25"/>
  <c r="H828" i="25"/>
  <c r="H829" i="25"/>
  <c r="H830" i="25"/>
  <c r="H831" i="25"/>
  <c r="H832" i="25"/>
  <c r="H833" i="25"/>
  <c r="H834" i="25"/>
  <c r="H835" i="25"/>
  <c r="H836" i="25"/>
  <c r="H837" i="25"/>
  <c r="H838" i="25"/>
  <c r="H839" i="25"/>
  <c r="H840" i="25"/>
  <c r="H841" i="25"/>
  <c r="H842" i="25"/>
  <c r="H843" i="25"/>
  <c r="H844" i="25"/>
  <c r="H845" i="25"/>
  <c r="H846" i="25"/>
  <c r="H847" i="25"/>
  <c r="H848" i="25"/>
  <c r="H849" i="25"/>
  <c r="H850" i="25"/>
  <c r="H851" i="25"/>
  <c r="H852" i="25"/>
  <c r="H853" i="25"/>
  <c r="H854" i="25"/>
  <c r="H855" i="25"/>
  <c r="H856" i="25"/>
  <c r="H857" i="25"/>
  <c r="H858" i="25"/>
  <c r="H859" i="25"/>
  <c r="H860" i="25"/>
  <c r="H861" i="25"/>
  <c r="H862" i="25"/>
  <c r="H863" i="25"/>
  <c r="H864" i="25"/>
  <c r="H865" i="25"/>
  <c r="H866" i="25"/>
  <c r="H867" i="25"/>
  <c r="H868" i="25"/>
  <c r="H869" i="25"/>
  <c r="H870" i="25"/>
  <c r="H871" i="25"/>
  <c r="H872" i="25"/>
  <c r="H873" i="25"/>
  <c r="H874" i="25"/>
  <c r="H875" i="25"/>
  <c r="H876" i="25"/>
  <c r="H877" i="25"/>
  <c r="H878" i="25"/>
  <c r="H879" i="25"/>
  <c r="H880" i="25"/>
  <c r="H881" i="25"/>
  <c r="H882" i="25"/>
  <c r="H883" i="25"/>
  <c r="H884" i="25"/>
  <c r="H885" i="25"/>
  <c r="H886" i="25"/>
  <c r="H887" i="25"/>
  <c r="H888" i="25"/>
  <c r="H889" i="25"/>
  <c r="H890" i="25"/>
  <c r="H891" i="25"/>
  <c r="H892" i="25"/>
  <c r="H893" i="25"/>
  <c r="H894" i="25"/>
  <c r="H895" i="25"/>
  <c r="H896" i="25"/>
  <c r="H897" i="25"/>
  <c r="H898" i="25"/>
  <c r="H899" i="25"/>
  <c r="H900" i="25"/>
  <c r="H901" i="25"/>
  <c r="H902" i="25"/>
  <c r="H903" i="25"/>
  <c r="H904" i="25"/>
  <c r="H905" i="25"/>
  <c r="H906" i="25"/>
  <c r="H907" i="25"/>
  <c r="H908" i="25"/>
  <c r="H909" i="25"/>
  <c r="H910" i="25"/>
  <c r="H911" i="25"/>
  <c r="H912" i="25"/>
  <c r="H913" i="25"/>
  <c r="H914" i="25"/>
  <c r="H915" i="25"/>
  <c r="H916" i="25"/>
  <c r="H917" i="25"/>
  <c r="H918" i="25"/>
  <c r="H919" i="25"/>
  <c r="H920" i="25"/>
  <c r="H921" i="25"/>
  <c r="H922" i="25"/>
  <c r="H923" i="25"/>
  <c r="H924" i="25"/>
  <c r="H925" i="25"/>
  <c r="H926" i="25"/>
  <c r="H927" i="25"/>
  <c r="H928" i="25"/>
  <c r="H929" i="25"/>
  <c r="H930" i="25"/>
  <c r="H931" i="25"/>
  <c r="H932" i="25"/>
  <c r="H933" i="25"/>
  <c r="H934" i="25"/>
  <c r="H935" i="25"/>
  <c r="H936" i="25"/>
  <c r="H937" i="25"/>
  <c r="H938" i="25"/>
  <c r="H939" i="25"/>
  <c r="H940" i="25"/>
  <c r="H941" i="25"/>
  <c r="H942" i="25"/>
  <c r="H943" i="25"/>
  <c r="H944" i="25"/>
  <c r="H945" i="25"/>
  <c r="H946" i="25"/>
  <c r="H947" i="25"/>
  <c r="H948" i="25"/>
  <c r="H949" i="25"/>
  <c r="H950" i="25"/>
  <c r="H951" i="25"/>
  <c r="H952" i="25"/>
  <c r="H953" i="25"/>
  <c r="H954" i="25"/>
  <c r="H955" i="25"/>
  <c r="H956" i="25"/>
  <c r="H957" i="25"/>
  <c r="H958" i="25"/>
  <c r="H959" i="25"/>
  <c r="H960" i="25"/>
  <c r="H961" i="25"/>
  <c r="H962" i="25"/>
  <c r="H963" i="25"/>
  <c r="H964" i="25"/>
  <c r="H965" i="25"/>
  <c r="H966" i="25"/>
  <c r="H967" i="25"/>
  <c r="H968" i="25"/>
  <c r="H969" i="25"/>
  <c r="H970" i="25"/>
  <c r="H971" i="25"/>
  <c r="H972" i="25"/>
  <c r="H973" i="25"/>
  <c r="H974" i="25"/>
  <c r="H975" i="25"/>
  <c r="H976" i="25"/>
  <c r="H977" i="25"/>
  <c r="H978" i="25"/>
  <c r="H979" i="25"/>
  <c r="H980" i="25"/>
  <c r="H981" i="25"/>
  <c r="H982" i="25"/>
  <c r="H983" i="25"/>
  <c r="H984" i="25"/>
  <c r="H985" i="25"/>
  <c r="H986" i="25"/>
  <c r="H987" i="25"/>
  <c r="H988" i="25"/>
  <c r="H989" i="25"/>
  <c r="H990" i="25"/>
  <c r="H991" i="25"/>
  <c r="H992" i="25"/>
  <c r="H993" i="25"/>
  <c r="H994" i="25"/>
  <c r="H995" i="25"/>
  <c r="H996" i="25"/>
  <c r="H997" i="25"/>
  <c r="H998" i="25"/>
  <c r="H999" i="25"/>
  <c r="H1000" i="25"/>
  <c r="H1001" i="25"/>
  <c r="H1002" i="25"/>
  <c r="H1003" i="25"/>
  <c r="H1004" i="25"/>
  <c r="H1005" i="25"/>
  <c r="H1006" i="25"/>
  <c r="H1007" i="25"/>
  <c r="H1008" i="25"/>
  <c r="H1009" i="25"/>
  <c r="H1010" i="25"/>
  <c r="H1011" i="25"/>
  <c r="H1012" i="25"/>
  <c r="H1013" i="25"/>
  <c r="H1014" i="25"/>
  <c r="H1015" i="25"/>
  <c r="H1016" i="25"/>
  <c r="H1017" i="25"/>
  <c r="H1018" i="25"/>
  <c r="H1019" i="25"/>
  <c r="H1020" i="25"/>
  <c r="H1021" i="25"/>
  <c r="H1022" i="25"/>
  <c r="H1023" i="25"/>
  <c r="H1024" i="25"/>
  <c r="H1025" i="25"/>
  <c r="H1026" i="25"/>
  <c r="H1027" i="25"/>
  <c r="H1028" i="25"/>
  <c r="H1029" i="25"/>
  <c r="H1030" i="25"/>
  <c r="H1031" i="25"/>
  <c r="H1032" i="25"/>
  <c r="H1033" i="25"/>
  <c r="H1034" i="25"/>
  <c r="H1035" i="25"/>
  <c r="H1036" i="25"/>
  <c r="H1037" i="25"/>
  <c r="H1038" i="25"/>
  <c r="H1039" i="25"/>
  <c r="H1040" i="25"/>
  <c r="H1041" i="25"/>
  <c r="H1042" i="25"/>
  <c r="H1043" i="25"/>
  <c r="H1044" i="25"/>
  <c r="H1045" i="25"/>
  <c r="H1046" i="25"/>
  <c r="H1047" i="25"/>
  <c r="H1048" i="25"/>
  <c r="H1049" i="25"/>
  <c r="H1050" i="25"/>
  <c r="H1051" i="25"/>
  <c r="H1052" i="25"/>
  <c r="H1053" i="25"/>
  <c r="H1054" i="25"/>
  <c r="H1055" i="25"/>
  <c r="H1056" i="25"/>
  <c r="H1057" i="25"/>
  <c r="H1058" i="25"/>
  <c r="H1059" i="25"/>
  <c r="H1060" i="25"/>
  <c r="H1061" i="25"/>
  <c r="H1062" i="25"/>
  <c r="H1063" i="25"/>
  <c r="H1064" i="25"/>
  <c r="H1065" i="25"/>
  <c r="H1066" i="25"/>
  <c r="H1067" i="25"/>
  <c r="H1068" i="25"/>
  <c r="H1069" i="25"/>
  <c r="H1070" i="25"/>
  <c r="H1071" i="25"/>
  <c r="H1072" i="25"/>
  <c r="H1073" i="25"/>
  <c r="H1074" i="25"/>
  <c r="H1075" i="25"/>
  <c r="H1076" i="25"/>
  <c r="H1077" i="25"/>
  <c r="H1078" i="25"/>
  <c r="H1079" i="25"/>
  <c r="H1080" i="25"/>
  <c r="H1081" i="25"/>
  <c r="H1082" i="25"/>
  <c r="H1083" i="25"/>
  <c r="H1084" i="25"/>
  <c r="H1085" i="25"/>
  <c r="H1086" i="25"/>
  <c r="H1087" i="25"/>
  <c r="H1088" i="25"/>
  <c r="H1089" i="25"/>
  <c r="H1090" i="25"/>
  <c r="H1091" i="25"/>
  <c r="H1092" i="25"/>
  <c r="H1093" i="25"/>
  <c r="H1094" i="25"/>
  <c r="H1095" i="25"/>
  <c r="H1096" i="25"/>
  <c r="H1097" i="25"/>
  <c r="H1098" i="25"/>
  <c r="H1099" i="25"/>
  <c r="H1100" i="25"/>
  <c r="H1101" i="25"/>
  <c r="H1102" i="25"/>
  <c r="H1103" i="25"/>
  <c r="H1104" i="25"/>
  <c r="H1105" i="25"/>
  <c r="H1106" i="25"/>
  <c r="H1107" i="25"/>
  <c r="H1108" i="25"/>
  <c r="H1109" i="25"/>
  <c r="H1110" i="25"/>
  <c r="H1111" i="25"/>
  <c r="H1112" i="25"/>
  <c r="H1113" i="25"/>
  <c r="H1114" i="25"/>
  <c r="H1115" i="25"/>
  <c r="H1116" i="25"/>
  <c r="H1117" i="25"/>
  <c r="H1118" i="25"/>
  <c r="H1119" i="25"/>
  <c r="H1120" i="25"/>
  <c r="H1121" i="25"/>
  <c r="H1122" i="25"/>
  <c r="H1123" i="25"/>
  <c r="H1124" i="25"/>
  <c r="H1125" i="25"/>
  <c r="H1126" i="25"/>
  <c r="H1127" i="25"/>
  <c r="H1128" i="25"/>
  <c r="H1129" i="25"/>
  <c r="H1130" i="25"/>
  <c r="H1131" i="25"/>
  <c r="H1132" i="25"/>
  <c r="H1133" i="25"/>
  <c r="H1134" i="25"/>
  <c r="H1135" i="25"/>
  <c r="H1136" i="25"/>
  <c r="H1137" i="25"/>
  <c r="H1138" i="25"/>
  <c r="H1139" i="25"/>
  <c r="H1140" i="25"/>
  <c r="H1141" i="25"/>
  <c r="H1142" i="25"/>
  <c r="H1143" i="25"/>
  <c r="H1144" i="25"/>
  <c r="H1145" i="25"/>
  <c r="H1146" i="25"/>
  <c r="H1147" i="25"/>
  <c r="H1148" i="25"/>
  <c r="H1149" i="25"/>
  <c r="H1150" i="25"/>
  <c r="H1151" i="25"/>
  <c r="H1152" i="25"/>
  <c r="H1153" i="25"/>
  <c r="H1154" i="25"/>
  <c r="H1155" i="25"/>
  <c r="H1156" i="25"/>
  <c r="H1157" i="25"/>
  <c r="H1158" i="25"/>
  <c r="H1159" i="25"/>
  <c r="H1160" i="25"/>
  <c r="H1161" i="25"/>
  <c r="H1162" i="25"/>
  <c r="H1163" i="25"/>
  <c r="H1164" i="25"/>
  <c r="H1165" i="25"/>
  <c r="H1166" i="25"/>
  <c r="H1167" i="25"/>
  <c r="H1168" i="25"/>
  <c r="H1169" i="25"/>
  <c r="H1170" i="25"/>
  <c r="H1171" i="25"/>
  <c r="H1172" i="25"/>
  <c r="H1173" i="25"/>
  <c r="H1174" i="25"/>
  <c r="H1175" i="25"/>
  <c r="H1176" i="25"/>
  <c r="H1177" i="25"/>
  <c r="H1178" i="25"/>
  <c r="H1179" i="25"/>
  <c r="H1180" i="25"/>
  <c r="H1181" i="25"/>
  <c r="H1182" i="25"/>
  <c r="H1183" i="25"/>
  <c r="H1184" i="25"/>
  <c r="H1185" i="25"/>
  <c r="H1186" i="25"/>
  <c r="H1187" i="25"/>
  <c r="H1188" i="25"/>
  <c r="H1189" i="25"/>
  <c r="H1190" i="25"/>
  <c r="H1191" i="25"/>
  <c r="H1192" i="25"/>
  <c r="H1193" i="25"/>
  <c r="H1194" i="25"/>
  <c r="H1195" i="25"/>
  <c r="H1196" i="25"/>
  <c r="H1197" i="25"/>
  <c r="H1198" i="25"/>
  <c r="H1199" i="25"/>
  <c r="H1200" i="25"/>
  <c r="H1201" i="25"/>
  <c r="H1202" i="25"/>
  <c r="H1203" i="25"/>
  <c r="H1204" i="25"/>
  <c r="H1205" i="25"/>
  <c r="H1206" i="25"/>
  <c r="H1207" i="25"/>
  <c r="H1208" i="25"/>
  <c r="H1209" i="25"/>
  <c r="H1210" i="25"/>
  <c r="H1211" i="25"/>
  <c r="H1212" i="25"/>
  <c r="H1213" i="25"/>
  <c r="H1214" i="25"/>
  <c r="H1215" i="25"/>
  <c r="H1216" i="25"/>
  <c r="H1217" i="25"/>
  <c r="H1218" i="25"/>
  <c r="H1219" i="25"/>
  <c r="H1220" i="25"/>
  <c r="H1221" i="25"/>
  <c r="H1222" i="25"/>
  <c r="H1223" i="25"/>
  <c r="H1224" i="25"/>
  <c r="H1225" i="25"/>
  <c r="H1226" i="25"/>
  <c r="H1227" i="25"/>
  <c r="H1228" i="25"/>
  <c r="H1229" i="25"/>
  <c r="H1230" i="25"/>
  <c r="H1231" i="25"/>
  <c r="H1232" i="25"/>
  <c r="H1233" i="25"/>
  <c r="H1234" i="25"/>
  <c r="H1235" i="25"/>
  <c r="H1236" i="25"/>
  <c r="H1237" i="25"/>
  <c r="H1238" i="25"/>
  <c r="H1239" i="25"/>
  <c r="H1240" i="25"/>
  <c r="H1241" i="25"/>
  <c r="H1242" i="25"/>
  <c r="H1243" i="25"/>
  <c r="H1244" i="25"/>
  <c r="H1245" i="25"/>
  <c r="H1246" i="25"/>
  <c r="H1247" i="25"/>
  <c r="H1248" i="25"/>
  <c r="H1249" i="25"/>
  <c r="H1250" i="25"/>
  <c r="H1251" i="25"/>
  <c r="H1252" i="25"/>
  <c r="H1253" i="25"/>
  <c r="H1254" i="25"/>
  <c r="H1255" i="25"/>
  <c r="H1256" i="25"/>
  <c r="H1257" i="25"/>
  <c r="H1258" i="25"/>
  <c r="H1259" i="25"/>
  <c r="H1260" i="25"/>
  <c r="H1261" i="25"/>
  <c r="H1262" i="25"/>
  <c r="H1263" i="25"/>
  <c r="H1264" i="25"/>
  <c r="H1265" i="25"/>
  <c r="H1266" i="25"/>
  <c r="H1267" i="25"/>
  <c r="H1268" i="25"/>
  <c r="H1269" i="25"/>
  <c r="H1270" i="25"/>
  <c r="H1271" i="25"/>
  <c r="H1272" i="25"/>
  <c r="H1273" i="25"/>
  <c r="H1274" i="25"/>
  <c r="H1275" i="25"/>
  <c r="H1276" i="25"/>
  <c r="H1277" i="25"/>
  <c r="H1278" i="25"/>
  <c r="H1279" i="25"/>
  <c r="H1280" i="25"/>
  <c r="H1281" i="25"/>
  <c r="H1282" i="25"/>
  <c r="H1283" i="25"/>
  <c r="H1284" i="25"/>
  <c r="H1285" i="25"/>
  <c r="H1286" i="25"/>
  <c r="H1287" i="25"/>
  <c r="H1288" i="25"/>
  <c r="H1289" i="25"/>
  <c r="H1290" i="25"/>
  <c r="H1291" i="25"/>
  <c r="H1292" i="25"/>
  <c r="H1293" i="25"/>
  <c r="H1294" i="25"/>
  <c r="H1295" i="25"/>
  <c r="H1296" i="25"/>
  <c r="H1297" i="25"/>
  <c r="H1298" i="25"/>
  <c r="H1299" i="25"/>
  <c r="H1300" i="25"/>
  <c r="H1301" i="25"/>
  <c r="H1302" i="25"/>
  <c r="H1303" i="25"/>
  <c r="H1304" i="25"/>
  <c r="H1305" i="25"/>
  <c r="H1306" i="25"/>
  <c r="H1307" i="25"/>
  <c r="H1308" i="25"/>
  <c r="H1309" i="25"/>
  <c r="H1310" i="25"/>
  <c r="H1311" i="25"/>
  <c r="H1312" i="25"/>
  <c r="H1313" i="25"/>
  <c r="H1314" i="25"/>
  <c r="H1315" i="25"/>
  <c r="H1316" i="25"/>
  <c r="H1317" i="25"/>
  <c r="H1318" i="25"/>
  <c r="H1319" i="25"/>
  <c r="H1320" i="25"/>
  <c r="H1321" i="25"/>
  <c r="H1322" i="25"/>
  <c r="H1323" i="25"/>
  <c r="H1324" i="25"/>
  <c r="H1325" i="25"/>
  <c r="H1326" i="25"/>
  <c r="H1327" i="25"/>
  <c r="H1328" i="25"/>
  <c r="H1329" i="25"/>
  <c r="H1330" i="25"/>
  <c r="H1331" i="25"/>
  <c r="H1332" i="25"/>
  <c r="H1333" i="25"/>
  <c r="H1334" i="25"/>
  <c r="H1335" i="25"/>
  <c r="H1336" i="25"/>
  <c r="H1337" i="25"/>
  <c r="H1338" i="25"/>
  <c r="H1339" i="25"/>
  <c r="H1340" i="25"/>
  <c r="H1341" i="25"/>
  <c r="H1342" i="25"/>
  <c r="H1343" i="25"/>
  <c r="H1344" i="25"/>
  <c r="H1345" i="25"/>
  <c r="H1346" i="25"/>
  <c r="H1347" i="25"/>
  <c r="H1348" i="25"/>
  <c r="H1349" i="25"/>
  <c r="H1350" i="25"/>
  <c r="H1351" i="25"/>
  <c r="H1352" i="25"/>
  <c r="H1353" i="25"/>
  <c r="H1354" i="25"/>
  <c r="H1355" i="25"/>
  <c r="H1356" i="25"/>
  <c r="H1357" i="25"/>
  <c r="H1358" i="25"/>
  <c r="H1359" i="25"/>
  <c r="H1360" i="25"/>
  <c r="H1361" i="25"/>
  <c r="H1362" i="25"/>
  <c r="H1363" i="25"/>
  <c r="H1364" i="25"/>
  <c r="H1365" i="25"/>
  <c r="H1366" i="25"/>
  <c r="H1367" i="25"/>
  <c r="H1368" i="25"/>
  <c r="H1369" i="25"/>
  <c r="H1370" i="25"/>
  <c r="H1371" i="25"/>
  <c r="H1372" i="25"/>
  <c r="H1373" i="25"/>
  <c r="H1374" i="25"/>
  <c r="H1375" i="25"/>
  <c r="H1376" i="25"/>
  <c r="H1377" i="25"/>
  <c r="H1378" i="25"/>
  <c r="H1379" i="25"/>
  <c r="H1380" i="25"/>
  <c r="H1381" i="25"/>
  <c r="H1382" i="25"/>
  <c r="H1383" i="25"/>
  <c r="H1384" i="25"/>
  <c r="H1385" i="25"/>
  <c r="H1386" i="25"/>
  <c r="H1387" i="25"/>
  <c r="H1388" i="25"/>
  <c r="H1389" i="25"/>
  <c r="H1390" i="25"/>
  <c r="H1391" i="25"/>
  <c r="H1392" i="25"/>
  <c r="H1393" i="25"/>
  <c r="H1394" i="25"/>
  <c r="H1395" i="25"/>
  <c r="H1396" i="25"/>
  <c r="H1397" i="25"/>
  <c r="H1398" i="25"/>
  <c r="H1399" i="25"/>
  <c r="H1400" i="25"/>
  <c r="H1401" i="25"/>
  <c r="H1402" i="25"/>
  <c r="H1403" i="25"/>
  <c r="H1404" i="25"/>
  <c r="H1405" i="25"/>
  <c r="H1406" i="25"/>
  <c r="H1407" i="25"/>
  <c r="H1408" i="25"/>
  <c r="H1409" i="25"/>
  <c r="H1410" i="25"/>
  <c r="H1411" i="25"/>
  <c r="H1412" i="25"/>
  <c r="H1413" i="25"/>
  <c r="H1414" i="25"/>
  <c r="H1415" i="25"/>
  <c r="H1416" i="25"/>
  <c r="H1417" i="25"/>
  <c r="H1418" i="25"/>
  <c r="H1419" i="25"/>
  <c r="H1420" i="25"/>
  <c r="H1421" i="25"/>
  <c r="H1422" i="25"/>
  <c r="H1423" i="25"/>
  <c r="H1424" i="25"/>
  <c r="H1425" i="25"/>
  <c r="H1426" i="25"/>
  <c r="H1427" i="25"/>
  <c r="H1428" i="25"/>
  <c r="H1429" i="25"/>
  <c r="H1430" i="25"/>
  <c r="H1431" i="25"/>
  <c r="H1432" i="25"/>
  <c r="H1433" i="25"/>
  <c r="H1434" i="25"/>
  <c r="H1435" i="25"/>
  <c r="H1436" i="25"/>
  <c r="H1437" i="25"/>
  <c r="H1438" i="25"/>
  <c r="H1439" i="25"/>
  <c r="H1440" i="25"/>
  <c r="H1441" i="25"/>
  <c r="H1442" i="25"/>
  <c r="H1443" i="25"/>
  <c r="H1444" i="25"/>
  <c r="H1445" i="25"/>
  <c r="H1446" i="25"/>
  <c r="H1447" i="25"/>
  <c r="H1448" i="25"/>
  <c r="H1449" i="25"/>
  <c r="H1450" i="25"/>
  <c r="H1451" i="25"/>
  <c r="H1452" i="25"/>
  <c r="H1453" i="25"/>
  <c r="H1454" i="25"/>
  <c r="H1455" i="25"/>
  <c r="H1456" i="25"/>
  <c r="H1457" i="25"/>
  <c r="H1458" i="25"/>
  <c r="H1459" i="25"/>
  <c r="H1460" i="25"/>
  <c r="H1461" i="25"/>
  <c r="H1462" i="25"/>
  <c r="H1463" i="25"/>
  <c r="H1464" i="25"/>
  <c r="H1465" i="25"/>
  <c r="H1466" i="25"/>
  <c r="H1467" i="25"/>
  <c r="H1468" i="25"/>
  <c r="H1469" i="25"/>
  <c r="H1470" i="25"/>
  <c r="H1471" i="25"/>
  <c r="H1472" i="25"/>
  <c r="H1473" i="25"/>
  <c r="H1474" i="25"/>
  <c r="H1475" i="25"/>
  <c r="H1476" i="25"/>
  <c r="H1477" i="25"/>
  <c r="H1478" i="25"/>
  <c r="H1479" i="25"/>
  <c r="H1480" i="25"/>
  <c r="H1481" i="25"/>
  <c r="H1482" i="25"/>
  <c r="H1483" i="25"/>
  <c r="H1484" i="25"/>
  <c r="H1485" i="25"/>
  <c r="H1486" i="25"/>
  <c r="H1487" i="25"/>
  <c r="H1488" i="25"/>
  <c r="H1489" i="25"/>
  <c r="H1490" i="25"/>
  <c r="H1491" i="25"/>
  <c r="H1492" i="25"/>
  <c r="H1493" i="25"/>
  <c r="H1494" i="25"/>
  <c r="H1495" i="25"/>
  <c r="H1496" i="25"/>
  <c r="H1497" i="25"/>
  <c r="H1498" i="25"/>
  <c r="H1499" i="25"/>
  <c r="H1500" i="25"/>
  <c r="H1501" i="25"/>
  <c r="H1502" i="25"/>
  <c r="H1503" i="25"/>
  <c r="H1504" i="25"/>
  <c r="H1505" i="25"/>
  <c r="H1506" i="25"/>
  <c r="H1507" i="25"/>
  <c r="H1508" i="25"/>
  <c r="H1509" i="25"/>
  <c r="H1510" i="25"/>
  <c r="H1511" i="25"/>
  <c r="H1512" i="25"/>
  <c r="H1513" i="25"/>
  <c r="H1514" i="25"/>
  <c r="H1515" i="25"/>
  <c r="H1516" i="25"/>
  <c r="H1517" i="25"/>
  <c r="H1518" i="25"/>
  <c r="H1519" i="25"/>
  <c r="H1520" i="25"/>
  <c r="H1521" i="25"/>
  <c r="H1522" i="25"/>
  <c r="H1523" i="25"/>
  <c r="H1524" i="25"/>
  <c r="H1525" i="25"/>
  <c r="H1526" i="25"/>
  <c r="H1527" i="25"/>
  <c r="H1528" i="25"/>
  <c r="H1529" i="25"/>
  <c r="H1530" i="25"/>
  <c r="H1531" i="25"/>
  <c r="H1532" i="25"/>
  <c r="H1533" i="25"/>
  <c r="H1534" i="25"/>
  <c r="H1535" i="25"/>
  <c r="H1536" i="25"/>
  <c r="H1537" i="25"/>
  <c r="H1538" i="25"/>
  <c r="H1539" i="25"/>
  <c r="H1540" i="25"/>
  <c r="H1541" i="25"/>
  <c r="H1542" i="25"/>
  <c r="H1543" i="25"/>
  <c r="H1544" i="25"/>
  <c r="H1545" i="25"/>
  <c r="H1546" i="25"/>
  <c r="H1547" i="25"/>
  <c r="H1548" i="25"/>
  <c r="H1549" i="25"/>
  <c r="H1550" i="25"/>
  <c r="H1551" i="25"/>
  <c r="H1552" i="25"/>
  <c r="H1553" i="25"/>
  <c r="H1554" i="25"/>
  <c r="H1555" i="25"/>
  <c r="H1556" i="25"/>
  <c r="H1557" i="25"/>
  <c r="H1558" i="25"/>
  <c r="H1559" i="25"/>
  <c r="H1560" i="25"/>
  <c r="H1561" i="25"/>
  <c r="H1562" i="25"/>
  <c r="H1563" i="25"/>
  <c r="H1564" i="25"/>
  <c r="H1565" i="25"/>
  <c r="H1566" i="25"/>
  <c r="H1567" i="25"/>
  <c r="H1568" i="25"/>
  <c r="H1569" i="25"/>
  <c r="H1570" i="25"/>
  <c r="H1571" i="25"/>
  <c r="H1572" i="25"/>
  <c r="H1573" i="25"/>
  <c r="H1574" i="25"/>
  <c r="H1575" i="25"/>
  <c r="H1576" i="25"/>
  <c r="H1577" i="25"/>
  <c r="H1578" i="25"/>
  <c r="H1579" i="25"/>
  <c r="H1580" i="25"/>
  <c r="H1581" i="25"/>
  <c r="H1582" i="25"/>
  <c r="H1583" i="25"/>
  <c r="H1584" i="25"/>
  <c r="H1585" i="25"/>
  <c r="H1586" i="25"/>
  <c r="H1587" i="25"/>
  <c r="H1588" i="25"/>
  <c r="H1589" i="25"/>
  <c r="H1590" i="25"/>
  <c r="H1591" i="25"/>
  <c r="H1592" i="25"/>
  <c r="H1593" i="25"/>
  <c r="H1594" i="25"/>
  <c r="H1595" i="25"/>
  <c r="H1596" i="25"/>
  <c r="H1597" i="25"/>
  <c r="H1598" i="25"/>
  <c r="H1599" i="25"/>
  <c r="H1600" i="25"/>
  <c r="H1601" i="25"/>
  <c r="H1602" i="25"/>
  <c r="H1603" i="25"/>
  <c r="H1604" i="25"/>
  <c r="H1605" i="25"/>
  <c r="H1606" i="25"/>
  <c r="H1607" i="25"/>
  <c r="H1608" i="25"/>
  <c r="H1609" i="25"/>
  <c r="H1610" i="25"/>
  <c r="H1611" i="25"/>
  <c r="H1612" i="25"/>
  <c r="H1613" i="25"/>
  <c r="H1614" i="25"/>
  <c r="H1615" i="25"/>
  <c r="H1616" i="25"/>
  <c r="H1617" i="25"/>
  <c r="H1618" i="25"/>
  <c r="H1619" i="25"/>
  <c r="H1620" i="25"/>
  <c r="H1621" i="25"/>
  <c r="H1622" i="25"/>
  <c r="H1623" i="25"/>
  <c r="H1624" i="25"/>
  <c r="H1625" i="25"/>
  <c r="H1626" i="25"/>
  <c r="H1627" i="25"/>
  <c r="H1628" i="25"/>
  <c r="H1629" i="25"/>
  <c r="H1630" i="25"/>
  <c r="H1631" i="25"/>
  <c r="H1632" i="25"/>
  <c r="H1633" i="25"/>
  <c r="H1634" i="25"/>
  <c r="H1635" i="25"/>
  <c r="H1636" i="25"/>
  <c r="H1637" i="25"/>
  <c r="H1638" i="25"/>
  <c r="H1639" i="25"/>
  <c r="H1640" i="25"/>
  <c r="H1641" i="25"/>
  <c r="H1642" i="25"/>
  <c r="H1643" i="25"/>
  <c r="H1644" i="25"/>
  <c r="H1645" i="25"/>
  <c r="H1646" i="25"/>
  <c r="H1647" i="25"/>
  <c r="H1648" i="25"/>
  <c r="H1649" i="25"/>
  <c r="H1650" i="25"/>
  <c r="H1651" i="25"/>
  <c r="H1652" i="25"/>
  <c r="H1653" i="25"/>
  <c r="H1654" i="25"/>
  <c r="H1655" i="25"/>
  <c r="H1656" i="25"/>
  <c r="H1657" i="25"/>
  <c r="H1658" i="25"/>
  <c r="H1659" i="25"/>
  <c r="H1660" i="25"/>
  <c r="H1661" i="25"/>
  <c r="H1662" i="25"/>
  <c r="H1663" i="25"/>
  <c r="H1664" i="25"/>
  <c r="H1665" i="25"/>
  <c r="H1666" i="25"/>
  <c r="H1667" i="25"/>
  <c r="H1668" i="25"/>
  <c r="H1669" i="25"/>
  <c r="H1670" i="25"/>
  <c r="H1671" i="25"/>
  <c r="H1672" i="25"/>
  <c r="H1673" i="25"/>
  <c r="H1674" i="25"/>
  <c r="H1675" i="25"/>
  <c r="H1676" i="25"/>
  <c r="H1677" i="25"/>
  <c r="H1678" i="25"/>
  <c r="H1679" i="25"/>
  <c r="H1680" i="25"/>
  <c r="H1681" i="25"/>
  <c r="H1682" i="25"/>
  <c r="H1683" i="25"/>
  <c r="H1684" i="25"/>
  <c r="H1685" i="25"/>
  <c r="H1686" i="25"/>
  <c r="H1687" i="25"/>
  <c r="H1688" i="25"/>
  <c r="H1689" i="25"/>
  <c r="H1690" i="25"/>
  <c r="H1691" i="25"/>
  <c r="H1692" i="25"/>
  <c r="H1693" i="25"/>
  <c r="H1694" i="25"/>
  <c r="H1695" i="25"/>
  <c r="H1696" i="25"/>
  <c r="H1697" i="25"/>
  <c r="H1698" i="25"/>
  <c r="H1699" i="25"/>
  <c r="H1700" i="25"/>
  <c r="H1701" i="25"/>
  <c r="H1702" i="25"/>
  <c r="H1703" i="25"/>
  <c r="H1704" i="25"/>
  <c r="H1705" i="25"/>
  <c r="H1706" i="25"/>
  <c r="H1707" i="25"/>
  <c r="H1708" i="25"/>
  <c r="H1709" i="25"/>
  <c r="H1710" i="25"/>
  <c r="H1711" i="25"/>
  <c r="H1712" i="25"/>
  <c r="H1713" i="25"/>
  <c r="H1714" i="25"/>
  <c r="H1715" i="25"/>
  <c r="H1716" i="25"/>
  <c r="H1717" i="25"/>
  <c r="H1718" i="25"/>
  <c r="H714" i="25"/>
  <c r="H715" i="25"/>
  <c r="I715" i="25" s="1"/>
  <c r="H716" i="25"/>
  <c r="I716" i="25" s="1"/>
  <c r="H717" i="25"/>
  <c r="I717" i="25" s="1"/>
  <c r="H718" i="25"/>
  <c r="I718" i="25" s="1"/>
  <c r="H719" i="25"/>
  <c r="I719" i="25" s="1"/>
  <c r="I721" i="25"/>
  <c r="I723" i="25"/>
  <c r="H710" i="25"/>
  <c r="I710" i="25" s="1"/>
  <c r="H709" i="25"/>
  <c r="I709" i="25" s="1"/>
  <c r="H703" i="25"/>
  <c r="I703" i="25" s="1"/>
  <c r="H702" i="25"/>
  <c r="I702" i="25" s="1"/>
  <c r="H701" i="25"/>
  <c r="I701" i="25" s="1"/>
  <c r="H696" i="25"/>
  <c r="I696" i="25" s="1"/>
  <c r="H694" i="25"/>
  <c r="I694" i="25" s="1"/>
  <c r="H691" i="25"/>
  <c r="I691" i="25" s="1"/>
  <c r="H689" i="25"/>
  <c r="I689" i="25" s="1"/>
  <c r="H688" i="25"/>
  <c r="I688" i="25" s="1"/>
  <c r="H687" i="25"/>
  <c r="I687" i="25" s="1"/>
  <c r="H684" i="25"/>
  <c r="I684" i="25" s="1"/>
  <c r="H681" i="25"/>
  <c r="I681" i="25" s="1"/>
  <c r="H680" i="25"/>
  <c r="I680" i="25" s="1"/>
  <c r="H679" i="25"/>
  <c r="I679" i="25" s="1"/>
  <c r="H674" i="25"/>
  <c r="I674" i="25" s="1"/>
  <c r="H673" i="25"/>
  <c r="I673" i="25" s="1"/>
  <c r="H672" i="25"/>
  <c r="I672" i="25" s="1"/>
  <c r="H671" i="25"/>
  <c r="I671" i="25" s="1"/>
  <c r="H670" i="25"/>
  <c r="I670" i="25" s="1"/>
  <c r="H668" i="25"/>
  <c r="I668" i="25" s="1"/>
  <c r="H667" i="25"/>
  <c r="I667" i="25" s="1"/>
  <c r="H665" i="25"/>
  <c r="I665" i="25" s="1"/>
  <c r="H657" i="25"/>
  <c r="I657" i="25" s="1"/>
  <c r="H656" i="25"/>
  <c r="I656" i="25" s="1"/>
  <c r="H654" i="25"/>
  <c r="I654" i="25" s="1"/>
  <c r="H644" i="25"/>
  <c r="I644" i="25" s="1"/>
  <c r="H643" i="25"/>
  <c r="I643" i="25" s="1"/>
  <c r="H641" i="25"/>
  <c r="I641" i="25" s="1"/>
  <c r="H640" i="25"/>
  <c r="I640" i="25" s="1"/>
  <c r="H638" i="25"/>
  <c r="I638" i="25" s="1"/>
  <c r="H636" i="25"/>
  <c r="I636" i="25" s="1"/>
  <c r="H632" i="25"/>
  <c r="I632" i="25" s="1"/>
  <c r="H631" i="25"/>
  <c r="I631" i="25" s="1"/>
  <c r="H623" i="25"/>
  <c r="I623" i="25" s="1"/>
  <c r="H621" i="25"/>
  <c r="I621" i="25" s="1"/>
  <c r="H620" i="25"/>
  <c r="I620" i="25" s="1"/>
  <c r="H619" i="25"/>
  <c r="I619" i="25" s="1"/>
  <c r="H618" i="25"/>
  <c r="I618" i="25" s="1"/>
  <c r="H615" i="25"/>
  <c r="I615" i="25" s="1"/>
  <c r="H614" i="25"/>
  <c r="I614" i="25" s="1"/>
  <c r="H612" i="25"/>
  <c r="I612" i="25" s="1"/>
  <c r="H611" i="25"/>
  <c r="I611" i="25" s="1"/>
  <c r="H609" i="25"/>
  <c r="I609" i="25" s="1"/>
  <c r="H608" i="25"/>
  <c r="I608" i="25" s="1"/>
  <c r="H607" i="25"/>
  <c r="I607" i="25" s="1"/>
  <c r="H606" i="25"/>
  <c r="I606" i="25" s="1"/>
  <c r="H604" i="25"/>
  <c r="I604" i="25" s="1"/>
  <c r="H603" i="25"/>
  <c r="I603" i="25" s="1"/>
  <c r="H599" i="25"/>
  <c r="I599" i="25" s="1"/>
  <c r="H598" i="25"/>
  <c r="I598" i="25" s="1"/>
  <c r="H596" i="25"/>
  <c r="I596" i="25" s="1"/>
  <c r="H595" i="25"/>
  <c r="I595" i="25" s="1"/>
  <c r="H594" i="25"/>
  <c r="I594" i="25" s="1"/>
  <c r="H593" i="25"/>
  <c r="I593" i="25" s="1"/>
  <c r="H592" i="25"/>
  <c r="I592" i="25" s="1"/>
  <c r="H591" i="25"/>
  <c r="I591" i="25" s="1"/>
  <c r="H589" i="25"/>
  <c r="I589" i="25" s="1"/>
  <c r="H588" i="25"/>
  <c r="I588" i="25" s="1"/>
  <c r="H587" i="25"/>
  <c r="I587" i="25" s="1"/>
  <c r="H586" i="25"/>
  <c r="I586" i="25" s="1"/>
  <c r="H585" i="25"/>
  <c r="I585" i="25" s="1"/>
  <c r="H584" i="25"/>
  <c r="I584" i="25" s="1"/>
  <c r="H582" i="25"/>
  <c r="I582" i="25" s="1"/>
  <c r="H581" i="25"/>
  <c r="I581" i="25" s="1"/>
  <c r="H580" i="25"/>
  <c r="I580" i="25" s="1"/>
  <c r="H579" i="25"/>
  <c r="I579" i="25" s="1"/>
  <c r="H578" i="25"/>
  <c r="I578" i="25" s="1"/>
  <c r="H575" i="25"/>
  <c r="I575" i="25" s="1"/>
  <c r="H572" i="25"/>
  <c r="I572" i="25" s="1"/>
  <c r="H571" i="25"/>
  <c r="I571" i="25" s="1"/>
  <c r="H570" i="25"/>
  <c r="I570" i="25" s="1"/>
  <c r="H569" i="25"/>
  <c r="I569" i="25" s="1"/>
  <c r="H568" i="25"/>
  <c r="I568" i="25" s="1"/>
  <c r="H563" i="25"/>
  <c r="I563" i="25" s="1"/>
  <c r="H562" i="25"/>
  <c r="I562" i="25" s="1"/>
  <c r="H561" i="25"/>
  <c r="I561" i="25" s="1"/>
  <c r="H560" i="25"/>
  <c r="I560" i="25" s="1"/>
  <c r="H559" i="25"/>
  <c r="I559" i="25" s="1"/>
  <c r="H557" i="25"/>
  <c r="I557" i="25" s="1"/>
  <c r="H556" i="25"/>
  <c r="I556" i="25" s="1"/>
  <c r="H555" i="25"/>
  <c r="I555" i="25" s="1"/>
  <c r="H554" i="25"/>
  <c r="I554" i="25" s="1"/>
  <c r="H544" i="25"/>
  <c r="I544" i="25" s="1"/>
  <c r="H545" i="25"/>
  <c r="I545" i="25" s="1"/>
  <c r="H546" i="25"/>
  <c r="I546" i="25" s="1"/>
  <c r="H547" i="25"/>
  <c r="I547" i="25" s="1"/>
  <c r="H548" i="25"/>
  <c r="I548" i="25" s="1"/>
  <c r="H549" i="25"/>
  <c r="I549" i="25" s="1"/>
  <c r="H550" i="25"/>
  <c r="I550" i="25" s="1"/>
  <c r="H543" i="25"/>
  <c r="H540" i="25"/>
  <c r="I540" i="25" s="1"/>
  <c r="H541" i="25"/>
  <c r="I541" i="25" s="1"/>
  <c r="H542" i="25"/>
  <c r="I542" i="25" s="1"/>
  <c r="H531" i="25"/>
  <c r="H532" i="25"/>
  <c r="I532" i="25" s="1"/>
  <c r="H533" i="25"/>
  <c r="I533" i="25" s="1"/>
  <c r="H534" i="25"/>
  <c r="I534" i="25" s="1"/>
  <c r="H535" i="25"/>
  <c r="I535" i="25" s="1"/>
  <c r="H536" i="25"/>
  <c r="I536" i="25" s="1"/>
  <c r="H537" i="25"/>
  <c r="I537" i="25" s="1"/>
  <c r="H538" i="25"/>
  <c r="I538" i="25" s="1"/>
  <c r="H539" i="25"/>
  <c r="I539" i="25" s="1"/>
  <c r="H530" i="25"/>
  <c r="I530" i="25" s="1"/>
  <c r="H529" i="25"/>
  <c r="I529" i="25" s="1"/>
  <c r="H528" i="25"/>
  <c r="I528" i="25" s="1"/>
  <c r="H527" i="25"/>
  <c r="I527" i="25" s="1"/>
  <c r="H526" i="25"/>
  <c r="I526" i="25" s="1"/>
  <c r="H525" i="25"/>
  <c r="I525" i="25" s="1"/>
  <c r="H524" i="25"/>
  <c r="I524" i="25" s="1"/>
  <c r="H523" i="25"/>
  <c r="I523" i="25" s="1"/>
  <c r="H522" i="25"/>
  <c r="I522" i="25" s="1"/>
  <c r="H521" i="25"/>
  <c r="I521" i="25" s="1"/>
  <c r="H520" i="25"/>
  <c r="I520" i="25" s="1"/>
  <c r="H519" i="25"/>
  <c r="I519" i="25" s="1"/>
  <c r="H517" i="25"/>
  <c r="I517" i="25" s="1"/>
  <c r="H516" i="25"/>
  <c r="I516" i="25" s="1"/>
  <c r="H515" i="25"/>
  <c r="I515" i="25" s="1"/>
  <c r="H514" i="25"/>
  <c r="I514" i="25" s="1"/>
  <c r="H513" i="25"/>
  <c r="I513" i="25" s="1"/>
  <c r="H511" i="25"/>
  <c r="I511" i="25" s="1"/>
  <c r="H510" i="25"/>
  <c r="I510" i="25" s="1"/>
  <c r="H509" i="25"/>
  <c r="I509" i="25" s="1"/>
  <c r="H508" i="25"/>
  <c r="I508" i="25" s="1"/>
  <c r="H507" i="25"/>
  <c r="I507" i="25" s="1"/>
  <c r="H505" i="25"/>
  <c r="I505" i="25" s="1"/>
  <c r="H504" i="25"/>
  <c r="I504" i="25" s="1"/>
  <c r="H503" i="25"/>
  <c r="I503" i="25" s="1"/>
  <c r="H502" i="25"/>
  <c r="I502" i="25" s="1"/>
  <c r="H500" i="25"/>
  <c r="I500" i="25" s="1"/>
  <c r="H499" i="25"/>
  <c r="I499" i="25" s="1"/>
  <c r="H498" i="25"/>
  <c r="I498" i="25" s="1"/>
  <c r="H496" i="25"/>
  <c r="I496" i="25" s="1"/>
  <c r="H495" i="25"/>
  <c r="I495" i="25" s="1"/>
  <c r="H491" i="25"/>
  <c r="I491" i="25" s="1"/>
  <c r="H490" i="25"/>
  <c r="I490" i="25" s="1"/>
  <c r="H489" i="25"/>
  <c r="I489" i="25" s="1"/>
  <c r="H485" i="25"/>
  <c r="I485" i="25" s="1"/>
  <c r="H483" i="25" l="1"/>
  <c r="I483" i="25" s="1"/>
  <c r="H482" i="25"/>
  <c r="I482" i="25" s="1"/>
  <c r="H481" i="25"/>
  <c r="I481" i="25" s="1"/>
  <c r="H479" i="25"/>
  <c r="I479" i="25" s="1"/>
  <c r="H478" i="25"/>
  <c r="I478" i="25" s="1"/>
  <c r="H477" i="25"/>
  <c r="I477" i="25" s="1"/>
  <c r="H476" i="25"/>
  <c r="I476" i="25" s="1"/>
  <c r="H475" i="25"/>
  <c r="I475" i="25" s="1"/>
  <c r="H474" i="25"/>
  <c r="I474" i="25" s="1"/>
  <c r="H472" i="25"/>
  <c r="I472" i="25" s="1"/>
  <c r="H471" i="25"/>
  <c r="I471" i="25" s="1"/>
  <c r="H470" i="25"/>
  <c r="I470" i="25" s="1"/>
  <c r="H469" i="25"/>
  <c r="I469" i="25" s="1"/>
  <c r="H468" i="25"/>
  <c r="I468" i="25" s="1"/>
  <c r="H467" i="25"/>
  <c r="I467" i="25" s="1"/>
  <c r="H466" i="25"/>
  <c r="I466" i="25" s="1"/>
  <c r="H465" i="25"/>
  <c r="I465" i="25" s="1"/>
  <c r="H462" i="25"/>
  <c r="I462" i="25" s="1"/>
  <c r="H461" i="25"/>
  <c r="I461" i="25" s="1"/>
  <c r="H459" i="25"/>
  <c r="I459" i="25" s="1"/>
  <c r="H457" i="25"/>
  <c r="I457" i="25" s="1"/>
  <c r="H455" i="25"/>
  <c r="I455" i="25" s="1"/>
  <c r="H454" i="25"/>
  <c r="I454" i="25" s="1"/>
  <c r="H453" i="25"/>
  <c r="I453" i="25" s="1"/>
  <c r="H448" i="25"/>
  <c r="I448" i="25" s="1"/>
  <c r="H445" i="25"/>
  <c r="I445" i="25" s="1"/>
  <c r="H444" i="25"/>
  <c r="I444" i="25" s="1"/>
  <c r="H443" i="25"/>
  <c r="I443" i="25" s="1"/>
  <c r="H442" i="25"/>
  <c r="I442" i="25" s="1"/>
  <c r="H441" i="25"/>
  <c r="I441" i="25" s="1"/>
  <c r="H439" i="25"/>
  <c r="I439" i="25" s="1"/>
  <c r="H434" i="25"/>
  <c r="I434" i="25" s="1"/>
  <c r="H433" i="25"/>
  <c r="I433" i="25" s="1"/>
  <c r="H432" i="25"/>
  <c r="I432" i="25" s="1"/>
  <c r="H431" i="25"/>
  <c r="I431" i="25" s="1"/>
  <c r="H430" i="25"/>
  <c r="I430" i="25" s="1"/>
  <c r="H426" i="25"/>
  <c r="I426" i="25" s="1"/>
  <c r="H425" i="25"/>
  <c r="I425" i="25" s="1"/>
  <c r="H424" i="25"/>
  <c r="I424" i="25" s="1"/>
  <c r="H423" i="25"/>
  <c r="I423" i="25" s="1"/>
  <c r="H421" i="25"/>
  <c r="I421" i="25" s="1"/>
  <c r="H420" i="25"/>
  <c r="I420" i="25" s="1"/>
  <c r="H419" i="25"/>
  <c r="I419" i="25" s="1"/>
  <c r="H418" i="25"/>
  <c r="I418" i="25" s="1"/>
  <c r="H416" i="25"/>
  <c r="I416" i="25" s="1"/>
  <c r="H414" i="25"/>
  <c r="I414" i="25" s="1"/>
  <c r="H413" i="25"/>
  <c r="I413" i="25" s="1"/>
  <c r="H412" i="25"/>
  <c r="I412" i="25" s="1"/>
  <c r="H411" i="25"/>
  <c r="I411" i="25" s="1"/>
  <c r="H410" i="25"/>
  <c r="I410" i="25" s="1"/>
  <c r="H409" i="25"/>
  <c r="I409" i="25" s="1"/>
  <c r="H407" i="25"/>
  <c r="I407" i="25" s="1"/>
  <c r="H405" i="25"/>
  <c r="I405" i="25" s="1"/>
  <c r="H404" i="25"/>
  <c r="I404" i="25" s="1"/>
  <c r="H403" i="25"/>
  <c r="I403" i="25" s="1"/>
  <c r="H402" i="25"/>
  <c r="I402" i="25" s="1"/>
  <c r="H401" i="25"/>
  <c r="I401" i="25" s="1"/>
  <c r="H400" i="25"/>
  <c r="I400" i="25" s="1"/>
  <c r="H399" i="25"/>
  <c r="I399" i="25" s="1"/>
  <c r="H398" i="25"/>
  <c r="I398" i="25" s="1"/>
  <c r="H397" i="25"/>
  <c r="I397" i="25" s="1"/>
  <c r="H396" i="25"/>
  <c r="I396" i="25" s="1"/>
  <c r="H395" i="25"/>
  <c r="I395" i="25" s="1"/>
  <c r="H393" i="25"/>
  <c r="I393" i="25" s="1"/>
  <c r="H392" i="25"/>
  <c r="I392" i="25" s="1"/>
  <c r="H391" i="25"/>
  <c r="I391" i="25" s="1"/>
  <c r="H390" i="25"/>
  <c r="I390" i="25" s="1"/>
  <c r="H389" i="25"/>
  <c r="I389" i="25" s="1"/>
  <c r="H388" i="25"/>
  <c r="I388" i="25" s="1"/>
  <c r="H385" i="25"/>
  <c r="I385" i="25" s="1"/>
  <c r="H384" i="25"/>
  <c r="I384" i="25" s="1"/>
  <c r="H382" i="25"/>
  <c r="I382" i="25" s="1"/>
  <c r="H381" i="25"/>
  <c r="I381" i="25" s="1"/>
  <c r="H380" i="25"/>
  <c r="I380" i="25" s="1"/>
  <c r="H377" i="25"/>
  <c r="I377" i="25" s="1"/>
  <c r="H375" i="25"/>
  <c r="I375" i="25" s="1"/>
  <c r="H374" i="25"/>
  <c r="I374" i="25" s="1"/>
  <c r="H372" i="25"/>
  <c r="I372" i="25" s="1"/>
  <c r="H371" i="25"/>
  <c r="I371" i="25" s="1"/>
  <c r="H370" i="25"/>
  <c r="I370" i="25" s="1"/>
  <c r="H369" i="25"/>
  <c r="I369" i="25" s="1"/>
  <c r="H368" i="25"/>
  <c r="I368" i="25" s="1"/>
  <c r="H366" i="25"/>
  <c r="I366" i="25" s="1"/>
  <c r="H365" i="25"/>
  <c r="I365" i="25" s="1"/>
  <c r="H364" i="25"/>
  <c r="I364" i="25" s="1"/>
  <c r="H363" i="25"/>
  <c r="I363" i="25" s="1"/>
  <c r="H362" i="25"/>
  <c r="I362" i="25" s="1"/>
  <c r="H361" i="25"/>
  <c r="I361" i="25" s="1"/>
  <c r="H359" i="25"/>
  <c r="I359" i="25" s="1"/>
  <c r="H356" i="25"/>
  <c r="I356" i="25" s="1"/>
  <c r="H353" i="25"/>
  <c r="I353" i="25" s="1"/>
  <c r="H351" i="25"/>
  <c r="I351" i="25" s="1"/>
  <c r="H349" i="25"/>
  <c r="I349" i="25" s="1"/>
  <c r="H347" i="25"/>
  <c r="I347" i="25" s="1"/>
  <c r="H346" i="25"/>
  <c r="I346" i="25" s="1"/>
  <c r="H344" i="25"/>
  <c r="I344" i="25" s="1"/>
  <c r="H343" i="25"/>
  <c r="I343" i="25" s="1"/>
  <c r="H342" i="25"/>
  <c r="I342" i="25" s="1"/>
  <c r="H341" i="25"/>
  <c r="I341" i="25" s="1"/>
  <c r="H339" i="25"/>
  <c r="I339" i="25" s="1"/>
  <c r="H338" i="25"/>
  <c r="I338" i="25" s="1"/>
  <c r="H337" i="25"/>
  <c r="I337" i="25" s="1"/>
  <c r="H336" i="25"/>
  <c r="I336" i="25" s="1"/>
  <c r="H335" i="25"/>
  <c r="I335" i="25" s="1"/>
  <c r="H334" i="25"/>
  <c r="I334" i="25" s="1"/>
  <c r="H333" i="25"/>
  <c r="I333" i="25" s="1"/>
  <c r="H331" i="25"/>
  <c r="I331" i="25" s="1"/>
  <c r="H330" i="25"/>
  <c r="I330" i="25" s="1"/>
  <c r="H329" i="25"/>
  <c r="I329" i="25" s="1"/>
  <c r="H328" i="25"/>
  <c r="I328" i="25" s="1"/>
  <c r="H327" i="25"/>
  <c r="I327" i="25" s="1"/>
  <c r="H326" i="25"/>
  <c r="I326" i="25" s="1"/>
  <c r="H325" i="25"/>
  <c r="I325" i="25" s="1"/>
  <c r="H324" i="25"/>
  <c r="I324" i="25" s="1"/>
  <c r="H322" i="25"/>
  <c r="I322" i="25" s="1"/>
  <c r="H321" i="25"/>
  <c r="I321" i="25" s="1"/>
  <c r="H320" i="25"/>
  <c r="I320" i="25" s="1"/>
  <c r="H319" i="25"/>
  <c r="I319" i="25" s="1"/>
  <c r="H318" i="25"/>
  <c r="I318" i="25" s="1"/>
  <c r="H317" i="25"/>
  <c r="I317" i="25" s="1"/>
  <c r="H316" i="25"/>
  <c r="I316" i="25" s="1"/>
  <c r="H312" i="25"/>
  <c r="I312" i="25" s="1"/>
  <c r="H311" i="25"/>
  <c r="I311" i="25" s="1"/>
  <c r="H309" i="25"/>
  <c r="I309" i="25" s="1"/>
  <c r="H307" i="25"/>
  <c r="I307" i="25" s="1"/>
  <c r="H306" i="25"/>
  <c r="I306" i="25" s="1"/>
  <c r="H305" i="25"/>
  <c r="I305" i="25" s="1"/>
  <c r="H303" i="25"/>
  <c r="I303" i="25" s="1"/>
  <c r="H302" i="25"/>
  <c r="I302" i="25" s="1"/>
  <c r="H301" i="25"/>
  <c r="I301" i="25" s="1"/>
  <c r="H299" i="25"/>
  <c r="I299" i="25" s="1"/>
  <c r="H297" i="25"/>
  <c r="I297" i="25" s="1"/>
  <c r="H296" i="25"/>
  <c r="I296" i="25" s="1"/>
  <c r="H314" i="25"/>
  <c r="I314" i="25" s="1"/>
  <c r="H294" i="25"/>
  <c r="I294" i="25" s="1"/>
  <c r="H292" i="25"/>
  <c r="I292" i="25" s="1"/>
  <c r="H290" i="25"/>
  <c r="I290" i="25" s="1"/>
  <c r="H288" i="25"/>
  <c r="I288" i="25" s="1"/>
  <c r="H285" i="25"/>
  <c r="I285" i="25" s="1"/>
  <c r="H284" i="25"/>
  <c r="I284" i="25" s="1"/>
  <c r="H283" i="25"/>
  <c r="I283" i="25" s="1"/>
  <c r="H282" i="25"/>
  <c r="I282" i="25" s="1"/>
  <c r="H280" i="25"/>
  <c r="I280" i="25" s="1"/>
  <c r="H279" i="25"/>
  <c r="I279" i="25" s="1"/>
  <c r="H278" i="25"/>
  <c r="I278" i="25" s="1"/>
  <c r="H277" i="25"/>
  <c r="I277" i="25" s="1"/>
  <c r="H276" i="25"/>
  <c r="I276" i="25" s="1"/>
  <c r="H275" i="25"/>
  <c r="I275" i="25" s="1"/>
  <c r="H274" i="25"/>
  <c r="I274" i="25" s="1"/>
  <c r="H273" i="25"/>
  <c r="I273" i="25" s="1"/>
  <c r="H272" i="25"/>
  <c r="I272" i="25" s="1"/>
  <c r="H271" i="25"/>
  <c r="I271" i="25" s="1"/>
  <c r="H270" i="25"/>
  <c r="I270" i="25" s="1"/>
  <c r="H268" i="25"/>
  <c r="I268" i="25" s="1"/>
  <c r="H267" i="25"/>
  <c r="I267" i="25" s="1"/>
  <c r="H266" i="25"/>
  <c r="I266" i="25" s="1"/>
  <c r="H264" i="25"/>
  <c r="I264" i="25" s="1"/>
  <c r="H263" i="25"/>
  <c r="I263" i="25" s="1"/>
  <c r="H262" i="25"/>
  <c r="I262" i="25" s="1"/>
  <c r="H261" i="25"/>
  <c r="I261" i="25" s="1"/>
  <c r="H259" i="25"/>
  <c r="I259" i="25" s="1"/>
  <c r="H258" i="25"/>
  <c r="I258" i="25" s="1"/>
  <c r="H257" i="25"/>
  <c r="I257" i="25" s="1"/>
  <c r="H256" i="25"/>
  <c r="I256" i="25" s="1"/>
  <c r="H255" i="25"/>
  <c r="I255" i="25" s="1"/>
  <c r="H253" i="25"/>
  <c r="I253" i="25" s="1"/>
  <c r="H252" i="25"/>
  <c r="I252" i="25" s="1"/>
  <c r="H251" i="25"/>
  <c r="I251" i="25" s="1"/>
  <c r="H250" i="25"/>
  <c r="I250" i="25" s="1"/>
  <c r="H249" i="25"/>
  <c r="I249" i="25" s="1"/>
  <c r="H248" i="25"/>
  <c r="I248" i="25" s="1"/>
  <c r="H247" i="25"/>
  <c r="I247" i="25" s="1"/>
  <c r="H246" i="25"/>
  <c r="I246" i="25" s="1"/>
  <c r="H245" i="25"/>
  <c r="I245" i="25" s="1"/>
  <c r="H244" i="25"/>
  <c r="I244" i="25" s="1"/>
  <c r="H243" i="25"/>
  <c r="I243" i="25" s="1"/>
  <c r="H242" i="25"/>
  <c r="I242" i="25" s="1"/>
  <c r="H234" i="25"/>
  <c r="I234" i="25" s="1"/>
  <c r="H233" i="25"/>
  <c r="I233" i="25" s="1"/>
  <c r="H232" i="25"/>
  <c r="I232" i="25" s="1"/>
  <c r="H230" i="25"/>
  <c r="I230" i="25" s="1"/>
  <c r="H221" i="25"/>
  <c r="I221" i="25" s="1"/>
  <c r="H222" i="25"/>
  <c r="I222" i="25" s="1"/>
  <c r="H223" i="25"/>
  <c r="H224" i="25"/>
  <c r="H225" i="25"/>
  <c r="I225" i="25" s="1"/>
  <c r="H226" i="25"/>
  <c r="I226" i="25" s="1"/>
  <c r="H227" i="25"/>
  <c r="I227" i="25" s="1"/>
  <c r="H228" i="25"/>
  <c r="H229" i="25"/>
  <c r="H231" i="25"/>
  <c r="H235" i="25"/>
  <c r="H236" i="25"/>
  <c r="H237" i="25"/>
  <c r="I237" i="25" s="1"/>
  <c r="H238" i="25"/>
  <c r="I238" i="25" s="1"/>
  <c r="H239" i="25"/>
  <c r="I239" i="25" s="1"/>
  <c r="H240" i="25"/>
  <c r="I240" i="25" s="1"/>
  <c r="H220" i="25"/>
  <c r="I220" i="25" s="1"/>
  <c r="H219" i="25"/>
  <c r="I219" i="25" s="1"/>
  <c r="H215" i="25"/>
  <c r="I215" i="25" s="1"/>
  <c r="H214" i="25"/>
  <c r="I214" i="25" s="1"/>
  <c r="H213" i="25"/>
  <c r="I213" i="25" s="1"/>
  <c r="H212" i="25"/>
  <c r="I212" i="25" s="1"/>
  <c r="H211" i="25"/>
  <c r="I211" i="25" s="1"/>
  <c r="H210" i="25"/>
  <c r="I210" i="25" s="1"/>
  <c r="H209" i="25"/>
  <c r="I209" i="25" s="1"/>
  <c r="H208" i="25"/>
  <c r="I208" i="25" s="1"/>
  <c r="H207" i="25"/>
  <c r="I207" i="25" s="1"/>
  <c r="H204" i="25"/>
  <c r="H203" i="25"/>
  <c r="H202" i="25"/>
  <c r="H201" i="25"/>
  <c r="I201" i="25" s="1"/>
  <c r="H200" i="25"/>
  <c r="H199" i="25"/>
  <c r="I199" i="25" s="1"/>
  <c r="H197" i="25"/>
  <c r="I197" i="25" s="1"/>
  <c r="H195" i="25"/>
  <c r="I195" i="25" s="1"/>
  <c r="H194" i="25"/>
  <c r="I194" i="25" s="1"/>
  <c r="H193" i="25"/>
  <c r="I193" i="25" s="1"/>
  <c r="H189" i="25"/>
  <c r="I189" i="25" s="1"/>
  <c r="H187" i="25"/>
  <c r="H188" i="25"/>
  <c r="H190" i="25"/>
  <c r="H191" i="25"/>
  <c r="H192" i="25"/>
  <c r="H196" i="25"/>
  <c r="H198" i="25"/>
  <c r="H205" i="25"/>
  <c r="H206" i="25"/>
  <c r="H216" i="25"/>
  <c r="H217" i="25"/>
  <c r="H218" i="25"/>
  <c r="H241" i="25"/>
  <c r="H254" i="25"/>
  <c r="H260" i="25"/>
  <c r="H265" i="25"/>
  <c r="H269" i="25"/>
  <c r="H281" i="25"/>
  <c r="H286" i="25"/>
  <c r="H287" i="25"/>
  <c r="H289" i="25"/>
  <c r="H291" i="25"/>
  <c r="H293" i="25"/>
  <c r="H295" i="25"/>
  <c r="H298" i="25"/>
  <c r="H300" i="25"/>
  <c r="H304" i="25"/>
  <c r="H308" i="25"/>
  <c r="H310" i="25"/>
  <c r="H313" i="25"/>
  <c r="H315" i="25"/>
  <c r="H323" i="25"/>
  <c r="H332" i="25"/>
  <c r="H340" i="25"/>
  <c r="H345" i="25"/>
  <c r="H348" i="25"/>
  <c r="H350" i="25"/>
  <c r="H352" i="25"/>
  <c r="H354" i="25"/>
  <c r="H355" i="25"/>
  <c r="H357" i="25"/>
  <c r="H358" i="25"/>
  <c r="H360" i="25"/>
  <c r="H367" i="25"/>
  <c r="H373" i="25"/>
  <c r="H376" i="25"/>
  <c r="H378" i="25"/>
  <c r="H379" i="25"/>
  <c r="H383" i="25"/>
  <c r="H386" i="25"/>
  <c r="H387" i="25"/>
  <c r="H394" i="25"/>
  <c r="H406" i="25"/>
  <c r="H408" i="25"/>
  <c r="H415" i="25"/>
  <c r="H417" i="25"/>
  <c r="H422" i="25"/>
  <c r="H427" i="25"/>
  <c r="H428" i="25"/>
  <c r="H429" i="25"/>
  <c r="H435" i="25"/>
  <c r="H436" i="25"/>
  <c r="H437" i="25"/>
  <c r="H438" i="25"/>
  <c r="H440" i="25"/>
  <c r="H446" i="25"/>
  <c r="H447" i="25"/>
  <c r="H449" i="25"/>
  <c r="H450" i="25"/>
  <c r="H451" i="25"/>
  <c r="H452" i="25"/>
  <c r="H456" i="25"/>
  <c r="H458" i="25"/>
  <c r="H460" i="25"/>
  <c r="H463" i="25"/>
  <c r="H464" i="25"/>
  <c r="H473" i="25"/>
  <c r="H480" i="25"/>
  <c r="H484" i="25"/>
  <c r="H486" i="25"/>
  <c r="H487" i="25"/>
  <c r="H488" i="25"/>
  <c r="H492" i="25"/>
  <c r="H493" i="25"/>
  <c r="H494" i="25"/>
  <c r="H497" i="25"/>
  <c r="H501" i="25"/>
  <c r="H506" i="25"/>
  <c r="H512" i="25"/>
  <c r="H518" i="25"/>
  <c r="H551" i="25"/>
  <c r="H552" i="25"/>
  <c r="H553" i="25"/>
  <c r="H558" i="25"/>
  <c r="H564" i="25"/>
  <c r="H565" i="25"/>
  <c r="H566" i="25"/>
  <c r="H567" i="25"/>
  <c r="H573" i="25"/>
  <c r="H574" i="25"/>
  <c r="H576" i="25"/>
  <c r="H577" i="25"/>
  <c r="H583" i="25"/>
  <c r="H590" i="25"/>
  <c r="H597" i="25"/>
  <c r="H600" i="25"/>
  <c r="H601" i="25"/>
  <c r="H602" i="25"/>
  <c r="H605" i="25"/>
  <c r="H610" i="25"/>
  <c r="H613" i="25"/>
  <c r="H616" i="25"/>
  <c r="H617" i="25"/>
  <c r="H622" i="25"/>
  <c r="H624" i="25"/>
  <c r="H625" i="25"/>
  <c r="H626" i="25"/>
  <c r="H627" i="25"/>
  <c r="H628" i="25"/>
  <c r="H629" i="25"/>
  <c r="H630" i="25"/>
  <c r="H633" i="25"/>
  <c r="H634" i="25"/>
  <c r="H635" i="25"/>
  <c r="H637" i="25"/>
  <c r="H639" i="25"/>
  <c r="H642" i="25"/>
  <c r="H645" i="25"/>
  <c r="H646" i="25"/>
  <c r="H647" i="25"/>
  <c r="H648" i="25"/>
  <c r="H649" i="25"/>
  <c r="H650" i="25"/>
  <c r="H651" i="25"/>
  <c r="H652" i="25"/>
  <c r="H653" i="25"/>
  <c r="H655" i="25"/>
  <c r="H658" i="25"/>
  <c r="H659" i="25"/>
  <c r="H660" i="25"/>
  <c r="H661" i="25"/>
  <c r="H662" i="25"/>
  <c r="H663" i="25"/>
  <c r="H664" i="25"/>
  <c r="H666" i="25"/>
  <c r="H669" i="25"/>
  <c r="H675" i="25"/>
  <c r="H676" i="25"/>
  <c r="H677" i="25"/>
  <c r="H678" i="25"/>
  <c r="H682" i="25"/>
  <c r="H683" i="25"/>
  <c r="H685" i="25"/>
  <c r="H686" i="25"/>
  <c r="H690" i="25"/>
  <c r="H692" i="25"/>
  <c r="H693" i="25"/>
  <c r="H695" i="25"/>
  <c r="H697" i="25"/>
  <c r="H698" i="25"/>
  <c r="H699" i="25"/>
  <c r="H700" i="25"/>
  <c r="H704" i="25"/>
  <c r="H705" i="25"/>
  <c r="H706" i="25"/>
  <c r="H707" i="25"/>
  <c r="H708" i="25"/>
  <c r="H711" i="25"/>
  <c r="H712" i="25"/>
  <c r="H713" i="25"/>
  <c r="H186" i="25"/>
  <c r="H185" i="25"/>
  <c r="I200" i="25" l="1"/>
  <c r="I204" i="25"/>
  <c r="I202" i="25"/>
  <c r="I203" i="25"/>
  <c r="I186" i="25"/>
  <c r="I1718" i="25" l="1"/>
  <c r="I1717" i="25"/>
  <c r="I1716" i="25"/>
  <c r="I1715" i="25"/>
  <c r="I1714" i="25"/>
  <c r="I1713" i="25"/>
  <c r="I1712" i="25"/>
  <c r="I1711" i="25"/>
  <c r="I1710" i="25"/>
  <c r="I1709" i="25"/>
  <c r="I1708" i="25"/>
  <c r="I1707" i="25"/>
  <c r="I1706" i="25"/>
  <c r="I1705" i="25"/>
  <c r="I1704" i="25"/>
  <c r="I1703" i="25"/>
  <c r="I1702" i="25"/>
  <c r="I1701" i="25"/>
  <c r="I1700" i="25"/>
  <c r="I1699" i="25"/>
  <c r="I1698" i="25"/>
  <c r="I1697" i="25"/>
  <c r="I1696" i="25"/>
  <c r="I1695" i="25"/>
  <c r="I1694" i="25"/>
  <c r="I1693" i="25"/>
  <c r="I1692" i="25"/>
  <c r="I1691" i="25"/>
  <c r="I1690" i="25"/>
  <c r="I1689" i="25"/>
  <c r="I1688" i="25"/>
  <c r="I1687" i="25"/>
  <c r="I1686" i="25"/>
  <c r="I1685" i="25"/>
  <c r="I1684" i="25"/>
  <c r="I1683" i="25"/>
  <c r="I1682" i="25"/>
  <c r="I1681" i="25"/>
  <c r="I1680" i="25"/>
  <c r="I1679" i="25"/>
  <c r="I1678" i="25"/>
  <c r="I1677" i="25"/>
  <c r="I1676" i="25"/>
  <c r="I1675" i="25"/>
  <c r="I1674" i="25"/>
  <c r="I1673" i="25"/>
  <c r="I1672" i="25"/>
  <c r="I1671" i="25"/>
  <c r="I1670" i="25"/>
  <c r="I1669" i="25"/>
  <c r="I1668" i="25"/>
  <c r="I1667" i="25"/>
  <c r="I1666" i="25"/>
  <c r="I1665" i="25"/>
  <c r="I1664" i="25"/>
  <c r="I1663" i="25"/>
  <c r="I1662" i="25"/>
  <c r="I1661" i="25"/>
  <c r="I1660" i="25"/>
  <c r="I1659" i="25"/>
  <c r="I1658" i="25"/>
  <c r="I1657" i="25"/>
  <c r="I1656" i="25"/>
  <c r="I1655" i="25"/>
  <c r="I1654" i="25"/>
  <c r="I1653" i="25"/>
  <c r="I1652" i="25"/>
  <c r="I1651" i="25"/>
  <c r="I1650" i="25"/>
  <c r="I1649" i="25"/>
  <c r="I1648" i="25"/>
  <c r="I1647" i="25"/>
  <c r="I1646" i="25"/>
  <c r="I1645" i="25"/>
  <c r="I1644" i="25"/>
  <c r="I1643" i="25"/>
  <c r="I1642" i="25"/>
  <c r="I1641" i="25"/>
  <c r="I1640" i="25"/>
  <c r="I1639" i="25"/>
  <c r="I1638" i="25"/>
  <c r="I1637" i="25"/>
  <c r="I1636" i="25"/>
  <c r="I1635" i="25"/>
  <c r="I1634" i="25"/>
  <c r="I1633" i="25"/>
  <c r="I1632" i="25"/>
  <c r="I1631" i="25"/>
  <c r="I1630" i="25"/>
  <c r="I1629" i="25"/>
  <c r="I1628" i="25"/>
  <c r="I1627" i="25"/>
  <c r="I1626" i="25"/>
  <c r="I1625" i="25"/>
  <c r="I1624" i="25"/>
  <c r="I1623" i="25"/>
  <c r="I1622" i="25"/>
  <c r="I1621" i="25"/>
  <c r="I1620" i="25"/>
  <c r="I1619" i="25"/>
  <c r="I1618" i="25"/>
  <c r="I1617" i="25"/>
  <c r="I1616" i="25"/>
  <c r="I1615" i="25"/>
  <c r="I1614" i="25"/>
  <c r="I1613" i="25"/>
  <c r="I1612" i="25"/>
  <c r="I1611" i="25"/>
  <c r="I1610" i="25"/>
  <c r="I1609" i="25"/>
  <c r="I1608" i="25"/>
  <c r="I1607" i="25"/>
  <c r="I1606" i="25"/>
  <c r="I1605" i="25"/>
  <c r="I1604" i="25"/>
  <c r="I1603" i="25"/>
  <c r="I1602" i="25"/>
  <c r="I1601" i="25"/>
  <c r="I1600" i="25"/>
  <c r="I1599" i="25"/>
  <c r="I1598" i="25"/>
  <c r="I1597" i="25"/>
  <c r="I1596" i="25"/>
  <c r="I1595" i="25"/>
  <c r="I1594" i="25"/>
  <c r="I1593" i="25"/>
  <c r="I1592" i="25"/>
  <c r="I1591" i="25"/>
  <c r="I1590" i="25"/>
  <c r="I1589" i="25"/>
  <c r="I1588" i="25"/>
  <c r="I1587" i="25"/>
  <c r="I1586" i="25"/>
  <c r="I1585" i="25"/>
  <c r="I1584" i="25"/>
  <c r="I1583" i="25"/>
  <c r="I1582" i="25"/>
  <c r="I1581" i="25"/>
  <c r="I1580" i="25"/>
  <c r="I1579" i="25"/>
  <c r="I1578" i="25"/>
  <c r="I1577" i="25"/>
  <c r="I1576" i="25"/>
  <c r="I1575" i="25"/>
  <c r="I1574" i="25"/>
  <c r="I1573" i="25"/>
  <c r="I1572" i="25"/>
  <c r="I1571" i="25"/>
  <c r="I1570" i="25"/>
  <c r="I1569" i="25"/>
  <c r="I1568" i="25"/>
  <c r="I1567" i="25"/>
  <c r="I1566" i="25"/>
  <c r="I1565" i="25"/>
  <c r="I1564" i="25"/>
  <c r="I1563" i="25"/>
  <c r="I1562" i="25"/>
  <c r="I1561" i="25"/>
  <c r="I1560" i="25"/>
  <c r="I1559" i="25"/>
  <c r="I1558" i="25"/>
  <c r="I1557" i="25"/>
  <c r="I1556" i="25"/>
  <c r="I1555" i="25"/>
  <c r="I1554" i="25"/>
  <c r="I1553" i="25"/>
  <c r="I1552" i="25"/>
  <c r="I1551" i="25"/>
  <c r="I1550" i="25"/>
  <c r="I1549" i="25"/>
  <c r="I1548" i="25"/>
  <c r="I1547" i="25"/>
  <c r="I1546" i="25"/>
  <c r="I1545" i="25"/>
  <c r="I1544" i="25"/>
  <c r="I1543" i="25"/>
  <c r="I1542" i="25"/>
  <c r="I1541" i="25"/>
  <c r="I1540" i="25"/>
  <c r="I1539" i="25"/>
  <c r="I1538" i="25"/>
  <c r="I1537" i="25"/>
  <c r="I1536" i="25"/>
  <c r="I1535" i="25"/>
  <c r="I1534" i="25"/>
  <c r="I1533" i="25"/>
  <c r="I1532" i="25"/>
  <c r="I1531" i="25"/>
  <c r="I1530" i="25"/>
  <c r="I1529" i="25"/>
  <c r="I1528" i="25"/>
  <c r="I1527" i="25"/>
  <c r="I1526" i="25"/>
  <c r="I1525" i="25"/>
  <c r="I1524" i="25"/>
  <c r="I1523" i="25"/>
  <c r="I1522" i="25"/>
  <c r="I1521" i="25"/>
  <c r="I1520" i="25"/>
  <c r="I1519" i="25"/>
  <c r="I1518" i="25"/>
  <c r="I1517" i="25"/>
  <c r="I1516" i="25"/>
  <c r="I1515" i="25"/>
  <c r="I1514" i="25"/>
  <c r="I1513" i="25"/>
  <c r="I1512" i="25"/>
  <c r="I1511" i="25"/>
  <c r="I1510" i="25"/>
  <c r="I1509" i="25"/>
  <c r="I1508" i="25"/>
  <c r="I1507" i="25"/>
  <c r="I1506" i="25"/>
  <c r="I1505" i="25"/>
  <c r="I1504" i="25"/>
  <c r="I1503" i="25"/>
  <c r="I1502" i="25"/>
  <c r="I1501" i="25"/>
  <c r="I1500" i="25"/>
  <c r="I1499" i="25"/>
  <c r="I1498" i="25"/>
  <c r="I1497" i="25"/>
  <c r="I1496" i="25"/>
  <c r="I1495" i="25"/>
  <c r="I1494" i="25"/>
  <c r="I1493" i="25"/>
  <c r="I1492" i="25"/>
  <c r="I1491" i="25"/>
  <c r="I1490" i="25"/>
  <c r="I1489" i="25"/>
  <c r="I1488" i="25"/>
  <c r="I1487" i="25"/>
  <c r="I1486" i="25"/>
  <c r="I1485" i="25"/>
  <c r="I1484" i="25"/>
  <c r="I1483" i="25"/>
  <c r="I1482" i="25"/>
  <c r="I1481" i="25"/>
  <c r="I1480" i="25"/>
  <c r="I1479" i="25"/>
  <c r="I1478" i="25"/>
  <c r="I1477" i="25"/>
  <c r="I1476" i="25"/>
  <c r="I1475" i="25"/>
  <c r="I1474" i="25"/>
  <c r="I1473" i="25"/>
  <c r="I1472" i="25"/>
  <c r="I1471" i="25"/>
  <c r="I1470" i="25"/>
  <c r="I1469" i="25"/>
  <c r="I1468" i="25"/>
  <c r="I1467" i="25"/>
  <c r="I1466" i="25"/>
  <c r="I1465" i="25"/>
  <c r="I1464" i="25"/>
  <c r="I1463" i="25"/>
  <c r="I1462" i="25"/>
  <c r="I1461" i="25"/>
  <c r="I1460" i="25"/>
  <c r="I1459" i="25"/>
  <c r="I1458" i="25"/>
  <c r="I1457" i="25"/>
  <c r="I1456" i="25"/>
  <c r="I1455" i="25"/>
  <c r="I1454" i="25"/>
  <c r="I1453" i="25"/>
  <c r="I1452" i="25"/>
  <c r="I1451" i="25"/>
  <c r="I1450" i="25"/>
  <c r="I1449" i="25"/>
  <c r="I1448" i="25"/>
  <c r="I1447" i="25"/>
  <c r="I1446" i="25"/>
  <c r="I1445" i="25"/>
  <c r="I1444" i="25"/>
  <c r="I1443" i="25"/>
  <c r="I1442" i="25"/>
  <c r="I1441" i="25"/>
  <c r="I1440" i="25"/>
  <c r="I1439" i="25"/>
  <c r="I1438" i="25"/>
  <c r="I1437" i="25"/>
  <c r="I1436" i="25"/>
  <c r="I1435" i="25"/>
  <c r="I1434" i="25"/>
  <c r="I1433" i="25"/>
  <c r="I1432" i="25"/>
  <c r="I1431" i="25"/>
  <c r="I1430" i="25"/>
  <c r="I1429" i="25"/>
  <c r="I1428" i="25"/>
  <c r="I1427" i="25"/>
  <c r="I1426" i="25"/>
  <c r="I1425" i="25"/>
  <c r="I1424" i="25"/>
  <c r="I1423" i="25"/>
  <c r="I1422" i="25"/>
  <c r="I1421" i="25"/>
  <c r="I1420" i="25"/>
  <c r="I1419" i="25"/>
  <c r="I1418" i="25"/>
  <c r="I1417" i="25"/>
  <c r="I1416" i="25"/>
  <c r="I1415" i="25"/>
  <c r="I1414" i="25"/>
  <c r="I1413" i="25"/>
  <c r="I1412" i="25"/>
  <c r="I1411" i="25"/>
  <c r="I1410" i="25"/>
  <c r="I1409" i="25"/>
  <c r="I1408" i="25"/>
  <c r="I1407" i="25"/>
  <c r="I1406" i="25"/>
  <c r="I1405" i="25"/>
  <c r="I1404" i="25"/>
  <c r="I1403" i="25"/>
  <c r="I1402" i="25"/>
  <c r="I1401" i="25"/>
  <c r="I1400" i="25"/>
  <c r="I1399" i="25"/>
  <c r="I1398" i="25"/>
  <c r="I1397" i="25"/>
  <c r="I1396" i="25"/>
  <c r="I1395" i="25"/>
  <c r="I1394" i="25"/>
  <c r="I1393" i="25"/>
  <c r="I1392" i="25"/>
  <c r="I1391" i="25"/>
  <c r="I1390" i="25"/>
  <c r="I1389" i="25"/>
  <c r="I1388" i="25"/>
  <c r="I1387" i="25"/>
  <c r="I1386" i="25"/>
  <c r="I1385" i="25"/>
  <c r="I1384" i="25"/>
  <c r="I1383" i="25"/>
  <c r="I1382" i="25"/>
  <c r="I1381" i="25"/>
  <c r="I1380" i="25"/>
  <c r="I1379" i="25"/>
  <c r="I1378" i="25"/>
  <c r="I1377" i="25"/>
  <c r="I1376" i="25"/>
  <c r="I1375" i="25"/>
  <c r="I1374" i="25"/>
  <c r="I1373" i="25"/>
  <c r="I1372" i="25"/>
  <c r="I1371" i="25"/>
  <c r="I1370" i="25"/>
  <c r="I1369" i="25"/>
  <c r="I1368" i="25"/>
  <c r="I1367" i="25"/>
  <c r="I1366" i="25"/>
  <c r="I1365" i="25"/>
  <c r="I1364" i="25"/>
  <c r="I1363" i="25"/>
  <c r="I1362" i="25"/>
  <c r="I1361" i="25"/>
  <c r="I1360" i="25"/>
  <c r="I1359" i="25"/>
  <c r="I1358" i="25"/>
  <c r="I1357" i="25"/>
  <c r="I1356" i="25"/>
  <c r="I1355" i="25"/>
  <c r="I1354" i="25"/>
  <c r="I1353" i="25"/>
  <c r="I1352" i="25"/>
  <c r="I1351" i="25"/>
  <c r="I1350" i="25"/>
  <c r="I1349" i="25"/>
  <c r="I1348" i="25"/>
  <c r="I1347" i="25"/>
  <c r="I1346" i="25"/>
  <c r="I1345" i="25"/>
  <c r="I1344" i="25"/>
  <c r="I1343" i="25"/>
  <c r="I1342" i="25"/>
  <c r="I1341" i="25"/>
  <c r="I1340" i="25"/>
  <c r="I1339" i="25"/>
  <c r="I1338" i="25"/>
  <c r="I1337" i="25"/>
  <c r="I1336" i="25"/>
  <c r="I1335" i="25"/>
  <c r="I1334" i="25"/>
  <c r="I1333" i="25"/>
  <c r="I1332" i="25"/>
  <c r="I1331" i="25"/>
  <c r="I1330" i="25"/>
  <c r="I1329" i="25"/>
  <c r="I1328" i="25"/>
  <c r="I1327" i="25"/>
  <c r="I1326" i="25"/>
  <c r="I1325" i="25"/>
  <c r="I1324" i="25"/>
  <c r="I1323" i="25"/>
  <c r="I1322" i="25"/>
  <c r="I1321" i="25"/>
  <c r="I1320" i="25"/>
  <c r="I1319" i="25"/>
  <c r="I1318" i="25"/>
  <c r="I1317" i="25"/>
  <c r="I1316" i="25"/>
  <c r="I1315" i="25"/>
  <c r="I1314" i="25"/>
  <c r="I1313" i="25"/>
  <c r="I1312" i="25"/>
  <c r="I1311" i="25"/>
  <c r="I1310" i="25"/>
  <c r="I1309" i="25"/>
  <c r="I1308" i="25"/>
  <c r="I1307" i="25"/>
  <c r="I1306" i="25"/>
  <c r="I1305" i="25"/>
  <c r="I1304" i="25"/>
  <c r="I1303" i="25"/>
  <c r="I1302" i="25"/>
  <c r="I1301" i="25"/>
  <c r="I1300" i="25"/>
  <c r="I1299" i="25"/>
  <c r="I1298" i="25"/>
  <c r="I1297" i="25"/>
  <c r="I1296" i="25"/>
  <c r="I1295" i="25"/>
  <c r="I1294" i="25"/>
  <c r="I1293" i="25"/>
  <c r="I1292" i="25"/>
  <c r="I1291" i="25"/>
  <c r="I1290" i="25"/>
  <c r="I1289" i="25"/>
  <c r="I1288" i="25"/>
  <c r="I1287" i="25"/>
  <c r="I1286" i="25"/>
  <c r="I1285" i="25"/>
  <c r="I1284" i="25"/>
  <c r="I1283" i="25"/>
  <c r="I1282" i="25"/>
  <c r="I1281" i="25"/>
  <c r="I1280" i="25"/>
  <c r="I1279" i="25"/>
  <c r="I1278" i="25"/>
  <c r="I1277" i="25"/>
  <c r="I1276" i="25"/>
  <c r="I1275" i="25"/>
  <c r="I1274" i="25"/>
  <c r="I1273" i="25"/>
  <c r="I1272" i="25"/>
  <c r="I1271" i="25"/>
  <c r="I1270" i="25"/>
  <c r="I1269" i="25"/>
  <c r="I1268" i="25"/>
  <c r="I1267" i="25"/>
  <c r="I1266" i="25"/>
  <c r="I1265" i="25"/>
  <c r="I1264" i="25"/>
  <c r="I1263" i="25"/>
  <c r="I1262" i="25"/>
  <c r="I1261" i="25"/>
  <c r="I1260" i="25"/>
  <c r="I1259" i="25"/>
  <c r="I1258" i="25"/>
  <c r="I1257" i="25"/>
  <c r="I1256" i="25"/>
  <c r="I1255" i="25"/>
  <c r="I1254" i="25"/>
  <c r="I1253" i="25"/>
  <c r="I1252" i="25"/>
  <c r="I1251" i="25"/>
  <c r="I1250" i="25"/>
  <c r="I1249" i="25"/>
  <c r="I1248" i="25"/>
  <c r="I1247" i="25"/>
  <c r="I1246" i="25"/>
  <c r="I1245" i="25"/>
  <c r="I1244" i="25"/>
  <c r="I1243" i="25"/>
  <c r="I1242" i="25"/>
  <c r="I1241" i="25"/>
  <c r="I1240" i="25"/>
  <c r="I1239" i="25"/>
  <c r="I1238" i="25"/>
  <c r="I1237" i="25"/>
  <c r="I1236" i="25"/>
  <c r="I1235" i="25"/>
  <c r="I1234" i="25"/>
  <c r="I1233" i="25"/>
  <c r="I1232" i="25"/>
  <c r="I1231" i="25"/>
  <c r="I1230" i="25"/>
  <c r="I1229" i="25"/>
  <c r="I1228" i="25"/>
  <c r="I1227" i="25"/>
  <c r="I1226" i="25"/>
  <c r="I1225" i="25"/>
  <c r="I1224" i="25"/>
  <c r="I1223" i="25"/>
  <c r="I1222" i="25"/>
  <c r="I1221" i="25"/>
  <c r="I1220" i="25"/>
  <c r="I1219" i="25"/>
  <c r="I1218" i="25"/>
  <c r="I1217" i="25"/>
  <c r="I1216" i="25"/>
  <c r="I1215" i="25"/>
  <c r="I1214" i="25"/>
  <c r="I1213" i="25"/>
  <c r="I1212" i="25"/>
  <c r="I1211" i="25"/>
  <c r="I1210" i="25"/>
  <c r="I1209" i="25"/>
  <c r="I1208" i="25"/>
  <c r="I1207" i="25"/>
  <c r="I1206" i="25"/>
  <c r="I1205" i="25"/>
  <c r="I1204" i="25"/>
  <c r="I1203" i="25"/>
  <c r="I1202" i="25"/>
  <c r="I1201" i="25"/>
  <c r="I1200" i="25"/>
  <c r="I1199" i="25"/>
  <c r="I1198" i="25"/>
  <c r="I1197" i="25"/>
  <c r="I1196" i="25"/>
  <c r="I1195" i="25"/>
  <c r="I1194" i="25"/>
  <c r="I1193" i="25"/>
  <c r="I1192" i="25"/>
  <c r="I1191" i="25"/>
  <c r="I1190" i="25"/>
  <c r="I1189" i="25"/>
  <c r="I1188" i="25"/>
  <c r="I1187" i="25"/>
  <c r="I1186" i="25"/>
  <c r="I1185" i="25"/>
  <c r="I1184" i="25"/>
  <c r="I1183" i="25"/>
  <c r="I1182" i="25"/>
  <c r="I1181" i="25"/>
  <c r="I1180" i="25"/>
  <c r="I1179" i="25"/>
  <c r="I1178" i="25"/>
  <c r="I1177" i="25"/>
  <c r="I1176" i="25"/>
  <c r="I1175" i="25"/>
  <c r="I1174" i="25"/>
  <c r="I1173" i="25"/>
  <c r="I1172" i="25"/>
  <c r="I1171" i="25"/>
  <c r="I1170" i="25"/>
  <c r="I1169" i="25"/>
  <c r="I1168" i="25"/>
  <c r="I1167" i="25"/>
  <c r="I1166" i="25"/>
  <c r="I1165" i="25"/>
  <c r="I1164" i="25"/>
  <c r="I1163" i="25"/>
  <c r="I1162" i="25"/>
  <c r="I1161" i="25"/>
  <c r="I1160" i="25"/>
  <c r="I1159" i="25"/>
  <c r="I1158" i="25"/>
  <c r="I1157" i="25"/>
  <c r="I1156" i="25"/>
  <c r="I1155" i="25"/>
  <c r="I1154" i="25"/>
  <c r="I1153" i="25"/>
  <c r="I1152" i="25"/>
  <c r="I1151" i="25"/>
  <c r="I1150" i="25"/>
  <c r="I1149" i="25"/>
  <c r="I1148" i="25"/>
  <c r="I1147" i="25"/>
  <c r="I1146" i="25"/>
  <c r="I1145" i="25"/>
  <c r="I1144" i="25"/>
  <c r="I1143" i="25"/>
  <c r="I1142" i="25"/>
  <c r="I1141" i="25"/>
  <c r="I1140" i="25"/>
  <c r="I1139" i="25"/>
  <c r="I1138" i="25"/>
  <c r="I1137" i="25"/>
  <c r="I1136" i="25"/>
  <c r="I1135" i="25"/>
  <c r="I1134" i="25"/>
  <c r="I1133" i="25"/>
  <c r="I1132" i="25"/>
  <c r="I1131" i="25"/>
  <c r="I1130" i="25"/>
  <c r="I1129" i="25"/>
  <c r="I1128" i="25"/>
  <c r="I1127" i="25"/>
  <c r="I1126" i="25"/>
  <c r="I1125" i="25"/>
  <c r="I1124" i="25"/>
  <c r="I1123" i="25"/>
  <c r="I1122" i="25"/>
  <c r="I1121" i="25"/>
  <c r="I1120" i="25"/>
  <c r="I1119" i="25"/>
  <c r="I1118" i="25"/>
  <c r="I1117" i="25"/>
  <c r="I1116" i="25"/>
  <c r="I1115" i="25"/>
  <c r="I1114" i="25"/>
  <c r="I1113" i="25"/>
  <c r="I1112" i="25"/>
  <c r="I1111" i="25"/>
  <c r="I1110" i="25"/>
  <c r="I1109" i="25"/>
  <c r="I1108" i="25"/>
  <c r="I1107" i="25"/>
  <c r="I1106" i="25"/>
  <c r="I1105" i="25"/>
  <c r="I1104" i="25"/>
  <c r="I1103" i="25"/>
  <c r="I1102" i="25"/>
  <c r="I1101" i="25"/>
  <c r="I1100" i="25"/>
  <c r="I1099" i="25"/>
  <c r="I1098" i="25"/>
  <c r="I1097" i="25"/>
  <c r="I1096" i="25"/>
  <c r="I1095" i="25"/>
  <c r="I1094" i="25"/>
  <c r="I1093" i="25"/>
  <c r="I1092" i="25"/>
  <c r="I1091" i="25"/>
  <c r="I1090" i="25"/>
  <c r="I1089" i="25"/>
  <c r="I1088" i="25"/>
  <c r="I1087" i="25"/>
  <c r="I1086" i="25"/>
  <c r="I1085" i="25"/>
  <c r="I1084" i="25"/>
  <c r="I1083" i="25"/>
  <c r="I1082" i="25"/>
  <c r="I1081" i="25"/>
  <c r="I1080" i="25"/>
  <c r="I1079" i="25"/>
  <c r="I1078" i="25"/>
  <c r="I1077" i="25"/>
  <c r="I1076" i="25"/>
  <c r="I1075" i="25"/>
  <c r="I1074" i="25"/>
  <c r="I1073" i="25"/>
  <c r="I1072" i="25"/>
  <c r="I1071" i="25"/>
  <c r="I1070" i="25"/>
  <c r="I1069" i="25"/>
  <c r="I1068" i="25"/>
  <c r="I1067" i="25"/>
  <c r="I1066" i="25"/>
  <c r="I1065" i="25"/>
  <c r="I1064" i="25"/>
  <c r="I1063" i="25"/>
  <c r="I1062" i="25"/>
  <c r="I1061" i="25"/>
  <c r="I1060" i="25"/>
  <c r="I1059" i="25"/>
  <c r="I1058" i="25"/>
  <c r="I1057" i="25"/>
  <c r="I1056" i="25"/>
  <c r="I1055" i="25"/>
  <c r="I1054" i="25"/>
  <c r="I1053" i="25"/>
  <c r="I1052" i="25"/>
  <c r="I1051" i="25"/>
  <c r="I1050" i="25"/>
  <c r="I1049" i="25"/>
  <c r="I1048" i="25"/>
  <c r="I1047" i="25"/>
  <c r="I1046" i="25"/>
  <c r="I1045" i="25"/>
  <c r="I1044" i="25"/>
  <c r="I1043" i="25"/>
  <c r="I1042" i="25"/>
  <c r="I1041" i="25"/>
  <c r="I1040" i="25"/>
  <c r="I1039" i="25"/>
  <c r="I1038" i="25"/>
  <c r="I1037" i="25"/>
  <c r="I1036" i="25"/>
  <c r="I1035" i="25"/>
  <c r="I1034" i="25"/>
  <c r="I1033" i="25"/>
  <c r="I1032" i="25"/>
  <c r="I1031" i="25"/>
  <c r="I1030" i="25"/>
  <c r="I1029" i="25"/>
  <c r="I1028" i="25"/>
  <c r="I1027" i="25"/>
  <c r="I1026" i="25"/>
  <c r="I1025" i="25"/>
  <c r="I1024" i="25"/>
  <c r="I1023" i="25"/>
  <c r="I1022" i="25"/>
  <c r="I1021" i="25"/>
  <c r="I1020" i="25"/>
  <c r="I1019" i="25"/>
  <c r="I1018" i="25"/>
  <c r="I1017" i="25"/>
  <c r="I1016" i="25"/>
  <c r="I1015" i="25"/>
  <c r="I1014" i="25"/>
  <c r="I1013" i="25"/>
  <c r="I1012" i="25"/>
  <c r="I1011" i="25"/>
  <c r="I1010" i="25"/>
  <c r="I1009" i="25"/>
  <c r="I1008" i="25"/>
  <c r="I1007" i="25"/>
  <c r="I1006" i="25"/>
  <c r="I1005" i="25"/>
  <c r="I1004" i="25"/>
  <c r="I1003" i="25"/>
  <c r="I1002" i="25"/>
  <c r="I1001" i="25"/>
  <c r="I1000" i="25"/>
  <c r="I999" i="25"/>
  <c r="I998" i="25"/>
  <c r="I997" i="25"/>
  <c r="I996" i="25"/>
  <c r="I995" i="25"/>
  <c r="I994" i="25"/>
  <c r="I993" i="25"/>
  <c r="I992" i="25"/>
  <c r="I991" i="25"/>
  <c r="I990" i="25"/>
  <c r="I989" i="25"/>
  <c r="I988" i="25"/>
  <c r="I987" i="25"/>
  <c r="I986" i="25"/>
  <c r="I985" i="25"/>
  <c r="I984" i="25"/>
  <c r="I983" i="25"/>
  <c r="I982" i="25"/>
  <c r="I981" i="25"/>
  <c r="I980" i="25"/>
  <c r="I979" i="25"/>
  <c r="I978" i="25"/>
  <c r="I977" i="25"/>
  <c r="I976" i="25"/>
  <c r="I975" i="25"/>
  <c r="I974" i="25"/>
  <c r="I973" i="25"/>
  <c r="I972" i="25"/>
  <c r="I971" i="25"/>
  <c r="I970" i="25"/>
  <c r="I969" i="25"/>
  <c r="I968" i="25"/>
  <c r="I967" i="25"/>
  <c r="I966" i="25"/>
  <c r="I965" i="25"/>
  <c r="I964" i="25"/>
  <c r="I963" i="25"/>
  <c r="I962" i="25"/>
  <c r="I961" i="25"/>
  <c r="I960" i="25"/>
  <c r="I959" i="25"/>
  <c r="I958" i="25"/>
  <c r="I957" i="25"/>
  <c r="I956" i="25"/>
  <c r="I955" i="25"/>
  <c r="I954" i="25"/>
  <c r="I953" i="25"/>
  <c r="I952" i="25"/>
  <c r="I951" i="25"/>
  <c r="I950" i="25"/>
  <c r="I949" i="25"/>
  <c r="I948" i="25"/>
  <c r="I947" i="25"/>
  <c r="I946" i="25"/>
  <c r="I945" i="25"/>
  <c r="I944" i="25"/>
  <c r="I943" i="25"/>
  <c r="I942" i="25"/>
  <c r="I941" i="25"/>
  <c r="I940" i="25"/>
  <c r="I939" i="25"/>
  <c r="I938" i="25"/>
  <c r="I937" i="25"/>
  <c r="I936" i="25"/>
  <c r="I935" i="25"/>
  <c r="I934" i="25"/>
  <c r="I933" i="25"/>
  <c r="I932" i="25"/>
  <c r="I931" i="25"/>
  <c r="I930" i="25"/>
  <c r="I929" i="25"/>
  <c r="I928" i="25"/>
  <c r="I927" i="25"/>
  <c r="I926" i="25"/>
  <c r="I925" i="25"/>
  <c r="I924" i="25"/>
  <c r="I923" i="25"/>
  <c r="I922" i="25"/>
  <c r="I921" i="25"/>
  <c r="I920" i="25"/>
  <c r="I919" i="25"/>
  <c r="I918" i="25"/>
  <c r="I917" i="25"/>
  <c r="I916" i="25"/>
  <c r="I915" i="25"/>
  <c r="I914" i="25"/>
  <c r="I913" i="25"/>
  <c r="I912" i="25"/>
  <c r="I911" i="25"/>
  <c r="I910" i="25"/>
  <c r="I909" i="25"/>
  <c r="I908" i="25"/>
  <c r="I907" i="25"/>
  <c r="I906" i="25"/>
  <c r="I905" i="25"/>
  <c r="I904" i="25"/>
  <c r="I903" i="25"/>
  <c r="I902" i="25"/>
  <c r="I901" i="25"/>
  <c r="I900" i="25"/>
  <c r="I899" i="25"/>
  <c r="I898" i="25"/>
  <c r="I897" i="25"/>
  <c r="I896" i="25"/>
  <c r="I895" i="25"/>
  <c r="I894" i="25"/>
  <c r="I893" i="25"/>
  <c r="I892" i="25"/>
  <c r="I891" i="25"/>
  <c r="I890" i="25"/>
  <c r="I889" i="25"/>
  <c r="I888" i="25"/>
  <c r="I887" i="25"/>
  <c r="I886" i="25"/>
  <c r="I885" i="25"/>
  <c r="I884" i="25"/>
  <c r="I883" i="25"/>
  <c r="I882" i="25"/>
  <c r="I881" i="25"/>
  <c r="I880" i="25"/>
  <c r="I879" i="25"/>
  <c r="I878" i="25"/>
  <c r="I877" i="25"/>
  <c r="I876" i="25"/>
  <c r="I875" i="25"/>
  <c r="I874" i="25"/>
  <c r="I873" i="25"/>
  <c r="I872" i="25"/>
  <c r="I871" i="25"/>
  <c r="I870" i="25"/>
  <c r="I869" i="25"/>
  <c r="I868" i="25"/>
  <c r="I867" i="25"/>
  <c r="I866" i="25"/>
  <c r="I865" i="25"/>
  <c r="I864" i="25"/>
  <c r="I863" i="25"/>
  <c r="I862" i="25"/>
  <c r="I861" i="25"/>
  <c r="I860" i="25"/>
  <c r="I859" i="25"/>
  <c r="I858" i="25"/>
  <c r="I857" i="25"/>
  <c r="I856" i="25"/>
  <c r="I855" i="25"/>
  <c r="I854" i="25"/>
  <c r="I853" i="25"/>
  <c r="I852" i="25"/>
  <c r="I851" i="25"/>
  <c r="I850" i="25"/>
  <c r="I849" i="25"/>
  <c r="I848" i="25"/>
  <c r="I847" i="25"/>
  <c r="I846" i="25"/>
  <c r="I845" i="25"/>
  <c r="I844" i="25"/>
  <c r="I843" i="25"/>
  <c r="I842" i="25"/>
  <c r="I841" i="25"/>
  <c r="I840" i="25"/>
  <c r="I839" i="25"/>
  <c r="I838" i="25"/>
  <c r="I837" i="25"/>
  <c r="I836" i="25"/>
  <c r="I835" i="25"/>
  <c r="I834" i="25"/>
  <c r="I833" i="25"/>
  <c r="I832" i="25"/>
  <c r="I831" i="25"/>
  <c r="I830" i="25"/>
  <c r="I829" i="25"/>
  <c r="I828" i="25"/>
  <c r="I827" i="25"/>
  <c r="I826" i="25"/>
  <c r="I825" i="25"/>
  <c r="I824" i="25"/>
  <c r="I823" i="25"/>
  <c r="I822" i="25"/>
  <c r="I821" i="25"/>
  <c r="I820" i="25"/>
  <c r="I819" i="25"/>
  <c r="I818" i="25"/>
  <c r="I817" i="25"/>
  <c r="I816" i="25"/>
  <c r="I815" i="25"/>
  <c r="I814" i="25"/>
  <c r="I813" i="25"/>
  <c r="I812" i="25"/>
  <c r="I811" i="25"/>
  <c r="I810" i="25"/>
  <c r="I809" i="25"/>
  <c r="I808" i="25"/>
  <c r="I807" i="25"/>
  <c r="I806" i="25"/>
  <c r="I805" i="25"/>
  <c r="I804" i="25"/>
  <c r="I803" i="25"/>
  <c r="I802" i="25"/>
  <c r="I801" i="25"/>
  <c r="I800" i="25"/>
  <c r="I799" i="25"/>
  <c r="I798" i="25"/>
  <c r="I797" i="25"/>
  <c r="I796" i="25"/>
  <c r="I795" i="25"/>
  <c r="I794" i="25"/>
  <c r="I787" i="25"/>
  <c r="I782" i="25"/>
  <c r="I774" i="25"/>
  <c r="I767" i="25"/>
  <c r="I761" i="25"/>
  <c r="I755" i="25"/>
  <c r="I754" i="25"/>
  <c r="I753" i="25"/>
  <c r="I752" i="25"/>
  <c r="I751" i="25"/>
  <c r="I749" i="25"/>
  <c r="I747" i="25"/>
  <c r="I746" i="25"/>
  <c r="I745" i="25"/>
  <c r="I744" i="25"/>
  <c r="I743" i="25"/>
  <c r="I742" i="25"/>
  <c r="I741" i="25"/>
  <c r="I740" i="25"/>
  <c r="I739" i="25"/>
  <c r="I737" i="25"/>
  <c r="I735" i="25"/>
  <c r="I729" i="25"/>
  <c r="I724" i="25"/>
  <c r="I720" i="25"/>
  <c r="I714" i="25"/>
  <c r="I713" i="25"/>
  <c r="I712" i="25"/>
  <c r="I711" i="25"/>
  <c r="I708" i="25"/>
  <c r="I707" i="25"/>
  <c r="I706" i="25"/>
  <c r="I705" i="25"/>
  <c r="I704" i="25"/>
  <c r="I700" i="25"/>
  <c r="I699" i="25"/>
  <c r="I698" i="25"/>
  <c r="I697" i="25"/>
  <c r="I695" i="25"/>
  <c r="I693" i="25"/>
  <c r="I692" i="25"/>
  <c r="I690" i="25"/>
  <c r="I686" i="25"/>
  <c r="I685" i="25"/>
  <c r="I683" i="25"/>
  <c r="I682" i="25"/>
  <c r="I678" i="25"/>
  <c r="I677" i="25"/>
  <c r="I676" i="25"/>
  <c r="I675" i="25"/>
  <c r="I669" i="25"/>
  <c r="I666" i="25"/>
  <c r="I664" i="25"/>
  <c r="I663" i="25"/>
  <c r="I662" i="25"/>
  <c r="I661" i="25"/>
  <c r="I660" i="25"/>
  <c r="I659" i="25"/>
  <c r="I658" i="25"/>
  <c r="I655" i="25"/>
  <c r="I653" i="25"/>
  <c r="I652" i="25"/>
  <c r="I651" i="25"/>
  <c r="I650" i="25"/>
  <c r="I649" i="25"/>
  <c r="I648" i="25"/>
  <c r="I647" i="25"/>
  <c r="I646" i="25"/>
  <c r="I645" i="25"/>
  <c r="I642" i="25"/>
  <c r="I639" i="25"/>
  <c r="I637" i="25"/>
  <c r="I635" i="25"/>
  <c r="I634" i="25"/>
  <c r="I633" i="25"/>
  <c r="I630" i="25"/>
  <c r="I629" i="25"/>
  <c r="I628" i="25"/>
  <c r="I627" i="25"/>
  <c r="I626" i="25"/>
  <c r="I625" i="25"/>
  <c r="I624" i="25"/>
  <c r="I622" i="25"/>
  <c r="I617" i="25"/>
  <c r="I616" i="25"/>
  <c r="I613" i="25"/>
  <c r="I610" i="25"/>
  <c r="I605" i="25"/>
  <c r="I602" i="25"/>
  <c r="I601" i="25"/>
  <c r="I600" i="25"/>
  <c r="I597" i="25"/>
  <c r="I590" i="25"/>
  <c r="I583" i="25"/>
  <c r="I577" i="25"/>
  <c r="I576" i="25"/>
  <c r="I574" i="25"/>
  <c r="I573" i="25"/>
  <c r="I567" i="25"/>
  <c r="I566" i="25"/>
  <c r="I565" i="25"/>
  <c r="I564" i="25"/>
  <c r="I558" i="25"/>
  <c r="I553" i="25"/>
  <c r="I552" i="25"/>
  <c r="I551" i="25"/>
  <c r="I543" i="25"/>
  <c r="I531" i="25"/>
  <c r="I518" i="25"/>
  <c r="I512" i="25"/>
  <c r="I506" i="25"/>
  <c r="I501" i="25"/>
  <c r="I497" i="25"/>
  <c r="I494" i="25"/>
  <c r="I493" i="25"/>
  <c r="I492" i="25"/>
  <c r="I488" i="25"/>
  <c r="I487" i="25"/>
  <c r="I486" i="25"/>
  <c r="I484" i="25"/>
  <c r="I480" i="25"/>
  <c r="I473" i="25"/>
  <c r="I464" i="25"/>
  <c r="I463" i="25"/>
  <c r="I460" i="25"/>
  <c r="I458" i="25"/>
  <c r="I456" i="25"/>
  <c r="I452" i="25"/>
  <c r="I451" i="25"/>
  <c r="I450" i="25"/>
  <c r="I449" i="25"/>
  <c r="I447" i="25"/>
  <c r="I446" i="25"/>
  <c r="I440" i="25"/>
  <c r="I438" i="25"/>
  <c r="I437" i="25"/>
  <c r="I436" i="25"/>
  <c r="I435" i="25"/>
  <c r="I429" i="25"/>
  <c r="I428" i="25"/>
  <c r="I427" i="25"/>
  <c r="I422" i="25"/>
  <c r="I417" i="25"/>
  <c r="I415" i="25"/>
  <c r="I408" i="25"/>
  <c r="I406" i="25"/>
  <c r="I394" i="25"/>
  <c r="I387" i="25"/>
  <c r="I386" i="25"/>
  <c r="I383" i="25"/>
  <c r="I379" i="25"/>
  <c r="I378" i="25"/>
  <c r="I376" i="25"/>
  <c r="I373" i="25"/>
  <c r="I367" i="25"/>
  <c r="I360" i="25"/>
  <c r="I358" i="25"/>
  <c r="I357" i="25"/>
  <c r="I355" i="25"/>
  <c r="I354" i="25"/>
  <c r="I352" i="25"/>
  <c r="I350" i="25"/>
  <c r="I348" i="25"/>
  <c r="I345" i="25"/>
  <c r="I340" i="25"/>
  <c r="I332" i="25"/>
  <c r="I323" i="25"/>
  <c r="I315" i="25"/>
  <c r="I313" i="25"/>
  <c r="I310" i="25"/>
  <c r="I308" i="25"/>
  <c r="I304" i="25"/>
  <c r="I300" i="25"/>
  <c r="I298" i="25"/>
  <c r="I295" i="25"/>
  <c r="I293" i="25"/>
  <c r="I291" i="25"/>
  <c r="I289" i="25"/>
  <c r="I287" i="25"/>
  <c r="I286" i="25"/>
  <c r="I281" i="25"/>
  <c r="I269" i="25"/>
  <c r="I265" i="25"/>
  <c r="I260" i="25"/>
  <c r="I254" i="25"/>
  <c r="I241" i="25"/>
  <c r="I236" i="25"/>
  <c r="I235" i="25"/>
  <c r="I231" i="25"/>
  <c r="I229" i="25"/>
  <c r="I228" i="25"/>
  <c r="I224" i="25"/>
  <c r="I223" i="25"/>
  <c r="I218" i="25"/>
  <c r="I217" i="25"/>
  <c r="I216" i="25"/>
  <c r="I206" i="25"/>
  <c r="I205" i="25"/>
  <c r="I198" i="25"/>
  <c r="I196" i="25"/>
  <c r="I192" i="25"/>
  <c r="I191" i="25"/>
  <c r="I190" i="25"/>
  <c r="I188" i="25"/>
  <c r="I187" i="25"/>
  <c r="I185" i="25"/>
  <c r="I184" i="25"/>
  <c r="I183" i="25"/>
  <c r="I182" i="25"/>
  <c r="I181" i="25"/>
  <c r="I180" i="25"/>
  <c r="I179" i="25"/>
  <c r="I178" i="25"/>
  <c r="I177" i="25"/>
  <c r="I176" i="25"/>
  <c r="I175" i="25"/>
  <c r="I174" i="25"/>
  <c r="I173" i="25"/>
  <c r="I172" i="25"/>
  <c r="I171" i="25"/>
  <c r="I170" i="25"/>
  <c r="I169" i="25"/>
  <c r="I168" i="25"/>
  <c r="I167" i="25"/>
  <c r="I166" i="25"/>
  <c r="I165" i="25"/>
  <c r="I164" i="25"/>
  <c r="I163" i="25"/>
  <c r="I162" i="25"/>
  <c r="I161" i="25"/>
  <c r="I160" i="25"/>
  <c r="I159" i="25"/>
  <c r="I158" i="25"/>
  <c r="I157" i="25"/>
  <c r="I156" i="25"/>
  <c r="I155" i="25"/>
  <c r="I154" i="25"/>
  <c r="I153" i="25"/>
  <c r="I152" i="25"/>
  <c r="I151" i="25"/>
  <c r="I150" i="25"/>
  <c r="I149" i="25"/>
  <c r="I148" i="25"/>
  <c r="I147" i="25"/>
  <c r="I146" i="25"/>
  <c r="I145" i="25"/>
  <c r="I144" i="25"/>
  <c r="I143" i="25"/>
  <c r="I142" i="25"/>
  <c r="I141" i="25"/>
  <c r="I140" i="25"/>
  <c r="I139" i="25"/>
  <c r="I138" i="25"/>
  <c r="I137" i="25"/>
  <c r="I136" i="25"/>
  <c r="I135" i="25"/>
  <c r="I134" i="25"/>
  <c r="I133" i="25"/>
  <c r="I132" i="25"/>
  <c r="I131" i="25"/>
  <c r="I130" i="25"/>
  <c r="I129" i="25"/>
  <c r="I128" i="25"/>
  <c r="I127" i="25"/>
  <c r="I126" i="25"/>
  <c r="I125" i="25"/>
  <c r="I124" i="25"/>
  <c r="I123" i="25"/>
  <c r="I122" i="25"/>
  <c r="I121" i="25"/>
  <c r="I120" i="25"/>
  <c r="I119" i="25"/>
  <c r="I118" i="25"/>
  <c r="I117" i="25"/>
  <c r="I116" i="25"/>
  <c r="I115" i="25"/>
  <c r="I114" i="25"/>
  <c r="I113" i="25"/>
  <c r="I112" i="25"/>
  <c r="I111" i="25"/>
  <c r="I110" i="25"/>
  <c r="I109" i="25"/>
  <c r="I108" i="25"/>
  <c r="I107" i="25"/>
  <c r="I106" i="25"/>
  <c r="I105" i="25"/>
  <c r="I104" i="25"/>
  <c r="I103" i="25"/>
  <c r="I102" i="25"/>
  <c r="I101" i="25"/>
  <c r="I100" i="25"/>
  <c r="I99" i="25"/>
  <c r="I98" i="25"/>
  <c r="I97" i="25"/>
  <c r="I96" i="25"/>
  <c r="I95" i="25"/>
  <c r="I94" i="25"/>
  <c r="I93" i="25"/>
  <c r="I92" i="25"/>
  <c r="I91" i="25"/>
  <c r="I90" i="25"/>
  <c r="I89" i="25"/>
  <c r="I88" i="25"/>
  <c r="I87" i="25"/>
  <c r="I86" i="25"/>
  <c r="I85" i="25"/>
  <c r="I84" i="25"/>
  <c r="I83" i="25"/>
  <c r="I82" i="25"/>
  <c r="I81" i="25"/>
  <c r="I80" i="25"/>
  <c r="I79" i="25"/>
  <c r="I78" i="25"/>
  <c r="I77" i="25"/>
  <c r="I76" i="25"/>
  <c r="I75" i="25"/>
  <c r="I74" i="25"/>
  <c r="I73" i="25"/>
  <c r="I72" i="25"/>
  <c r="I71" i="25"/>
  <c r="I70" i="25"/>
  <c r="I69" i="25"/>
  <c r="I68" i="25"/>
  <c r="I67" i="25"/>
  <c r="I66" i="25"/>
  <c r="I65" i="25"/>
  <c r="I64" i="25"/>
  <c r="I63" i="25"/>
  <c r="I62" i="25"/>
  <c r="I61" i="25"/>
  <c r="I60" i="25"/>
  <c r="I59" i="25"/>
  <c r="I58" i="25"/>
  <c r="I57" i="25"/>
  <c r="I56" i="25"/>
  <c r="I55" i="25"/>
  <c r="I54" i="25"/>
  <c r="I53" i="25"/>
  <c r="I52" i="25"/>
  <c r="I51" i="25"/>
  <c r="I50" i="25"/>
  <c r="I49" i="25"/>
  <c r="I48" i="25"/>
  <c r="I47" i="25"/>
  <c r="I46" i="25"/>
  <c r="I45" i="25"/>
  <c r="I44" i="25"/>
  <c r="I43" i="25"/>
  <c r="I42" i="25"/>
  <c r="I41" i="25"/>
  <c r="I40" i="25"/>
  <c r="I39" i="25"/>
  <c r="I38" i="25"/>
  <c r="I37" i="25"/>
  <c r="I36" i="25"/>
  <c r="I35" i="25"/>
  <c r="I34" i="25"/>
  <c r="I33" i="25"/>
  <c r="I32" i="25"/>
  <c r="I31" i="25"/>
  <c r="I30" i="25"/>
  <c r="I29" i="25"/>
  <c r="I28" i="25"/>
  <c r="I27" i="25"/>
  <c r="I26" i="25"/>
  <c r="I25" i="25"/>
  <c r="I24" i="25"/>
  <c r="I23" i="25"/>
  <c r="I22" i="25"/>
  <c r="I21" i="25"/>
  <c r="I20" i="25"/>
  <c r="I19" i="25"/>
  <c r="I18" i="25"/>
  <c r="I17" i="25"/>
  <c r="I16" i="25"/>
  <c r="I15" i="25"/>
  <c r="I14" i="25"/>
  <c r="I13" i="25"/>
  <c r="I12" i="25"/>
  <c r="I11" i="25"/>
  <c r="I10" i="25"/>
  <c r="I9" i="25"/>
  <c r="I8" i="25"/>
  <c r="I7" i="25"/>
  <c r="I6" i="25"/>
  <c r="I5" i="25"/>
  <c r="I4" i="25"/>
  <c r="I3" i="25"/>
  <c r="I2" i="25"/>
  <c r="J3" i="1" l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K165" i="1" s="1"/>
  <c r="J166" i="1"/>
  <c r="K166" i="1" s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K172" i="1" s="1"/>
  <c r="J173" i="1"/>
  <c r="K173" i="1" s="1"/>
  <c r="J174" i="1"/>
  <c r="K174" i="1" s="1"/>
  <c r="J175" i="1"/>
  <c r="K175" i="1" s="1"/>
  <c r="J176" i="1"/>
  <c r="K176" i="1" s="1"/>
  <c r="J177" i="1"/>
  <c r="K177" i="1" s="1"/>
  <c r="J178" i="1"/>
  <c r="K178" i="1" s="1"/>
  <c r="J179" i="1"/>
  <c r="K179" i="1" s="1"/>
  <c r="J180" i="1"/>
  <c r="K180" i="1" s="1"/>
  <c r="J181" i="1"/>
  <c r="K181" i="1" s="1"/>
  <c r="J182" i="1"/>
  <c r="K182" i="1" s="1"/>
  <c r="J183" i="1"/>
  <c r="K183" i="1" s="1"/>
  <c r="J184" i="1"/>
  <c r="K184" i="1" s="1"/>
  <c r="J185" i="1"/>
  <c r="K185" i="1" s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4" i="1"/>
  <c r="K194" i="1" s="1"/>
  <c r="J195" i="1"/>
  <c r="K195" i="1" s="1"/>
  <c r="J196" i="1"/>
  <c r="K196" i="1" s="1"/>
  <c r="J197" i="1"/>
  <c r="K197" i="1" s="1"/>
  <c r="J198" i="1"/>
  <c r="K198" i="1" s="1"/>
  <c r="J199" i="1"/>
  <c r="K199" i="1" s="1"/>
  <c r="J200" i="1"/>
  <c r="K200" i="1" s="1"/>
  <c r="J201" i="1"/>
  <c r="K201" i="1" s="1"/>
  <c r="J202" i="1"/>
  <c r="K202" i="1" s="1"/>
  <c r="J203" i="1"/>
  <c r="K203" i="1" s="1"/>
  <c r="J204" i="1"/>
  <c r="K204" i="1" s="1"/>
  <c r="J205" i="1"/>
  <c r="K205" i="1" s="1"/>
  <c r="J206" i="1"/>
  <c r="K206" i="1" s="1"/>
  <c r="J207" i="1"/>
  <c r="K207" i="1" s="1"/>
  <c r="J208" i="1"/>
  <c r="K208" i="1" s="1"/>
  <c r="J209" i="1"/>
  <c r="K209" i="1" s="1"/>
  <c r="J210" i="1"/>
  <c r="K210" i="1" s="1"/>
  <c r="J211" i="1"/>
  <c r="K211" i="1" s="1"/>
  <c r="J212" i="1"/>
  <c r="K212" i="1" s="1"/>
  <c r="J213" i="1"/>
  <c r="K213" i="1" s="1"/>
  <c r="J214" i="1"/>
  <c r="K214" i="1" s="1"/>
  <c r="J215" i="1"/>
  <c r="K215" i="1" s="1"/>
  <c r="J216" i="1"/>
  <c r="K216" i="1" s="1"/>
  <c r="J217" i="1"/>
  <c r="K217" i="1" s="1"/>
  <c r="J218" i="1"/>
  <c r="K218" i="1" s="1"/>
  <c r="J219" i="1"/>
  <c r="K219" i="1" s="1"/>
  <c r="J220" i="1"/>
  <c r="K220" i="1" s="1"/>
  <c r="J221" i="1"/>
  <c r="K221" i="1" s="1"/>
  <c r="J222" i="1"/>
  <c r="K222" i="1" s="1"/>
  <c r="J223" i="1"/>
  <c r="K223" i="1" s="1"/>
  <c r="J224" i="1"/>
  <c r="K224" i="1" s="1"/>
  <c r="J225" i="1"/>
  <c r="K225" i="1" s="1"/>
  <c r="J226" i="1"/>
  <c r="K226" i="1" s="1"/>
  <c r="J227" i="1"/>
  <c r="K227" i="1" s="1"/>
  <c r="J228" i="1"/>
  <c r="K228" i="1" s="1"/>
  <c r="J229" i="1"/>
  <c r="K229" i="1" s="1"/>
  <c r="J230" i="1"/>
  <c r="K230" i="1" s="1"/>
  <c r="J231" i="1"/>
  <c r="K231" i="1" s="1"/>
  <c r="J232" i="1"/>
  <c r="K232" i="1" s="1"/>
  <c r="J233" i="1"/>
  <c r="K233" i="1" s="1"/>
  <c r="J234" i="1"/>
  <c r="K234" i="1" s="1"/>
  <c r="J235" i="1"/>
  <c r="K235" i="1" s="1"/>
  <c r="J236" i="1"/>
  <c r="K236" i="1" s="1"/>
  <c r="J237" i="1"/>
  <c r="K237" i="1" s="1"/>
  <c r="J238" i="1"/>
  <c r="K238" i="1" s="1"/>
  <c r="J239" i="1"/>
  <c r="K239" i="1" s="1"/>
  <c r="J240" i="1"/>
  <c r="K240" i="1" s="1"/>
  <c r="J241" i="1"/>
  <c r="K241" i="1" s="1"/>
  <c r="J242" i="1"/>
  <c r="K242" i="1" s="1"/>
  <c r="J243" i="1"/>
  <c r="K243" i="1" s="1"/>
  <c r="J244" i="1"/>
  <c r="K244" i="1" s="1"/>
  <c r="J245" i="1"/>
  <c r="K245" i="1" s="1"/>
  <c r="J246" i="1"/>
  <c r="K246" i="1" s="1"/>
  <c r="J247" i="1"/>
  <c r="K247" i="1" s="1"/>
  <c r="J248" i="1"/>
  <c r="K248" i="1" s="1"/>
  <c r="J249" i="1"/>
  <c r="K249" i="1" s="1"/>
  <c r="J250" i="1"/>
  <c r="K250" i="1" s="1"/>
  <c r="J251" i="1"/>
  <c r="K251" i="1" s="1"/>
  <c r="J252" i="1"/>
  <c r="K252" i="1" s="1"/>
  <c r="J253" i="1"/>
  <c r="K253" i="1" s="1"/>
  <c r="J254" i="1"/>
  <c r="K254" i="1" s="1"/>
  <c r="J255" i="1"/>
  <c r="K255" i="1" s="1"/>
  <c r="J256" i="1"/>
  <c r="K256" i="1" s="1"/>
  <c r="J257" i="1"/>
  <c r="K257" i="1" s="1"/>
  <c r="J258" i="1"/>
  <c r="K258" i="1" s="1"/>
  <c r="J259" i="1"/>
  <c r="K259" i="1" s="1"/>
  <c r="J260" i="1"/>
  <c r="K260" i="1" s="1"/>
  <c r="J261" i="1"/>
  <c r="K261" i="1" s="1"/>
  <c r="J262" i="1"/>
  <c r="K262" i="1" s="1"/>
  <c r="J263" i="1"/>
  <c r="K263" i="1" s="1"/>
  <c r="J264" i="1"/>
  <c r="K264" i="1" s="1"/>
  <c r="J265" i="1"/>
  <c r="K265" i="1" s="1"/>
  <c r="J266" i="1"/>
  <c r="K266" i="1" s="1"/>
  <c r="J267" i="1"/>
  <c r="K267" i="1" s="1"/>
  <c r="J268" i="1"/>
  <c r="K268" i="1" s="1"/>
  <c r="J269" i="1"/>
  <c r="K269" i="1" s="1"/>
  <c r="J270" i="1"/>
  <c r="K270" i="1" s="1"/>
  <c r="J271" i="1"/>
  <c r="K271" i="1" s="1"/>
  <c r="J272" i="1"/>
  <c r="K272" i="1" s="1"/>
  <c r="J273" i="1"/>
  <c r="K273" i="1" s="1"/>
  <c r="J274" i="1"/>
  <c r="K274" i="1" s="1"/>
  <c r="J275" i="1"/>
  <c r="K275" i="1" s="1"/>
  <c r="J276" i="1"/>
  <c r="K276" i="1" s="1"/>
  <c r="J277" i="1"/>
  <c r="K277" i="1" s="1"/>
  <c r="J278" i="1"/>
  <c r="K278" i="1" s="1"/>
  <c r="J279" i="1"/>
  <c r="K279" i="1" s="1"/>
  <c r="J280" i="1"/>
  <c r="K280" i="1" s="1"/>
  <c r="J281" i="1"/>
  <c r="K281" i="1" s="1"/>
  <c r="J282" i="1"/>
  <c r="K282" i="1" s="1"/>
  <c r="J283" i="1"/>
  <c r="K283" i="1" s="1"/>
  <c r="J284" i="1"/>
  <c r="K284" i="1" s="1"/>
  <c r="J285" i="1"/>
  <c r="K285" i="1" s="1"/>
  <c r="J286" i="1"/>
  <c r="K286" i="1" s="1"/>
  <c r="J287" i="1"/>
  <c r="K287" i="1" s="1"/>
  <c r="J288" i="1"/>
  <c r="K288" i="1" s="1"/>
  <c r="J289" i="1"/>
  <c r="K289" i="1" s="1"/>
  <c r="J290" i="1"/>
  <c r="K290" i="1" s="1"/>
  <c r="J291" i="1"/>
  <c r="K291" i="1" s="1"/>
  <c r="J292" i="1"/>
  <c r="K292" i="1" s="1"/>
  <c r="J293" i="1"/>
  <c r="K293" i="1" s="1"/>
  <c r="J294" i="1"/>
  <c r="K294" i="1" s="1"/>
  <c r="J295" i="1"/>
  <c r="K295" i="1" s="1"/>
  <c r="J296" i="1"/>
  <c r="K296" i="1" s="1"/>
  <c r="J297" i="1"/>
  <c r="K297" i="1" s="1"/>
  <c r="J298" i="1"/>
  <c r="K298" i="1" s="1"/>
  <c r="J299" i="1"/>
  <c r="K299" i="1" s="1"/>
  <c r="J300" i="1"/>
  <c r="K300" i="1" s="1"/>
  <c r="J301" i="1"/>
  <c r="K301" i="1" s="1"/>
  <c r="J302" i="1"/>
  <c r="K302" i="1" s="1"/>
  <c r="J303" i="1"/>
  <c r="K303" i="1" s="1"/>
  <c r="J304" i="1"/>
  <c r="K304" i="1" s="1"/>
  <c r="J305" i="1"/>
  <c r="K305" i="1" s="1"/>
  <c r="J306" i="1"/>
  <c r="K306" i="1" s="1"/>
  <c r="J307" i="1"/>
  <c r="K307" i="1" s="1"/>
  <c r="J308" i="1"/>
  <c r="K308" i="1" s="1"/>
  <c r="J309" i="1"/>
  <c r="K309" i="1" s="1"/>
  <c r="J310" i="1"/>
  <c r="K310" i="1" s="1"/>
  <c r="J311" i="1"/>
  <c r="K311" i="1" s="1"/>
  <c r="J312" i="1"/>
  <c r="K312" i="1" s="1"/>
  <c r="J313" i="1"/>
  <c r="K313" i="1" s="1"/>
  <c r="J314" i="1"/>
  <c r="K314" i="1" s="1"/>
  <c r="J315" i="1"/>
  <c r="K315" i="1" s="1"/>
  <c r="J316" i="1"/>
  <c r="K316" i="1" s="1"/>
  <c r="J317" i="1"/>
  <c r="K317" i="1" s="1"/>
  <c r="J318" i="1"/>
  <c r="K318" i="1" s="1"/>
  <c r="J319" i="1"/>
  <c r="K319" i="1" s="1"/>
  <c r="J320" i="1"/>
  <c r="K320" i="1" s="1"/>
  <c r="J321" i="1"/>
  <c r="K321" i="1" s="1"/>
  <c r="J322" i="1"/>
  <c r="K322" i="1" s="1"/>
  <c r="J323" i="1"/>
  <c r="K323" i="1" s="1"/>
  <c r="J324" i="1"/>
  <c r="K324" i="1" s="1"/>
  <c r="J325" i="1"/>
  <c r="K325" i="1" s="1"/>
  <c r="J326" i="1"/>
  <c r="K326" i="1" s="1"/>
  <c r="J327" i="1"/>
  <c r="K327" i="1" s="1"/>
  <c r="J328" i="1"/>
  <c r="K328" i="1" s="1"/>
  <c r="J329" i="1"/>
  <c r="K329" i="1" s="1"/>
  <c r="J330" i="1"/>
  <c r="K330" i="1" s="1"/>
  <c r="J331" i="1"/>
  <c r="K331" i="1" s="1"/>
  <c r="J332" i="1"/>
  <c r="K332" i="1" s="1"/>
  <c r="J333" i="1"/>
  <c r="K333" i="1" s="1"/>
  <c r="J334" i="1"/>
  <c r="K334" i="1" s="1"/>
  <c r="J335" i="1"/>
  <c r="K335" i="1" s="1"/>
  <c r="J336" i="1"/>
  <c r="K336" i="1" s="1"/>
  <c r="J337" i="1"/>
  <c r="K337" i="1" s="1"/>
  <c r="J338" i="1"/>
  <c r="K338" i="1" s="1"/>
  <c r="J339" i="1"/>
  <c r="K339" i="1" s="1"/>
  <c r="J340" i="1"/>
  <c r="K340" i="1" s="1"/>
  <c r="J341" i="1"/>
  <c r="K341" i="1" s="1"/>
  <c r="J342" i="1"/>
  <c r="K342" i="1" s="1"/>
  <c r="J343" i="1"/>
  <c r="K343" i="1" s="1"/>
  <c r="J344" i="1"/>
  <c r="K344" i="1" s="1"/>
  <c r="J345" i="1"/>
  <c r="K345" i="1" s="1"/>
  <c r="J346" i="1"/>
  <c r="K346" i="1" s="1"/>
  <c r="J347" i="1"/>
  <c r="K347" i="1" s="1"/>
  <c r="J348" i="1"/>
  <c r="K348" i="1" s="1"/>
  <c r="J349" i="1"/>
  <c r="K349" i="1" s="1"/>
  <c r="J350" i="1"/>
  <c r="K350" i="1" s="1"/>
  <c r="J351" i="1"/>
  <c r="K351" i="1" s="1"/>
  <c r="J352" i="1"/>
  <c r="K352" i="1" s="1"/>
  <c r="J353" i="1"/>
  <c r="K353" i="1" s="1"/>
  <c r="J354" i="1"/>
  <c r="K354" i="1" s="1"/>
  <c r="J355" i="1"/>
  <c r="K355" i="1" s="1"/>
  <c r="J356" i="1"/>
  <c r="K356" i="1" s="1"/>
  <c r="J357" i="1"/>
  <c r="K357" i="1" s="1"/>
  <c r="J358" i="1"/>
  <c r="K358" i="1" s="1"/>
  <c r="J359" i="1"/>
  <c r="K359" i="1" s="1"/>
  <c r="J360" i="1"/>
  <c r="K360" i="1" s="1"/>
  <c r="J361" i="1"/>
  <c r="K361" i="1" s="1"/>
  <c r="J362" i="1"/>
  <c r="K362" i="1" s="1"/>
  <c r="J363" i="1"/>
  <c r="K363" i="1" s="1"/>
  <c r="J364" i="1"/>
  <c r="K364" i="1" s="1"/>
  <c r="J365" i="1"/>
  <c r="K365" i="1" s="1"/>
  <c r="J366" i="1"/>
  <c r="K366" i="1" s="1"/>
  <c r="J367" i="1"/>
  <c r="K367" i="1" s="1"/>
  <c r="J368" i="1"/>
  <c r="K368" i="1" s="1"/>
  <c r="J369" i="1"/>
  <c r="K369" i="1" s="1"/>
  <c r="J370" i="1"/>
  <c r="K370" i="1" s="1"/>
  <c r="J371" i="1"/>
  <c r="K371" i="1" s="1"/>
  <c r="J372" i="1"/>
  <c r="K372" i="1" s="1"/>
  <c r="J373" i="1"/>
  <c r="K373" i="1" s="1"/>
  <c r="J374" i="1"/>
  <c r="K374" i="1" s="1"/>
  <c r="J375" i="1"/>
  <c r="K375" i="1" s="1"/>
  <c r="J376" i="1"/>
  <c r="K376" i="1" s="1"/>
  <c r="J377" i="1"/>
  <c r="K377" i="1" s="1"/>
  <c r="J378" i="1"/>
  <c r="K378" i="1" s="1"/>
  <c r="J379" i="1"/>
  <c r="K379" i="1" s="1"/>
  <c r="J380" i="1"/>
  <c r="K380" i="1" s="1"/>
  <c r="J381" i="1"/>
  <c r="K381" i="1" s="1"/>
  <c r="J382" i="1"/>
  <c r="K382" i="1" s="1"/>
  <c r="J383" i="1"/>
  <c r="K383" i="1" s="1"/>
  <c r="J384" i="1"/>
  <c r="K384" i="1" s="1"/>
  <c r="J385" i="1"/>
  <c r="K385" i="1" s="1"/>
  <c r="J386" i="1"/>
  <c r="K386" i="1" s="1"/>
  <c r="J387" i="1"/>
  <c r="K387" i="1" s="1"/>
  <c r="J388" i="1"/>
  <c r="K388" i="1" s="1"/>
  <c r="J389" i="1"/>
  <c r="K389" i="1" s="1"/>
  <c r="J390" i="1"/>
  <c r="K390" i="1" s="1"/>
  <c r="J391" i="1"/>
  <c r="K391" i="1" s="1"/>
  <c r="J392" i="1"/>
  <c r="K392" i="1" s="1"/>
  <c r="J393" i="1"/>
  <c r="K393" i="1" s="1"/>
  <c r="J394" i="1"/>
  <c r="K394" i="1" s="1"/>
  <c r="J395" i="1"/>
  <c r="K395" i="1" s="1"/>
  <c r="J396" i="1"/>
  <c r="K396" i="1" s="1"/>
  <c r="J397" i="1"/>
  <c r="K397" i="1" s="1"/>
  <c r="J398" i="1"/>
  <c r="K398" i="1" s="1"/>
  <c r="J399" i="1"/>
  <c r="K399" i="1" s="1"/>
  <c r="J400" i="1"/>
  <c r="K400" i="1" s="1"/>
  <c r="J401" i="1"/>
  <c r="K401" i="1" s="1"/>
  <c r="J402" i="1"/>
  <c r="K402" i="1" s="1"/>
  <c r="J403" i="1"/>
  <c r="K403" i="1" s="1"/>
  <c r="J404" i="1"/>
  <c r="K404" i="1" s="1"/>
  <c r="J405" i="1"/>
  <c r="K405" i="1" s="1"/>
  <c r="J406" i="1"/>
  <c r="K406" i="1" s="1"/>
  <c r="J407" i="1"/>
  <c r="K407" i="1" s="1"/>
  <c r="J408" i="1"/>
  <c r="K408" i="1" s="1"/>
  <c r="J409" i="1"/>
  <c r="K409" i="1" s="1"/>
  <c r="J410" i="1"/>
  <c r="K410" i="1" s="1"/>
  <c r="J411" i="1"/>
  <c r="K411" i="1" s="1"/>
  <c r="J412" i="1"/>
  <c r="K412" i="1" s="1"/>
  <c r="J413" i="1"/>
  <c r="K413" i="1" s="1"/>
  <c r="J414" i="1"/>
  <c r="K414" i="1" s="1"/>
  <c r="J415" i="1"/>
  <c r="K415" i="1" s="1"/>
  <c r="J416" i="1"/>
  <c r="K416" i="1" s="1"/>
  <c r="J417" i="1"/>
  <c r="K417" i="1" s="1"/>
  <c r="J418" i="1"/>
  <c r="K418" i="1" s="1"/>
  <c r="J419" i="1"/>
  <c r="K419" i="1" s="1"/>
  <c r="J420" i="1"/>
  <c r="K420" i="1" s="1"/>
  <c r="J421" i="1"/>
  <c r="K421" i="1" s="1"/>
  <c r="J422" i="1"/>
  <c r="K422" i="1" s="1"/>
  <c r="J423" i="1"/>
  <c r="K423" i="1" s="1"/>
  <c r="J424" i="1"/>
  <c r="K424" i="1" s="1"/>
  <c r="J425" i="1"/>
  <c r="K425" i="1" s="1"/>
  <c r="J426" i="1"/>
  <c r="K426" i="1" s="1"/>
  <c r="J427" i="1"/>
  <c r="K427" i="1" s="1"/>
  <c r="J428" i="1"/>
  <c r="K428" i="1" s="1"/>
  <c r="J429" i="1"/>
  <c r="K429" i="1" s="1"/>
  <c r="J430" i="1"/>
  <c r="K430" i="1" s="1"/>
  <c r="J431" i="1"/>
  <c r="K431" i="1" s="1"/>
  <c r="J432" i="1"/>
  <c r="K432" i="1" s="1"/>
  <c r="J433" i="1"/>
  <c r="K433" i="1" s="1"/>
  <c r="J434" i="1"/>
  <c r="K434" i="1" s="1"/>
  <c r="J435" i="1"/>
  <c r="K435" i="1" s="1"/>
  <c r="J436" i="1"/>
  <c r="K436" i="1" s="1"/>
  <c r="J437" i="1"/>
  <c r="K437" i="1" s="1"/>
  <c r="J438" i="1"/>
  <c r="K438" i="1" s="1"/>
  <c r="J439" i="1"/>
  <c r="K439" i="1" s="1"/>
  <c r="J440" i="1"/>
  <c r="K440" i="1" s="1"/>
  <c r="J441" i="1"/>
  <c r="K441" i="1" s="1"/>
  <c r="J442" i="1"/>
  <c r="K442" i="1" s="1"/>
  <c r="J443" i="1"/>
  <c r="K443" i="1" s="1"/>
  <c r="J444" i="1"/>
  <c r="K444" i="1" s="1"/>
  <c r="J445" i="1"/>
  <c r="K445" i="1" s="1"/>
  <c r="J446" i="1"/>
  <c r="K446" i="1" s="1"/>
  <c r="J447" i="1"/>
  <c r="K447" i="1" s="1"/>
  <c r="J448" i="1"/>
  <c r="K448" i="1" s="1"/>
  <c r="J449" i="1"/>
  <c r="K449" i="1" s="1"/>
  <c r="J450" i="1"/>
  <c r="K450" i="1" s="1"/>
  <c r="J451" i="1"/>
  <c r="K451" i="1" s="1"/>
  <c r="J452" i="1"/>
  <c r="K452" i="1" s="1"/>
  <c r="J453" i="1"/>
  <c r="K453" i="1" s="1"/>
  <c r="J454" i="1"/>
  <c r="K454" i="1" s="1"/>
  <c r="J455" i="1"/>
  <c r="K455" i="1" s="1"/>
  <c r="J456" i="1"/>
  <c r="K456" i="1" s="1"/>
  <c r="J457" i="1"/>
  <c r="K457" i="1" s="1"/>
  <c r="J458" i="1"/>
  <c r="K458" i="1" s="1"/>
  <c r="J459" i="1"/>
  <c r="K459" i="1" s="1"/>
  <c r="J460" i="1"/>
  <c r="K460" i="1" s="1"/>
  <c r="J461" i="1"/>
  <c r="K461" i="1" s="1"/>
  <c r="J462" i="1"/>
  <c r="K462" i="1" s="1"/>
  <c r="J463" i="1"/>
  <c r="K463" i="1" s="1"/>
  <c r="J464" i="1"/>
  <c r="K464" i="1" s="1"/>
  <c r="J465" i="1"/>
  <c r="K465" i="1" s="1"/>
  <c r="J466" i="1"/>
  <c r="K466" i="1" s="1"/>
  <c r="J467" i="1"/>
  <c r="K467" i="1" s="1"/>
  <c r="J468" i="1"/>
  <c r="K468" i="1" s="1"/>
  <c r="J469" i="1"/>
  <c r="K469" i="1" s="1"/>
  <c r="J470" i="1"/>
  <c r="K470" i="1" s="1"/>
  <c r="J471" i="1"/>
  <c r="K471" i="1" s="1"/>
  <c r="J472" i="1"/>
  <c r="K472" i="1" s="1"/>
  <c r="J473" i="1"/>
  <c r="K473" i="1" s="1"/>
  <c r="J474" i="1"/>
  <c r="K474" i="1" s="1"/>
  <c r="J475" i="1"/>
  <c r="K475" i="1" s="1"/>
  <c r="J476" i="1"/>
  <c r="K476" i="1" s="1"/>
  <c r="J477" i="1"/>
  <c r="K477" i="1" s="1"/>
  <c r="J478" i="1"/>
  <c r="K478" i="1" s="1"/>
  <c r="J479" i="1"/>
  <c r="K479" i="1" s="1"/>
  <c r="J480" i="1"/>
  <c r="K480" i="1" s="1"/>
  <c r="J481" i="1"/>
  <c r="K481" i="1" s="1"/>
  <c r="J482" i="1"/>
  <c r="K482" i="1" s="1"/>
  <c r="J483" i="1"/>
  <c r="K483" i="1" s="1"/>
  <c r="J484" i="1"/>
  <c r="K484" i="1" s="1"/>
  <c r="J485" i="1"/>
  <c r="K485" i="1" s="1"/>
  <c r="J486" i="1"/>
  <c r="K486" i="1" s="1"/>
  <c r="J487" i="1"/>
  <c r="K487" i="1" s="1"/>
  <c r="J488" i="1"/>
  <c r="K488" i="1" s="1"/>
  <c r="J489" i="1"/>
  <c r="K489" i="1" s="1"/>
  <c r="J490" i="1"/>
  <c r="K490" i="1" s="1"/>
  <c r="J491" i="1"/>
  <c r="K491" i="1" s="1"/>
  <c r="J492" i="1"/>
  <c r="K492" i="1" s="1"/>
  <c r="J493" i="1"/>
  <c r="K493" i="1" s="1"/>
  <c r="J494" i="1"/>
  <c r="K494" i="1" s="1"/>
  <c r="J495" i="1"/>
  <c r="K495" i="1" s="1"/>
  <c r="J496" i="1"/>
  <c r="K496" i="1" s="1"/>
  <c r="J497" i="1"/>
  <c r="K497" i="1" s="1"/>
  <c r="J498" i="1"/>
  <c r="K498" i="1" s="1"/>
  <c r="J499" i="1"/>
  <c r="K499" i="1" s="1"/>
  <c r="J500" i="1"/>
  <c r="K500" i="1" s="1"/>
  <c r="J501" i="1"/>
  <c r="K501" i="1" s="1"/>
  <c r="J502" i="1"/>
  <c r="K502" i="1" s="1"/>
  <c r="J503" i="1"/>
  <c r="K503" i="1" s="1"/>
  <c r="J504" i="1"/>
  <c r="K504" i="1" s="1"/>
  <c r="J505" i="1"/>
  <c r="K505" i="1" s="1"/>
  <c r="J506" i="1"/>
  <c r="K506" i="1" s="1"/>
  <c r="J507" i="1"/>
  <c r="K507" i="1" s="1"/>
  <c r="J508" i="1"/>
  <c r="K508" i="1" s="1"/>
  <c r="J509" i="1"/>
  <c r="K509" i="1" s="1"/>
  <c r="J510" i="1"/>
  <c r="K510" i="1" s="1"/>
  <c r="J511" i="1"/>
  <c r="K511" i="1" s="1"/>
  <c r="J512" i="1"/>
  <c r="K512" i="1" s="1"/>
  <c r="J513" i="1"/>
  <c r="K513" i="1" s="1"/>
  <c r="J514" i="1"/>
  <c r="K514" i="1" s="1"/>
  <c r="J515" i="1"/>
  <c r="K515" i="1" s="1"/>
  <c r="J516" i="1"/>
  <c r="K516" i="1" s="1"/>
  <c r="J517" i="1"/>
  <c r="K517" i="1" s="1"/>
  <c r="J518" i="1"/>
  <c r="K518" i="1" s="1"/>
  <c r="J519" i="1"/>
  <c r="K519" i="1" s="1"/>
  <c r="J520" i="1"/>
  <c r="K520" i="1" s="1"/>
  <c r="J521" i="1"/>
  <c r="K521" i="1" s="1"/>
  <c r="J522" i="1"/>
  <c r="K522" i="1" s="1"/>
  <c r="J523" i="1"/>
  <c r="K523" i="1" s="1"/>
  <c r="J524" i="1"/>
  <c r="K524" i="1" s="1"/>
  <c r="J525" i="1"/>
  <c r="K525" i="1" s="1"/>
  <c r="J526" i="1"/>
  <c r="K526" i="1" s="1"/>
  <c r="J527" i="1"/>
  <c r="K527" i="1" s="1"/>
  <c r="J528" i="1"/>
  <c r="K528" i="1" s="1"/>
  <c r="J529" i="1"/>
  <c r="K529" i="1" s="1"/>
  <c r="J530" i="1"/>
  <c r="K530" i="1" s="1"/>
  <c r="J531" i="1"/>
  <c r="K531" i="1" s="1"/>
  <c r="J532" i="1"/>
  <c r="K532" i="1" s="1"/>
  <c r="J533" i="1"/>
  <c r="K533" i="1" s="1"/>
  <c r="J534" i="1"/>
  <c r="K534" i="1" s="1"/>
  <c r="J535" i="1"/>
  <c r="K535" i="1" s="1"/>
  <c r="J536" i="1"/>
  <c r="K536" i="1" s="1"/>
  <c r="J537" i="1"/>
  <c r="K537" i="1" s="1"/>
  <c r="J538" i="1"/>
  <c r="K538" i="1" s="1"/>
  <c r="J539" i="1"/>
  <c r="K539" i="1" s="1"/>
  <c r="J540" i="1"/>
  <c r="K540" i="1" s="1"/>
  <c r="J541" i="1"/>
  <c r="K541" i="1" s="1"/>
  <c r="J542" i="1"/>
  <c r="K542" i="1" s="1"/>
  <c r="J543" i="1"/>
  <c r="K543" i="1" s="1"/>
  <c r="J544" i="1"/>
  <c r="K544" i="1" s="1"/>
  <c r="J545" i="1"/>
  <c r="K545" i="1" s="1"/>
  <c r="J546" i="1"/>
  <c r="K546" i="1" s="1"/>
  <c r="J547" i="1"/>
  <c r="K547" i="1" s="1"/>
  <c r="J548" i="1"/>
  <c r="K548" i="1" s="1"/>
  <c r="J549" i="1"/>
  <c r="K549" i="1" s="1"/>
  <c r="J550" i="1"/>
  <c r="K550" i="1" s="1"/>
  <c r="J551" i="1"/>
  <c r="K551" i="1" s="1"/>
  <c r="J552" i="1"/>
  <c r="K552" i="1" s="1"/>
  <c r="J553" i="1"/>
  <c r="K553" i="1" s="1"/>
  <c r="J554" i="1"/>
  <c r="K554" i="1" s="1"/>
  <c r="J555" i="1"/>
  <c r="K555" i="1" s="1"/>
  <c r="J556" i="1"/>
  <c r="K556" i="1" s="1"/>
  <c r="J557" i="1"/>
  <c r="K557" i="1" s="1"/>
  <c r="J558" i="1"/>
  <c r="K558" i="1" s="1"/>
  <c r="J559" i="1"/>
  <c r="K559" i="1" s="1"/>
  <c r="J560" i="1"/>
  <c r="K560" i="1" s="1"/>
  <c r="J561" i="1"/>
  <c r="K561" i="1" s="1"/>
  <c r="J562" i="1"/>
  <c r="K562" i="1" s="1"/>
  <c r="J563" i="1"/>
  <c r="K563" i="1" s="1"/>
  <c r="J564" i="1"/>
  <c r="K564" i="1" s="1"/>
  <c r="J565" i="1"/>
  <c r="K565" i="1" s="1"/>
  <c r="J566" i="1"/>
  <c r="K566" i="1" s="1"/>
  <c r="J567" i="1"/>
  <c r="K567" i="1" s="1"/>
  <c r="J568" i="1"/>
  <c r="K568" i="1" s="1"/>
  <c r="J569" i="1"/>
  <c r="K569" i="1" s="1"/>
  <c r="J570" i="1"/>
  <c r="K570" i="1" s="1"/>
  <c r="J571" i="1"/>
  <c r="K571" i="1" s="1"/>
  <c r="J572" i="1"/>
  <c r="K572" i="1" s="1"/>
  <c r="J573" i="1"/>
  <c r="K573" i="1" s="1"/>
  <c r="J574" i="1"/>
  <c r="K574" i="1" s="1"/>
  <c r="J575" i="1"/>
  <c r="K575" i="1" s="1"/>
  <c r="J576" i="1"/>
  <c r="K576" i="1" s="1"/>
  <c r="J577" i="1"/>
  <c r="K577" i="1" s="1"/>
  <c r="J578" i="1"/>
  <c r="K578" i="1" s="1"/>
  <c r="J579" i="1"/>
  <c r="K579" i="1" s="1"/>
  <c r="J580" i="1"/>
  <c r="K580" i="1" s="1"/>
  <c r="J581" i="1"/>
  <c r="K581" i="1" s="1"/>
  <c r="J582" i="1"/>
  <c r="K582" i="1" s="1"/>
  <c r="J583" i="1"/>
  <c r="K583" i="1" s="1"/>
  <c r="J584" i="1"/>
  <c r="K584" i="1" s="1"/>
  <c r="J585" i="1"/>
  <c r="K585" i="1" s="1"/>
  <c r="J586" i="1"/>
  <c r="K586" i="1" s="1"/>
  <c r="J587" i="1"/>
  <c r="K587" i="1" s="1"/>
  <c r="J588" i="1"/>
  <c r="K588" i="1" s="1"/>
  <c r="J589" i="1"/>
  <c r="K589" i="1" s="1"/>
  <c r="J590" i="1"/>
  <c r="K590" i="1" s="1"/>
  <c r="J591" i="1"/>
  <c r="K591" i="1" s="1"/>
  <c r="J592" i="1"/>
  <c r="K592" i="1" s="1"/>
  <c r="J593" i="1"/>
  <c r="K593" i="1" s="1"/>
  <c r="J594" i="1"/>
  <c r="K594" i="1" s="1"/>
  <c r="J595" i="1"/>
  <c r="K595" i="1" s="1"/>
  <c r="J596" i="1"/>
  <c r="K596" i="1" s="1"/>
  <c r="J597" i="1"/>
  <c r="K597" i="1" s="1"/>
  <c r="J598" i="1"/>
  <c r="K598" i="1" s="1"/>
  <c r="J599" i="1"/>
  <c r="K599" i="1" s="1"/>
  <c r="J600" i="1"/>
  <c r="K600" i="1" s="1"/>
  <c r="J601" i="1"/>
  <c r="K601" i="1" s="1"/>
  <c r="J602" i="1"/>
  <c r="K602" i="1" s="1"/>
  <c r="J603" i="1"/>
  <c r="K603" i="1" s="1"/>
  <c r="J604" i="1"/>
  <c r="K604" i="1" s="1"/>
  <c r="J605" i="1"/>
  <c r="K605" i="1" s="1"/>
  <c r="J606" i="1"/>
  <c r="K606" i="1" s="1"/>
  <c r="J607" i="1"/>
  <c r="K607" i="1" s="1"/>
  <c r="J608" i="1"/>
  <c r="K608" i="1" s="1"/>
  <c r="J609" i="1"/>
  <c r="K609" i="1" s="1"/>
  <c r="J610" i="1"/>
  <c r="K610" i="1" s="1"/>
  <c r="J611" i="1"/>
  <c r="K611" i="1" s="1"/>
  <c r="J612" i="1"/>
  <c r="K612" i="1" s="1"/>
  <c r="J613" i="1"/>
  <c r="K613" i="1" s="1"/>
  <c r="J614" i="1"/>
  <c r="K614" i="1" s="1"/>
  <c r="J615" i="1"/>
  <c r="K615" i="1" s="1"/>
  <c r="J616" i="1"/>
  <c r="K616" i="1" s="1"/>
  <c r="J617" i="1"/>
  <c r="K617" i="1" s="1"/>
  <c r="J618" i="1"/>
  <c r="K618" i="1" s="1"/>
  <c r="J619" i="1"/>
  <c r="K619" i="1" s="1"/>
  <c r="J620" i="1"/>
  <c r="K620" i="1" s="1"/>
  <c r="J621" i="1"/>
  <c r="K621" i="1" s="1"/>
  <c r="J622" i="1"/>
  <c r="K622" i="1" s="1"/>
  <c r="J623" i="1"/>
  <c r="K623" i="1" s="1"/>
  <c r="J624" i="1"/>
  <c r="K624" i="1" s="1"/>
  <c r="J625" i="1"/>
  <c r="K625" i="1" s="1"/>
  <c r="J626" i="1"/>
  <c r="K626" i="1" s="1"/>
  <c r="J627" i="1"/>
  <c r="K627" i="1" s="1"/>
  <c r="J628" i="1"/>
  <c r="K628" i="1" s="1"/>
  <c r="J629" i="1"/>
  <c r="K629" i="1" s="1"/>
  <c r="J630" i="1"/>
  <c r="K630" i="1" s="1"/>
  <c r="J631" i="1"/>
  <c r="K631" i="1" s="1"/>
  <c r="J632" i="1"/>
  <c r="K632" i="1" s="1"/>
  <c r="J633" i="1"/>
  <c r="K633" i="1" s="1"/>
  <c r="J634" i="1"/>
  <c r="K634" i="1" s="1"/>
  <c r="J635" i="1"/>
  <c r="K635" i="1" s="1"/>
  <c r="J636" i="1"/>
  <c r="K636" i="1" s="1"/>
  <c r="J637" i="1"/>
  <c r="K637" i="1" s="1"/>
  <c r="J638" i="1"/>
  <c r="K638" i="1" s="1"/>
  <c r="J639" i="1"/>
  <c r="K639" i="1" s="1"/>
  <c r="J640" i="1"/>
  <c r="K640" i="1" s="1"/>
  <c r="J641" i="1"/>
  <c r="K641" i="1" s="1"/>
  <c r="J642" i="1"/>
  <c r="K642" i="1" s="1"/>
  <c r="J643" i="1"/>
  <c r="K643" i="1" s="1"/>
  <c r="J644" i="1"/>
  <c r="K644" i="1" s="1"/>
  <c r="J645" i="1"/>
  <c r="K645" i="1" s="1"/>
  <c r="J646" i="1"/>
  <c r="K646" i="1" s="1"/>
  <c r="J647" i="1"/>
  <c r="K647" i="1" s="1"/>
  <c r="J648" i="1"/>
  <c r="K648" i="1" s="1"/>
  <c r="J649" i="1"/>
  <c r="K649" i="1" s="1"/>
  <c r="J650" i="1"/>
  <c r="K650" i="1" s="1"/>
  <c r="J651" i="1"/>
  <c r="K651" i="1" s="1"/>
  <c r="J652" i="1"/>
  <c r="K652" i="1" s="1"/>
  <c r="J653" i="1"/>
  <c r="K653" i="1" s="1"/>
  <c r="J654" i="1"/>
  <c r="K654" i="1" s="1"/>
  <c r="J655" i="1"/>
  <c r="K655" i="1" s="1"/>
  <c r="J656" i="1"/>
  <c r="K656" i="1" s="1"/>
  <c r="J657" i="1"/>
  <c r="K657" i="1" s="1"/>
  <c r="J658" i="1"/>
  <c r="K658" i="1" s="1"/>
  <c r="J659" i="1"/>
  <c r="K659" i="1" s="1"/>
  <c r="J660" i="1"/>
  <c r="K660" i="1" s="1"/>
  <c r="J661" i="1"/>
  <c r="K661" i="1" s="1"/>
  <c r="J662" i="1"/>
  <c r="K662" i="1" s="1"/>
  <c r="J663" i="1"/>
  <c r="K663" i="1" s="1"/>
  <c r="J664" i="1"/>
  <c r="K664" i="1" s="1"/>
  <c r="J665" i="1"/>
  <c r="K665" i="1" s="1"/>
  <c r="J666" i="1"/>
  <c r="K666" i="1" s="1"/>
  <c r="J667" i="1"/>
  <c r="K667" i="1" s="1"/>
  <c r="J668" i="1"/>
  <c r="K668" i="1" s="1"/>
  <c r="J669" i="1"/>
  <c r="K669" i="1" s="1"/>
  <c r="J670" i="1"/>
  <c r="K670" i="1" s="1"/>
  <c r="J671" i="1"/>
  <c r="K671" i="1" s="1"/>
  <c r="J672" i="1"/>
  <c r="K672" i="1" s="1"/>
  <c r="J673" i="1"/>
  <c r="K673" i="1" s="1"/>
  <c r="J674" i="1"/>
  <c r="K674" i="1" s="1"/>
  <c r="J675" i="1"/>
  <c r="K675" i="1" s="1"/>
  <c r="J676" i="1"/>
  <c r="K676" i="1" s="1"/>
  <c r="J677" i="1"/>
  <c r="K677" i="1" s="1"/>
  <c r="J678" i="1"/>
  <c r="K678" i="1" s="1"/>
  <c r="J679" i="1"/>
  <c r="K679" i="1" s="1"/>
  <c r="J680" i="1"/>
  <c r="K680" i="1" s="1"/>
  <c r="J681" i="1"/>
  <c r="K681" i="1" s="1"/>
  <c r="J682" i="1"/>
  <c r="K682" i="1" s="1"/>
  <c r="J683" i="1"/>
  <c r="K683" i="1" s="1"/>
  <c r="J684" i="1"/>
  <c r="K684" i="1" s="1"/>
  <c r="J685" i="1"/>
  <c r="K685" i="1" s="1"/>
  <c r="J686" i="1"/>
  <c r="K686" i="1" s="1"/>
  <c r="J687" i="1"/>
  <c r="K687" i="1" s="1"/>
  <c r="J688" i="1"/>
  <c r="K688" i="1" s="1"/>
  <c r="J689" i="1"/>
  <c r="K689" i="1" s="1"/>
  <c r="J690" i="1"/>
  <c r="K690" i="1" s="1"/>
  <c r="J691" i="1"/>
  <c r="K691" i="1" s="1"/>
  <c r="J692" i="1"/>
  <c r="K692" i="1" s="1"/>
  <c r="J693" i="1"/>
  <c r="K693" i="1" s="1"/>
  <c r="J694" i="1"/>
  <c r="K694" i="1" s="1"/>
  <c r="J695" i="1"/>
  <c r="K695" i="1" s="1"/>
  <c r="J696" i="1"/>
  <c r="K696" i="1" s="1"/>
  <c r="J697" i="1"/>
  <c r="K697" i="1" s="1"/>
  <c r="J698" i="1"/>
  <c r="K698" i="1" s="1"/>
  <c r="J699" i="1"/>
  <c r="K699" i="1" s="1"/>
  <c r="J700" i="1"/>
  <c r="K700" i="1" s="1"/>
  <c r="J701" i="1"/>
  <c r="K701" i="1" s="1"/>
  <c r="J702" i="1"/>
  <c r="K702" i="1" s="1"/>
  <c r="J703" i="1"/>
  <c r="K703" i="1" s="1"/>
  <c r="J704" i="1"/>
  <c r="K704" i="1" s="1"/>
  <c r="J705" i="1"/>
  <c r="K705" i="1" s="1"/>
  <c r="J706" i="1"/>
  <c r="K706" i="1" s="1"/>
  <c r="J707" i="1"/>
  <c r="K707" i="1" s="1"/>
  <c r="J708" i="1"/>
  <c r="K708" i="1" s="1"/>
  <c r="J709" i="1"/>
  <c r="K709" i="1" s="1"/>
  <c r="J710" i="1"/>
  <c r="K710" i="1" s="1"/>
  <c r="J711" i="1"/>
  <c r="K711" i="1" s="1"/>
  <c r="J712" i="1"/>
  <c r="K712" i="1" s="1"/>
  <c r="J713" i="1"/>
  <c r="K713" i="1" s="1"/>
  <c r="J714" i="1"/>
  <c r="K714" i="1" s="1"/>
  <c r="J715" i="1"/>
  <c r="K715" i="1" s="1"/>
  <c r="J716" i="1"/>
  <c r="K716" i="1" s="1"/>
  <c r="J717" i="1"/>
  <c r="K717" i="1" s="1"/>
  <c r="J718" i="1"/>
  <c r="K718" i="1" s="1"/>
  <c r="J719" i="1"/>
  <c r="K719" i="1" s="1"/>
  <c r="J720" i="1"/>
  <c r="K720" i="1" s="1"/>
  <c r="J721" i="1"/>
  <c r="K721" i="1" s="1"/>
  <c r="J722" i="1"/>
  <c r="K722" i="1" s="1"/>
  <c r="J723" i="1"/>
  <c r="K723" i="1" s="1"/>
  <c r="J724" i="1"/>
  <c r="K724" i="1" s="1"/>
  <c r="J725" i="1"/>
  <c r="K725" i="1" s="1"/>
  <c r="J726" i="1"/>
  <c r="K726" i="1" s="1"/>
  <c r="J727" i="1"/>
  <c r="K727" i="1" s="1"/>
  <c r="J728" i="1"/>
  <c r="K728" i="1" s="1"/>
  <c r="J729" i="1"/>
  <c r="K729" i="1" s="1"/>
  <c r="J730" i="1"/>
  <c r="K730" i="1" s="1"/>
  <c r="J731" i="1"/>
  <c r="K731" i="1" s="1"/>
  <c r="J732" i="1"/>
  <c r="K732" i="1" s="1"/>
  <c r="J733" i="1"/>
  <c r="K733" i="1" s="1"/>
  <c r="J734" i="1"/>
  <c r="K734" i="1" s="1"/>
  <c r="J735" i="1"/>
  <c r="K735" i="1" s="1"/>
  <c r="J736" i="1"/>
  <c r="K736" i="1" s="1"/>
  <c r="J737" i="1"/>
  <c r="K737" i="1" s="1"/>
  <c r="J738" i="1"/>
  <c r="K738" i="1" s="1"/>
  <c r="J739" i="1"/>
  <c r="K739" i="1" s="1"/>
  <c r="J740" i="1"/>
  <c r="K740" i="1" s="1"/>
  <c r="J741" i="1"/>
  <c r="K741" i="1" s="1"/>
  <c r="J742" i="1"/>
  <c r="K742" i="1" s="1"/>
  <c r="J743" i="1"/>
  <c r="K743" i="1" s="1"/>
  <c r="J744" i="1"/>
  <c r="K744" i="1" s="1"/>
  <c r="J745" i="1"/>
  <c r="K745" i="1" s="1"/>
  <c r="J746" i="1"/>
  <c r="K746" i="1" s="1"/>
  <c r="J747" i="1"/>
  <c r="K747" i="1" s="1"/>
  <c r="J748" i="1"/>
  <c r="K748" i="1" s="1"/>
  <c r="J749" i="1"/>
  <c r="K749" i="1" s="1"/>
  <c r="J750" i="1"/>
  <c r="K750" i="1" s="1"/>
  <c r="J751" i="1"/>
  <c r="K751" i="1" s="1"/>
  <c r="J752" i="1"/>
  <c r="K752" i="1" s="1"/>
  <c r="J753" i="1"/>
  <c r="K753" i="1" s="1"/>
  <c r="J754" i="1"/>
  <c r="K754" i="1" s="1"/>
  <c r="J755" i="1"/>
  <c r="K755" i="1" s="1"/>
  <c r="J756" i="1"/>
  <c r="K756" i="1" s="1"/>
  <c r="J757" i="1"/>
  <c r="K757" i="1" s="1"/>
  <c r="J758" i="1"/>
  <c r="K758" i="1" s="1"/>
  <c r="J759" i="1"/>
  <c r="K759" i="1" s="1"/>
  <c r="J760" i="1"/>
  <c r="K760" i="1" s="1"/>
  <c r="J761" i="1"/>
  <c r="K761" i="1" s="1"/>
  <c r="J762" i="1"/>
  <c r="K762" i="1" s="1"/>
  <c r="J763" i="1"/>
  <c r="K763" i="1" s="1"/>
  <c r="J764" i="1"/>
  <c r="K764" i="1" s="1"/>
  <c r="J765" i="1"/>
  <c r="K765" i="1" s="1"/>
  <c r="J766" i="1"/>
  <c r="K766" i="1" s="1"/>
  <c r="J767" i="1"/>
  <c r="K767" i="1" s="1"/>
  <c r="J768" i="1"/>
  <c r="K768" i="1" s="1"/>
  <c r="J769" i="1"/>
  <c r="K769" i="1" s="1"/>
  <c r="J770" i="1"/>
  <c r="K770" i="1" s="1"/>
  <c r="J771" i="1"/>
  <c r="K771" i="1" s="1"/>
  <c r="J772" i="1"/>
  <c r="K772" i="1" s="1"/>
  <c r="J773" i="1"/>
  <c r="K773" i="1" s="1"/>
  <c r="J774" i="1"/>
  <c r="K774" i="1" s="1"/>
  <c r="J775" i="1"/>
  <c r="K775" i="1" s="1"/>
  <c r="J776" i="1"/>
  <c r="K776" i="1" s="1"/>
  <c r="J777" i="1"/>
  <c r="K777" i="1" s="1"/>
  <c r="J778" i="1"/>
  <c r="K778" i="1" s="1"/>
  <c r="J779" i="1"/>
  <c r="K779" i="1" s="1"/>
  <c r="J780" i="1"/>
  <c r="K780" i="1" s="1"/>
  <c r="J781" i="1"/>
  <c r="K781" i="1" s="1"/>
  <c r="J782" i="1"/>
  <c r="K782" i="1" s="1"/>
  <c r="J783" i="1"/>
  <c r="K783" i="1" s="1"/>
  <c r="J784" i="1"/>
  <c r="K784" i="1" s="1"/>
  <c r="J785" i="1"/>
  <c r="K785" i="1" s="1"/>
  <c r="J786" i="1"/>
  <c r="K786" i="1" s="1"/>
  <c r="J787" i="1"/>
  <c r="K787" i="1" s="1"/>
  <c r="J788" i="1"/>
  <c r="K788" i="1" s="1"/>
  <c r="J789" i="1"/>
  <c r="K789" i="1" s="1"/>
  <c r="J790" i="1"/>
  <c r="K790" i="1" s="1"/>
  <c r="J791" i="1"/>
  <c r="K791" i="1" s="1"/>
  <c r="J792" i="1"/>
  <c r="K792" i="1" s="1"/>
  <c r="J793" i="1"/>
  <c r="K793" i="1" s="1"/>
  <c r="J794" i="1"/>
  <c r="K794" i="1" s="1"/>
  <c r="J795" i="1"/>
  <c r="K795" i="1" s="1"/>
  <c r="J796" i="1"/>
  <c r="K796" i="1" s="1"/>
  <c r="J797" i="1"/>
  <c r="K797" i="1" s="1"/>
  <c r="J798" i="1"/>
  <c r="K798" i="1" s="1"/>
  <c r="J799" i="1"/>
  <c r="K799" i="1" s="1"/>
  <c r="J800" i="1"/>
  <c r="K800" i="1" s="1"/>
  <c r="J801" i="1"/>
  <c r="K801" i="1" s="1"/>
  <c r="J802" i="1"/>
  <c r="K802" i="1" s="1"/>
  <c r="J803" i="1"/>
  <c r="K803" i="1" s="1"/>
  <c r="J804" i="1"/>
  <c r="K804" i="1" s="1"/>
  <c r="J805" i="1"/>
  <c r="K805" i="1" s="1"/>
  <c r="J806" i="1"/>
  <c r="K806" i="1" s="1"/>
  <c r="J807" i="1"/>
  <c r="K807" i="1" s="1"/>
  <c r="J808" i="1"/>
  <c r="K808" i="1" s="1"/>
  <c r="J809" i="1"/>
  <c r="K809" i="1" s="1"/>
  <c r="J810" i="1"/>
  <c r="K810" i="1" s="1"/>
  <c r="J811" i="1"/>
  <c r="K811" i="1" s="1"/>
  <c r="J812" i="1"/>
  <c r="K812" i="1" s="1"/>
  <c r="J813" i="1"/>
  <c r="K813" i="1" s="1"/>
  <c r="J814" i="1"/>
  <c r="K814" i="1" s="1"/>
  <c r="J815" i="1"/>
  <c r="K815" i="1" s="1"/>
  <c r="J816" i="1"/>
  <c r="K816" i="1" s="1"/>
  <c r="J817" i="1"/>
  <c r="K817" i="1" s="1"/>
  <c r="J818" i="1"/>
  <c r="K818" i="1" s="1"/>
  <c r="J819" i="1"/>
  <c r="K819" i="1" s="1"/>
  <c r="J820" i="1"/>
  <c r="K820" i="1" s="1"/>
  <c r="J821" i="1"/>
  <c r="K821" i="1" s="1"/>
  <c r="J822" i="1"/>
  <c r="K822" i="1" s="1"/>
  <c r="J823" i="1"/>
  <c r="K823" i="1" s="1"/>
  <c r="J824" i="1"/>
  <c r="K824" i="1" s="1"/>
  <c r="J825" i="1"/>
  <c r="K825" i="1" s="1"/>
  <c r="J826" i="1"/>
  <c r="K826" i="1" s="1"/>
  <c r="J827" i="1"/>
  <c r="K827" i="1" s="1"/>
  <c r="J828" i="1"/>
  <c r="K828" i="1" s="1"/>
  <c r="J829" i="1"/>
  <c r="K829" i="1" s="1"/>
  <c r="J830" i="1"/>
  <c r="K830" i="1" s="1"/>
  <c r="J831" i="1"/>
  <c r="K831" i="1" s="1"/>
  <c r="J832" i="1"/>
  <c r="K832" i="1" s="1"/>
  <c r="J833" i="1"/>
  <c r="K833" i="1" s="1"/>
  <c r="J834" i="1"/>
  <c r="K834" i="1" s="1"/>
  <c r="J835" i="1"/>
  <c r="K835" i="1" s="1"/>
  <c r="J836" i="1"/>
  <c r="K836" i="1" s="1"/>
  <c r="J837" i="1"/>
  <c r="K837" i="1" s="1"/>
  <c r="J838" i="1"/>
  <c r="K838" i="1" s="1"/>
  <c r="J839" i="1"/>
  <c r="K839" i="1" s="1"/>
  <c r="J840" i="1"/>
  <c r="K840" i="1" s="1"/>
  <c r="J841" i="1"/>
  <c r="K841" i="1" s="1"/>
  <c r="J842" i="1"/>
  <c r="K842" i="1" s="1"/>
  <c r="J843" i="1"/>
  <c r="K843" i="1" s="1"/>
  <c r="J844" i="1"/>
  <c r="K844" i="1" s="1"/>
  <c r="J845" i="1"/>
  <c r="K845" i="1" s="1"/>
  <c r="J846" i="1"/>
  <c r="K846" i="1" s="1"/>
  <c r="J847" i="1"/>
  <c r="K847" i="1" s="1"/>
  <c r="J848" i="1"/>
  <c r="K848" i="1" s="1"/>
  <c r="J849" i="1"/>
  <c r="K849" i="1" s="1"/>
  <c r="J850" i="1"/>
  <c r="K850" i="1" s="1"/>
  <c r="J851" i="1"/>
  <c r="K851" i="1" s="1"/>
  <c r="J852" i="1"/>
  <c r="K852" i="1" s="1"/>
  <c r="J853" i="1"/>
  <c r="K853" i="1" s="1"/>
  <c r="J854" i="1"/>
  <c r="K854" i="1" s="1"/>
  <c r="J855" i="1"/>
  <c r="K855" i="1" s="1"/>
  <c r="J856" i="1"/>
  <c r="K856" i="1" s="1"/>
  <c r="J857" i="1"/>
  <c r="K857" i="1" s="1"/>
  <c r="J858" i="1"/>
  <c r="K858" i="1" s="1"/>
  <c r="J859" i="1"/>
  <c r="K859" i="1" s="1"/>
  <c r="J860" i="1"/>
  <c r="K860" i="1" s="1"/>
  <c r="J861" i="1"/>
  <c r="K861" i="1" s="1"/>
  <c r="J862" i="1"/>
  <c r="K862" i="1" s="1"/>
  <c r="J863" i="1"/>
  <c r="K863" i="1" s="1"/>
  <c r="J864" i="1"/>
  <c r="K864" i="1" s="1"/>
  <c r="J865" i="1"/>
  <c r="K865" i="1" s="1"/>
  <c r="J866" i="1"/>
  <c r="K866" i="1" s="1"/>
  <c r="J867" i="1"/>
  <c r="K867" i="1" s="1"/>
  <c r="J868" i="1"/>
  <c r="K868" i="1" s="1"/>
  <c r="J869" i="1"/>
  <c r="K869" i="1" s="1"/>
  <c r="J870" i="1"/>
  <c r="K870" i="1" s="1"/>
  <c r="J871" i="1"/>
  <c r="K871" i="1" s="1"/>
  <c r="J872" i="1"/>
  <c r="K872" i="1" s="1"/>
  <c r="J873" i="1"/>
  <c r="K873" i="1" s="1"/>
  <c r="J874" i="1"/>
  <c r="K874" i="1" s="1"/>
  <c r="J875" i="1"/>
  <c r="K875" i="1" s="1"/>
  <c r="J876" i="1"/>
  <c r="K876" i="1" s="1"/>
  <c r="J877" i="1"/>
  <c r="K877" i="1" s="1"/>
  <c r="J878" i="1"/>
  <c r="K878" i="1" s="1"/>
  <c r="J879" i="1"/>
  <c r="K879" i="1" s="1"/>
  <c r="J880" i="1"/>
  <c r="K880" i="1" s="1"/>
  <c r="J881" i="1"/>
  <c r="K881" i="1" s="1"/>
  <c r="J882" i="1"/>
  <c r="K882" i="1" s="1"/>
  <c r="J883" i="1"/>
  <c r="K883" i="1" s="1"/>
  <c r="J884" i="1"/>
  <c r="K884" i="1" s="1"/>
  <c r="J885" i="1"/>
  <c r="K885" i="1" s="1"/>
  <c r="J886" i="1"/>
  <c r="K886" i="1" s="1"/>
  <c r="J887" i="1"/>
  <c r="K887" i="1" s="1"/>
  <c r="J888" i="1"/>
  <c r="K888" i="1" s="1"/>
  <c r="J889" i="1"/>
  <c r="K889" i="1" s="1"/>
  <c r="J890" i="1"/>
  <c r="K890" i="1" s="1"/>
  <c r="J891" i="1"/>
  <c r="K891" i="1" s="1"/>
  <c r="J892" i="1"/>
  <c r="K892" i="1" s="1"/>
  <c r="J893" i="1"/>
  <c r="K893" i="1" s="1"/>
  <c r="J894" i="1"/>
  <c r="K894" i="1" s="1"/>
  <c r="J895" i="1"/>
  <c r="K895" i="1" s="1"/>
  <c r="J896" i="1"/>
  <c r="K896" i="1" s="1"/>
  <c r="J897" i="1"/>
  <c r="K897" i="1" s="1"/>
  <c r="J898" i="1"/>
  <c r="K898" i="1" s="1"/>
  <c r="J899" i="1"/>
  <c r="K899" i="1" s="1"/>
  <c r="J900" i="1"/>
  <c r="K900" i="1" s="1"/>
  <c r="J901" i="1"/>
  <c r="K901" i="1" s="1"/>
  <c r="J902" i="1"/>
  <c r="K902" i="1" s="1"/>
  <c r="J903" i="1"/>
  <c r="K903" i="1" s="1"/>
  <c r="J904" i="1"/>
  <c r="K904" i="1" s="1"/>
  <c r="J905" i="1"/>
  <c r="K905" i="1" s="1"/>
  <c r="J906" i="1"/>
  <c r="K906" i="1" s="1"/>
  <c r="J907" i="1"/>
  <c r="K907" i="1" s="1"/>
  <c r="J908" i="1"/>
  <c r="K908" i="1" s="1"/>
  <c r="J909" i="1"/>
  <c r="K909" i="1" s="1"/>
  <c r="J910" i="1"/>
  <c r="K910" i="1" s="1"/>
  <c r="J911" i="1"/>
  <c r="K911" i="1" s="1"/>
  <c r="J912" i="1"/>
  <c r="K912" i="1" s="1"/>
  <c r="J913" i="1"/>
  <c r="K913" i="1" s="1"/>
  <c r="J914" i="1"/>
  <c r="K914" i="1" s="1"/>
  <c r="J915" i="1"/>
  <c r="K915" i="1" s="1"/>
  <c r="J916" i="1"/>
  <c r="K916" i="1" s="1"/>
  <c r="J917" i="1"/>
  <c r="K917" i="1" s="1"/>
  <c r="J918" i="1"/>
  <c r="K918" i="1" s="1"/>
  <c r="J919" i="1"/>
  <c r="K919" i="1" s="1"/>
  <c r="J920" i="1"/>
  <c r="K920" i="1" s="1"/>
  <c r="J921" i="1"/>
  <c r="K921" i="1" s="1"/>
  <c r="J922" i="1"/>
  <c r="K922" i="1" s="1"/>
  <c r="J923" i="1"/>
  <c r="K923" i="1" s="1"/>
  <c r="J924" i="1"/>
  <c r="K924" i="1" s="1"/>
  <c r="J925" i="1"/>
  <c r="K925" i="1" s="1"/>
  <c r="J926" i="1"/>
  <c r="K926" i="1" s="1"/>
  <c r="J927" i="1"/>
  <c r="K927" i="1" s="1"/>
  <c r="J928" i="1"/>
  <c r="K928" i="1" s="1"/>
  <c r="J929" i="1"/>
  <c r="K929" i="1" s="1"/>
  <c r="J930" i="1"/>
  <c r="K930" i="1" s="1"/>
  <c r="J931" i="1"/>
  <c r="K931" i="1" s="1"/>
  <c r="J932" i="1"/>
  <c r="K932" i="1" s="1"/>
  <c r="J933" i="1"/>
  <c r="K933" i="1" s="1"/>
  <c r="J934" i="1"/>
  <c r="K934" i="1" s="1"/>
  <c r="J935" i="1"/>
  <c r="K935" i="1" s="1"/>
  <c r="J936" i="1"/>
  <c r="K936" i="1" s="1"/>
  <c r="J937" i="1"/>
  <c r="K937" i="1" s="1"/>
  <c r="J938" i="1"/>
  <c r="K938" i="1" s="1"/>
  <c r="J939" i="1"/>
  <c r="K939" i="1" s="1"/>
  <c r="J940" i="1"/>
  <c r="K940" i="1" s="1"/>
  <c r="J941" i="1"/>
  <c r="K941" i="1" s="1"/>
  <c r="J942" i="1"/>
  <c r="K942" i="1" s="1"/>
  <c r="J943" i="1"/>
  <c r="K943" i="1" s="1"/>
  <c r="J944" i="1"/>
  <c r="K944" i="1" s="1"/>
  <c r="J945" i="1"/>
  <c r="K945" i="1" s="1"/>
  <c r="J946" i="1"/>
  <c r="K946" i="1" s="1"/>
  <c r="J947" i="1"/>
  <c r="K947" i="1" s="1"/>
  <c r="J948" i="1"/>
  <c r="K948" i="1" s="1"/>
  <c r="J949" i="1"/>
  <c r="K949" i="1" s="1"/>
  <c r="J950" i="1"/>
  <c r="K950" i="1" s="1"/>
  <c r="J951" i="1"/>
  <c r="K951" i="1" s="1"/>
  <c r="J952" i="1"/>
  <c r="K952" i="1" s="1"/>
  <c r="J953" i="1"/>
  <c r="K953" i="1" s="1"/>
  <c r="J954" i="1"/>
  <c r="K954" i="1" s="1"/>
  <c r="J955" i="1"/>
  <c r="K955" i="1" s="1"/>
  <c r="J956" i="1"/>
  <c r="K956" i="1" s="1"/>
  <c r="J957" i="1"/>
  <c r="K957" i="1" s="1"/>
  <c r="J958" i="1"/>
  <c r="K958" i="1" s="1"/>
  <c r="J959" i="1"/>
  <c r="K959" i="1" s="1"/>
  <c r="J960" i="1"/>
  <c r="K960" i="1" s="1"/>
  <c r="J961" i="1"/>
  <c r="K961" i="1" s="1"/>
  <c r="J962" i="1"/>
  <c r="K962" i="1" s="1"/>
  <c r="J963" i="1"/>
  <c r="K963" i="1" s="1"/>
  <c r="J964" i="1"/>
  <c r="K964" i="1" s="1"/>
  <c r="J965" i="1"/>
  <c r="K965" i="1" s="1"/>
  <c r="J966" i="1"/>
  <c r="K966" i="1" s="1"/>
  <c r="J967" i="1"/>
  <c r="K967" i="1" s="1"/>
  <c r="J968" i="1"/>
  <c r="K968" i="1" s="1"/>
  <c r="J969" i="1"/>
  <c r="K969" i="1" s="1"/>
  <c r="J970" i="1"/>
  <c r="K970" i="1" s="1"/>
  <c r="J971" i="1"/>
  <c r="K971" i="1" s="1"/>
  <c r="J972" i="1"/>
  <c r="K972" i="1" s="1"/>
  <c r="J973" i="1"/>
  <c r="K973" i="1" s="1"/>
  <c r="J974" i="1"/>
  <c r="K974" i="1" s="1"/>
  <c r="J975" i="1"/>
  <c r="K975" i="1" s="1"/>
  <c r="J976" i="1"/>
  <c r="K976" i="1" s="1"/>
  <c r="J977" i="1"/>
  <c r="K977" i="1" s="1"/>
  <c r="J978" i="1"/>
  <c r="K978" i="1" s="1"/>
  <c r="J979" i="1"/>
  <c r="K979" i="1" s="1"/>
  <c r="J980" i="1"/>
  <c r="K980" i="1" s="1"/>
  <c r="J981" i="1"/>
  <c r="K981" i="1" s="1"/>
  <c r="J982" i="1"/>
  <c r="K982" i="1" s="1"/>
  <c r="J983" i="1"/>
  <c r="K983" i="1" s="1"/>
  <c r="J984" i="1"/>
  <c r="K984" i="1" s="1"/>
  <c r="J985" i="1"/>
  <c r="K985" i="1" s="1"/>
  <c r="J986" i="1"/>
  <c r="K986" i="1" s="1"/>
  <c r="J987" i="1"/>
  <c r="K987" i="1" s="1"/>
  <c r="J988" i="1"/>
  <c r="K988" i="1" s="1"/>
  <c r="J989" i="1"/>
  <c r="K989" i="1" s="1"/>
  <c r="J990" i="1"/>
  <c r="K990" i="1" s="1"/>
  <c r="J991" i="1"/>
  <c r="K991" i="1" s="1"/>
  <c r="J992" i="1"/>
  <c r="K992" i="1" s="1"/>
  <c r="J993" i="1"/>
  <c r="K993" i="1" s="1"/>
  <c r="J994" i="1"/>
  <c r="K994" i="1" s="1"/>
  <c r="J995" i="1"/>
  <c r="K995" i="1" s="1"/>
  <c r="J996" i="1"/>
  <c r="K996" i="1" s="1"/>
  <c r="J997" i="1"/>
  <c r="K997" i="1" s="1"/>
  <c r="J998" i="1"/>
  <c r="K998" i="1" s="1"/>
  <c r="J999" i="1"/>
  <c r="K999" i="1" s="1"/>
  <c r="J1000" i="1"/>
  <c r="K1000" i="1" s="1"/>
  <c r="J1001" i="1"/>
  <c r="K1001" i="1" s="1"/>
  <c r="J1002" i="1"/>
  <c r="K1002" i="1" s="1"/>
  <c r="J1003" i="1"/>
  <c r="K1003" i="1" s="1"/>
  <c r="J1004" i="1"/>
  <c r="K1004" i="1" s="1"/>
  <c r="J1005" i="1"/>
  <c r="K1005" i="1" s="1"/>
  <c r="J1006" i="1"/>
  <c r="K1006" i="1" s="1"/>
  <c r="J1007" i="1"/>
  <c r="K1007" i="1" s="1"/>
  <c r="J1008" i="1"/>
  <c r="K1008" i="1" s="1"/>
  <c r="J1009" i="1"/>
  <c r="K1009" i="1" s="1"/>
  <c r="J1010" i="1"/>
  <c r="K1010" i="1" s="1"/>
  <c r="J1011" i="1"/>
  <c r="K1011" i="1" s="1"/>
  <c r="J1012" i="1"/>
  <c r="K1012" i="1" s="1"/>
  <c r="J1013" i="1"/>
  <c r="K1013" i="1" s="1"/>
  <c r="J1014" i="1"/>
  <c r="K1014" i="1" s="1"/>
  <c r="J1015" i="1"/>
  <c r="K1015" i="1" s="1"/>
  <c r="J1016" i="1"/>
  <c r="K1016" i="1" s="1"/>
  <c r="J1017" i="1"/>
  <c r="K1017" i="1" s="1"/>
  <c r="J1018" i="1"/>
  <c r="K1018" i="1" s="1"/>
  <c r="J1019" i="1"/>
  <c r="K1019" i="1" s="1"/>
  <c r="J1020" i="1"/>
  <c r="K1020" i="1" s="1"/>
  <c r="J1021" i="1"/>
  <c r="K1021" i="1" s="1"/>
  <c r="J1022" i="1"/>
  <c r="K1022" i="1" s="1"/>
  <c r="J1023" i="1"/>
  <c r="K1023" i="1" s="1"/>
  <c r="J1024" i="1"/>
  <c r="K1024" i="1" s="1"/>
  <c r="J1025" i="1"/>
  <c r="K1025" i="1" s="1"/>
  <c r="J1026" i="1"/>
  <c r="K1026" i="1" s="1"/>
  <c r="J1027" i="1"/>
  <c r="K1027" i="1" s="1"/>
  <c r="J1028" i="1"/>
  <c r="K1028" i="1" s="1"/>
  <c r="J1029" i="1"/>
  <c r="K1029" i="1" s="1"/>
  <c r="J1030" i="1"/>
  <c r="K1030" i="1" s="1"/>
  <c r="J1031" i="1"/>
  <c r="K1031" i="1" s="1"/>
  <c r="J1032" i="1"/>
  <c r="K1032" i="1" s="1"/>
  <c r="J1033" i="1"/>
  <c r="K1033" i="1" s="1"/>
  <c r="J1034" i="1"/>
  <c r="K1034" i="1" s="1"/>
  <c r="J1035" i="1"/>
  <c r="K1035" i="1" s="1"/>
  <c r="J1036" i="1"/>
  <c r="K1036" i="1" s="1"/>
  <c r="J1037" i="1"/>
  <c r="K1037" i="1" s="1"/>
  <c r="J1038" i="1"/>
  <c r="K1038" i="1" s="1"/>
  <c r="J1039" i="1"/>
  <c r="K1039" i="1" s="1"/>
  <c r="J1040" i="1"/>
  <c r="K1040" i="1" s="1"/>
  <c r="J1041" i="1"/>
  <c r="K1041" i="1" s="1"/>
  <c r="J1042" i="1"/>
  <c r="K1042" i="1" s="1"/>
  <c r="J1043" i="1"/>
  <c r="K1043" i="1" s="1"/>
  <c r="J1044" i="1"/>
  <c r="K1044" i="1" s="1"/>
  <c r="J1045" i="1"/>
  <c r="K1045" i="1" s="1"/>
  <c r="J1046" i="1"/>
  <c r="K1046" i="1" s="1"/>
  <c r="J1047" i="1"/>
  <c r="K1047" i="1" s="1"/>
  <c r="J1048" i="1"/>
  <c r="K1048" i="1" s="1"/>
  <c r="J1049" i="1"/>
  <c r="K1049" i="1" s="1"/>
  <c r="J1050" i="1"/>
  <c r="K1050" i="1" s="1"/>
  <c r="J1051" i="1"/>
  <c r="K1051" i="1" s="1"/>
  <c r="J1052" i="1"/>
  <c r="K1052" i="1" s="1"/>
  <c r="J1053" i="1"/>
  <c r="K1053" i="1" s="1"/>
  <c r="J1054" i="1"/>
  <c r="K1054" i="1" s="1"/>
  <c r="J1055" i="1"/>
  <c r="K1055" i="1" s="1"/>
  <c r="J1056" i="1"/>
  <c r="K1056" i="1" s="1"/>
  <c r="J1057" i="1"/>
  <c r="K1057" i="1" s="1"/>
  <c r="J1058" i="1"/>
  <c r="K1058" i="1" s="1"/>
  <c r="J1059" i="1"/>
  <c r="K1059" i="1" s="1"/>
  <c r="J1060" i="1"/>
  <c r="K1060" i="1" s="1"/>
  <c r="J1061" i="1"/>
  <c r="K1061" i="1" s="1"/>
  <c r="J1062" i="1"/>
  <c r="K1062" i="1" s="1"/>
  <c r="J1063" i="1"/>
  <c r="K1063" i="1" s="1"/>
  <c r="J1064" i="1"/>
  <c r="K1064" i="1" s="1"/>
  <c r="J1065" i="1"/>
  <c r="K1065" i="1" s="1"/>
  <c r="J1066" i="1"/>
  <c r="K1066" i="1" s="1"/>
  <c r="J1067" i="1"/>
  <c r="K1067" i="1" s="1"/>
  <c r="J1068" i="1"/>
  <c r="K1068" i="1" s="1"/>
  <c r="J1069" i="1"/>
  <c r="K1069" i="1" s="1"/>
  <c r="J1070" i="1"/>
  <c r="K1070" i="1" s="1"/>
  <c r="J1071" i="1"/>
  <c r="K1071" i="1" s="1"/>
  <c r="J1072" i="1"/>
  <c r="K1072" i="1" s="1"/>
  <c r="J1073" i="1"/>
  <c r="K1073" i="1" s="1"/>
  <c r="J1074" i="1"/>
  <c r="K1074" i="1" s="1"/>
  <c r="J1075" i="1"/>
  <c r="K1075" i="1" s="1"/>
  <c r="J1076" i="1"/>
  <c r="K1076" i="1" s="1"/>
  <c r="J1077" i="1"/>
  <c r="K1077" i="1" s="1"/>
  <c r="J1078" i="1"/>
  <c r="K1078" i="1" s="1"/>
  <c r="J1079" i="1"/>
  <c r="K1079" i="1" s="1"/>
  <c r="J1080" i="1"/>
  <c r="K1080" i="1" s="1"/>
  <c r="J1081" i="1"/>
  <c r="K1081" i="1" s="1"/>
  <c r="J1082" i="1"/>
  <c r="K1082" i="1" s="1"/>
  <c r="J1083" i="1"/>
  <c r="K1083" i="1" s="1"/>
  <c r="J1084" i="1"/>
  <c r="K1084" i="1" s="1"/>
  <c r="J1085" i="1"/>
  <c r="K1085" i="1" s="1"/>
  <c r="J1086" i="1"/>
  <c r="K1086" i="1" s="1"/>
  <c r="J1087" i="1"/>
  <c r="K1087" i="1" s="1"/>
  <c r="J1088" i="1"/>
  <c r="K1088" i="1" s="1"/>
  <c r="J1089" i="1"/>
  <c r="K1089" i="1" s="1"/>
  <c r="J1090" i="1"/>
  <c r="K1090" i="1" s="1"/>
  <c r="J1091" i="1"/>
  <c r="K1091" i="1" s="1"/>
  <c r="J1092" i="1"/>
  <c r="K1092" i="1" s="1"/>
  <c r="J1093" i="1"/>
  <c r="K1093" i="1" s="1"/>
  <c r="J1094" i="1"/>
  <c r="K1094" i="1" s="1"/>
  <c r="J1095" i="1"/>
  <c r="K1095" i="1" s="1"/>
  <c r="J1096" i="1"/>
  <c r="K1096" i="1" s="1"/>
  <c r="J1097" i="1"/>
  <c r="K1097" i="1" s="1"/>
  <c r="J1098" i="1"/>
  <c r="K1098" i="1" s="1"/>
  <c r="J1099" i="1"/>
  <c r="K1099" i="1" s="1"/>
  <c r="J1100" i="1"/>
  <c r="K1100" i="1" s="1"/>
  <c r="J1101" i="1"/>
  <c r="K1101" i="1" s="1"/>
  <c r="J1102" i="1"/>
  <c r="K1102" i="1" s="1"/>
  <c r="J1103" i="1"/>
  <c r="K1103" i="1" s="1"/>
  <c r="J1104" i="1"/>
  <c r="K1104" i="1" s="1"/>
  <c r="J1105" i="1"/>
  <c r="K1105" i="1" s="1"/>
  <c r="J1106" i="1"/>
  <c r="K1106" i="1" s="1"/>
  <c r="J1107" i="1"/>
  <c r="K1107" i="1" s="1"/>
  <c r="J1108" i="1"/>
  <c r="K1108" i="1" s="1"/>
  <c r="J1109" i="1"/>
  <c r="K1109" i="1" s="1"/>
  <c r="J1110" i="1"/>
  <c r="K1110" i="1" s="1"/>
  <c r="J1111" i="1"/>
  <c r="K1111" i="1" s="1"/>
  <c r="J1112" i="1"/>
  <c r="K1112" i="1" s="1"/>
  <c r="J1113" i="1"/>
  <c r="K1113" i="1" s="1"/>
  <c r="J1114" i="1"/>
  <c r="K1114" i="1" s="1"/>
  <c r="J1115" i="1"/>
  <c r="K1115" i="1" s="1"/>
  <c r="J1116" i="1"/>
  <c r="K1116" i="1" s="1"/>
  <c r="J1117" i="1"/>
  <c r="K1117" i="1" s="1"/>
  <c r="J1118" i="1"/>
  <c r="K1118" i="1" s="1"/>
  <c r="J1119" i="1"/>
  <c r="K1119" i="1" s="1"/>
  <c r="J1120" i="1"/>
  <c r="K1120" i="1" s="1"/>
  <c r="J1121" i="1"/>
  <c r="K1121" i="1" s="1"/>
  <c r="J1122" i="1"/>
  <c r="K1122" i="1" s="1"/>
  <c r="J1123" i="1"/>
  <c r="K1123" i="1" s="1"/>
  <c r="J1124" i="1"/>
  <c r="K1124" i="1" s="1"/>
  <c r="J1125" i="1"/>
  <c r="K1125" i="1" s="1"/>
  <c r="J1126" i="1"/>
  <c r="K1126" i="1" s="1"/>
  <c r="J1127" i="1"/>
  <c r="K1127" i="1" s="1"/>
  <c r="J1128" i="1"/>
  <c r="K1128" i="1" s="1"/>
  <c r="J1129" i="1"/>
  <c r="K1129" i="1" s="1"/>
  <c r="J1130" i="1"/>
  <c r="K1130" i="1" s="1"/>
  <c r="J1131" i="1"/>
  <c r="K1131" i="1" s="1"/>
  <c r="J1132" i="1"/>
  <c r="K1132" i="1" s="1"/>
  <c r="J1133" i="1"/>
  <c r="K1133" i="1" s="1"/>
  <c r="J1134" i="1"/>
  <c r="K1134" i="1" s="1"/>
  <c r="J1135" i="1"/>
  <c r="K1135" i="1" s="1"/>
  <c r="J1136" i="1"/>
  <c r="K1136" i="1" s="1"/>
  <c r="J1137" i="1"/>
  <c r="K1137" i="1" s="1"/>
  <c r="J1138" i="1"/>
  <c r="K1138" i="1" s="1"/>
  <c r="J1139" i="1"/>
  <c r="K1139" i="1" s="1"/>
  <c r="J1140" i="1"/>
  <c r="K1140" i="1" s="1"/>
  <c r="J1141" i="1"/>
  <c r="K1141" i="1" s="1"/>
  <c r="J1142" i="1"/>
  <c r="K1142" i="1" s="1"/>
  <c r="J1143" i="1"/>
  <c r="K1143" i="1" s="1"/>
  <c r="J1144" i="1"/>
  <c r="K1144" i="1" s="1"/>
  <c r="J1145" i="1"/>
  <c r="K1145" i="1" s="1"/>
  <c r="J1146" i="1"/>
  <c r="K1146" i="1" s="1"/>
  <c r="J1147" i="1"/>
  <c r="K1147" i="1" s="1"/>
  <c r="J1148" i="1"/>
  <c r="K1148" i="1" s="1"/>
  <c r="J1149" i="1"/>
  <c r="K1149" i="1" s="1"/>
  <c r="J1150" i="1"/>
  <c r="K1150" i="1" s="1"/>
  <c r="J1151" i="1"/>
  <c r="K1151" i="1" s="1"/>
  <c r="J1152" i="1"/>
  <c r="K1152" i="1" s="1"/>
  <c r="J1153" i="1"/>
  <c r="K1153" i="1" s="1"/>
  <c r="J1154" i="1"/>
  <c r="K1154" i="1" s="1"/>
  <c r="J1155" i="1"/>
  <c r="K1155" i="1" s="1"/>
  <c r="J1156" i="1"/>
  <c r="K1156" i="1" s="1"/>
  <c r="J1157" i="1"/>
  <c r="K1157" i="1" s="1"/>
  <c r="J1158" i="1"/>
  <c r="K1158" i="1" s="1"/>
  <c r="J1159" i="1"/>
  <c r="K1159" i="1" s="1"/>
  <c r="J1160" i="1"/>
  <c r="K1160" i="1" s="1"/>
  <c r="J1161" i="1"/>
  <c r="K1161" i="1" s="1"/>
  <c r="J1162" i="1"/>
  <c r="K1162" i="1" s="1"/>
  <c r="J1163" i="1"/>
  <c r="K1163" i="1" s="1"/>
  <c r="J1164" i="1"/>
  <c r="K1164" i="1" s="1"/>
  <c r="J1165" i="1"/>
  <c r="K1165" i="1" s="1"/>
  <c r="J1166" i="1"/>
  <c r="K1166" i="1" s="1"/>
  <c r="J1167" i="1"/>
  <c r="K1167" i="1" s="1"/>
  <c r="J1168" i="1"/>
  <c r="K1168" i="1" s="1"/>
  <c r="J1169" i="1"/>
  <c r="K1169" i="1" s="1"/>
  <c r="J1170" i="1"/>
  <c r="K1170" i="1" s="1"/>
  <c r="J1171" i="1"/>
  <c r="K1171" i="1" s="1"/>
  <c r="J1172" i="1"/>
  <c r="K1172" i="1" s="1"/>
  <c r="J1173" i="1"/>
  <c r="K1173" i="1" s="1"/>
  <c r="J1174" i="1"/>
  <c r="K1174" i="1" s="1"/>
  <c r="J1175" i="1"/>
  <c r="K1175" i="1" s="1"/>
  <c r="J1176" i="1"/>
  <c r="K1176" i="1" s="1"/>
  <c r="J1177" i="1"/>
  <c r="K1177" i="1" s="1"/>
  <c r="J1178" i="1"/>
  <c r="K1178" i="1" s="1"/>
  <c r="J1179" i="1"/>
  <c r="K1179" i="1" s="1"/>
  <c r="J1180" i="1"/>
  <c r="K1180" i="1" s="1"/>
  <c r="J1181" i="1"/>
  <c r="K1181" i="1" s="1"/>
  <c r="J1182" i="1"/>
  <c r="K1182" i="1" s="1"/>
  <c r="J1183" i="1"/>
  <c r="K1183" i="1" s="1"/>
  <c r="J1184" i="1"/>
  <c r="K1184" i="1" s="1"/>
  <c r="J1185" i="1"/>
  <c r="K1185" i="1" s="1"/>
  <c r="J1186" i="1"/>
  <c r="K1186" i="1" s="1"/>
  <c r="J1187" i="1"/>
  <c r="K1187" i="1" s="1"/>
  <c r="J1188" i="1"/>
  <c r="K1188" i="1" s="1"/>
  <c r="J1189" i="1"/>
  <c r="K1189" i="1" s="1"/>
  <c r="J1190" i="1"/>
  <c r="K1190" i="1" s="1"/>
  <c r="J1191" i="1"/>
  <c r="K1191" i="1" s="1"/>
  <c r="J1192" i="1"/>
  <c r="K1192" i="1" s="1"/>
  <c r="J1193" i="1"/>
  <c r="K1193" i="1" s="1"/>
  <c r="J1194" i="1"/>
  <c r="K1194" i="1" s="1"/>
  <c r="J1195" i="1"/>
  <c r="K1195" i="1" s="1"/>
  <c r="J1196" i="1"/>
  <c r="K1196" i="1" s="1"/>
  <c r="J1197" i="1"/>
  <c r="K1197" i="1" s="1"/>
  <c r="J1198" i="1"/>
  <c r="K1198" i="1" s="1"/>
  <c r="J1199" i="1"/>
  <c r="K1199" i="1" s="1"/>
  <c r="J1200" i="1"/>
  <c r="K1200" i="1" s="1"/>
  <c r="J1201" i="1"/>
  <c r="K1201" i="1" s="1"/>
  <c r="J1202" i="1"/>
  <c r="K1202" i="1" s="1"/>
  <c r="J1203" i="1"/>
  <c r="K1203" i="1" s="1"/>
  <c r="J1204" i="1"/>
  <c r="K1204" i="1" s="1"/>
  <c r="J1205" i="1"/>
  <c r="K1205" i="1" s="1"/>
  <c r="J1206" i="1"/>
  <c r="K1206" i="1" s="1"/>
  <c r="J1207" i="1"/>
  <c r="K1207" i="1" s="1"/>
  <c r="J1208" i="1"/>
  <c r="K1208" i="1" s="1"/>
  <c r="J1209" i="1"/>
  <c r="K1209" i="1" s="1"/>
  <c r="J1210" i="1"/>
  <c r="K1210" i="1" s="1"/>
  <c r="J1211" i="1"/>
  <c r="K1211" i="1" s="1"/>
  <c r="J1212" i="1"/>
  <c r="K1212" i="1" s="1"/>
  <c r="J1213" i="1"/>
  <c r="K1213" i="1" s="1"/>
  <c r="J1214" i="1"/>
  <c r="K1214" i="1" s="1"/>
  <c r="J1215" i="1"/>
  <c r="K1215" i="1" s="1"/>
  <c r="J1216" i="1"/>
  <c r="K1216" i="1" s="1"/>
  <c r="J1217" i="1"/>
  <c r="K1217" i="1" s="1"/>
  <c r="J1218" i="1"/>
  <c r="K1218" i="1" s="1"/>
  <c r="J1219" i="1"/>
  <c r="K1219" i="1" s="1"/>
  <c r="J1220" i="1"/>
  <c r="K1220" i="1" s="1"/>
  <c r="J1221" i="1"/>
  <c r="K1221" i="1" s="1"/>
  <c r="J1222" i="1"/>
  <c r="K1222" i="1" s="1"/>
  <c r="J1223" i="1"/>
  <c r="K1223" i="1" s="1"/>
  <c r="J1224" i="1"/>
  <c r="K1224" i="1" s="1"/>
  <c r="J1225" i="1"/>
  <c r="K1225" i="1" s="1"/>
  <c r="J1226" i="1"/>
  <c r="K1226" i="1" s="1"/>
  <c r="J1227" i="1"/>
  <c r="K1227" i="1" s="1"/>
  <c r="J1228" i="1"/>
  <c r="K1228" i="1" s="1"/>
  <c r="J1229" i="1"/>
  <c r="K1229" i="1" s="1"/>
  <c r="J1230" i="1"/>
  <c r="K1230" i="1" s="1"/>
  <c r="J1231" i="1"/>
  <c r="K1231" i="1" s="1"/>
  <c r="J1232" i="1"/>
  <c r="K1232" i="1" s="1"/>
  <c r="J1233" i="1"/>
  <c r="K1233" i="1" s="1"/>
  <c r="J1234" i="1"/>
  <c r="K1234" i="1" s="1"/>
  <c r="J1235" i="1"/>
  <c r="K1235" i="1" s="1"/>
  <c r="J1236" i="1"/>
  <c r="K1236" i="1" s="1"/>
  <c r="J1237" i="1"/>
  <c r="K1237" i="1" s="1"/>
  <c r="J1238" i="1"/>
  <c r="K1238" i="1" s="1"/>
  <c r="J1239" i="1"/>
  <c r="K1239" i="1" s="1"/>
  <c r="J1240" i="1"/>
  <c r="K1240" i="1" s="1"/>
  <c r="J1241" i="1"/>
  <c r="K1241" i="1" s="1"/>
  <c r="J1242" i="1"/>
  <c r="K1242" i="1" s="1"/>
  <c r="J1243" i="1"/>
  <c r="K1243" i="1" s="1"/>
  <c r="J1244" i="1"/>
  <c r="K1244" i="1" s="1"/>
  <c r="J1245" i="1"/>
  <c r="K1245" i="1" s="1"/>
  <c r="J1246" i="1"/>
  <c r="K1246" i="1" s="1"/>
  <c r="J1247" i="1"/>
  <c r="K1247" i="1" s="1"/>
  <c r="J1248" i="1"/>
  <c r="K1248" i="1" s="1"/>
  <c r="J1249" i="1"/>
  <c r="K1249" i="1" s="1"/>
  <c r="J1250" i="1"/>
  <c r="K1250" i="1" s="1"/>
  <c r="J1251" i="1"/>
  <c r="K1251" i="1" s="1"/>
  <c r="J1252" i="1"/>
  <c r="K1252" i="1" s="1"/>
  <c r="J1253" i="1"/>
  <c r="K1253" i="1" s="1"/>
  <c r="J1254" i="1"/>
  <c r="K1254" i="1" s="1"/>
  <c r="J1255" i="1"/>
  <c r="K1255" i="1" s="1"/>
  <c r="J1256" i="1"/>
  <c r="K1256" i="1" s="1"/>
  <c r="J1257" i="1"/>
  <c r="K1257" i="1" s="1"/>
  <c r="J1258" i="1"/>
  <c r="K1258" i="1" s="1"/>
  <c r="J1259" i="1"/>
  <c r="K1259" i="1" s="1"/>
  <c r="J1260" i="1"/>
  <c r="K1260" i="1" s="1"/>
  <c r="J1261" i="1"/>
  <c r="K1261" i="1" s="1"/>
  <c r="J1262" i="1"/>
  <c r="K1262" i="1" s="1"/>
  <c r="J1263" i="1"/>
  <c r="K1263" i="1" s="1"/>
  <c r="J1264" i="1"/>
  <c r="K1264" i="1" s="1"/>
  <c r="J1265" i="1"/>
  <c r="K1265" i="1" s="1"/>
  <c r="J1266" i="1"/>
  <c r="K1266" i="1" s="1"/>
  <c r="J1267" i="1"/>
  <c r="K1267" i="1" s="1"/>
  <c r="J1268" i="1"/>
  <c r="K1268" i="1" s="1"/>
  <c r="J1269" i="1"/>
  <c r="K1269" i="1" s="1"/>
  <c r="J1270" i="1"/>
  <c r="K1270" i="1" s="1"/>
  <c r="J1271" i="1"/>
  <c r="K1271" i="1" s="1"/>
  <c r="J1272" i="1"/>
  <c r="K1272" i="1" s="1"/>
  <c r="J1273" i="1"/>
  <c r="K1273" i="1" s="1"/>
  <c r="J1274" i="1"/>
  <c r="K1274" i="1" s="1"/>
  <c r="J1275" i="1"/>
  <c r="K1275" i="1" s="1"/>
  <c r="J1276" i="1"/>
  <c r="K1276" i="1" s="1"/>
  <c r="J1277" i="1"/>
  <c r="K1277" i="1" s="1"/>
  <c r="J1278" i="1"/>
  <c r="K1278" i="1" s="1"/>
  <c r="J1279" i="1"/>
  <c r="K1279" i="1" s="1"/>
  <c r="J1280" i="1"/>
  <c r="K1280" i="1" s="1"/>
  <c r="J1281" i="1"/>
  <c r="K1281" i="1" s="1"/>
  <c r="J1282" i="1"/>
  <c r="K1282" i="1" s="1"/>
  <c r="J1283" i="1"/>
  <c r="K1283" i="1" s="1"/>
  <c r="J1284" i="1"/>
  <c r="K1284" i="1" s="1"/>
  <c r="J1285" i="1"/>
  <c r="K1285" i="1" s="1"/>
  <c r="J1286" i="1"/>
  <c r="K1286" i="1" s="1"/>
  <c r="J1287" i="1"/>
  <c r="K1287" i="1" s="1"/>
  <c r="J1288" i="1"/>
  <c r="K1288" i="1" s="1"/>
  <c r="J1289" i="1"/>
  <c r="K1289" i="1" s="1"/>
  <c r="J1290" i="1"/>
  <c r="K1290" i="1" s="1"/>
  <c r="J1291" i="1"/>
  <c r="K1291" i="1" s="1"/>
  <c r="J1292" i="1"/>
  <c r="K1292" i="1" s="1"/>
  <c r="J1293" i="1"/>
  <c r="K1293" i="1" s="1"/>
  <c r="J1294" i="1"/>
  <c r="K1294" i="1" s="1"/>
  <c r="J1295" i="1"/>
  <c r="K1295" i="1" s="1"/>
  <c r="J1296" i="1"/>
  <c r="K1296" i="1" s="1"/>
  <c r="J1297" i="1"/>
  <c r="K1297" i="1" s="1"/>
  <c r="J1298" i="1"/>
  <c r="K1298" i="1" s="1"/>
  <c r="J1299" i="1"/>
  <c r="K1299" i="1" s="1"/>
  <c r="J1300" i="1"/>
  <c r="K1300" i="1" s="1"/>
  <c r="J1301" i="1"/>
  <c r="K1301" i="1" s="1"/>
  <c r="J1302" i="1"/>
  <c r="K1302" i="1" s="1"/>
  <c r="J1303" i="1"/>
  <c r="K1303" i="1" s="1"/>
  <c r="J1304" i="1"/>
  <c r="K1304" i="1" s="1"/>
  <c r="J1305" i="1"/>
  <c r="K1305" i="1" s="1"/>
  <c r="J1306" i="1"/>
  <c r="K1306" i="1" s="1"/>
  <c r="J1307" i="1"/>
  <c r="K1307" i="1" s="1"/>
  <c r="J1308" i="1"/>
  <c r="K1308" i="1" s="1"/>
  <c r="J1309" i="1"/>
  <c r="K1309" i="1" s="1"/>
  <c r="J1310" i="1"/>
  <c r="K1310" i="1" s="1"/>
  <c r="J1311" i="1"/>
  <c r="K1311" i="1" s="1"/>
  <c r="J1312" i="1"/>
  <c r="K1312" i="1" s="1"/>
  <c r="J1313" i="1"/>
  <c r="K1313" i="1" s="1"/>
  <c r="J1314" i="1"/>
  <c r="K1314" i="1" s="1"/>
  <c r="J1315" i="1"/>
  <c r="K1315" i="1" s="1"/>
  <c r="J2" i="1"/>
  <c r="K2" i="1" s="1"/>
  <c r="H4" i="1" l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79" i="1"/>
  <c r="I179" i="1" s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0" i="1"/>
  <c r="I190" i="1" s="1"/>
  <c r="H191" i="1"/>
  <c r="I191" i="1" s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202" i="1"/>
  <c r="I202" i="1" s="1"/>
  <c r="H203" i="1"/>
  <c r="I203" i="1" s="1"/>
  <c r="H204" i="1"/>
  <c r="I204" i="1" s="1"/>
  <c r="H205" i="1"/>
  <c r="I205" i="1" s="1"/>
  <c r="H206" i="1"/>
  <c r="I206" i="1" s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I214" i="1" s="1"/>
  <c r="H215" i="1"/>
  <c r="I215" i="1" s="1"/>
  <c r="H216" i="1"/>
  <c r="I216" i="1" s="1"/>
  <c r="H217" i="1"/>
  <c r="I217" i="1" s="1"/>
  <c r="H218" i="1"/>
  <c r="I218" i="1" s="1"/>
  <c r="H219" i="1"/>
  <c r="I219" i="1" s="1"/>
  <c r="H220" i="1"/>
  <c r="I220" i="1" s="1"/>
  <c r="H221" i="1"/>
  <c r="I221" i="1" s="1"/>
  <c r="H222" i="1"/>
  <c r="I222" i="1" s="1"/>
  <c r="H223" i="1"/>
  <c r="I223" i="1" s="1"/>
  <c r="H224" i="1"/>
  <c r="I224" i="1" s="1"/>
  <c r="H225" i="1"/>
  <c r="I225" i="1" s="1"/>
  <c r="H226" i="1"/>
  <c r="I226" i="1" s="1"/>
  <c r="H227" i="1"/>
  <c r="I227" i="1" s="1"/>
  <c r="H228" i="1"/>
  <c r="I228" i="1" s="1"/>
  <c r="H229" i="1"/>
  <c r="I229" i="1" s="1"/>
  <c r="H230" i="1"/>
  <c r="I230" i="1" s="1"/>
  <c r="H231" i="1"/>
  <c r="I231" i="1" s="1"/>
  <c r="H232" i="1"/>
  <c r="I232" i="1" s="1"/>
  <c r="H233" i="1"/>
  <c r="I233" i="1" s="1"/>
  <c r="H234" i="1"/>
  <c r="I234" i="1" s="1"/>
  <c r="H235" i="1"/>
  <c r="I235" i="1" s="1"/>
  <c r="H236" i="1"/>
  <c r="I236" i="1" s="1"/>
  <c r="H237" i="1"/>
  <c r="I237" i="1" s="1"/>
  <c r="H238" i="1"/>
  <c r="I238" i="1" s="1"/>
  <c r="H239" i="1"/>
  <c r="I239" i="1" s="1"/>
  <c r="H240" i="1"/>
  <c r="I240" i="1" s="1"/>
  <c r="H241" i="1"/>
  <c r="I241" i="1" s="1"/>
  <c r="H242" i="1"/>
  <c r="I242" i="1" s="1"/>
  <c r="H243" i="1"/>
  <c r="I243" i="1" s="1"/>
  <c r="H244" i="1"/>
  <c r="I244" i="1" s="1"/>
  <c r="H245" i="1"/>
  <c r="I245" i="1" s="1"/>
  <c r="H246" i="1"/>
  <c r="I246" i="1" s="1"/>
  <c r="H247" i="1"/>
  <c r="I247" i="1" s="1"/>
  <c r="H248" i="1"/>
  <c r="I248" i="1" s="1"/>
  <c r="H249" i="1"/>
  <c r="I249" i="1" s="1"/>
  <c r="H250" i="1"/>
  <c r="I250" i="1" s="1"/>
  <c r="H251" i="1"/>
  <c r="I251" i="1" s="1"/>
  <c r="H252" i="1"/>
  <c r="I252" i="1" s="1"/>
  <c r="H253" i="1"/>
  <c r="I253" i="1" s="1"/>
  <c r="H254" i="1"/>
  <c r="I254" i="1" s="1"/>
  <c r="H255" i="1"/>
  <c r="I255" i="1" s="1"/>
  <c r="H256" i="1"/>
  <c r="I256" i="1" s="1"/>
  <c r="H257" i="1"/>
  <c r="I257" i="1" s="1"/>
  <c r="H258" i="1"/>
  <c r="I258" i="1" s="1"/>
  <c r="H259" i="1"/>
  <c r="I259" i="1" s="1"/>
  <c r="H260" i="1"/>
  <c r="I260" i="1" s="1"/>
  <c r="H261" i="1"/>
  <c r="I261" i="1" s="1"/>
  <c r="H262" i="1"/>
  <c r="I262" i="1" s="1"/>
  <c r="H263" i="1"/>
  <c r="I263" i="1" s="1"/>
  <c r="H264" i="1"/>
  <c r="I264" i="1" s="1"/>
  <c r="H265" i="1"/>
  <c r="I265" i="1" s="1"/>
  <c r="H266" i="1"/>
  <c r="I266" i="1" s="1"/>
  <c r="H267" i="1"/>
  <c r="I267" i="1" s="1"/>
  <c r="H268" i="1"/>
  <c r="I268" i="1" s="1"/>
  <c r="H269" i="1"/>
  <c r="I269" i="1" s="1"/>
  <c r="H270" i="1"/>
  <c r="I270" i="1" s="1"/>
  <c r="H271" i="1"/>
  <c r="I271" i="1" s="1"/>
  <c r="H272" i="1"/>
  <c r="I272" i="1" s="1"/>
  <c r="H273" i="1"/>
  <c r="I273" i="1" s="1"/>
  <c r="H274" i="1"/>
  <c r="I274" i="1" s="1"/>
  <c r="H275" i="1"/>
  <c r="I275" i="1" s="1"/>
  <c r="H276" i="1"/>
  <c r="I276" i="1" s="1"/>
  <c r="H277" i="1"/>
  <c r="I277" i="1" s="1"/>
  <c r="H278" i="1"/>
  <c r="I278" i="1" s="1"/>
  <c r="H279" i="1"/>
  <c r="I279" i="1" s="1"/>
  <c r="H280" i="1"/>
  <c r="I280" i="1" s="1"/>
  <c r="H281" i="1"/>
  <c r="I281" i="1" s="1"/>
  <c r="H282" i="1"/>
  <c r="I282" i="1" s="1"/>
  <c r="H283" i="1"/>
  <c r="I283" i="1" s="1"/>
  <c r="H284" i="1"/>
  <c r="I284" i="1" s="1"/>
  <c r="H285" i="1"/>
  <c r="I285" i="1" s="1"/>
  <c r="H286" i="1"/>
  <c r="I286" i="1" s="1"/>
  <c r="H287" i="1"/>
  <c r="I287" i="1" s="1"/>
  <c r="H288" i="1"/>
  <c r="I288" i="1" s="1"/>
  <c r="H289" i="1"/>
  <c r="I289" i="1" s="1"/>
  <c r="H290" i="1"/>
  <c r="I290" i="1" s="1"/>
  <c r="H291" i="1"/>
  <c r="I291" i="1" s="1"/>
  <c r="H292" i="1"/>
  <c r="I292" i="1" s="1"/>
  <c r="H293" i="1"/>
  <c r="I293" i="1" s="1"/>
  <c r="H294" i="1"/>
  <c r="I294" i="1" s="1"/>
  <c r="H295" i="1"/>
  <c r="I295" i="1" s="1"/>
  <c r="H296" i="1"/>
  <c r="I296" i="1" s="1"/>
  <c r="H297" i="1"/>
  <c r="I297" i="1" s="1"/>
  <c r="H298" i="1"/>
  <c r="I298" i="1" s="1"/>
  <c r="H299" i="1"/>
  <c r="I299" i="1" s="1"/>
  <c r="H300" i="1"/>
  <c r="I300" i="1" s="1"/>
  <c r="H301" i="1"/>
  <c r="I301" i="1" s="1"/>
  <c r="H302" i="1"/>
  <c r="I302" i="1" s="1"/>
  <c r="H303" i="1"/>
  <c r="I303" i="1" s="1"/>
  <c r="H304" i="1"/>
  <c r="I304" i="1" s="1"/>
  <c r="H305" i="1"/>
  <c r="I305" i="1" s="1"/>
  <c r="H306" i="1"/>
  <c r="I306" i="1" s="1"/>
  <c r="H307" i="1"/>
  <c r="I307" i="1" s="1"/>
  <c r="H308" i="1"/>
  <c r="I308" i="1" s="1"/>
  <c r="H309" i="1"/>
  <c r="I309" i="1" s="1"/>
  <c r="H310" i="1"/>
  <c r="I310" i="1" s="1"/>
  <c r="H311" i="1"/>
  <c r="I311" i="1" s="1"/>
  <c r="H312" i="1"/>
  <c r="I312" i="1" s="1"/>
  <c r="H313" i="1"/>
  <c r="I313" i="1" s="1"/>
  <c r="H314" i="1"/>
  <c r="I314" i="1" s="1"/>
  <c r="H315" i="1"/>
  <c r="I315" i="1" s="1"/>
  <c r="H316" i="1"/>
  <c r="I316" i="1" s="1"/>
  <c r="H317" i="1"/>
  <c r="I317" i="1" s="1"/>
  <c r="H318" i="1"/>
  <c r="I318" i="1" s="1"/>
  <c r="H319" i="1"/>
  <c r="I319" i="1" s="1"/>
  <c r="H320" i="1"/>
  <c r="I320" i="1" s="1"/>
  <c r="H321" i="1"/>
  <c r="I321" i="1" s="1"/>
  <c r="H322" i="1"/>
  <c r="I322" i="1" s="1"/>
  <c r="H323" i="1"/>
  <c r="I323" i="1" s="1"/>
  <c r="H324" i="1"/>
  <c r="I324" i="1" s="1"/>
  <c r="H325" i="1"/>
  <c r="I325" i="1" s="1"/>
  <c r="H326" i="1"/>
  <c r="I326" i="1" s="1"/>
  <c r="H327" i="1"/>
  <c r="I327" i="1" s="1"/>
  <c r="H328" i="1"/>
  <c r="I328" i="1" s="1"/>
  <c r="H329" i="1"/>
  <c r="I329" i="1" s="1"/>
  <c r="H330" i="1"/>
  <c r="I330" i="1" s="1"/>
  <c r="H331" i="1"/>
  <c r="I331" i="1" s="1"/>
  <c r="H332" i="1"/>
  <c r="I332" i="1" s="1"/>
  <c r="H333" i="1"/>
  <c r="I333" i="1" s="1"/>
  <c r="H334" i="1"/>
  <c r="I334" i="1" s="1"/>
  <c r="H335" i="1"/>
  <c r="I335" i="1" s="1"/>
  <c r="H336" i="1"/>
  <c r="I336" i="1" s="1"/>
  <c r="H337" i="1"/>
  <c r="I337" i="1" s="1"/>
  <c r="H338" i="1"/>
  <c r="I338" i="1" s="1"/>
  <c r="H339" i="1"/>
  <c r="I339" i="1" s="1"/>
  <c r="H340" i="1"/>
  <c r="I340" i="1" s="1"/>
  <c r="H341" i="1"/>
  <c r="I341" i="1" s="1"/>
  <c r="H342" i="1"/>
  <c r="I342" i="1" s="1"/>
  <c r="H343" i="1"/>
  <c r="I343" i="1" s="1"/>
  <c r="H344" i="1"/>
  <c r="I344" i="1" s="1"/>
  <c r="H345" i="1"/>
  <c r="I345" i="1" s="1"/>
  <c r="H346" i="1"/>
  <c r="I346" i="1" s="1"/>
  <c r="H347" i="1"/>
  <c r="I347" i="1" s="1"/>
  <c r="H348" i="1"/>
  <c r="I348" i="1" s="1"/>
  <c r="H349" i="1"/>
  <c r="I349" i="1" s="1"/>
  <c r="H350" i="1"/>
  <c r="I350" i="1" s="1"/>
  <c r="H351" i="1"/>
  <c r="I351" i="1" s="1"/>
  <c r="H352" i="1"/>
  <c r="I352" i="1" s="1"/>
  <c r="H353" i="1"/>
  <c r="I353" i="1" s="1"/>
  <c r="H354" i="1"/>
  <c r="I354" i="1" s="1"/>
  <c r="H355" i="1"/>
  <c r="I355" i="1" s="1"/>
  <c r="H356" i="1"/>
  <c r="I356" i="1" s="1"/>
  <c r="H357" i="1"/>
  <c r="I357" i="1" s="1"/>
  <c r="H358" i="1"/>
  <c r="I358" i="1" s="1"/>
  <c r="H359" i="1"/>
  <c r="I359" i="1" s="1"/>
  <c r="H360" i="1"/>
  <c r="I360" i="1" s="1"/>
  <c r="H361" i="1"/>
  <c r="I361" i="1" s="1"/>
  <c r="H362" i="1"/>
  <c r="I362" i="1" s="1"/>
  <c r="H363" i="1"/>
  <c r="I363" i="1" s="1"/>
  <c r="H364" i="1"/>
  <c r="I364" i="1" s="1"/>
  <c r="H365" i="1"/>
  <c r="I365" i="1" s="1"/>
  <c r="H366" i="1"/>
  <c r="I366" i="1" s="1"/>
  <c r="H367" i="1"/>
  <c r="I367" i="1" s="1"/>
  <c r="H368" i="1"/>
  <c r="I368" i="1" s="1"/>
  <c r="H369" i="1"/>
  <c r="I369" i="1" s="1"/>
  <c r="H370" i="1"/>
  <c r="I370" i="1" s="1"/>
  <c r="H371" i="1"/>
  <c r="I371" i="1" s="1"/>
  <c r="H372" i="1"/>
  <c r="I372" i="1" s="1"/>
  <c r="H373" i="1"/>
  <c r="I373" i="1" s="1"/>
  <c r="H374" i="1"/>
  <c r="I374" i="1" s="1"/>
  <c r="H375" i="1"/>
  <c r="I375" i="1" s="1"/>
  <c r="H376" i="1"/>
  <c r="I376" i="1" s="1"/>
  <c r="H377" i="1"/>
  <c r="I377" i="1" s="1"/>
  <c r="H378" i="1"/>
  <c r="I378" i="1" s="1"/>
  <c r="H379" i="1"/>
  <c r="I379" i="1" s="1"/>
  <c r="H380" i="1"/>
  <c r="I380" i="1" s="1"/>
  <c r="H381" i="1"/>
  <c r="I381" i="1" s="1"/>
  <c r="H382" i="1"/>
  <c r="I382" i="1" s="1"/>
  <c r="H383" i="1"/>
  <c r="I383" i="1" s="1"/>
  <c r="H384" i="1"/>
  <c r="I384" i="1" s="1"/>
  <c r="H385" i="1"/>
  <c r="I385" i="1" s="1"/>
  <c r="H386" i="1"/>
  <c r="I386" i="1" s="1"/>
  <c r="H387" i="1"/>
  <c r="I387" i="1" s="1"/>
  <c r="H388" i="1"/>
  <c r="I388" i="1" s="1"/>
  <c r="H389" i="1"/>
  <c r="I389" i="1" s="1"/>
  <c r="H390" i="1"/>
  <c r="I390" i="1" s="1"/>
  <c r="H391" i="1"/>
  <c r="I391" i="1" s="1"/>
  <c r="H392" i="1"/>
  <c r="I392" i="1" s="1"/>
  <c r="H393" i="1"/>
  <c r="I393" i="1" s="1"/>
  <c r="H394" i="1"/>
  <c r="I394" i="1" s="1"/>
  <c r="H395" i="1"/>
  <c r="I395" i="1" s="1"/>
  <c r="H396" i="1"/>
  <c r="I396" i="1" s="1"/>
  <c r="H397" i="1"/>
  <c r="I397" i="1" s="1"/>
  <c r="H398" i="1"/>
  <c r="I398" i="1" s="1"/>
  <c r="H399" i="1"/>
  <c r="I399" i="1" s="1"/>
  <c r="H400" i="1"/>
  <c r="I400" i="1" s="1"/>
  <c r="H401" i="1"/>
  <c r="I401" i="1" s="1"/>
  <c r="H402" i="1"/>
  <c r="I402" i="1" s="1"/>
  <c r="H403" i="1"/>
  <c r="I403" i="1" s="1"/>
  <c r="H404" i="1"/>
  <c r="I404" i="1" s="1"/>
  <c r="H405" i="1"/>
  <c r="I405" i="1" s="1"/>
  <c r="H406" i="1"/>
  <c r="I406" i="1" s="1"/>
  <c r="H407" i="1"/>
  <c r="I407" i="1" s="1"/>
  <c r="H408" i="1"/>
  <c r="I408" i="1" s="1"/>
  <c r="H409" i="1"/>
  <c r="I409" i="1" s="1"/>
  <c r="H410" i="1"/>
  <c r="I410" i="1" s="1"/>
  <c r="H411" i="1"/>
  <c r="I411" i="1" s="1"/>
  <c r="H412" i="1"/>
  <c r="I412" i="1" s="1"/>
  <c r="H413" i="1"/>
  <c r="I413" i="1" s="1"/>
  <c r="H414" i="1"/>
  <c r="I414" i="1" s="1"/>
  <c r="H415" i="1"/>
  <c r="I415" i="1" s="1"/>
  <c r="H416" i="1"/>
  <c r="I416" i="1" s="1"/>
  <c r="H417" i="1"/>
  <c r="I417" i="1" s="1"/>
  <c r="H418" i="1"/>
  <c r="I418" i="1" s="1"/>
  <c r="H419" i="1"/>
  <c r="I419" i="1" s="1"/>
  <c r="H420" i="1"/>
  <c r="I420" i="1" s="1"/>
  <c r="H421" i="1"/>
  <c r="I421" i="1" s="1"/>
  <c r="H422" i="1"/>
  <c r="I422" i="1" s="1"/>
  <c r="H423" i="1"/>
  <c r="I423" i="1" s="1"/>
  <c r="H424" i="1"/>
  <c r="I424" i="1" s="1"/>
  <c r="H425" i="1"/>
  <c r="I425" i="1" s="1"/>
  <c r="H426" i="1"/>
  <c r="I426" i="1" s="1"/>
  <c r="H427" i="1"/>
  <c r="I427" i="1" s="1"/>
  <c r="H428" i="1"/>
  <c r="I428" i="1" s="1"/>
  <c r="H429" i="1"/>
  <c r="I429" i="1" s="1"/>
  <c r="H430" i="1"/>
  <c r="I430" i="1" s="1"/>
  <c r="H431" i="1"/>
  <c r="I431" i="1" s="1"/>
  <c r="H432" i="1"/>
  <c r="I432" i="1" s="1"/>
  <c r="H433" i="1"/>
  <c r="I433" i="1" s="1"/>
  <c r="H434" i="1"/>
  <c r="I434" i="1" s="1"/>
  <c r="H435" i="1"/>
  <c r="I435" i="1" s="1"/>
  <c r="H436" i="1"/>
  <c r="I436" i="1" s="1"/>
  <c r="H437" i="1"/>
  <c r="I437" i="1" s="1"/>
  <c r="H438" i="1"/>
  <c r="I438" i="1" s="1"/>
  <c r="H439" i="1"/>
  <c r="I439" i="1" s="1"/>
  <c r="H440" i="1"/>
  <c r="I440" i="1" s="1"/>
  <c r="H441" i="1"/>
  <c r="I441" i="1" s="1"/>
  <c r="H442" i="1"/>
  <c r="I442" i="1" s="1"/>
  <c r="H443" i="1"/>
  <c r="I443" i="1" s="1"/>
  <c r="H444" i="1"/>
  <c r="I444" i="1" s="1"/>
  <c r="H445" i="1"/>
  <c r="I445" i="1" s="1"/>
  <c r="H446" i="1"/>
  <c r="I446" i="1" s="1"/>
  <c r="H447" i="1"/>
  <c r="I447" i="1" s="1"/>
  <c r="H448" i="1"/>
  <c r="I448" i="1" s="1"/>
  <c r="H449" i="1"/>
  <c r="I449" i="1" s="1"/>
  <c r="H450" i="1"/>
  <c r="I450" i="1" s="1"/>
  <c r="H451" i="1"/>
  <c r="I451" i="1" s="1"/>
  <c r="H452" i="1"/>
  <c r="I452" i="1" s="1"/>
  <c r="H453" i="1"/>
  <c r="I453" i="1" s="1"/>
  <c r="H454" i="1"/>
  <c r="I454" i="1" s="1"/>
  <c r="H455" i="1"/>
  <c r="I455" i="1" s="1"/>
  <c r="H456" i="1"/>
  <c r="I456" i="1" s="1"/>
  <c r="H457" i="1"/>
  <c r="I457" i="1" s="1"/>
  <c r="H458" i="1"/>
  <c r="I458" i="1" s="1"/>
  <c r="H459" i="1"/>
  <c r="I459" i="1" s="1"/>
  <c r="H460" i="1"/>
  <c r="I460" i="1" s="1"/>
  <c r="H461" i="1"/>
  <c r="I461" i="1" s="1"/>
  <c r="H462" i="1"/>
  <c r="I462" i="1" s="1"/>
  <c r="H463" i="1"/>
  <c r="I463" i="1" s="1"/>
  <c r="H464" i="1"/>
  <c r="I464" i="1" s="1"/>
  <c r="H465" i="1"/>
  <c r="I465" i="1" s="1"/>
  <c r="H466" i="1"/>
  <c r="I466" i="1" s="1"/>
  <c r="H467" i="1"/>
  <c r="I467" i="1" s="1"/>
  <c r="H468" i="1"/>
  <c r="I468" i="1" s="1"/>
  <c r="H469" i="1"/>
  <c r="I469" i="1" s="1"/>
  <c r="H470" i="1"/>
  <c r="I470" i="1" s="1"/>
  <c r="H471" i="1"/>
  <c r="I471" i="1" s="1"/>
  <c r="H472" i="1"/>
  <c r="I472" i="1" s="1"/>
  <c r="H473" i="1"/>
  <c r="I473" i="1" s="1"/>
  <c r="H474" i="1"/>
  <c r="I474" i="1" s="1"/>
  <c r="H475" i="1"/>
  <c r="I475" i="1" s="1"/>
  <c r="H476" i="1"/>
  <c r="I476" i="1" s="1"/>
  <c r="H477" i="1"/>
  <c r="I477" i="1" s="1"/>
  <c r="H478" i="1"/>
  <c r="I478" i="1" s="1"/>
  <c r="H479" i="1"/>
  <c r="I479" i="1" s="1"/>
  <c r="H480" i="1"/>
  <c r="I480" i="1" s="1"/>
  <c r="H481" i="1"/>
  <c r="I481" i="1" s="1"/>
  <c r="H482" i="1"/>
  <c r="I482" i="1" s="1"/>
  <c r="H483" i="1"/>
  <c r="I483" i="1" s="1"/>
  <c r="H484" i="1"/>
  <c r="I484" i="1" s="1"/>
  <c r="H485" i="1"/>
  <c r="I485" i="1" s="1"/>
  <c r="H486" i="1"/>
  <c r="I486" i="1" s="1"/>
  <c r="H487" i="1"/>
  <c r="I487" i="1" s="1"/>
  <c r="H488" i="1"/>
  <c r="I488" i="1" s="1"/>
  <c r="H489" i="1"/>
  <c r="I489" i="1" s="1"/>
  <c r="H490" i="1"/>
  <c r="I490" i="1" s="1"/>
  <c r="H491" i="1"/>
  <c r="I491" i="1" s="1"/>
  <c r="H492" i="1"/>
  <c r="I492" i="1" s="1"/>
  <c r="H493" i="1"/>
  <c r="I493" i="1" s="1"/>
  <c r="H494" i="1"/>
  <c r="I494" i="1" s="1"/>
  <c r="H495" i="1"/>
  <c r="I495" i="1" s="1"/>
  <c r="H496" i="1"/>
  <c r="I496" i="1" s="1"/>
  <c r="H497" i="1"/>
  <c r="I497" i="1" s="1"/>
  <c r="H498" i="1"/>
  <c r="I498" i="1" s="1"/>
  <c r="H499" i="1"/>
  <c r="I499" i="1" s="1"/>
  <c r="H500" i="1"/>
  <c r="I500" i="1" s="1"/>
  <c r="H501" i="1"/>
  <c r="I501" i="1" s="1"/>
  <c r="H502" i="1"/>
  <c r="I502" i="1" s="1"/>
  <c r="H503" i="1"/>
  <c r="I503" i="1" s="1"/>
  <c r="H504" i="1"/>
  <c r="I504" i="1" s="1"/>
  <c r="H505" i="1"/>
  <c r="I505" i="1" s="1"/>
  <c r="H506" i="1"/>
  <c r="I506" i="1" s="1"/>
  <c r="H507" i="1"/>
  <c r="I507" i="1" s="1"/>
  <c r="H508" i="1"/>
  <c r="I508" i="1" s="1"/>
  <c r="H509" i="1"/>
  <c r="I509" i="1" s="1"/>
  <c r="H510" i="1"/>
  <c r="I510" i="1" s="1"/>
  <c r="H511" i="1"/>
  <c r="I511" i="1" s="1"/>
  <c r="H512" i="1"/>
  <c r="I512" i="1" s="1"/>
  <c r="H513" i="1"/>
  <c r="I513" i="1" s="1"/>
  <c r="H514" i="1"/>
  <c r="I514" i="1" s="1"/>
  <c r="H515" i="1"/>
  <c r="I515" i="1" s="1"/>
  <c r="H516" i="1"/>
  <c r="I516" i="1" s="1"/>
  <c r="H517" i="1"/>
  <c r="I517" i="1" s="1"/>
  <c r="H518" i="1"/>
  <c r="I518" i="1" s="1"/>
  <c r="H519" i="1"/>
  <c r="I519" i="1" s="1"/>
  <c r="H520" i="1"/>
  <c r="I520" i="1" s="1"/>
  <c r="H521" i="1"/>
  <c r="I521" i="1" s="1"/>
  <c r="H522" i="1"/>
  <c r="I522" i="1" s="1"/>
  <c r="H523" i="1"/>
  <c r="I523" i="1" s="1"/>
  <c r="H524" i="1"/>
  <c r="I524" i="1" s="1"/>
  <c r="H525" i="1"/>
  <c r="I525" i="1" s="1"/>
  <c r="H526" i="1"/>
  <c r="I526" i="1" s="1"/>
  <c r="H527" i="1"/>
  <c r="I527" i="1" s="1"/>
  <c r="H528" i="1"/>
  <c r="I528" i="1" s="1"/>
  <c r="H529" i="1"/>
  <c r="I529" i="1" s="1"/>
  <c r="H530" i="1"/>
  <c r="I530" i="1" s="1"/>
  <c r="H531" i="1"/>
  <c r="I531" i="1" s="1"/>
  <c r="H532" i="1"/>
  <c r="I532" i="1" s="1"/>
  <c r="H533" i="1"/>
  <c r="I533" i="1" s="1"/>
  <c r="H534" i="1"/>
  <c r="I534" i="1" s="1"/>
  <c r="H535" i="1"/>
  <c r="I535" i="1" s="1"/>
  <c r="H536" i="1"/>
  <c r="I536" i="1" s="1"/>
  <c r="H537" i="1"/>
  <c r="I537" i="1" s="1"/>
  <c r="H538" i="1"/>
  <c r="I538" i="1" s="1"/>
  <c r="H539" i="1"/>
  <c r="I539" i="1" s="1"/>
  <c r="H540" i="1"/>
  <c r="I540" i="1" s="1"/>
  <c r="H541" i="1"/>
  <c r="I541" i="1" s="1"/>
  <c r="H542" i="1"/>
  <c r="I542" i="1" s="1"/>
  <c r="H543" i="1"/>
  <c r="I543" i="1" s="1"/>
  <c r="H544" i="1"/>
  <c r="I544" i="1" s="1"/>
  <c r="H545" i="1"/>
  <c r="I545" i="1" s="1"/>
  <c r="H546" i="1"/>
  <c r="I546" i="1" s="1"/>
  <c r="H547" i="1"/>
  <c r="I547" i="1" s="1"/>
  <c r="H548" i="1"/>
  <c r="I548" i="1" s="1"/>
  <c r="H549" i="1"/>
  <c r="I549" i="1" s="1"/>
  <c r="H550" i="1"/>
  <c r="I550" i="1" s="1"/>
  <c r="H551" i="1"/>
  <c r="I551" i="1" s="1"/>
  <c r="H552" i="1"/>
  <c r="I552" i="1" s="1"/>
  <c r="H553" i="1"/>
  <c r="I553" i="1" s="1"/>
  <c r="H554" i="1"/>
  <c r="I554" i="1" s="1"/>
  <c r="H555" i="1"/>
  <c r="I555" i="1" s="1"/>
  <c r="H556" i="1"/>
  <c r="I556" i="1" s="1"/>
  <c r="H557" i="1"/>
  <c r="I557" i="1" s="1"/>
  <c r="H558" i="1"/>
  <c r="I558" i="1" s="1"/>
  <c r="H559" i="1"/>
  <c r="I559" i="1" s="1"/>
  <c r="H560" i="1"/>
  <c r="I560" i="1" s="1"/>
  <c r="H561" i="1"/>
  <c r="I561" i="1" s="1"/>
  <c r="H562" i="1"/>
  <c r="I562" i="1" s="1"/>
  <c r="H563" i="1"/>
  <c r="I563" i="1" s="1"/>
  <c r="H564" i="1"/>
  <c r="I564" i="1" s="1"/>
  <c r="H565" i="1"/>
  <c r="I565" i="1" s="1"/>
  <c r="H566" i="1"/>
  <c r="I566" i="1" s="1"/>
  <c r="H567" i="1"/>
  <c r="I567" i="1" s="1"/>
  <c r="H568" i="1"/>
  <c r="I568" i="1" s="1"/>
  <c r="H569" i="1"/>
  <c r="I569" i="1" s="1"/>
  <c r="H570" i="1"/>
  <c r="I570" i="1" s="1"/>
  <c r="H571" i="1"/>
  <c r="I571" i="1" s="1"/>
  <c r="H572" i="1"/>
  <c r="I572" i="1" s="1"/>
  <c r="H573" i="1"/>
  <c r="I573" i="1" s="1"/>
  <c r="H574" i="1"/>
  <c r="I574" i="1" s="1"/>
  <c r="H575" i="1"/>
  <c r="I575" i="1" s="1"/>
  <c r="H576" i="1"/>
  <c r="I576" i="1" s="1"/>
  <c r="H577" i="1"/>
  <c r="I577" i="1" s="1"/>
  <c r="H578" i="1"/>
  <c r="I578" i="1" s="1"/>
  <c r="H579" i="1"/>
  <c r="I579" i="1" s="1"/>
  <c r="H580" i="1"/>
  <c r="I580" i="1" s="1"/>
  <c r="H581" i="1"/>
  <c r="I581" i="1" s="1"/>
  <c r="H582" i="1"/>
  <c r="I582" i="1" s="1"/>
  <c r="H583" i="1"/>
  <c r="I583" i="1" s="1"/>
  <c r="H584" i="1"/>
  <c r="I584" i="1" s="1"/>
  <c r="H585" i="1"/>
  <c r="I585" i="1" s="1"/>
  <c r="H586" i="1"/>
  <c r="I586" i="1" s="1"/>
  <c r="H587" i="1"/>
  <c r="I587" i="1" s="1"/>
  <c r="H588" i="1"/>
  <c r="I588" i="1" s="1"/>
  <c r="H589" i="1"/>
  <c r="I589" i="1" s="1"/>
  <c r="H590" i="1"/>
  <c r="I590" i="1" s="1"/>
  <c r="H591" i="1"/>
  <c r="I591" i="1" s="1"/>
  <c r="H592" i="1"/>
  <c r="I592" i="1" s="1"/>
  <c r="H593" i="1"/>
  <c r="I593" i="1" s="1"/>
  <c r="H594" i="1"/>
  <c r="I594" i="1" s="1"/>
  <c r="H595" i="1"/>
  <c r="I595" i="1" s="1"/>
  <c r="H596" i="1"/>
  <c r="I596" i="1" s="1"/>
  <c r="H597" i="1"/>
  <c r="I597" i="1" s="1"/>
  <c r="H598" i="1"/>
  <c r="I598" i="1" s="1"/>
  <c r="H599" i="1"/>
  <c r="I599" i="1" s="1"/>
  <c r="H600" i="1"/>
  <c r="I600" i="1" s="1"/>
  <c r="H601" i="1"/>
  <c r="I601" i="1" s="1"/>
  <c r="H602" i="1"/>
  <c r="I602" i="1" s="1"/>
  <c r="H603" i="1"/>
  <c r="I603" i="1" s="1"/>
  <c r="H604" i="1"/>
  <c r="I604" i="1" s="1"/>
  <c r="H605" i="1"/>
  <c r="I605" i="1" s="1"/>
  <c r="H606" i="1"/>
  <c r="I606" i="1" s="1"/>
  <c r="H607" i="1"/>
  <c r="I607" i="1" s="1"/>
  <c r="H608" i="1"/>
  <c r="I608" i="1" s="1"/>
  <c r="H609" i="1"/>
  <c r="I609" i="1" s="1"/>
  <c r="H610" i="1"/>
  <c r="I610" i="1" s="1"/>
  <c r="H611" i="1"/>
  <c r="I611" i="1" s="1"/>
  <c r="H612" i="1"/>
  <c r="I612" i="1" s="1"/>
  <c r="H613" i="1"/>
  <c r="I613" i="1" s="1"/>
  <c r="H614" i="1"/>
  <c r="I614" i="1" s="1"/>
  <c r="H615" i="1"/>
  <c r="I615" i="1" s="1"/>
  <c r="H616" i="1"/>
  <c r="I616" i="1" s="1"/>
  <c r="H617" i="1"/>
  <c r="I617" i="1" s="1"/>
  <c r="H618" i="1"/>
  <c r="I618" i="1" s="1"/>
  <c r="H619" i="1"/>
  <c r="I619" i="1" s="1"/>
  <c r="H620" i="1"/>
  <c r="I620" i="1" s="1"/>
  <c r="H621" i="1"/>
  <c r="I621" i="1" s="1"/>
  <c r="H622" i="1"/>
  <c r="I622" i="1" s="1"/>
  <c r="H623" i="1"/>
  <c r="I623" i="1" s="1"/>
  <c r="H624" i="1"/>
  <c r="I624" i="1" s="1"/>
  <c r="H625" i="1"/>
  <c r="I625" i="1" s="1"/>
  <c r="H626" i="1"/>
  <c r="I626" i="1" s="1"/>
  <c r="H627" i="1"/>
  <c r="I627" i="1" s="1"/>
  <c r="H628" i="1"/>
  <c r="I628" i="1" s="1"/>
  <c r="H629" i="1"/>
  <c r="I629" i="1" s="1"/>
  <c r="H630" i="1"/>
  <c r="I630" i="1" s="1"/>
  <c r="H631" i="1"/>
  <c r="I631" i="1" s="1"/>
  <c r="H632" i="1"/>
  <c r="I632" i="1" s="1"/>
  <c r="H633" i="1"/>
  <c r="I633" i="1" s="1"/>
  <c r="H634" i="1"/>
  <c r="I634" i="1" s="1"/>
  <c r="H635" i="1"/>
  <c r="I635" i="1" s="1"/>
  <c r="H636" i="1"/>
  <c r="I636" i="1" s="1"/>
  <c r="H637" i="1"/>
  <c r="I637" i="1" s="1"/>
  <c r="H638" i="1"/>
  <c r="I638" i="1" s="1"/>
  <c r="H639" i="1"/>
  <c r="I639" i="1" s="1"/>
  <c r="H640" i="1"/>
  <c r="I640" i="1" s="1"/>
  <c r="H641" i="1"/>
  <c r="I641" i="1" s="1"/>
  <c r="H642" i="1"/>
  <c r="I642" i="1" s="1"/>
  <c r="H643" i="1"/>
  <c r="I643" i="1" s="1"/>
  <c r="H644" i="1"/>
  <c r="I644" i="1" s="1"/>
  <c r="H645" i="1"/>
  <c r="I645" i="1" s="1"/>
  <c r="H646" i="1"/>
  <c r="I646" i="1" s="1"/>
  <c r="H647" i="1"/>
  <c r="I647" i="1" s="1"/>
  <c r="H648" i="1"/>
  <c r="I648" i="1" s="1"/>
  <c r="H649" i="1"/>
  <c r="I649" i="1" s="1"/>
  <c r="H650" i="1"/>
  <c r="I650" i="1" s="1"/>
  <c r="H651" i="1"/>
  <c r="I651" i="1" s="1"/>
  <c r="H652" i="1"/>
  <c r="I652" i="1" s="1"/>
  <c r="H653" i="1"/>
  <c r="I653" i="1" s="1"/>
  <c r="H654" i="1"/>
  <c r="I654" i="1" s="1"/>
  <c r="H655" i="1"/>
  <c r="I655" i="1" s="1"/>
  <c r="H656" i="1"/>
  <c r="I656" i="1" s="1"/>
  <c r="H657" i="1"/>
  <c r="I657" i="1" s="1"/>
  <c r="H658" i="1"/>
  <c r="I658" i="1" s="1"/>
  <c r="H659" i="1"/>
  <c r="I659" i="1" s="1"/>
  <c r="H660" i="1"/>
  <c r="I660" i="1" s="1"/>
  <c r="H661" i="1"/>
  <c r="I661" i="1" s="1"/>
  <c r="H662" i="1"/>
  <c r="I662" i="1" s="1"/>
  <c r="H663" i="1"/>
  <c r="I663" i="1" s="1"/>
  <c r="H664" i="1"/>
  <c r="I664" i="1" s="1"/>
  <c r="H665" i="1"/>
  <c r="I665" i="1" s="1"/>
  <c r="H666" i="1"/>
  <c r="I666" i="1" s="1"/>
  <c r="H667" i="1"/>
  <c r="I667" i="1" s="1"/>
  <c r="H668" i="1"/>
  <c r="I668" i="1" s="1"/>
  <c r="H669" i="1"/>
  <c r="I669" i="1" s="1"/>
  <c r="H670" i="1"/>
  <c r="I670" i="1" s="1"/>
  <c r="H671" i="1"/>
  <c r="I671" i="1" s="1"/>
  <c r="H672" i="1"/>
  <c r="I672" i="1" s="1"/>
  <c r="H673" i="1"/>
  <c r="I673" i="1" s="1"/>
  <c r="H674" i="1"/>
  <c r="I674" i="1" s="1"/>
  <c r="H675" i="1"/>
  <c r="I675" i="1" s="1"/>
  <c r="H676" i="1"/>
  <c r="I676" i="1" s="1"/>
  <c r="H677" i="1"/>
  <c r="I677" i="1" s="1"/>
  <c r="H678" i="1"/>
  <c r="I678" i="1" s="1"/>
  <c r="H679" i="1"/>
  <c r="I679" i="1" s="1"/>
  <c r="H680" i="1"/>
  <c r="I680" i="1" s="1"/>
  <c r="H681" i="1"/>
  <c r="I681" i="1" s="1"/>
  <c r="H682" i="1"/>
  <c r="I682" i="1" s="1"/>
  <c r="H683" i="1"/>
  <c r="I683" i="1" s="1"/>
  <c r="H684" i="1"/>
  <c r="I684" i="1" s="1"/>
  <c r="H685" i="1"/>
  <c r="I685" i="1" s="1"/>
  <c r="H686" i="1"/>
  <c r="I686" i="1" s="1"/>
  <c r="H687" i="1"/>
  <c r="I687" i="1" s="1"/>
  <c r="H688" i="1"/>
  <c r="I688" i="1" s="1"/>
  <c r="H689" i="1"/>
  <c r="I689" i="1" s="1"/>
  <c r="H690" i="1"/>
  <c r="I690" i="1" s="1"/>
  <c r="H691" i="1"/>
  <c r="I691" i="1" s="1"/>
  <c r="H692" i="1"/>
  <c r="I692" i="1" s="1"/>
  <c r="H693" i="1"/>
  <c r="I693" i="1" s="1"/>
  <c r="H694" i="1"/>
  <c r="I694" i="1" s="1"/>
  <c r="H695" i="1"/>
  <c r="I695" i="1" s="1"/>
  <c r="H696" i="1"/>
  <c r="I696" i="1" s="1"/>
  <c r="H697" i="1"/>
  <c r="I697" i="1" s="1"/>
  <c r="H698" i="1"/>
  <c r="I698" i="1" s="1"/>
  <c r="H699" i="1"/>
  <c r="I699" i="1" s="1"/>
  <c r="H700" i="1"/>
  <c r="I700" i="1" s="1"/>
  <c r="H701" i="1"/>
  <c r="I701" i="1" s="1"/>
  <c r="H702" i="1"/>
  <c r="I702" i="1" s="1"/>
  <c r="H703" i="1"/>
  <c r="I703" i="1" s="1"/>
  <c r="H704" i="1"/>
  <c r="I704" i="1" s="1"/>
  <c r="H705" i="1"/>
  <c r="I705" i="1" s="1"/>
  <c r="H706" i="1"/>
  <c r="I706" i="1" s="1"/>
  <c r="H707" i="1"/>
  <c r="I707" i="1" s="1"/>
  <c r="H708" i="1"/>
  <c r="I708" i="1" s="1"/>
  <c r="H709" i="1"/>
  <c r="I709" i="1" s="1"/>
  <c r="H710" i="1"/>
  <c r="I710" i="1" s="1"/>
  <c r="H711" i="1"/>
  <c r="I711" i="1" s="1"/>
  <c r="H712" i="1"/>
  <c r="I712" i="1" s="1"/>
  <c r="H713" i="1"/>
  <c r="I713" i="1" s="1"/>
  <c r="H714" i="1"/>
  <c r="I714" i="1" s="1"/>
  <c r="H715" i="1"/>
  <c r="I715" i="1" s="1"/>
  <c r="H716" i="1"/>
  <c r="I716" i="1" s="1"/>
  <c r="H717" i="1"/>
  <c r="I717" i="1" s="1"/>
  <c r="H718" i="1"/>
  <c r="I718" i="1" s="1"/>
  <c r="H719" i="1"/>
  <c r="I719" i="1" s="1"/>
  <c r="H720" i="1"/>
  <c r="I720" i="1" s="1"/>
  <c r="H721" i="1"/>
  <c r="I721" i="1" s="1"/>
  <c r="H722" i="1"/>
  <c r="I722" i="1" s="1"/>
  <c r="H723" i="1"/>
  <c r="I723" i="1" s="1"/>
  <c r="H724" i="1"/>
  <c r="I724" i="1" s="1"/>
  <c r="H725" i="1"/>
  <c r="I725" i="1" s="1"/>
  <c r="H726" i="1"/>
  <c r="I726" i="1" s="1"/>
  <c r="H727" i="1"/>
  <c r="I727" i="1" s="1"/>
  <c r="H728" i="1"/>
  <c r="I728" i="1" s="1"/>
  <c r="H729" i="1"/>
  <c r="I729" i="1" s="1"/>
  <c r="H730" i="1"/>
  <c r="I730" i="1" s="1"/>
  <c r="H731" i="1"/>
  <c r="I731" i="1" s="1"/>
  <c r="H732" i="1"/>
  <c r="I732" i="1" s="1"/>
  <c r="H733" i="1"/>
  <c r="I733" i="1" s="1"/>
  <c r="H734" i="1"/>
  <c r="I734" i="1" s="1"/>
  <c r="H735" i="1"/>
  <c r="I735" i="1" s="1"/>
  <c r="H736" i="1"/>
  <c r="I736" i="1" s="1"/>
  <c r="H737" i="1"/>
  <c r="I737" i="1" s="1"/>
  <c r="H738" i="1"/>
  <c r="I738" i="1" s="1"/>
  <c r="H739" i="1"/>
  <c r="I739" i="1" s="1"/>
  <c r="H740" i="1"/>
  <c r="I740" i="1" s="1"/>
  <c r="H741" i="1"/>
  <c r="I741" i="1" s="1"/>
  <c r="H742" i="1"/>
  <c r="I742" i="1" s="1"/>
  <c r="H743" i="1"/>
  <c r="I743" i="1" s="1"/>
  <c r="H744" i="1"/>
  <c r="I744" i="1" s="1"/>
  <c r="H745" i="1"/>
  <c r="I745" i="1" s="1"/>
  <c r="H746" i="1"/>
  <c r="I746" i="1" s="1"/>
  <c r="H747" i="1"/>
  <c r="I747" i="1" s="1"/>
  <c r="H748" i="1"/>
  <c r="I748" i="1" s="1"/>
  <c r="H749" i="1"/>
  <c r="I749" i="1" s="1"/>
  <c r="H750" i="1"/>
  <c r="I750" i="1" s="1"/>
  <c r="H751" i="1"/>
  <c r="I751" i="1" s="1"/>
  <c r="H752" i="1"/>
  <c r="I752" i="1" s="1"/>
  <c r="H753" i="1"/>
  <c r="I753" i="1" s="1"/>
  <c r="H754" i="1"/>
  <c r="I754" i="1" s="1"/>
  <c r="H755" i="1"/>
  <c r="I755" i="1" s="1"/>
  <c r="H756" i="1"/>
  <c r="I756" i="1" s="1"/>
  <c r="H757" i="1"/>
  <c r="I757" i="1" s="1"/>
  <c r="H758" i="1"/>
  <c r="I758" i="1" s="1"/>
  <c r="H759" i="1"/>
  <c r="I759" i="1" s="1"/>
  <c r="H760" i="1"/>
  <c r="I760" i="1" s="1"/>
  <c r="H761" i="1"/>
  <c r="I761" i="1" s="1"/>
  <c r="H762" i="1"/>
  <c r="I762" i="1" s="1"/>
  <c r="H763" i="1"/>
  <c r="I763" i="1" s="1"/>
  <c r="H764" i="1"/>
  <c r="I764" i="1" s="1"/>
  <c r="H765" i="1"/>
  <c r="I765" i="1" s="1"/>
  <c r="H766" i="1"/>
  <c r="I766" i="1" s="1"/>
  <c r="H767" i="1"/>
  <c r="I767" i="1" s="1"/>
  <c r="H768" i="1"/>
  <c r="I768" i="1" s="1"/>
  <c r="H769" i="1"/>
  <c r="I769" i="1" s="1"/>
  <c r="H770" i="1"/>
  <c r="I770" i="1" s="1"/>
  <c r="H771" i="1"/>
  <c r="I771" i="1" s="1"/>
  <c r="H772" i="1"/>
  <c r="I772" i="1" s="1"/>
  <c r="H773" i="1"/>
  <c r="I773" i="1" s="1"/>
  <c r="H774" i="1"/>
  <c r="I774" i="1" s="1"/>
  <c r="H775" i="1"/>
  <c r="I775" i="1" s="1"/>
  <c r="H776" i="1"/>
  <c r="I776" i="1" s="1"/>
  <c r="H777" i="1"/>
  <c r="I777" i="1" s="1"/>
  <c r="H778" i="1"/>
  <c r="I778" i="1" s="1"/>
  <c r="H779" i="1"/>
  <c r="I779" i="1" s="1"/>
  <c r="H780" i="1"/>
  <c r="I780" i="1" s="1"/>
  <c r="H781" i="1"/>
  <c r="I781" i="1" s="1"/>
  <c r="H782" i="1"/>
  <c r="I782" i="1" s="1"/>
  <c r="H783" i="1"/>
  <c r="I783" i="1" s="1"/>
  <c r="H784" i="1"/>
  <c r="I784" i="1" s="1"/>
  <c r="H785" i="1"/>
  <c r="I785" i="1" s="1"/>
  <c r="H786" i="1"/>
  <c r="I786" i="1" s="1"/>
  <c r="H787" i="1"/>
  <c r="I787" i="1" s="1"/>
  <c r="H788" i="1"/>
  <c r="I788" i="1" s="1"/>
  <c r="H789" i="1"/>
  <c r="I789" i="1" s="1"/>
  <c r="H790" i="1"/>
  <c r="I790" i="1" s="1"/>
  <c r="H791" i="1"/>
  <c r="I791" i="1" s="1"/>
  <c r="H792" i="1"/>
  <c r="I792" i="1" s="1"/>
  <c r="H793" i="1"/>
  <c r="I793" i="1" s="1"/>
  <c r="H794" i="1"/>
  <c r="I794" i="1" s="1"/>
  <c r="H795" i="1"/>
  <c r="I795" i="1" s="1"/>
  <c r="H796" i="1"/>
  <c r="I796" i="1" s="1"/>
  <c r="H797" i="1"/>
  <c r="I797" i="1" s="1"/>
  <c r="H798" i="1"/>
  <c r="I798" i="1" s="1"/>
  <c r="H799" i="1"/>
  <c r="I799" i="1" s="1"/>
  <c r="H800" i="1"/>
  <c r="I800" i="1" s="1"/>
  <c r="H801" i="1"/>
  <c r="I801" i="1" s="1"/>
  <c r="H802" i="1"/>
  <c r="I802" i="1" s="1"/>
  <c r="H803" i="1"/>
  <c r="I803" i="1" s="1"/>
  <c r="H804" i="1"/>
  <c r="I804" i="1" s="1"/>
  <c r="H805" i="1"/>
  <c r="I805" i="1" s="1"/>
  <c r="H806" i="1"/>
  <c r="I806" i="1" s="1"/>
  <c r="H807" i="1"/>
  <c r="I807" i="1" s="1"/>
  <c r="H808" i="1"/>
  <c r="I808" i="1" s="1"/>
  <c r="H809" i="1"/>
  <c r="I809" i="1" s="1"/>
  <c r="H810" i="1"/>
  <c r="I810" i="1" s="1"/>
  <c r="H811" i="1"/>
  <c r="I811" i="1" s="1"/>
  <c r="H812" i="1"/>
  <c r="I812" i="1" s="1"/>
  <c r="H813" i="1"/>
  <c r="I813" i="1" s="1"/>
  <c r="H814" i="1"/>
  <c r="I814" i="1" s="1"/>
  <c r="H815" i="1"/>
  <c r="I815" i="1" s="1"/>
  <c r="H816" i="1"/>
  <c r="I816" i="1" s="1"/>
  <c r="H817" i="1"/>
  <c r="I817" i="1" s="1"/>
  <c r="H818" i="1"/>
  <c r="I818" i="1" s="1"/>
  <c r="H819" i="1"/>
  <c r="I819" i="1" s="1"/>
  <c r="H820" i="1"/>
  <c r="I820" i="1" s="1"/>
  <c r="H821" i="1"/>
  <c r="I821" i="1" s="1"/>
  <c r="H822" i="1"/>
  <c r="I822" i="1" s="1"/>
  <c r="H823" i="1"/>
  <c r="I823" i="1" s="1"/>
  <c r="H824" i="1"/>
  <c r="I824" i="1" s="1"/>
  <c r="H825" i="1"/>
  <c r="I825" i="1" s="1"/>
  <c r="H826" i="1"/>
  <c r="I826" i="1" s="1"/>
  <c r="H827" i="1"/>
  <c r="I827" i="1" s="1"/>
  <c r="H828" i="1"/>
  <c r="I828" i="1" s="1"/>
  <c r="H829" i="1"/>
  <c r="I829" i="1" s="1"/>
  <c r="H830" i="1"/>
  <c r="I830" i="1" s="1"/>
  <c r="H831" i="1"/>
  <c r="I831" i="1" s="1"/>
  <c r="H832" i="1"/>
  <c r="I832" i="1" s="1"/>
  <c r="H833" i="1"/>
  <c r="I833" i="1" s="1"/>
  <c r="H834" i="1"/>
  <c r="I834" i="1" s="1"/>
  <c r="H835" i="1"/>
  <c r="I835" i="1" s="1"/>
  <c r="H836" i="1"/>
  <c r="I836" i="1" s="1"/>
  <c r="H837" i="1"/>
  <c r="I837" i="1" s="1"/>
  <c r="H838" i="1"/>
  <c r="I838" i="1" s="1"/>
  <c r="H839" i="1"/>
  <c r="I839" i="1" s="1"/>
  <c r="H840" i="1"/>
  <c r="I840" i="1" s="1"/>
  <c r="H841" i="1"/>
  <c r="I841" i="1" s="1"/>
  <c r="H842" i="1"/>
  <c r="I842" i="1" s="1"/>
  <c r="H843" i="1"/>
  <c r="I843" i="1" s="1"/>
  <c r="H844" i="1"/>
  <c r="I844" i="1" s="1"/>
  <c r="H845" i="1"/>
  <c r="I845" i="1" s="1"/>
  <c r="H846" i="1"/>
  <c r="I846" i="1" s="1"/>
  <c r="H847" i="1"/>
  <c r="I847" i="1" s="1"/>
  <c r="H848" i="1"/>
  <c r="I848" i="1" s="1"/>
  <c r="H849" i="1"/>
  <c r="I849" i="1" s="1"/>
  <c r="H850" i="1"/>
  <c r="I850" i="1" s="1"/>
  <c r="H851" i="1"/>
  <c r="I851" i="1" s="1"/>
  <c r="H852" i="1"/>
  <c r="I852" i="1" s="1"/>
  <c r="H853" i="1"/>
  <c r="I853" i="1" s="1"/>
  <c r="H854" i="1"/>
  <c r="I854" i="1" s="1"/>
  <c r="H855" i="1"/>
  <c r="I855" i="1" s="1"/>
  <c r="H856" i="1"/>
  <c r="I856" i="1" s="1"/>
  <c r="H857" i="1"/>
  <c r="I857" i="1" s="1"/>
  <c r="H858" i="1"/>
  <c r="I858" i="1" s="1"/>
  <c r="H859" i="1"/>
  <c r="I859" i="1" s="1"/>
  <c r="H860" i="1"/>
  <c r="I860" i="1" s="1"/>
  <c r="H861" i="1"/>
  <c r="I861" i="1" s="1"/>
  <c r="H862" i="1"/>
  <c r="I862" i="1" s="1"/>
  <c r="H863" i="1"/>
  <c r="I863" i="1" s="1"/>
  <c r="H864" i="1"/>
  <c r="I864" i="1" s="1"/>
  <c r="H865" i="1"/>
  <c r="I865" i="1" s="1"/>
  <c r="H866" i="1"/>
  <c r="I866" i="1" s="1"/>
  <c r="H867" i="1"/>
  <c r="I867" i="1" s="1"/>
  <c r="H868" i="1"/>
  <c r="I868" i="1" s="1"/>
  <c r="H869" i="1"/>
  <c r="I869" i="1" s="1"/>
  <c r="H870" i="1"/>
  <c r="I870" i="1" s="1"/>
  <c r="H871" i="1"/>
  <c r="I871" i="1" s="1"/>
  <c r="H872" i="1"/>
  <c r="I872" i="1" s="1"/>
  <c r="H873" i="1"/>
  <c r="I873" i="1" s="1"/>
  <c r="H874" i="1"/>
  <c r="I874" i="1" s="1"/>
  <c r="H875" i="1"/>
  <c r="I875" i="1" s="1"/>
  <c r="H876" i="1"/>
  <c r="I876" i="1" s="1"/>
  <c r="H877" i="1"/>
  <c r="I877" i="1" s="1"/>
  <c r="H878" i="1"/>
  <c r="I878" i="1" s="1"/>
  <c r="H879" i="1"/>
  <c r="I879" i="1" s="1"/>
  <c r="H880" i="1"/>
  <c r="I880" i="1" s="1"/>
  <c r="H881" i="1"/>
  <c r="I881" i="1" s="1"/>
  <c r="H882" i="1"/>
  <c r="I882" i="1" s="1"/>
  <c r="H883" i="1"/>
  <c r="I883" i="1" s="1"/>
  <c r="H884" i="1"/>
  <c r="I884" i="1" s="1"/>
  <c r="H885" i="1"/>
  <c r="I885" i="1" s="1"/>
  <c r="H886" i="1"/>
  <c r="I886" i="1" s="1"/>
  <c r="H887" i="1"/>
  <c r="I887" i="1" s="1"/>
  <c r="H888" i="1"/>
  <c r="I888" i="1" s="1"/>
  <c r="H889" i="1"/>
  <c r="I889" i="1" s="1"/>
  <c r="H890" i="1"/>
  <c r="I890" i="1" s="1"/>
  <c r="H891" i="1"/>
  <c r="I891" i="1" s="1"/>
  <c r="H892" i="1"/>
  <c r="I892" i="1" s="1"/>
  <c r="H893" i="1"/>
  <c r="I893" i="1" s="1"/>
  <c r="H894" i="1"/>
  <c r="I894" i="1" s="1"/>
  <c r="H895" i="1"/>
  <c r="I895" i="1" s="1"/>
  <c r="H896" i="1"/>
  <c r="I896" i="1" s="1"/>
  <c r="H897" i="1"/>
  <c r="I897" i="1" s="1"/>
  <c r="H898" i="1"/>
  <c r="I898" i="1" s="1"/>
  <c r="H899" i="1"/>
  <c r="I899" i="1" s="1"/>
  <c r="H900" i="1"/>
  <c r="I900" i="1" s="1"/>
  <c r="H901" i="1"/>
  <c r="I901" i="1" s="1"/>
  <c r="H902" i="1"/>
  <c r="I902" i="1" s="1"/>
  <c r="H903" i="1"/>
  <c r="I903" i="1" s="1"/>
  <c r="H904" i="1"/>
  <c r="I904" i="1" s="1"/>
  <c r="H905" i="1"/>
  <c r="I905" i="1" s="1"/>
  <c r="H906" i="1"/>
  <c r="I906" i="1" s="1"/>
  <c r="H907" i="1"/>
  <c r="I907" i="1" s="1"/>
  <c r="H908" i="1"/>
  <c r="I908" i="1" s="1"/>
  <c r="H909" i="1"/>
  <c r="I909" i="1" s="1"/>
  <c r="H910" i="1"/>
  <c r="I910" i="1" s="1"/>
  <c r="H911" i="1"/>
  <c r="I911" i="1" s="1"/>
  <c r="H912" i="1"/>
  <c r="I912" i="1" s="1"/>
  <c r="H913" i="1"/>
  <c r="I913" i="1" s="1"/>
  <c r="H914" i="1"/>
  <c r="I914" i="1" s="1"/>
  <c r="H915" i="1"/>
  <c r="I915" i="1" s="1"/>
  <c r="H916" i="1"/>
  <c r="I916" i="1" s="1"/>
  <c r="H917" i="1"/>
  <c r="I917" i="1" s="1"/>
  <c r="H918" i="1"/>
  <c r="I918" i="1" s="1"/>
  <c r="H919" i="1"/>
  <c r="I919" i="1" s="1"/>
  <c r="H920" i="1"/>
  <c r="I920" i="1" s="1"/>
  <c r="H921" i="1"/>
  <c r="I921" i="1" s="1"/>
  <c r="H922" i="1"/>
  <c r="I922" i="1" s="1"/>
  <c r="H923" i="1"/>
  <c r="I923" i="1" s="1"/>
  <c r="H924" i="1"/>
  <c r="I924" i="1" s="1"/>
  <c r="H925" i="1"/>
  <c r="I925" i="1" s="1"/>
  <c r="H926" i="1"/>
  <c r="I926" i="1" s="1"/>
  <c r="H927" i="1"/>
  <c r="I927" i="1" s="1"/>
  <c r="H928" i="1"/>
  <c r="I928" i="1" s="1"/>
  <c r="H929" i="1"/>
  <c r="I929" i="1" s="1"/>
  <c r="H930" i="1"/>
  <c r="I930" i="1" s="1"/>
  <c r="H931" i="1"/>
  <c r="I931" i="1" s="1"/>
  <c r="H932" i="1"/>
  <c r="I932" i="1" s="1"/>
  <c r="H933" i="1"/>
  <c r="I933" i="1" s="1"/>
  <c r="H934" i="1"/>
  <c r="I934" i="1" s="1"/>
  <c r="H935" i="1"/>
  <c r="I935" i="1" s="1"/>
  <c r="H936" i="1"/>
  <c r="I936" i="1" s="1"/>
  <c r="H937" i="1"/>
  <c r="I937" i="1" s="1"/>
  <c r="H938" i="1"/>
  <c r="I938" i="1" s="1"/>
  <c r="H939" i="1"/>
  <c r="I939" i="1" s="1"/>
  <c r="H940" i="1"/>
  <c r="I940" i="1" s="1"/>
  <c r="H941" i="1"/>
  <c r="I941" i="1" s="1"/>
  <c r="H942" i="1"/>
  <c r="I942" i="1" s="1"/>
  <c r="H943" i="1"/>
  <c r="I943" i="1" s="1"/>
  <c r="H944" i="1"/>
  <c r="I944" i="1" s="1"/>
  <c r="H945" i="1"/>
  <c r="I945" i="1" s="1"/>
  <c r="H946" i="1"/>
  <c r="I946" i="1" s="1"/>
  <c r="H947" i="1"/>
  <c r="I947" i="1" s="1"/>
  <c r="H948" i="1"/>
  <c r="I948" i="1" s="1"/>
  <c r="H949" i="1"/>
  <c r="I949" i="1" s="1"/>
  <c r="H950" i="1"/>
  <c r="I950" i="1" s="1"/>
  <c r="H951" i="1"/>
  <c r="I951" i="1" s="1"/>
  <c r="H952" i="1"/>
  <c r="I952" i="1" s="1"/>
  <c r="H953" i="1"/>
  <c r="I953" i="1" s="1"/>
  <c r="H954" i="1"/>
  <c r="I954" i="1" s="1"/>
  <c r="H955" i="1"/>
  <c r="I955" i="1" s="1"/>
  <c r="H956" i="1"/>
  <c r="I956" i="1" s="1"/>
  <c r="H957" i="1"/>
  <c r="I957" i="1" s="1"/>
  <c r="H958" i="1"/>
  <c r="I958" i="1" s="1"/>
  <c r="H959" i="1"/>
  <c r="I959" i="1" s="1"/>
  <c r="H960" i="1"/>
  <c r="I960" i="1" s="1"/>
  <c r="H961" i="1"/>
  <c r="I961" i="1" s="1"/>
  <c r="H962" i="1"/>
  <c r="I962" i="1" s="1"/>
  <c r="H963" i="1"/>
  <c r="I963" i="1" s="1"/>
  <c r="H964" i="1"/>
  <c r="I964" i="1" s="1"/>
  <c r="H965" i="1"/>
  <c r="I965" i="1" s="1"/>
  <c r="H966" i="1"/>
  <c r="I966" i="1" s="1"/>
  <c r="H967" i="1"/>
  <c r="I967" i="1" s="1"/>
  <c r="H968" i="1"/>
  <c r="I968" i="1" s="1"/>
  <c r="H969" i="1"/>
  <c r="I969" i="1" s="1"/>
  <c r="H970" i="1"/>
  <c r="I970" i="1" s="1"/>
  <c r="H971" i="1"/>
  <c r="I971" i="1" s="1"/>
  <c r="H972" i="1"/>
  <c r="I972" i="1" s="1"/>
  <c r="H973" i="1"/>
  <c r="I973" i="1" s="1"/>
  <c r="H974" i="1"/>
  <c r="I974" i="1" s="1"/>
  <c r="H975" i="1"/>
  <c r="I975" i="1" s="1"/>
  <c r="H976" i="1"/>
  <c r="I976" i="1" s="1"/>
  <c r="H977" i="1"/>
  <c r="I977" i="1" s="1"/>
  <c r="H978" i="1"/>
  <c r="I978" i="1" s="1"/>
  <c r="H979" i="1"/>
  <c r="I979" i="1" s="1"/>
  <c r="H980" i="1"/>
  <c r="I980" i="1" s="1"/>
  <c r="H981" i="1"/>
  <c r="I981" i="1" s="1"/>
  <c r="H982" i="1"/>
  <c r="I982" i="1" s="1"/>
  <c r="H983" i="1"/>
  <c r="I983" i="1" s="1"/>
  <c r="H984" i="1"/>
  <c r="I984" i="1" s="1"/>
  <c r="H985" i="1"/>
  <c r="I985" i="1" s="1"/>
  <c r="H986" i="1"/>
  <c r="I986" i="1" s="1"/>
  <c r="H987" i="1"/>
  <c r="I987" i="1" s="1"/>
  <c r="H988" i="1"/>
  <c r="I988" i="1" s="1"/>
  <c r="H989" i="1"/>
  <c r="I989" i="1" s="1"/>
  <c r="H990" i="1"/>
  <c r="I990" i="1" s="1"/>
  <c r="H991" i="1"/>
  <c r="I991" i="1" s="1"/>
  <c r="H992" i="1"/>
  <c r="I992" i="1" s="1"/>
  <c r="H993" i="1"/>
  <c r="I993" i="1" s="1"/>
  <c r="H994" i="1"/>
  <c r="I994" i="1" s="1"/>
  <c r="H995" i="1"/>
  <c r="I995" i="1" s="1"/>
  <c r="H996" i="1"/>
  <c r="I996" i="1" s="1"/>
  <c r="H997" i="1"/>
  <c r="I997" i="1" s="1"/>
  <c r="H998" i="1"/>
  <c r="I998" i="1" s="1"/>
  <c r="H999" i="1"/>
  <c r="I999" i="1" s="1"/>
  <c r="H1000" i="1"/>
  <c r="I1000" i="1" s="1"/>
  <c r="H1001" i="1"/>
  <c r="I1001" i="1" s="1"/>
  <c r="H1002" i="1"/>
  <c r="I1002" i="1" s="1"/>
  <c r="H1003" i="1"/>
  <c r="I1003" i="1" s="1"/>
  <c r="H1004" i="1"/>
  <c r="I1004" i="1" s="1"/>
  <c r="H1005" i="1"/>
  <c r="I1005" i="1" s="1"/>
  <c r="H1006" i="1"/>
  <c r="I1006" i="1" s="1"/>
  <c r="H1007" i="1"/>
  <c r="I1007" i="1" s="1"/>
  <c r="H1008" i="1"/>
  <c r="I1008" i="1" s="1"/>
  <c r="H1009" i="1"/>
  <c r="I1009" i="1" s="1"/>
  <c r="H1010" i="1"/>
  <c r="I1010" i="1" s="1"/>
  <c r="H1011" i="1"/>
  <c r="I1011" i="1" s="1"/>
  <c r="H1012" i="1"/>
  <c r="I1012" i="1" s="1"/>
  <c r="H1013" i="1"/>
  <c r="I1013" i="1" s="1"/>
  <c r="H1014" i="1"/>
  <c r="I1014" i="1" s="1"/>
  <c r="H1015" i="1"/>
  <c r="I1015" i="1" s="1"/>
  <c r="H1016" i="1"/>
  <c r="I1016" i="1" s="1"/>
  <c r="H1017" i="1"/>
  <c r="I1017" i="1" s="1"/>
  <c r="H1018" i="1"/>
  <c r="I1018" i="1" s="1"/>
  <c r="H1019" i="1"/>
  <c r="I1019" i="1" s="1"/>
  <c r="H1020" i="1"/>
  <c r="I1020" i="1" s="1"/>
  <c r="H1021" i="1"/>
  <c r="I1021" i="1" s="1"/>
  <c r="H1022" i="1"/>
  <c r="I1022" i="1" s="1"/>
  <c r="H1023" i="1"/>
  <c r="I1023" i="1" s="1"/>
  <c r="H1024" i="1"/>
  <c r="I1024" i="1" s="1"/>
  <c r="H1025" i="1"/>
  <c r="I1025" i="1" s="1"/>
  <c r="H1026" i="1"/>
  <c r="I1026" i="1" s="1"/>
  <c r="H1027" i="1"/>
  <c r="I1027" i="1" s="1"/>
  <c r="H1028" i="1"/>
  <c r="I1028" i="1" s="1"/>
  <c r="H1029" i="1"/>
  <c r="I1029" i="1" s="1"/>
  <c r="H1030" i="1"/>
  <c r="I1030" i="1" s="1"/>
  <c r="H1031" i="1"/>
  <c r="I1031" i="1" s="1"/>
  <c r="H1032" i="1"/>
  <c r="I1032" i="1" s="1"/>
  <c r="H1033" i="1"/>
  <c r="I1033" i="1" s="1"/>
  <c r="H1034" i="1"/>
  <c r="I1034" i="1" s="1"/>
  <c r="H1035" i="1"/>
  <c r="I1035" i="1" s="1"/>
  <c r="H1036" i="1"/>
  <c r="I1036" i="1" s="1"/>
  <c r="H1037" i="1"/>
  <c r="I1037" i="1" s="1"/>
  <c r="H1038" i="1"/>
  <c r="I1038" i="1" s="1"/>
  <c r="H1039" i="1"/>
  <c r="I1039" i="1" s="1"/>
  <c r="H1040" i="1"/>
  <c r="I1040" i="1" s="1"/>
  <c r="H1041" i="1"/>
  <c r="I1041" i="1" s="1"/>
  <c r="H1042" i="1"/>
  <c r="I1042" i="1" s="1"/>
  <c r="H1043" i="1"/>
  <c r="I1043" i="1" s="1"/>
  <c r="H1044" i="1"/>
  <c r="I1044" i="1" s="1"/>
  <c r="H1045" i="1"/>
  <c r="I1045" i="1" s="1"/>
  <c r="H1046" i="1"/>
  <c r="I1046" i="1" s="1"/>
  <c r="H1047" i="1"/>
  <c r="I1047" i="1" s="1"/>
  <c r="H1048" i="1"/>
  <c r="I1048" i="1" s="1"/>
  <c r="H1049" i="1"/>
  <c r="I1049" i="1" s="1"/>
  <c r="H1050" i="1"/>
  <c r="I1050" i="1" s="1"/>
  <c r="H1051" i="1"/>
  <c r="I1051" i="1" s="1"/>
  <c r="H1052" i="1"/>
  <c r="I1052" i="1" s="1"/>
  <c r="H1053" i="1"/>
  <c r="I1053" i="1" s="1"/>
  <c r="H1054" i="1"/>
  <c r="I1054" i="1" s="1"/>
  <c r="H1055" i="1"/>
  <c r="I1055" i="1" s="1"/>
  <c r="H1056" i="1"/>
  <c r="I1056" i="1" s="1"/>
  <c r="H1057" i="1"/>
  <c r="I1057" i="1" s="1"/>
  <c r="H1058" i="1"/>
  <c r="I1058" i="1" s="1"/>
  <c r="H1059" i="1"/>
  <c r="I1059" i="1" s="1"/>
  <c r="H1060" i="1"/>
  <c r="I1060" i="1" s="1"/>
  <c r="H1061" i="1"/>
  <c r="I1061" i="1" s="1"/>
  <c r="H1062" i="1"/>
  <c r="I1062" i="1" s="1"/>
  <c r="H1063" i="1"/>
  <c r="I1063" i="1" s="1"/>
  <c r="H1064" i="1"/>
  <c r="I1064" i="1" s="1"/>
  <c r="H1065" i="1"/>
  <c r="I1065" i="1" s="1"/>
  <c r="H1066" i="1"/>
  <c r="I1066" i="1" s="1"/>
  <c r="H1067" i="1"/>
  <c r="I1067" i="1" s="1"/>
  <c r="H1068" i="1"/>
  <c r="I1068" i="1" s="1"/>
  <c r="H1069" i="1"/>
  <c r="I1069" i="1" s="1"/>
  <c r="H1070" i="1"/>
  <c r="I1070" i="1" s="1"/>
  <c r="H1071" i="1"/>
  <c r="I1071" i="1" s="1"/>
  <c r="H1072" i="1"/>
  <c r="I1072" i="1" s="1"/>
  <c r="H1073" i="1"/>
  <c r="I1073" i="1" s="1"/>
  <c r="H1074" i="1"/>
  <c r="I1074" i="1" s="1"/>
  <c r="H1075" i="1"/>
  <c r="I1075" i="1" s="1"/>
  <c r="H1076" i="1"/>
  <c r="I1076" i="1" s="1"/>
  <c r="H1077" i="1"/>
  <c r="I1077" i="1" s="1"/>
  <c r="H1078" i="1"/>
  <c r="I1078" i="1" s="1"/>
  <c r="H1079" i="1"/>
  <c r="I1079" i="1" s="1"/>
  <c r="H1080" i="1"/>
  <c r="I1080" i="1" s="1"/>
  <c r="H1081" i="1"/>
  <c r="I1081" i="1" s="1"/>
  <c r="H1082" i="1"/>
  <c r="I1082" i="1" s="1"/>
  <c r="H1083" i="1"/>
  <c r="I1083" i="1" s="1"/>
  <c r="H1084" i="1"/>
  <c r="I1084" i="1" s="1"/>
  <c r="H1085" i="1"/>
  <c r="I1085" i="1" s="1"/>
  <c r="H1086" i="1"/>
  <c r="I1086" i="1" s="1"/>
  <c r="H1087" i="1"/>
  <c r="I1087" i="1" s="1"/>
  <c r="H1088" i="1"/>
  <c r="I1088" i="1" s="1"/>
  <c r="H1089" i="1"/>
  <c r="I1089" i="1" s="1"/>
  <c r="H1090" i="1"/>
  <c r="I1090" i="1" s="1"/>
  <c r="H1091" i="1"/>
  <c r="I1091" i="1" s="1"/>
  <c r="H1092" i="1"/>
  <c r="I1092" i="1" s="1"/>
  <c r="H1093" i="1"/>
  <c r="I1093" i="1" s="1"/>
  <c r="H1094" i="1"/>
  <c r="I1094" i="1" s="1"/>
  <c r="H1095" i="1"/>
  <c r="I1095" i="1" s="1"/>
  <c r="H1096" i="1"/>
  <c r="I1096" i="1" s="1"/>
  <c r="H1097" i="1"/>
  <c r="I1097" i="1" s="1"/>
  <c r="H1098" i="1"/>
  <c r="I1098" i="1" s="1"/>
  <c r="H1099" i="1"/>
  <c r="I1099" i="1" s="1"/>
  <c r="H1100" i="1"/>
  <c r="I1100" i="1" s="1"/>
  <c r="H1101" i="1"/>
  <c r="I1101" i="1" s="1"/>
  <c r="H1102" i="1"/>
  <c r="I1102" i="1" s="1"/>
  <c r="H1103" i="1"/>
  <c r="I1103" i="1" s="1"/>
  <c r="H1104" i="1"/>
  <c r="I1104" i="1" s="1"/>
  <c r="H1105" i="1"/>
  <c r="I1105" i="1" s="1"/>
  <c r="H1106" i="1"/>
  <c r="I1106" i="1" s="1"/>
  <c r="H1107" i="1"/>
  <c r="I1107" i="1" s="1"/>
  <c r="H1108" i="1"/>
  <c r="I1108" i="1" s="1"/>
  <c r="H1109" i="1"/>
  <c r="I1109" i="1" s="1"/>
  <c r="H1110" i="1"/>
  <c r="I1110" i="1" s="1"/>
  <c r="H1111" i="1"/>
  <c r="I1111" i="1" s="1"/>
  <c r="H1112" i="1"/>
  <c r="I1112" i="1" s="1"/>
  <c r="H1113" i="1"/>
  <c r="I1113" i="1" s="1"/>
  <c r="H1114" i="1"/>
  <c r="I1114" i="1" s="1"/>
  <c r="H1115" i="1"/>
  <c r="I1115" i="1" s="1"/>
  <c r="H1116" i="1"/>
  <c r="I1116" i="1" s="1"/>
  <c r="H1117" i="1"/>
  <c r="I1117" i="1" s="1"/>
  <c r="H1118" i="1"/>
  <c r="I1118" i="1" s="1"/>
  <c r="H1119" i="1"/>
  <c r="I1119" i="1" s="1"/>
  <c r="H1120" i="1"/>
  <c r="I1120" i="1" s="1"/>
  <c r="H1121" i="1"/>
  <c r="I1121" i="1" s="1"/>
  <c r="H1122" i="1"/>
  <c r="I1122" i="1" s="1"/>
  <c r="H1123" i="1"/>
  <c r="I1123" i="1" s="1"/>
  <c r="H1124" i="1"/>
  <c r="I1124" i="1" s="1"/>
  <c r="H1125" i="1"/>
  <c r="I1125" i="1" s="1"/>
  <c r="H1126" i="1"/>
  <c r="I1126" i="1" s="1"/>
  <c r="H1127" i="1"/>
  <c r="I1127" i="1" s="1"/>
  <c r="H1128" i="1"/>
  <c r="I1128" i="1" s="1"/>
  <c r="H1129" i="1"/>
  <c r="I1129" i="1" s="1"/>
  <c r="H1130" i="1"/>
  <c r="I1130" i="1" s="1"/>
  <c r="H1131" i="1"/>
  <c r="I1131" i="1" s="1"/>
  <c r="H1132" i="1"/>
  <c r="I1132" i="1" s="1"/>
  <c r="H1133" i="1"/>
  <c r="I1133" i="1" s="1"/>
  <c r="H1134" i="1"/>
  <c r="I1134" i="1" s="1"/>
  <c r="H1135" i="1"/>
  <c r="I1135" i="1" s="1"/>
  <c r="H1136" i="1"/>
  <c r="I1136" i="1" s="1"/>
  <c r="H1137" i="1"/>
  <c r="I1137" i="1" s="1"/>
  <c r="H1138" i="1"/>
  <c r="I1138" i="1" s="1"/>
  <c r="H1139" i="1"/>
  <c r="I1139" i="1" s="1"/>
  <c r="H1140" i="1"/>
  <c r="I1140" i="1" s="1"/>
  <c r="H1141" i="1"/>
  <c r="I1141" i="1" s="1"/>
  <c r="H1142" i="1"/>
  <c r="I1142" i="1" s="1"/>
  <c r="H1143" i="1"/>
  <c r="I1143" i="1" s="1"/>
  <c r="H1144" i="1"/>
  <c r="I1144" i="1" s="1"/>
  <c r="H1145" i="1"/>
  <c r="I1145" i="1" s="1"/>
  <c r="H1146" i="1"/>
  <c r="I1146" i="1" s="1"/>
  <c r="H1147" i="1"/>
  <c r="I1147" i="1" s="1"/>
  <c r="H1148" i="1"/>
  <c r="I1148" i="1" s="1"/>
  <c r="H1149" i="1"/>
  <c r="I1149" i="1" s="1"/>
  <c r="H1150" i="1"/>
  <c r="I1150" i="1" s="1"/>
  <c r="H1151" i="1"/>
  <c r="I1151" i="1" s="1"/>
  <c r="H1152" i="1"/>
  <c r="I1152" i="1" s="1"/>
  <c r="H1153" i="1"/>
  <c r="I1153" i="1" s="1"/>
  <c r="H1154" i="1"/>
  <c r="I1154" i="1" s="1"/>
  <c r="H1155" i="1"/>
  <c r="I1155" i="1" s="1"/>
  <c r="H1156" i="1"/>
  <c r="I1156" i="1" s="1"/>
  <c r="H1157" i="1"/>
  <c r="I1157" i="1" s="1"/>
  <c r="H1158" i="1"/>
  <c r="I1158" i="1" s="1"/>
  <c r="H1159" i="1"/>
  <c r="I1159" i="1" s="1"/>
  <c r="H1160" i="1"/>
  <c r="I1160" i="1" s="1"/>
  <c r="H1161" i="1"/>
  <c r="I1161" i="1" s="1"/>
  <c r="H1162" i="1"/>
  <c r="I1162" i="1" s="1"/>
  <c r="H1163" i="1"/>
  <c r="I1163" i="1" s="1"/>
  <c r="H1164" i="1"/>
  <c r="I1164" i="1" s="1"/>
  <c r="H1165" i="1"/>
  <c r="I1165" i="1" s="1"/>
  <c r="H1166" i="1"/>
  <c r="I1166" i="1" s="1"/>
  <c r="H1167" i="1"/>
  <c r="I1167" i="1" s="1"/>
  <c r="H1168" i="1"/>
  <c r="I1168" i="1" s="1"/>
  <c r="H1169" i="1"/>
  <c r="I1169" i="1" s="1"/>
  <c r="H1170" i="1"/>
  <c r="I1170" i="1" s="1"/>
  <c r="H1171" i="1"/>
  <c r="I1171" i="1" s="1"/>
  <c r="H1172" i="1"/>
  <c r="I1172" i="1" s="1"/>
  <c r="H1173" i="1"/>
  <c r="I1173" i="1" s="1"/>
  <c r="H1174" i="1"/>
  <c r="I1174" i="1" s="1"/>
  <c r="H1175" i="1"/>
  <c r="I1175" i="1" s="1"/>
  <c r="H1176" i="1"/>
  <c r="I1176" i="1" s="1"/>
  <c r="H1177" i="1"/>
  <c r="I1177" i="1" s="1"/>
  <c r="H1178" i="1"/>
  <c r="I1178" i="1" s="1"/>
  <c r="H1179" i="1"/>
  <c r="I1179" i="1" s="1"/>
  <c r="H1180" i="1"/>
  <c r="I1180" i="1" s="1"/>
  <c r="H1181" i="1"/>
  <c r="I1181" i="1" s="1"/>
  <c r="H1182" i="1"/>
  <c r="I1182" i="1" s="1"/>
  <c r="H1183" i="1"/>
  <c r="I1183" i="1" s="1"/>
  <c r="H1184" i="1"/>
  <c r="I1184" i="1" s="1"/>
  <c r="H1185" i="1"/>
  <c r="I1185" i="1" s="1"/>
  <c r="H1186" i="1"/>
  <c r="I1186" i="1" s="1"/>
  <c r="H1187" i="1"/>
  <c r="I1187" i="1" s="1"/>
  <c r="H1188" i="1"/>
  <c r="I1188" i="1" s="1"/>
  <c r="H1189" i="1"/>
  <c r="I1189" i="1" s="1"/>
  <c r="H1190" i="1"/>
  <c r="I1190" i="1" s="1"/>
  <c r="H1191" i="1"/>
  <c r="I1191" i="1" s="1"/>
  <c r="H1192" i="1"/>
  <c r="I1192" i="1" s="1"/>
  <c r="H1193" i="1"/>
  <c r="I1193" i="1" s="1"/>
  <c r="H1194" i="1"/>
  <c r="I1194" i="1" s="1"/>
  <c r="H1195" i="1"/>
  <c r="I1195" i="1" s="1"/>
  <c r="H1196" i="1"/>
  <c r="I1196" i="1" s="1"/>
  <c r="H1197" i="1"/>
  <c r="I1197" i="1" s="1"/>
  <c r="H1198" i="1"/>
  <c r="I1198" i="1" s="1"/>
  <c r="H1199" i="1"/>
  <c r="I1199" i="1" s="1"/>
  <c r="H1200" i="1"/>
  <c r="I1200" i="1" s="1"/>
  <c r="H1201" i="1"/>
  <c r="I1201" i="1" s="1"/>
  <c r="H1202" i="1"/>
  <c r="I1202" i="1" s="1"/>
  <c r="H1203" i="1"/>
  <c r="I1203" i="1" s="1"/>
  <c r="H1204" i="1"/>
  <c r="I1204" i="1" s="1"/>
  <c r="H1205" i="1"/>
  <c r="I1205" i="1" s="1"/>
  <c r="H1206" i="1"/>
  <c r="I1206" i="1" s="1"/>
  <c r="H1207" i="1"/>
  <c r="I1207" i="1" s="1"/>
  <c r="H1208" i="1"/>
  <c r="I1208" i="1" s="1"/>
  <c r="H1209" i="1"/>
  <c r="I1209" i="1" s="1"/>
  <c r="H1210" i="1"/>
  <c r="I1210" i="1" s="1"/>
  <c r="H1211" i="1"/>
  <c r="I1211" i="1" s="1"/>
  <c r="H1212" i="1"/>
  <c r="I1212" i="1" s="1"/>
  <c r="H1213" i="1"/>
  <c r="I1213" i="1" s="1"/>
  <c r="H1214" i="1"/>
  <c r="I1214" i="1" s="1"/>
  <c r="H1215" i="1"/>
  <c r="I1215" i="1" s="1"/>
  <c r="H1216" i="1"/>
  <c r="I1216" i="1" s="1"/>
  <c r="H1217" i="1"/>
  <c r="I1217" i="1" s="1"/>
  <c r="H1218" i="1"/>
  <c r="I1218" i="1" s="1"/>
  <c r="H1219" i="1"/>
  <c r="I1219" i="1" s="1"/>
  <c r="H1220" i="1"/>
  <c r="I1220" i="1" s="1"/>
  <c r="H1221" i="1"/>
  <c r="I1221" i="1" s="1"/>
  <c r="H1222" i="1"/>
  <c r="I1222" i="1" s="1"/>
  <c r="H1223" i="1"/>
  <c r="I1223" i="1" s="1"/>
  <c r="H1224" i="1"/>
  <c r="I1224" i="1" s="1"/>
  <c r="H1225" i="1"/>
  <c r="I1225" i="1" s="1"/>
  <c r="H1226" i="1"/>
  <c r="I1226" i="1" s="1"/>
  <c r="H1227" i="1"/>
  <c r="I1227" i="1" s="1"/>
  <c r="H1228" i="1"/>
  <c r="I1228" i="1" s="1"/>
  <c r="H1229" i="1"/>
  <c r="I1229" i="1" s="1"/>
  <c r="H1230" i="1"/>
  <c r="I1230" i="1" s="1"/>
  <c r="H1231" i="1"/>
  <c r="I1231" i="1" s="1"/>
  <c r="H1232" i="1"/>
  <c r="I1232" i="1" s="1"/>
  <c r="H1233" i="1"/>
  <c r="I1233" i="1" s="1"/>
  <c r="H1234" i="1"/>
  <c r="I1234" i="1" s="1"/>
  <c r="H1235" i="1"/>
  <c r="I1235" i="1" s="1"/>
  <c r="H1236" i="1"/>
  <c r="I1236" i="1" s="1"/>
  <c r="H1237" i="1"/>
  <c r="I1237" i="1" s="1"/>
  <c r="H1238" i="1"/>
  <c r="I1238" i="1" s="1"/>
  <c r="H1239" i="1"/>
  <c r="I1239" i="1" s="1"/>
  <c r="H1240" i="1"/>
  <c r="I1240" i="1" s="1"/>
  <c r="H1241" i="1"/>
  <c r="I1241" i="1" s="1"/>
  <c r="H1242" i="1"/>
  <c r="I1242" i="1" s="1"/>
  <c r="H1243" i="1"/>
  <c r="I1243" i="1" s="1"/>
  <c r="H1244" i="1"/>
  <c r="I1244" i="1" s="1"/>
  <c r="H1245" i="1"/>
  <c r="I1245" i="1" s="1"/>
  <c r="H1246" i="1"/>
  <c r="I1246" i="1" s="1"/>
  <c r="H1247" i="1"/>
  <c r="I1247" i="1" s="1"/>
  <c r="H1248" i="1"/>
  <c r="I1248" i="1" s="1"/>
  <c r="H1249" i="1"/>
  <c r="I1249" i="1" s="1"/>
  <c r="H1250" i="1"/>
  <c r="I1250" i="1" s="1"/>
  <c r="H1251" i="1"/>
  <c r="I1251" i="1" s="1"/>
  <c r="H1252" i="1"/>
  <c r="I1252" i="1" s="1"/>
  <c r="H1253" i="1"/>
  <c r="I1253" i="1" s="1"/>
  <c r="H1254" i="1"/>
  <c r="I1254" i="1" s="1"/>
  <c r="H1255" i="1"/>
  <c r="I1255" i="1" s="1"/>
  <c r="H1256" i="1"/>
  <c r="I1256" i="1" s="1"/>
  <c r="H1257" i="1"/>
  <c r="I1257" i="1" s="1"/>
  <c r="H1258" i="1"/>
  <c r="I1258" i="1" s="1"/>
  <c r="H1259" i="1"/>
  <c r="I1259" i="1" s="1"/>
  <c r="H1260" i="1"/>
  <c r="I1260" i="1" s="1"/>
  <c r="H1261" i="1"/>
  <c r="I1261" i="1" s="1"/>
  <c r="H1262" i="1"/>
  <c r="I1262" i="1" s="1"/>
  <c r="H1263" i="1"/>
  <c r="I1263" i="1" s="1"/>
  <c r="H1264" i="1"/>
  <c r="I1264" i="1" s="1"/>
  <c r="H1265" i="1"/>
  <c r="I1265" i="1" s="1"/>
  <c r="H1266" i="1"/>
  <c r="I1266" i="1" s="1"/>
  <c r="H1267" i="1"/>
  <c r="I1267" i="1" s="1"/>
  <c r="H1268" i="1"/>
  <c r="I1268" i="1" s="1"/>
  <c r="H1269" i="1"/>
  <c r="I1269" i="1" s="1"/>
  <c r="H1270" i="1"/>
  <c r="I1270" i="1" s="1"/>
  <c r="H1271" i="1"/>
  <c r="I1271" i="1" s="1"/>
  <c r="H1272" i="1"/>
  <c r="I1272" i="1" s="1"/>
  <c r="H1273" i="1"/>
  <c r="I1273" i="1" s="1"/>
  <c r="H1274" i="1"/>
  <c r="I1274" i="1" s="1"/>
  <c r="H1275" i="1"/>
  <c r="I1275" i="1" s="1"/>
  <c r="H1276" i="1"/>
  <c r="I1276" i="1" s="1"/>
  <c r="H1277" i="1"/>
  <c r="I1277" i="1" s="1"/>
  <c r="H1278" i="1"/>
  <c r="I1278" i="1" s="1"/>
  <c r="H1279" i="1"/>
  <c r="I1279" i="1" s="1"/>
  <c r="H1280" i="1"/>
  <c r="I1280" i="1" s="1"/>
  <c r="H1281" i="1"/>
  <c r="I1281" i="1" s="1"/>
  <c r="H1282" i="1"/>
  <c r="I1282" i="1" s="1"/>
  <c r="H1283" i="1"/>
  <c r="I1283" i="1" s="1"/>
  <c r="H1284" i="1"/>
  <c r="I1284" i="1" s="1"/>
  <c r="H1285" i="1"/>
  <c r="I1285" i="1" s="1"/>
  <c r="H1286" i="1"/>
  <c r="I1286" i="1" s="1"/>
  <c r="H1287" i="1"/>
  <c r="I1287" i="1" s="1"/>
  <c r="H1288" i="1"/>
  <c r="I1288" i="1" s="1"/>
  <c r="H1289" i="1"/>
  <c r="I1289" i="1" s="1"/>
  <c r="H1290" i="1"/>
  <c r="I1290" i="1" s="1"/>
  <c r="H1291" i="1"/>
  <c r="I1291" i="1" s="1"/>
  <c r="H1292" i="1"/>
  <c r="I1292" i="1" s="1"/>
  <c r="H1293" i="1"/>
  <c r="I1293" i="1" s="1"/>
  <c r="H1294" i="1"/>
  <c r="I1294" i="1" s="1"/>
  <c r="H1295" i="1"/>
  <c r="I1295" i="1" s="1"/>
  <c r="H1296" i="1"/>
  <c r="I1296" i="1" s="1"/>
  <c r="H1297" i="1"/>
  <c r="I1297" i="1" s="1"/>
  <c r="H1298" i="1"/>
  <c r="I1298" i="1" s="1"/>
  <c r="H1299" i="1"/>
  <c r="I1299" i="1" s="1"/>
  <c r="H1300" i="1"/>
  <c r="I1300" i="1" s="1"/>
  <c r="H1301" i="1"/>
  <c r="I1301" i="1" s="1"/>
  <c r="H1302" i="1"/>
  <c r="I1302" i="1" s="1"/>
  <c r="H1303" i="1"/>
  <c r="I1303" i="1" s="1"/>
  <c r="H1304" i="1"/>
  <c r="I1304" i="1" s="1"/>
  <c r="H1305" i="1"/>
  <c r="I1305" i="1" s="1"/>
  <c r="H1306" i="1"/>
  <c r="I1306" i="1" s="1"/>
  <c r="H1307" i="1"/>
  <c r="I1307" i="1" s="1"/>
  <c r="H1308" i="1"/>
  <c r="I1308" i="1" s="1"/>
  <c r="H1309" i="1"/>
  <c r="I1309" i="1" s="1"/>
  <c r="H1310" i="1"/>
  <c r="I1310" i="1" s="1"/>
  <c r="H1311" i="1"/>
  <c r="I1311" i="1" s="1"/>
  <c r="H1312" i="1"/>
  <c r="I1312" i="1" s="1"/>
  <c r="H1313" i="1"/>
  <c r="I1313" i="1" s="1"/>
  <c r="H1314" i="1"/>
  <c r="I1314" i="1" s="1"/>
  <c r="H1315" i="1"/>
  <c r="I1315" i="1" s="1"/>
  <c r="H3" i="1"/>
  <c r="I3" i="1" s="1"/>
  <c r="H2" i="1"/>
  <c r="I2" i="1" s="1"/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3" i="1"/>
  <c r="G2" i="1"/>
</calcChain>
</file>

<file path=xl/sharedStrings.xml><?xml version="1.0" encoding="utf-8"?>
<sst xmlns="http://schemas.openxmlformats.org/spreadsheetml/2006/main" count="10467" uniqueCount="200">
  <si>
    <t>site.parcela</t>
  </si>
  <si>
    <t>especie</t>
  </si>
  <si>
    <t>dens_madeira</t>
  </si>
  <si>
    <t>getwd</t>
  </si>
  <si>
    <t>altura</t>
  </si>
  <si>
    <t>dap</t>
  </si>
  <si>
    <t>area.transv.cm2</t>
  </si>
  <si>
    <t>biomassa_c_kg</t>
  </si>
  <si>
    <t>produt_c_g.ano</t>
  </si>
  <si>
    <t>biomassa_z_kg</t>
  </si>
  <si>
    <t>produt_z_g.ano</t>
  </si>
  <si>
    <t>idade_plantio_anos</t>
  </si>
  <si>
    <t>CSA1</t>
  </si>
  <si>
    <t>Bixa orellana</t>
  </si>
  <si>
    <t>Cenostigma pluviosum</t>
  </si>
  <si>
    <t>Gallesia integrifolia</t>
  </si>
  <si>
    <t>Handroanthus heptaphyllus</t>
  </si>
  <si>
    <t>Hymenaea courbaril</t>
  </si>
  <si>
    <t>Inga edulis</t>
  </si>
  <si>
    <t>Pachira glabra</t>
  </si>
  <si>
    <t>Peltophorum dubium</t>
  </si>
  <si>
    <t>Sapindus saponaria</t>
  </si>
  <si>
    <t>Schinus terebinthifolia</t>
  </si>
  <si>
    <t>Senegalia polyphylla</t>
  </si>
  <si>
    <t>Triplaris americana</t>
  </si>
  <si>
    <t>CSA2</t>
  </si>
  <si>
    <t>Anadenanthera colubrina</t>
  </si>
  <si>
    <t>Plathymenia reticulata</t>
  </si>
  <si>
    <t>Pterocarpus rohrii</t>
  </si>
  <si>
    <t>CSA3</t>
  </si>
  <si>
    <t>Machaerium hirtum</t>
  </si>
  <si>
    <t>Machaerium nyctitans</t>
  </si>
  <si>
    <t>Psidium guajava</t>
  </si>
  <si>
    <t>Pterogyne nitens</t>
  </si>
  <si>
    <t>Samanea saman</t>
  </si>
  <si>
    <t>CSA4</t>
  </si>
  <si>
    <t>Cassia ferruginea</t>
  </si>
  <si>
    <t>Enterolobium contortisiliquum</t>
  </si>
  <si>
    <t>Libidibia ferrea</t>
  </si>
  <si>
    <t>Pityrocarpa gonoacantha</t>
  </si>
  <si>
    <t>CSA5</t>
  </si>
  <si>
    <t>Inga vera</t>
  </si>
  <si>
    <t>Plinia cauliflora</t>
  </si>
  <si>
    <t>CSA6</t>
  </si>
  <si>
    <t>Cordia superba</t>
  </si>
  <si>
    <t>Eugenia uniflora</t>
  </si>
  <si>
    <t>Psidium cattleianum</t>
  </si>
  <si>
    <t>Schizolobium parahyba</t>
  </si>
  <si>
    <t>CSA7</t>
  </si>
  <si>
    <t>Senna multijuga</t>
  </si>
  <si>
    <t>EEG11</t>
  </si>
  <si>
    <t>Alchornea glandulosa</t>
  </si>
  <si>
    <t>Apuleia leiocarpa</t>
  </si>
  <si>
    <t>Genipa americana</t>
  </si>
  <si>
    <t>Himatanthus bracteatus</t>
  </si>
  <si>
    <t>Hydrochorea pedicellaris</t>
  </si>
  <si>
    <t>Joannesia princeps</t>
  </si>
  <si>
    <t>Mimosa bimucronata</t>
  </si>
  <si>
    <t>Spondias mombin</t>
  </si>
  <si>
    <t>EEG12</t>
  </si>
  <si>
    <t>Cecropia pachystachya</t>
  </si>
  <si>
    <t>Handroanthus albus</t>
  </si>
  <si>
    <t>Stryphnodendron adstringens</t>
  </si>
  <si>
    <t>EEG13</t>
  </si>
  <si>
    <t>Bauhinia forficata</t>
  </si>
  <si>
    <t>EEG14</t>
  </si>
  <si>
    <t>Inga laurina</t>
  </si>
  <si>
    <t>EEG15</t>
  </si>
  <si>
    <t>Andira anthelmia</t>
  </si>
  <si>
    <t>Ceiba speciosa</t>
  </si>
  <si>
    <t>Guazuma ulmifolia</t>
  </si>
  <si>
    <t>EEG21</t>
  </si>
  <si>
    <t>Annona crassiflora</t>
  </si>
  <si>
    <t>Pseudobombax grandiflorum</t>
  </si>
  <si>
    <t>EEG22</t>
  </si>
  <si>
    <t>Aegiphila integrifolia</t>
  </si>
  <si>
    <t>EEG23</t>
  </si>
  <si>
    <t>EEG24</t>
  </si>
  <si>
    <t>Luehea divaricata</t>
  </si>
  <si>
    <t>EEG25</t>
  </si>
  <si>
    <t>Marlimorimia contorta</t>
  </si>
  <si>
    <t>EEG31</t>
  </si>
  <si>
    <t>Tecoma stans</t>
  </si>
  <si>
    <t>EEG32</t>
  </si>
  <si>
    <t>EEG33</t>
  </si>
  <si>
    <t>Citharexylum myrianthum</t>
  </si>
  <si>
    <t>EEG34</t>
  </si>
  <si>
    <t>Cybistax antisyphilitica</t>
  </si>
  <si>
    <t>Zeyheria tuberculosa</t>
  </si>
  <si>
    <t>EEG35</t>
  </si>
  <si>
    <t>Cedrela fissilis</t>
  </si>
  <si>
    <t>EEG41</t>
  </si>
  <si>
    <t>Astronium graveolens</t>
  </si>
  <si>
    <t>Lecythis pisonis</t>
  </si>
  <si>
    <t>Trema micranthum</t>
  </si>
  <si>
    <t>EEG42</t>
  </si>
  <si>
    <t>Copaifera langsdorffii</t>
  </si>
  <si>
    <t>EEG43</t>
  </si>
  <si>
    <t>EEG44</t>
  </si>
  <si>
    <t>Centrolobium microchaete</t>
  </si>
  <si>
    <t>EEG45</t>
  </si>
  <si>
    <t>EEG51</t>
  </si>
  <si>
    <t>EEG52</t>
  </si>
  <si>
    <t>EEG53</t>
  </si>
  <si>
    <t>EEG54</t>
  </si>
  <si>
    <t>EEG55</t>
  </si>
  <si>
    <t>ML11</t>
  </si>
  <si>
    <t>Pityrocarpa paniculata</t>
  </si>
  <si>
    <t>ML12</t>
  </si>
  <si>
    <t>Tapirira guianensis</t>
  </si>
  <si>
    <t>ML13</t>
  </si>
  <si>
    <t>ML14</t>
  </si>
  <si>
    <t>ML15</t>
  </si>
  <si>
    <t>Croton floribundus</t>
  </si>
  <si>
    <t>ML21</t>
  </si>
  <si>
    <t>Cestrum laevigatum</t>
  </si>
  <si>
    <t>Cinnamomum verum</t>
  </si>
  <si>
    <t>Mespilodaphne pulchella</t>
  </si>
  <si>
    <t>Myrsine coriacea</t>
  </si>
  <si>
    <t>Pleroma granulosum</t>
  </si>
  <si>
    <t>Senna macranthera</t>
  </si>
  <si>
    <t>ML22</t>
  </si>
  <si>
    <t>Moquiniastrum polymorphum</t>
  </si>
  <si>
    <t>ML23</t>
  </si>
  <si>
    <t>Centrolobium tomentosum</t>
  </si>
  <si>
    <t>Cupania vernalis</t>
  </si>
  <si>
    <t>Guarea guidonia</t>
  </si>
  <si>
    <t>ML24</t>
  </si>
  <si>
    <t>Psidium sartorianum</t>
  </si>
  <si>
    <t>ML25</t>
  </si>
  <si>
    <t>MP1</t>
  </si>
  <si>
    <t>Schinus molle</t>
  </si>
  <si>
    <t>Vernonanthura polyanthes</t>
  </si>
  <si>
    <t>Zanthoxylum rhoifolium</t>
  </si>
  <si>
    <t>MP2</t>
  </si>
  <si>
    <t>Mimosa schomburgkii</t>
  </si>
  <si>
    <t>MP3</t>
  </si>
  <si>
    <t>MP4</t>
  </si>
  <si>
    <t>MP5</t>
  </si>
  <si>
    <t>MP6</t>
  </si>
  <si>
    <t>REGUA_PV1</t>
  </si>
  <si>
    <t>Dalbergia nigra</t>
  </si>
  <si>
    <t>REGUA_PV2</t>
  </si>
  <si>
    <t>Pterygota brasiliensis</t>
  </si>
  <si>
    <t>REGUA_PV3</t>
  </si>
  <si>
    <t>REGUA_PV4</t>
  </si>
  <si>
    <t>REGUA_PV5</t>
  </si>
  <si>
    <t>REGUA1</t>
  </si>
  <si>
    <t>Paubrasilia echinata</t>
  </si>
  <si>
    <t>Solanum lycocarpum</t>
  </si>
  <si>
    <t>REGUA2</t>
  </si>
  <si>
    <t>Jacaratia spinosa</t>
  </si>
  <si>
    <t>REGUA3</t>
  </si>
  <si>
    <t>Baccharis dracunculifolia</t>
  </si>
  <si>
    <t>REGUA4</t>
  </si>
  <si>
    <t>REGUA5</t>
  </si>
  <si>
    <t>REGUA6</t>
  </si>
  <si>
    <t>Miconia albicans</t>
  </si>
  <si>
    <t>REGUA7</t>
  </si>
  <si>
    <t>REGUA8</t>
  </si>
  <si>
    <t>Solanum pseudoquina</t>
  </si>
  <si>
    <t>S_HELENA1</t>
  </si>
  <si>
    <t>Croton urucurana</t>
  </si>
  <si>
    <t>Piptocarpha axillaris</t>
  </si>
  <si>
    <t>S_HELENA2</t>
  </si>
  <si>
    <t>S_HELENA3</t>
  </si>
  <si>
    <t>Erythrina verna</t>
  </si>
  <si>
    <t>Tabernaemontana hystrix</t>
  </si>
  <si>
    <t>S_HELENA4</t>
  </si>
  <si>
    <t>S_HELENA5</t>
  </si>
  <si>
    <t>S_HELENABaixada</t>
  </si>
  <si>
    <t>Chloroleucon tortum</t>
  </si>
  <si>
    <t>Miconia sellowiana</t>
  </si>
  <si>
    <t>Pleroma sellowianum</t>
  </si>
  <si>
    <t>S_JORGE1</t>
  </si>
  <si>
    <t>Myrcia tomentosa</t>
  </si>
  <si>
    <t>S_JORGE2</t>
  </si>
  <si>
    <t>S_JORGE3</t>
  </si>
  <si>
    <t>Myrcia splendens</t>
  </si>
  <si>
    <t>Pilocarpus microphyllus</t>
  </si>
  <si>
    <t>S_JORGE4</t>
  </si>
  <si>
    <t>S_JORGE5</t>
  </si>
  <si>
    <t>MAR P e MAR E são Miguel Pereira?  mas não prosseguimos com MAR P, que era muito pequena.
Qual plantio seria o "Guardian"?  Esquece essa área. Não adotamos 
Mico Leão tem 3 pontos (Morro, Morro Pequeno e Baixada), na outra planilha dos dados vocês se referem como M1 e M2, qual seria qual? Morro seria M1 e Morro Pequeno M2? Sim</t>
  </si>
  <si>
    <t>Rótulos de Linha</t>
  </si>
  <si>
    <t>Soma de area.transv.cm2</t>
  </si>
  <si>
    <t>Total Geral</t>
  </si>
  <si>
    <t>Média de dap</t>
  </si>
  <si>
    <t>wd ok</t>
  </si>
  <si>
    <t>nao tem</t>
  </si>
  <si>
    <t>Row Labels</t>
  </si>
  <si>
    <t>Grand Total</t>
  </si>
  <si>
    <t>Count of dap</t>
  </si>
  <si>
    <t>SR</t>
  </si>
  <si>
    <t>n_trees</t>
  </si>
  <si>
    <t>id_tree</t>
  </si>
  <si>
    <t>id_stem</t>
  </si>
  <si>
    <t>cap_stem</t>
  </si>
  <si>
    <t>wd</t>
  </si>
  <si>
    <t>biomassa_chaves</t>
  </si>
  <si>
    <t>Soma de biomassa_chaves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</si>
</sst>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"/>
    <numFmt numFmtId="165" formatCode="0.000"/>
    <numFmt numFmtId="166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right"/>
    </xf>
    <xf numFmtId="166" fontId="0" fillId="0" borderId="0" xfId="0" applyNumberFormat="1"/>
    <xf numFmtId="165" fontId="0" fillId="0" borderId="0" xfId="0" applyNumberFormat="1"/>
    <xf numFmtId="165" fontId="16" fillId="0" borderId="0" xfId="0" applyNumberFormat="1" applyFont="1"/>
    <xf numFmtId="164" fontId="16" fillId="0" borderId="0" xfId="0" applyNumberFormat="1" applyFont="1"/>
    <xf numFmtId="0" fontId="0" fillId="0" borderId="0" xfId="0" applyAlignment="1">
      <alignment horizontal="left"/>
    </xf>
    <xf numFmtId="0" fontId="0" fillId="0" borderId="0" xfId="0" pivotButton="1"/>
    <xf numFmtId="10" fontId="0" fillId="0" borderId="0" xfId="0" applyNumberFormat="1"/>
    <xf numFmtId="0" fontId="14" fillId="0" borderId="0" xfId="0" applyFont="1" applyAlignment="1">
      <alignment horizontal="left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indent="1"/>
    </xf>
    <xf numFmtId="0" fontId="14" fillId="0" borderId="0" xfId="0" applyFont="1" applyAlignment="1">
      <alignment horizontal="left" indent="1"/>
    </xf>
    <xf numFmtId="10" fontId="14" fillId="0" borderId="0" xfId="0" applyNumberFormat="1" applyFont="1"/>
    <xf numFmtId="0" fontId="18" fillId="0" borderId="0" xfId="0" applyFont="1" applyAlignment="1">
      <alignment horizontal="left" indent="1"/>
    </xf>
    <xf numFmtId="2" fontId="0" fillId="0" borderId="0" xfId="0" applyNumberFormat="1"/>
    <xf numFmtId="1" fontId="0" fillId="0" borderId="0" xfId="0" applyNumberFormat="1"/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46">
    <dxf>
      <numFmt numFmtId="14" formatCode="0.00%"/>
    </dxf>
    <dxf>
      <numFmt numFmtId="0" formatCode="General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aíla Arnauth" refreshedDate="45563.430295949074" createdVersion="6" refreshedVersion="6" minRefreshableVersion="3" recordCount="166">
  <cacheSource type="worksheet">
    <worksheetSource ref="A1:G167" sheet="obs"/>
  </cacheSource>
  <cacheFields count="7">
    <cacheField name="site.parcela" numFmtId="0">
      <sharedItems count="10">
        <s v="ML11"/>
        <s v="ML12"/>
        <s v="ML13"/>
        <s v="ML14"/>
        <s v="ML15"/>
        <s v="ML21"/>
        <s v="ML22"/>
        <s v="ML23"/>
        <s v="ML24"/>
        <s v="ML25"/>
      </sharedItems>
    </cacheField>
    <cacheField name="especie" numFmtId="0">
      <sharedItems count="34">
        <s v="Anadenanthera colubrina"/>
        <s v="Pityrocarpa gonoacantha"/>
        <s v="Pityrocarpa paniculata"/>
        <s v="Inga laurina"/>
        <s v="Pseudobombax grandiflorum"/>
        <s v="Tapirira guianensis"/>
        <s v="Citharexylum myrianthum"/>
        <s v="Joannesia princeps"/>
        <s v="Cedrela fissilis"/>
        <s v="Schizolobium parahyba"/>
        <s v="Ceiba speciosa"/>
        <s v="Croton floribundus"/>
        <s v="Annona crassiflora"/>
        <s v="Cestrum laevigatum"/>
        <s v="Cinnamomum verum"/>
        <s v="Inga edulis"/>
        <s v="Mespilodaphne pulchella"/>
        <s v="Myrsine coriacea"/>
        <s v="Pleroma granulosum"/>
        <s v="Senna macranthera"/>
        <s v="Stryphnodendron adstringens"/>
        <s v="Aegiphila integrifolia"/>
        <s v="Alchornea glandulosa"/>
        <s v="Moquiniastrum polymorphum"/>
        <s v="Pterocarpus rohrii"/>
        <s v="Trema micranthum"/>
        <s v="Cecropia pachystachya"/>
        <s v="Centrolobium tomentosum"/>
        <s v="Cupania vernalis"/>
        <s v="Guarea guidonia"/>
        <s v="Plathymenia reticulata"/>
        <s v="Psidium guajava"/>
        <s v="Psidium sartorianum"/>
        <s v="Luehea divaricata"/>
      </sharedItems>
    </cacheField>
    <cacheField name="dens_madeira" numFmtId="165">
      <sharedItems containsSemiMixedTypes="0" containsString="0" containsNumber="1" minValue="0.28577490700000002" maxValue="0.98708677300000003"/>
    </cacheField>
    <cacheField name="getwd" numFmtId="165">
      <sharedItems containsSemiMixedTypes="0" containsString="0" containsNumber="1" minValue="0.28861111099999998" maxValue="0.87473809499999999"/>
    </cacheField>
    <cacheField name="altura" numFmtId="0">
      <sharedItems containsSemiMixedTypes="0" containsString="0" containsNumber="1" minValue="2" maxValue="13"/>
    </cacheField>
    <cacheField name="dap" numFmtId="0">
      <sharedItems containsSemiMixedTypes="0" containsString="0" containsNumber="1" minValue="3.9490445859872612" maxValue="114.11210191082803"/>
    </cacheField>
    <cacheField name="area.transv.cm2" numFmtId="164">
      <sharedItems containsSemiMixedTypes="0" containsString="0" containsNumber="1" minValue="12.248247556086621" maxValue="10227.1185782371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aíla Arnauth" refreshedDate="45563.434315393519" createdVersion="6" refreshedVersion="6" minRefreshableVersion="3" recordCount="233">
  <cacheSource type="worksheet">
    <worksheetSource ref="A1:G234" sheet="ML_PRODUT"/>
  </cacheSource>
  <cacheFields count="7">
    <cacheField name="site.parcela" numFmtId="0">
      <sharedItems/>
    </cacheField>
    <cacheField name="especie" numFmtId="0">
      <sharedItems count="46">
        <s v="Apuleia leiocarpa"/>
        <s v="Centrolobium tomentosum"/>
        <s v="Citharexylum myrianthum"/>
        <s v="Dalbergia nigra"/>
        <s v="Enterolobium contortisiliquum"/>
        <s v="Handroanthus albus"/>
        <s v="Handroanthus heptaphyllus"/>
        <s v="Inga edulis"/>
        <s v="Inga laurina"/>
        <s v="Pityrocarpa gonoacantha"/>
        <s v="Pleroma granulosum"/>
        <s v="Schinus terebinthifolia"/>
        <s v="Anadenanthera colubrina"/>
        <s v="Cecropia pachystachya"/>
        <s v="Ceiba speciosa"/>
        <s v="Cenostigma pluviosum"/>
        <s v="Genipa americana"/>
        <s v="Hymenaea courbaril"/>
        <s v="Machaerium nyctitans"/>
        <s v="Pseudobombax grandiflorum"/>
        <s v="Pterygota brasiliensis"/>
        <s v="Schizolobium parahyba"/>
        <s v="Peltophorum dubium"/>
        <s v="Aegiphila integrifolia"/>
        <s v="Myrsine coriacea"/>
        <s v="Gallesia integrifolia"/>
        <s v="Guarea guidonia"/>
        <s v="Libidibia ferrea"/>
        <s v="Moquiniastrum polymorphum"/>
        <s v="Paubrasilia echinata"/>
        <s v="Plathymenia reticulata"/>
        <s v="Psidium cattleianum"/>
        <s v="Sapindus saponaria"/>
        <s v="Senna multijuga"/>
        <s v="Solanum lycocarpum"/>
        <s v="Jacaratia spinosa"/>
        <s v="Pterogyne nitens"/>
        <s v="Trema micranthum"/>
        <s v="Baccharis dracunculifolia"/>
        <s v="Eugenia uniflora"/>
        <s v="Lecythis pisonis"/>
        <s v="Zeyheria tuberculosa"/>
        <s v="Cordia superba"/>
        <s v="Miconia albicans"/>
        <s v="Solanum pseudoquina"/>
        <s v="Spondias mombin"/>
      </sharedItems>
    </cacheField>
    <cacheField name="dens_madeira" numFmtId="165">
      <sharedItems containsSemiMixedTypes="0" containsString="0" containsNumber="1" minValue="0.13069240100000001" maxValue="1082380952"/>
    </cacheField>
    <cacheField name="getwd" numFmtId="165">
      <sharedItems containsSemiMixedTypes="0" containsString="0" containsNumber="1" minValue="0.26500000000000001" maxValue="0.90500000000000003"/>
    </cacheField>
    <cacheField name="altura" numFmtId="0">
      <sharedItems containsSemiMixedTypes="0" containsString="0" containsNumber="1" minValue="1.2" maxValue="15.5"/>
    </cacheField>
    <cacheField name="dap" numFmtId="164">
      <sharedItems containsSemiMixedTypes="0" containsString="0" containsNumber="1" minValue="1.592356687898089" maxValue="49.681528662420384"/>
    </cacheField>
    <cacheField name="area.transv.cm2" numFmtId="164">
      <sharedItems containsSemiMixedTypes="0" containsString="0" containsNumber="1" minValue="1.9914554429121063" maxValue="1938.56238634836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Laíla Arnauth" refreshedDate="45708.836466550929" createdVersion="6" refreshedVersion="6" minRefreshableVersion="3" recordCount="1314">
  <cacheSource type="worksheet">
    <worksheetSource ref="B1:F1315" sheet="principal"/>
  </cacheSource>
  <cacheFields count="5">
    <cacheField name="especie" numFmtId="0">
      <sharedItems count="98">
        <s v="Bixa orellana"/>
        <s v="Cenostigma pluviosum"/>
        <s v="Gallesia integrifolia"/>
        <s v="Handroanthus heptaphyllus"/>
        <s v="Hymenaea courbaril"/>
        <s v="Inga edulis"/>
        <s v="Pachira glabra"/>
        <s v="Peltophorum dubium"/>
        <s v="Sapindus saponaria"/>
        <s v="Schinus terebinthifolia"/>
        <s v="Senegalia polyphylla"/>
        <s v="Triplaris americana"/>
        <s v="Anadenanthera colubrina"/>
        <s v="Plathymenia reticulata"/>
        <s v="Pterocarpus rohrii"/>
        <s v="Machaerium hirtum"/>
        <s v="Machaerium nyctitans"/>
        <s v="Psidium guajava"/>
        <s v="Pterogyne nitens"/>
        <s v="Samanea saman"/>
        <s v="Cassia ferruginea"/>
        <s v="Enterolobium contortisiliquum"/>
        <s v="Libidibia ferrea"/>
        <s v="Pityrocarpa gonoacantha"/>
        <s v="Inga vera"/>
        <s v="Plinia cauliflora"/>
        <s v="Cordia superba"/>
        <s v="Eugenia uniflora"/>
        <s v="Psidium cattleianum"/>
        <s v="Schizolobium parahyba"/>
        <s v="Senna multijuga"/>
        <s v="Alchornea glandulosa"/>
        <s v="Apuleia leiocarpa"/>
        <s v="Genipa americana"/>
        <s v="Himatanthus bracteatus"/>
        <s v="Hydrochorea pedicellaris"/>
        <s v="Joannesia princeps"/>
        <s v="Mimosa bimucronata"/>
        <s v="Spondias mombin"/>
        <s v="Cecropia pachystachya"/>
        <s v="Handroanthus albus"/>
        <s v="Stryphnodendron adstringens"/>
        <s v="Bauhinia forficata"/>
        <s v="Inga laurina"/>
        <s v="Andira anthelmia"/>
        <s v="Ceiba speciosa"/>
        <s v="Guazuma ulmifolia"/>
        <s v="Annona crassiflora"/>
        <s v="Pseudobombax grandiflorum"/>
        <s v="Aegiphila integrifolia"/>
        <s v="Luehea divaricata"/>
        <s v="Marlimorimia contorta"/>
        <s v="Tecoma stans"/>
        <s v="Citharexylum myrianthum"/>
        <s v="Cybistax antisyphilitica"/>
        <s v="Zeyheria tuberculosa"/>
        <s v="Cedrela fissilis"/>
        <s v="Astronium graveolens"/>
        <s v="Lecythis pisonis"/>
        <s v="Trema micranthum"/>
        <s v="Copaifera langsdorffii"/>
        <s v="Centrolobium microchaete"/>
        <s v="Pityrocarpa paniculata"/>
        <s v="Tapirira guianensis"/>
        <s v="Croton floribundus"/>
        <s v="Cestrum laevigatum"/>
        <s v="Cinnamomum verum"/>
        <s v="Mespilodaphne pulchella"/>
        <s v="Myrsine coriacea"/>
        <s v="Pleroma granulosum"/>
        <s v="Senna macranthera"/>
        <s v="Moquiniastrum polymorphum"/>
        <s v="Centrolobium tomentosum"/>
        <s v="Cupania vernalis"/>
        <s v="Guarea guidonia"/>
        <s v="Psidium sartorianum"/>
        <s v="Schinus molle"/>
        <s v="Vernonanthura polyanthes"/>
        <s v="Zanthoxylum rhoifolium"/>
        <s v="Mimosa schomburgkii"/>
        <s v="Dalbergia nigra"/>
        <s v="Pterygota brasiliensis"/>
        <s v="Paubrasilia echinata"/>
        <s v="Solanum lycocarpum"/>
        <s v="Jacaratia spinosa"/>
        <s v="Baccharis dracunculifolia"/>
        <s v="Miconia albicans"/>
        <s v="Solanum pseudoquina"/>
        <s v="Croton urucurana"/>
        <s v="Piptocarpha axillaris"/>
        <s v="Erythrina verna"/>
        <s v="Tabernaemontana hystrix"/>
        <s v="Chloroleucon tortum"/>
        <s v="Miconia sellowiana"/>
        <s v="Pleroma sellowianum"/>
        <s v="Myrcia tomentosa"/>
        <s v="Myrcia splendens"/>
        <s v="Pilocarpus microphyllus"/>
      </sharedItems>
    </cacheField>
    <cacheField name="dens_madeira" numFmtId="165">
      <sharedItems containsSemiMixedTypes="0" containsString="0" containsNumber="1" minValue="0.13069240100000001" maxValue="1187461538"/>
    </cacheField>
    <cacheField name="getwd" numFmtId="165">
      <sharedItems containsSemiMixedTypes="0" containsString="0" containsNumber="1" minValue="0.26500000000000001" maxValue="0.95"/>
    </cacheField>
    <cacheField name="altura" numFmtId="0">
      <sharedItems containsSemiMixedTypes="0" containsString="0" containsNumber="1" minValue="0.77" maxValue="16"/>
    </cacheField>
    <cacheField name="dap" numFmtId="0">
      <sharedItems containsSemiMixedTypes="0" containsString="0" containsNumber="1" minValue="0.46178343949044581" maxValue="114.112101910828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Laíla Arnauth" refreshedDate="45814.615010185182" createdVersion="6" refreshedVersion="6" minRefreshableVersion="3" recordCount="1314">
  <cacheSource type="worksheet">
    <worksheetSource ref="A1:G1315" sheet="principal"/>
  </cacheSource>
  <cacheFields count="7">
    <cacheField name="site.parcela" numFmtId="0">
      <sharedItems count="72">
        <s v="CSA1"/>
        <s v="CSA2"/>
        <s v="CSA3"/>
        <s v="CSA4"/>
        <s v="CSA5"/>
        <s v="CSA6"/>
        <s v="CSA7"/>
        <s v="EEG11"/>
        <s v="EEG12"/>
        <s v="EEG13"/>
        <s v="EEG14"/>
        <s v="EEG15"/>
        <s v="EEG21"/>
        <s v="EEG22"/>
        <s v="EEG23"/>
        <s v="EEG24"/>
        <s v="EEG25"/>
        <s v="EEG31"/>
        <s v="EEG32"/>
        <s v="EEG33"/>
        <s v="EEG34"/>
        <s v="EEG35"/>
        <s v="EEG41"/>
        <s v="EEG42"/>
        <s v="EEG43"/>
        <s v="EEG44"/>
        <s v="EEG45"/>
        <s v="EEG51"/>
        <s v="EEG52"/>
        <s v="EEG53"/>
        <s v="EEG54"/>
        <s v="EEG55"/>
        <s v="ML11"/>
        <s v="ML12"/>
        <s v="ML13"/>
        <s v="ML14"/>
        <s v="ML15"/>
        <s v="ML21"/>
        <s v="ML22"/>
        <s v="ML23"/>
        <s v="ML24"/>
        <s v="ML25"/>
        <s v="MP1"/>
        <s v="MP2"/>
        <s v="MP3"/>
        <s v="MP4"/>
        <s v="MP5"/>
        <s v="MP6"/>
        <s v="REGUA_PV1"/>
        <s v="REGUA_PV2"/>
        <s v="REGUA_PV3"/>
        <s v="REGUA_PV4"/>
        <s v="REGUA_PV5"/>
        <s v="REGUA1"/>
        <s v="REGUA2"/>
        <s v="REGUA3"/>
        <s v="REGUA4"/>
        <s v="REGUA5"/>
        <s v="REGUA6"/>
        <s v="REGUA7"/>
        <s v="REGUA8"/>
        <s v="S_HELENA1"/>
        <s v="S_HELENA2"/>
        <s v="S_HELENA3"/>
        <s v="S_HELENA4"/>
        <s v="S_HELENA5"/>
        <s v="S_HELENABaixada"/>
        <s v="S_JORGE1"/>
        <s v="S_JORGE2"/>
        <s v="S_JORGE3"/>
        <s v="S_JORGE4"/>
        <s v="S_JORGE5"/>
      </sharedItems>
    </cacheField>
    <cacheField name="especie" numFmtId="0">
      <sharedItems count="98">
        <s v="Bixa orellana"/>
        <s v="Cenostigma pluviosum"/>
        <s v="Gallesia integrifolia"/>
        <s v="Handroanthus heptaphyllus"/>
        <s v="Hymenaea courbaril"/>
        <s v="Inga edulis"/>
        <s v="Pachira glabra"/>
        <s v="Peltophorum dubium"/>
        <s v="Sapindus saponaria"/>
        <s v="Schinus terebinthifolia"/>
        <s v="Senegalia polyphylla"/>
        <s v="Triplaris americana"/>
        <s v="Anadenanthera colubrina"/>
        <s v="Plathymenia reticulata"/>
        <s v="Pterocarpus rohrii"/>
        <s v="Machaerium hirtum"/>
        <s v="Machaerium nyctitans"/>
        <s v="Psidium guajava"/>
        <s v="Pterogyne nitens"/>
        <s v="Samanea saman"/>
        <s v="Cassia ferruginea"/>
        <s v="Enterolobium contortisiliquum"/>
        <s v="Libidibia ferrea"/>
        <s v="Pityrocarpa gonoacantha"/>
        <s v="Inga vera"/>
        <s v="Plinia cauliflora"/>
        <s v="Cordia superba"/>
        <s v="Eugenia uniflora"/>
        <s v="Psidium cattleianum"/>
        <s v="Schizolobium parahyba"/>
        <s v="Senna multijuga"/>
        <s v="Alchornea glandulosa"/>
        <s v="Apuleia leiocarpa"/>
        <s v="Genipa americana"/>
        <s v="Himatanthus bracteatus"/>
        <s v="Hydrochorea pedicellaris"/>
        <s v="Joannesia princeps"/>
        <s v="Mimosa bimucronata"/>
        <s v="Spondias mombin"/>
        <s v="Cecropia pachystachya"/>
        <s v="Handroanthus albus"/>
        <s v="Stryphnodendron adstringens"/>
        <s v="Bauhinia forficata"/>
        <s v="Inga laurina"/>
        <s v="Andira anthelmia"/>
        <s v="Ceiba speciosa"/>
        <s v="Guazuma ulmifolia"/>
        <s v="Annona crassiflora"/>
        <s v="Pseudobombax grandiflorum"/>
        <s v="Aegiphila integrifolia"/>
        <s v="Luehea divaricata"/>
        <s v="Marlimorimia contorta"/>
        <s v="Tecoma stans"/>
        <s v="Citharexylum myrianthum"/>
        <s v="Cybistax antisyphilitica"/>
        <s v="Zeyheria tuberculosa"/>
        <s v="Cedrela fissilis"/>
        <s v="Astronium graveolens"/>
        <s v="Lecythis pisonis"/>
        <s v="Trema micranthum"/>
        <s v="Copaifera langsdorffii"/>
        <s v="Centrolobium microchaete"/>
        <s v="Pityrocarpa paniculata"/>
        <s v="Tapirira guianensis"/>
        <s v="Croton floribundus"/>
        <s v="Cestrum laevigatum"/>
        <s v="Cinnamomum verum"/>
        <s v="Mespilodaphne pulchella"/>
        <s v="Myrsine coriacea"/>
        <s v="Pleroma granulosum"/>
        <s v="Senna macranthera"/>
        <s v="Moquiniastrum polymorphum"/>
        <s v="Centrolobium tomentosum"/>
        <s v="Cupania vernalis"/>
        <s v="Guarea guidonia"/>
        <s v="Psidium sartorianum"/>
        <s v="Schinus molle"/>
        <s v="Vernonanthura polyanthes"/>
        <s v="Zanthoxylum rhoifolium"/>
        <s v="Mimosa schomburgkii"/>
        <s v="Dalbergia nigra"/>
        <s v="Pterygota brasiliensis"/>
        <s v="Paubrasilia echinata"/>
        <s v="Solanum lycocarpum"/>
        <s v="Jacaratia spinosa"/>
        <s v="Baccharis dracunculifolia"/>
        <s v="Miconia albicans"/>
        <s v="Solanum pseudoquina"/>
        <s v="Croton urucurana"/>
        <s v="Piptocarpha axillaris"/>
        <s v="Erythrina verna"/>
        <s v="Tabernaemontana hystrix"/>
        <s v="Chloroleucon tortum"/>
        <s v="Miconia sellowiana"/>
        <s v="Pleroma sellowianum"/>
        <s v="Myrcia tomentosa"/>
        <s v="Myrcia splendens"/>
        <s v="Pilocarpus microphyllus"/>
      </sharedItems>
    </cacheField>
    <cacheField name="dens_madeira" numFmtId="165">
      <sharedItems containsSemiMixedTypes="0" containsString="0" containsNumber="1" minValue="0.13069240100000001" maxValue="1187461538"/>
    </cacheField>
    <cacheField name="getwd" numFmtId="165">
      <sharedItems containsSemiMixedTypes="0" containsString="0" containsNumber="1" minValue="0.26500000000000001" maxValue="0.95"/>
    </cacheField>
    <cacheField name="altura" numFmtId="0">
      <sharedItems containsSemiMixedTypes="0" containsString="0" containsNumber="1" minValue="0.77" maxValue="16"/>
    </cacheField>
    <cacheField name="dap" numFmtId="0">
      <sharedItems containsSemiMixedTypes="0" containsString="0" containsNumber="1" minValue="0.46178343949044581" maxValue="114.11210191082803"/>
    </cacheField>
    <cacheField name="area.transv.cm2" numFmtId="164">
      <sharedItems containsSemiMixedTypes="0" containsString="0" containsNumber="1" minValue="0.16748140274890813" maxValue="10227.1185782371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Laíla Arnauth" refreshedDate="46034.332907175929" createdVersion="8" refreshedVersion="8" minRefreshableVersion="3" recordCount="1314">
  <cacheSource type="worksheet">
    <worksheetSource ref="A1:F1315" sheet="principal"/>
  </cacheSource>
  <cacheFields count="6">
    <cacheField name="site.parcela" numFmtId="0">
      <sharedItems count="72">
        <s v="CSA1"/>
        <s v="CSA2"/>
        <s v="CSA3"/>
        <s v="CSA4"/>
        <s v="CSA5"/>
        <s v="CSA6"/>
        <s v="CSA7"/>
        <s v="EEG11"/>
        <s v="EEG12"/>
        <s v="EEG13"/>
        <s v="EEG14"/>
        <s v="EEG15"/>
        <s v="EEG21"/>
        <s v="EEG22"/>
        <s v="EEG23"/>
        <s v="EEG24"/>
        <s v="EEG25"/>
        <s v="EEG31"/>
        <s v="EEG32"/>
        <s v="EEG33"/>
        <s v="EEG34"/>
        <s v="EEG35"/>
        <s v="EEG41"/>
        <s v="EEG42"/>
        <s v="EEG43"/>
        <s v="EEG44"/>
        <s v="EEG45"/>
        <s v="EEG51"/>
        <s v="EEG52"/>
        <s v="EEG53"/>
        <s v="EEG54"/>
        <s v="EEG55"/>
        <s v="ML11"/>
        <s v="ML12"/>
        <s v="ML13"/>
        <s v="ML14"/>
        <s v="ML15"/>
        <s v="ML21"/>
        <s v="ML22"/>
        <s v="ML23"/>
        <s v="ML24"/>
        <s v="ML25"/>
        <s v="MP1"/>
        <s v="MP2"/>
        <s v="MP3"/>
        <s v="MP4"/>
        <s v="MP5"/>
        <s v="MP6"/>
        <s v="REGUA_PV1"/>
        <s v="REGUA_PV2"/>
        <s v="REGUA_PV3"/>
        <s v="REGUA_PV4"/>
        <s v="REGUA_PV5"/>
        <s v="REGUA1"/>
        <s v="REGUA2"/>
        <s v="REGUA3"/>
        <s v="REGUA4"/>
        <s v="REGUA5"/>
        <s v="REGUA6"/>
        <s v="REGUA7"/>
        <s v="REGUA8"/>
        <s v="S_HELENA1"/>
        <s v="S_HELENA2"/>
        <s v="S_HELENA3"/>
        <s v="S_HELENA4"/>
        <s v="S_HELENA5"/>
        <s v="S_HELENABaixada"/>
        <s v="S_JORGE1"/>
        <s v="S_JORGE2"/>
        <s v="S_JORGE3"/>
        <s v="S_JORGE4"/>
        <s v="S_JORGE5"/>
      </sharedItems>
    </cacheField>
    <cacheField name="especie" numFmtId="0">
      <sharedItems count="98">
        <s v="Bixa orellana"/>
        <s v="Cenostigma pluviosum"/>
        <s v="Gallesia integrifolia"/>
        <s v="Handroanthus heptaphyllus"/>
        <s v="Hymenaea courbaril"/>
        <s v="Inga edulis"/>
        <s v="Pachira glabra"/>
        <s v="Peltophorum dubium"/>
        <s v="Sapindus saponaria"/>
        <s v="Schinus terebinthifolia"/>
        <s v="Senegalia polyphylla"/>
        <s v="Triplaris americana"/>
        <s v="Anadenanthera colubrina"/>
        <s v="Plathymenia reticulata"/>
        <s v="Pterocarpus rohrii"/>
        <s v="Machaerium hirtum"/>
        <s v="Machaerium nyctitans"/>
        <s v="Psidium guajava"/>
        <s v="Pterogyne nitens"/>
        <s v="Samanea saman"/>
        <s v="Cassia ferruginea"/>
        <s v="Enterolobium contortisiliquum"/>
        <s v="Libidibia ferrea"/>
        <s v="Pityrocarpa gonoacantha"/>
        <s v="Inga vera"/>
        <s v="Plinia cauliflora"/>
        <s v="Cordia superba"/>
        <s v="Eugenia uniflora"/>
        <s v="Psidium cattleianum"/>
        <s v="Schizolobium parahyba"/>
        <s v="Senna multijuga"/>
        <s v="Alchornea glandulosa"/>
        <s v="Apuleia leiocarpa"/>
        <s v="Genipa americana"/>
        <s v="Himatanthus bracteatus"/>
        <s v="Hydrochorea pedicellaris"/>
        <s v="Joannesia princeps"/>
        <s v="Mimosa bimucronata"/>
        <s v="Spondias mombin"/>
        <s v="Cecropia pachystachya"/>
        <s v="Handroanthus albus"/>
        <s v="Stryphnodendron adstringens"/>
        <s v="Bauhinia forficata"/>
        <s v="Inga laurina"/>
        <s v="Andira anthelmia"/>
        <s v="Ceiba speciosa"/>
        <s v="Guazuma ulmifolia"/>
        <s v="Annona crassiflora"/>
        <s v="Pseudobombax grandiflorum"/>
        <s v="Aegiphila integrifolia"/>
        <s v="Luehea divaricata"/>
        <s v="Marlimorimia contorta"/>
        <s v="Tecoma stans"/>
        <s v="Citharexylum myrianthum"/>
        <s v="Cybistax antisyphilitica"/>
        <s v="Zeyheria tuberculosa"/>
        <s v="Cedrela fissilis"/>
        <s v="Astronium graveolens"/>
        <s v="Lecythis pisonis"/>
        <s v="Trema micranthum"/>
        <s v="Copaifera langsdorffii"/>
        <s v="Centrolobium microchaete"/>
        <s v="Pityrocarpa paniculata"/>
        <s v="Tapirira guianensis"/>
        <s v="Croton floribundus"/>
        <s v="Cestrum laevigatum"/>
        <s v="Cinnamomum verum"/>
        <s v="Mespilodaphne pulchella"/>
        <s v="Myrsine coriacea"/>
        <s v="Pleroma granulosum"/>
        <s v="Senna macranthera"/>
        <s v="Moquiniastrum polymorphum"/>
        <s v="Centrolobium tomentosum"/>
        <s v="Cupania vernalis"/>
        <s v="Guarea guidonia"/>
        <s v="Psidium sartorianum"/>
        <s v="Schinus molle"/>
        <s v="Vernonanthura polyanthes"/>
        <s v="Zanthoxylum rhoifolium"/>
        <s v="Mimosa schomburgkii"/>
        <s v="Dalbergia nigra"/>
        <s v="Pterygota brasiliensis"/>
        <s v="Paubrasilia echinata"/>
        <s v="Solanum lycocarpum"/>
        <s v="Jacaratia spinosa"/>
        <s v="Baccharis dracunculifolia"/>
        <s v="Miconia albicans"/>
        <s v="Solanum pseudoquina"/>
        <s v="Croton urucurana"/>
        <s v="Piptocarpha axillaris"/>
        <s v="Erythrina verna"/>
        <s v="Tabernaemontana hystrix"/>
        <s v="Chloroleucon tortum"/>
        <s v="Miconia sellowiana"/>
        <s v="Pleroma sellowianum"/>
        <s v="Myrcia tomentosa"/>
        <s v="Myrcia splendens"/>
        <s v="Pilocarpus microphyllus"/>
      </sharedItems>
    </cacheField>
    <cacheField name="dens_madeira" numFmtId="165">
      <sharedItems containsSemiMixedTypes="0" containsString="0" containsNumber="1" minValue="0.13069240100000001" maxValue="1187461538"/>
    </cacheField>
    <cacheField name="getwd" numFmtId="165">
      <sharedItems containsSemiMixedTypes="0" containsString="0" containsNumber="1" minValue="0.26500000000000001" maxValue="0.95"/>
    </cacheField>
    <cacheField name="altura" numFmtId="0">
      <sharedItems containsSemiMixedTypes="0" containsString="0" containsNumber="1" minValue="0.77" maxValue="16"/>
    </cacheField>
    <cacheField name="dap" numFmtId="0">
      <sharedItems containsSemiMixedTypes="0" containsString="0" containsNumber="1" minValue="0.46178343949044581" maxValue="114.112101910828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Laíla Arnauth" refreshedDate="46098.60255462963" createdVersion="6" refreshedVersion="6" minRefreshableVersion="3" recordCount="293">
  <cacheSource type="worksheet">
    <worksheetSource ref="A1:F294" sheet="Planilha3"/>
  </cacheSource>
  <cacheFields count="6">
    <cacheField name="site.parcela" numFmtId="0">
      <sharedItems count="23">
        <s v="ML11"/>
        <s v="ML12"/>
        <s v="ML13"/>
        <s v="ML14"/>
        <s v="ML15"/>
        <s v="ML21"/>
        <s v="ML22"/>
        <s v="ML23"/>
        <s v="ML24"/>
        <s v="ML25"/>
        <s v="REGUA_PV1"/>
        <s v="REGUA_PV2"/>
        <s v="REGUA_PV3"/>
        <s v="REGUA_PV4"/>
        <s v="REGUA_PV5"/>
        <s v="REGUA1"/>
        <s v="REGUA2"/>
        <s v="REGUA3"/>
        <s v="REGUA4"/>
        <s v="REGUA5"/>
        <s v="REGUA6"/>
        <s v="REGUA7"/>
        <s v="REGUA8"/>
      </sharedItems>
    </cacheField>
    <cacheField name="especie" numFmtId="0">
      <sharedItems/>
    </cacheField>
    <cacheField name="altura" numFmtId="0">
      <sharedItems containsSemiMixedTypes="0" containsString="0" containsNumber="1" minValue="1.9" maxValue="15.5"/>
    </cacheField>
    <cacheField name="dap" numFmtId="0">
      <sharedItems containsSemiMixedTypes="0" containsString="0" containsNumber="1" minValue="1.910828025477707" maxValue="114.11210191082803"/>
    </cacheField>
    <cacheField name="wd" numFmtId="0">
      <sharedItems containsSemiMixedTypes="0" containsString="0" containsNumber="1" minValue="0.21743084800000001" maxValue="0.65473331599999995"/>
    </cacheField>
    <cacheField name="biomassa_chaves" numFmtId="0">
      <sharedItems containsSemiMixedTypes="0" containsString="0" containsNumber="1" minValue="0.26623291863702664" maxValue="2975.42927618809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6">
  <r>
    <x v="0"/>
    <x v="0"/>
    <n v="0.80908761900000004"/>
    <n v="0.87473809499999999"/>
    <n v="12"/>
    <n v="82.22993630573248"/>
    <n v="5310.6757898029991"/>
  </r>
  <r>
    <x v="0"/>
    <x v="1"/>
    <n v="0.590536375"/>
    <n v="0.61247410899999999"/>
    <n v="7"/>
    <n v="10.605095541401273"/>
    <n v="88.33220104363221"/>
  </r>
  <r>
    <x v="0"/>
    <x v="1"/>
    <n v="0.590536375"/>
    <n v="0.61247410899999999"/>
    <n v="8"/>
    <n v="11.656050955414013"/>
    <n v="106.70696212429367"/>
  </r>
  <r>
    <x v="0"/>
    <x v="1"/>
    <n v="0.590536375"/>
    <n v="0.61247410899999999"/>
    <n v="11"/>
    <n v="16.65605095541401"/>
    <n v="217.88832633772219"/>
  </r>
  <r>
    <x v="0"/>
    <x v="1"/>
    <n v="0.590536375"/>
    <n v="0.61247410899999999"/>
    <n v="11"/>
    <n v="17.32484076433121"/>
    <n v="235.73734318145486"/>
  </r>
  <r>
    <x v="0"/>
    <x v="1"/>
    <n v="0.590536375"/>
    <n v="0.61247410899999999"/>
    <n v="10"/>
    <n v="19.904458598726112"/>
    <n v="311.16491295501663"/>
  </r>
  <r>
    <x v="0"/>
    <x v="1"/>
    <n v="0.590536375"/>
    <n v="0.61247410899999999"/>
    <n v="7"/>
    <n v="36.136942675159233"/>
    <n v="1025.634674407926"/>
  </r>
  <r>
    <x v="0"/>
    <x v="1"/>
    <n v="0.590536375"/>
    <n v="0.61247410899999999"/>
    <n v="8"/>
    <n v="43.436305732484072"/>
    <n v="1481.820654634372"/>
  </r>
  <r>
    <x v="0"/>
    <x v="1"/>
    <n v="0.590536375"/>
    <n v="0.61247410899999999"/>
    <n v="8"/>
    <n v="49.803184713375792"/>
    <n v="1948.0679954144443"/>
  </r>
  <r>
    <x v="0"/>
    <x v="2"/>
    <n v="0.53168696000000004"/>
    <n v="0.61247410899999999"/>
    <n v="9"/>
    <n v="17.101910828025478"/>
    <n v="229.70960584684852"/>
  </r>
  <r>
    <x v="0"/>
    <x v="2"/>
    <n v="0.53168696000000004"/>
    <n v="0.61247410899999999"/>
    <n v="13"/>
    <n v="32.00636942675159"/>
    <n v="804.56791349092009"/>
  </r>
  <r>
    <x v="1"/>
    <x v="0"/>
    <n v="0.80908761900000004"/>
    <n v="0.87473809499999999"/>
    <n v="11"/>
    <n v="21.178343949044585"/>
    <n v="352.26855329672253"/>
  </r>
  <r>
    <x v="1"/>
    <x v="3"/>
    <n v="0.62643652800000005"/>
    <n v="0.57808694400000005"/>
    <n v="4"/>
    <n v="4.2038216560509554"/>
    <n v="13.879647854920218"/>
  </r>
  <r>
    <x v="1"/>
    <x v="3"/>
    <n v="0.62643652800000005"/>
    <n v="0.57808694400000005"/>
    <n v="4.5"/>
    <n v="16.898089171974522"/>
    <n v="224.26684659986489"/>
  </r>
  <r>
    <x v="1"/>
    <x v="3"/>
    <n v="0.62643652800000005"/>
    <n v="0.57808694400000005"/>
    <n v="5.5"/>
    <n v="28.283439490445858"/>
    <n v="628.28157727075984"/>
  </r>
  <r>
    <x v="1"/>
    <x v="1"/>
    <n v="0.590536375"/>
    <n v="0.61247410899999999"/>
    <n v="7"/>
    <n v="19.108280254777068"/>
    <n v="286.76958377934329"/>
  </r>
  <r>
    <x v="1"/>
    <x v="1"/>
    <n v="0.590536375"/>
    <n v="0.61247410899999999"/>
    <n v="11"/>
    <n v="26.656050955414013"/>
    <n v="558.06077927419665"/>
  </r>
  <r>
    <x v="1"/>
    <x v="1"/>
    <n v="0.590536375"/>
    <n v="0.61247410899999999"/>
    <n v="8"/>
    <n v="37.680254777070061"/>
    <n v="1115.1095690797395"/>
  </r>
  <r>
    <x v="1"/>
    <x v="1"/>
    <n v="0.590536375"/>
    <n v="0.61247410899999999"/>
    <n v="9"/>
    <n v="51.072611464968155"/>
    <n v="2048.6417128947664"/>
  </r>
  <r>
    <x v="1"/>
    <x v="4"/>
    <n v="0.39"/>
    <n v="0.28861111099999998"/>
    <n v="5"/>
    <n v="8.1210191082802545"/>
    <n v="51.79775607014389"/>
  </r>
  <r>
    <x v="1"/>
    <x v="4"/>
    <n v="0.39"/>
    <n v="0.28861111099999998"/>
    <n v="6"/>
    <n v="8.4713375796178347"/>
    <n v="56.362968527475616"/>
  </r>
  <r>
    <x v="1"/>
    <x v="4"/>
    <n v="0.39"/>
    <n v="0.28861111099999998"/>
    <n v="4"/>
    <n v="8.6942675159235669"/>
    <n v="59.368473081918566"/>
  </r>
  <r>
    <x v="1"/>
    <x v="4"/>
    <n v="0.39"/>
    <n v="0.28861111099999998"/>
    <n v="6"/>
    <n v="8.7579617834394909"/>
    <n v="60.241527148091237"/>
  </r>
  <r>
    <x v="1"/>
    <x v="4"/>
    <n v="0.39"/>
    <n v="0.28861111099999998"/>
    <n v="5"/>
    <n v="9.2356687898089174"/>
    <n v="66.992561099563275"/>
  </r>
  <r>
    <x v="1"/>
    <x v="4"/>
    <n v="0.39"/>
    <n v="0.28861111099999998"/>
    <n v="3"/>
    <n v="10.414012738853504"/>
    <n v="85.177735622059473"/>
  </r>
  <r>
    <x v="1"/>
    <x v="4"/>
    <n v="0.39"/>
    <n v="0.28861111099999998"/>
    <n v="4.5"/>
    <n v="10.923566878980891"/>
    <n v="93.717096561266558"/>
  </r>
  <r>
    <x v="1"/>
    <x v="4"/>
    <n v="0.39"/>
    <n v="0.28861111099999998"/>
    <n v="5"/>
    <n v="28.938853503184713"/>
    <n v="657.73737985257094"/>
  </r>
  <r>
    <x v="1"/>
    <x v="4"/>
    <n v="0.39"/>
    <n v="0.28861111099999998"/>
    <n v="4.8"/>
    <n v="30.788535031847132"/>
    <n v="744.50553576267612"/>
  </r>
  <r>
    <x v="1"/>
    <x v="5"/>
    <n v="0.470857311"/>
    <n v="0.375"/>
    <n v="7"/>
    <n v="6.7515923566878975"/>
    <n v="35.801589370496679"/>
  </r>
  <r>
    <x v="2"/>
    <x v="0"/>
    <n v="0.80908761900000004"/>
    <n v="0.87473809499999999"/>
    <n v="8"/>
    <n v="6.7515923566878975"/>
    <n v="35.801589370496679"/>
  </r>
  <r>
    <x v="2"/>
    <x v="0"/>
    <n v="0.80908761900000004"/>
    <n v="0.87473809499999999"/>
    <n v="9"/>
    <n v="12.802547770700638"/>
    <n v="128.73086615854726"/>
  </r>
  <r>
    <x v="2"/>
    <x v="0"/>
    <n v="0.80908761900000004"/>
    <n v="0.87473809499999999"/>
    <n v="10"/>
    <n v="15.987261146496815"/>
    <n v="200.74189497424902"/>
  </r>
  <r>
    <x v="2"/>
    <x v="0"/>
    <n v="0.80908761900000004"/>
    <n v="0.87473809499999999"/>
    <n v="11"/>
    <n v="24.076433121019104"/>
    <n v="455.27539120808535"/>
  </r>
  <r>
    <x v="2"/>
    <x v="0"/>
    <n v="0.80908761900000004"/>
    <n v="0.87473809499999999"/>
    <n v="12"/>
    <n v="77.064331210191085"/>
    <n v="4664.4099057647009"/>
  </r>
  <r>
    <x v="2"/>
    <x v="0"/>
    <n v="0.80908761900000004"/>
    <n v="0.87473809499999999"/>
    <n v="12"/>
    <n v="77.108917197452229"/>
    <n v="4669.8087064208203"/>
  </r>
  <r>
    <x v="2"/>
    <x v="6"/>
    <n v="0.6"/>
    <n v="0.66674999999999995"/>
    <n v="8"/>
    <n v="8.4394904458598727"/>
    <n v="55.939983391401071"/>
  </r>
  <r>
    <x v="2"/>
    <x v="7"/>
    <n v="0.39984676499999999"/>
    <n v="0.450333333"/>
    <n v="6"/>
    <n v="7.7707006369426743"/>
    <n v="47.425316499686062"/>
  </r>
  <r>
    <x v="2"/>
    <x v="7"/>
    <n v="0.39984676499999999"/>
    <n v="0.450333333"/>
    <n v="7"/>
    <n v="9.7133757961783438"/>
    <n v="74.102057030759482"/>
  </r>
  <r>
    <x v="2"/>
    <x v="7"/>
    <n v="0.39984676499999999"/>
    <n v="0.450333333"/>
    <n v="7"/>
    <n v="13.439490445859873"/>
    <n v="141.85854043822386"/>
  </r>
  <r>
    <x v="2"/>
    <x v="7"/>
    <n v="0.39984676499999999"/>
    <n v="0.450333333"/>
    <n v="7"/>
    <n v="35.994904458598725"/>
    <n v="1017.5878940778152"/>
  </r>
  <r>
    <x v="2"/>
    <x v="7"/>
    <n v="0.39984676499999999"/>
    <n v="0.450333333"/>
    <n v="8"/>
    <n v="54.08407643312102"/>
    <n v="2297.3582117511933"/>
  </r>
  <r>
    <x v="2"/>
    <x v="7"/>
    <n v="0.39984676499999999"/>
    <n v="0.450333333"/>
    <n v="10"/>
    <n v="66.27006369426752"/>
    <n v="3449.2498761933789"/>
  </r>
  <r>
    <x v="2"/>
    <x v="1"/>
    <n v="0.590536375"/>
    <n v="0.61247410899999999"/>
    <n v="8"/>
    <n v="16.114649681528661"/>
    <n v="203.95371431257763"/>
  </r>
  <r>
    <x v="2"/>
    <x v="1"/>
    <n v="0.590536375"/>
    <n v="0.61247410899999999"/>
    <n v="11"/>
    <n v="75.277070063694268"/>
    <n v="4450.5665102893199"/>
  </r>
  <r>
    <x v="2"/>
    <x v="2"/>
    <n v="0.53168696000000004"/>
    <n v="0.61247410899999999"/>
    <n v="8"/>
    <n v="10.923566878980891"/>
    <n v="93.717096561266558"/>
  </r>
  <r>
    <x v="2"/>
    <x v="4"/>
    <n v="0.39"/>
    <n v="0.28861111099999998"/>
    <n v="2.8"/>
    <n v="4.6496815286624198"/>
    <n v="16.979945688445781"/>
  </r>
  <r>
    <x v="2"/>
    <x v="4"/>
    <n v="0.39"/>
    <n v="0.28861111099999998"/>
    <n v="4.8"/>
    <n v="7.8343949044585992"/>
    <n v="48.205967033307623"/>
  </r>
  <r>
    <x v="2"/>
    <x v="4"/>
    <n v="0.39"/>
    <n v="0.28861111099999998"/>
    <n v="4.5"/>
    <n v="7.8343949044585992"/>
    <n v="48.205967033307623"/>
  </r>
  <r>
    <x v="2"/>
    <x v="4"/>
    <n v="0.39"/>
    <n v="0.28861111099999998"/>
    <n v="2"/>
    <n v="8.3439490445859867"/>
    <n v="54.680586969303455"/>
  </r>
  <r>
    <x v="2"/>
    <x v="4"/>
    <n v="0.39"/>
    <n v="0.28861111099999998"/>
    <n v="6"/>
    <n v="8.4713375796178347"/>
    <n v="56.362968527475616"/>
  </r>
  <r>
    <x v="3"/>
    <x v="8"/>
    <n v="0.37226847299999999"/>
    <n v="0.42234285700000002"/>
    <n v="6"/>
    <n v="7.7388535031847132"/>
    <n v="47.037380979406791"/>
  </r>
  <r>
    <x v="3"/>
    <x v="3"/>
    <n v="0.62643652800000005"/>
    <n v="0.57808694400000005"/>
    <n v="5"/>
    <n v="4.8726114649681529"/>
    <n v="18.647192185251804"/>
  </r>
  <r>
    <x v="3"/>
    <x v="3"/>
    <n v="0.62643652800000005"/>
    <n v="0.57808694400000005"/>
    <n v="4"/>
    <n v="13.933121019108281"/>
    <n v="152.47080734795819"/>
  </r>
  <r>
    <x v="3"/>
    <x v="3"/>
    <n v="0.62643652800000005"/>
    <n v="0.57808694400000005"/>
    <n v="5"/>
    <n v="17.86687898089172"/>
    <n v="250.71901500218488"/>
  </r>
  <r>
    <x v="3"/>
    <x v="7"/>
    <n v="0.39984676499999999"/>
    <n v="0.450333333"/>
    <n v="9"/>
    <n v="14.840764331210192"/>
    <n v="172.98259926440858"/>
  </r>
  <r>
    <x v="3"/>
    <x v="7"/>
    <n v="0.39984676499999999"/>
    <n v="0.450333333"/>
    <n v="10"/>
    <n v="19.267515923566879"/>
    <n v="291.56899139676153"/>
  </r>
  <r>
    <x v="3"/>
    <x v="7"/>
    <n v="0.39984676499999999"/>
    <n v="0.450333333"/>
    <n v="8"/>
    <n v="45.317834394904459"/>
    <n v="1612.9770102853365"/>
  </r>
  <r>
    <x v="3"/>
    <x v="1"/>
    <n v="0.590536375"/>
    <n v="0.61247410899999999"/>
    <n v="6"/>
    <n v="7.1019108280254777"/>
    <n v="39.613235088230461"/>
  </r>
  <r>
    <x v="3"/>
    <x v="1"/>
    <n v="0.590536375"/>
    <n v="0.61247410899999999"/>
    <n v="8"/>
    <n v="13.280254777070065"/>
    <n v="138.51687820501735"/>
  </r>
  <r>
    <x v="3"/>
    <x v="1"/>
    <n v="0.590536375"/>
    <n v="0.61247410899999999"/>
    <n v="9"/>
    <n v="17.611464968152866"/>
    <n v="243.6019990166034"/>
  </r>
  <r>
    <x v="3"/>
    <x v="1"/>
    <n v="0.590536375"/>
    <n v="0.61247410899999999"/>
    <n v="6"/>
    <n v="29.822292993630573"/>
    <n v="698.50890437348005"/>
  </r>
  <r>
    <x v="3"/>
    <x v="1"/>
    <n v="0.590536375"/>
    <n v="0.61247410899999999"/>
    <n v="8"/>
    <n v="37.867515923566884"/>
    <n v="1126.2207242548823"/>
  </r>
  <r>
    <x v="3"/>
    <x v="1"/>
    <n v="0.590536375"/>
    <n v="0.61247410899999999"/>
    <n v="8"/>
    <n v="52.650318471337577"/>
    <n v="2177.1677188284834"/>
  </r>
  <r>
    <x v="3"/>
    <x v="1"/>
    <n v="0.590536375"/>
    <n v="0.61247410899999999"/>
    <n v="9"/>
    <n v="60.147133757961782"/>
    <n v="2841.31742079267"/>
  </r>
  <r>
    <x v="3"/>
    <x v="1"/>
    <n v="0.590536375"/>
    <n v="0.61247410899999999"/>
    <n v="12"/>
    <n v="63.994267515923568"/>
    <n v="3216.414610929648"/>
  </r>
  <r>
    <x v="3"/>
    <x v="9"/>
    <n v="0.40238543599999999"/>
    <n v="0.40883333300000002"/>
    <n v="7"/>
    <n v="10.636942675159235"/>
    <n v="88.863521355801183"/>
  </r>
  <r>
    <x v="4"/>
    <x v="10"/>
    <n v="0.31264018999999998"/>
    <n v="0.356821212"/>
    <n v="5"/>
    <n v="14.171974522292993"/>
    <n v="157.74318563306795"/>
  </r>
  <r>
    <x v="4"/>
    <x v="10"/>
    <n v="0.31264018999999998"/>
    <n v="0.356821212"/>
    <n v="9"/>
    <n v="27.515923566878982"/>
    <n v="594.64540892484649"/>
  </r>
  <r>
    <x v="4"/>
    <x v="6"/>
    <n v="0.6"/>
    <n v="0.66674999999999995"/>
    <n v="7"/>
    <n v="10.891719745222931"/>
    <n v="93.171437769908678"/>
  </r>
  <r>
    <x v="4"/>
    <x v="6"/>
    <n v="0.6"/>
    <n v="0.66674999999999995"/>
    <n v="6.5"/>
    <n v="12.32484076433121"/>
    <n v="119.30331609180131"/>
  </r>
  <r>
    <x v="4"/>
    <x v="11"/>
    <n v="0.6"/>
    <n v="0.51040266700000003"/>
    <n v="8"/>
    <n v="72.045222929936301"/>
    <n v="4076.6202781612951"/>
  </r>
  <r>
    <x v="4"/>
    <x v="11"/>
    <n v="0.6"/>
    <n v="0.51040266700000003"/>
    <n v="9"/>
    <n v="10.350318471337578"/>
    <n v="84.138992463036487"/>
  </r>
  <r>
    <x v="4"/>
    <x v="11"/>
    <n v="0.6"/>
    <n v="0.51040266700000003"/>
    <n v="11"/>
    <n v="29.005732484076432"/>
    <n v="660.78101360950598"/>
  </r>
  <r>
    <x v="4"/>
    <x v="3"/>
    <n v="0.62643652800000005"/>
    <n v="0.57808694400000005"/>
    <n v="5"/>
    <n v="6.5286624203821653"/>
    <n v="33.476365995352509"/>
  </r>
  <r>
    <x v="4"/>
    <x v="3"/>
    <n v="0.62643652800000005"/>
    <n v="0.57808694400000005"/>
    <n v="5"/>
    <n v="6.6242038216560513"/>
    <n v="34.463331312859758"/>
  </r>
  <r>
    <x v="4"/>
    <x v="3"/>
    <n v="0.62643652800000005"/>
    <n v="0.57808694400000005"/>
    <n v="4"/>
    <n v="16.376433121019108"/>
    <n v="210.63401845800774"/>
  </r>
  <r>
    <x v="4"/>
    <x v="3"/>
    <n v="0.62643652800000005"/>
    <n v="0.57808694400000005"/>
    <n v="5.5"/>
    <n v="16.448407643312102"/>
    <n v="212.48956264301634"/>
  </r>
  <r>
    <x v="4"/>
    <x v="3"/>
    <n v="0.62643652800000005"/>
    <n v="0.57808694400000005"/>
    <n v="6"/>
    <n v="21.91783439490446"/>
    <n v="377.29857397916408"/>
  </r>
  <r>
    <x v="4"/>
    <x v="7"/>
    <n v="0.39984676499999999"/>
    <n v="0.450333333"/>
    <n v="13"/>
    <n v="17.261146496815286"/>
    <n v="234.00716669265282"/>
  </r>
  <r>
    <x v="4"/>
    <x v="1"/>
    <n v="0.590536375"/>
    <n v="0.61247410899999999"/>
    <n v="9"/>
    <n v="41.731210191082802"/>
    <n v="1367.7661137791385"/>
  </r>
  <r>
    <x v="4"/>
    <x v="1"/>
    <n v="0.590536375"/>
    <n v="0.61247410899999999"/>
    <n v="10"/>
    <n v="66.91783439490446"/>
    <n v="3517.0102740056614"/>
  </r>
  <r>
    <x v="4"/>
    <x v="1"/>
    <n v="0.590536375"/>
    <n v="0.61247410899999999"/>
    <n v="11"/>
    <n v="101.86369426751592"/>
    <n v="8149.4580126194851"/>
  </r>
  <r>
    <x v="4"/>
    <x v="4"/>
    <n v="0.39"/>
    <n v="0.28861111099999998"/>
    <n v="4.5"/>
    <n v="29.359235668789808"/>
    <n v="676.98550725961843"/>
  </r>
  <r>
    <x v="5"/>
    <x v="12"/>
    <n v="0.43916666700000001"/>
    <n v="0.51877777800000002"/>
    <n v="4"/>
    <n v="5.1910828025477711"/>
    <n v="21.164391865092711"/>
  </r>
  <r>
    <x v="5"/>
    <x v="13"/>
    <n v="0.56572270000000002"/>
    <n v="0.61247410899999999"/>
    <n v="6"/>
    <n v="28.115286624203822"/>
    <n v="620.83316939826443"/>
  </r>
  <r>
    <x v="5"/>
    <x v="14"/>
    <n v="0.46921933300000002"/>
    <n v="0.46713991199999999"/>
    <n v="5"/>
    <n v="21.777707006369425"/>
    <n v="372.48962649359208"/>
  </r>
  <r>
    <x v="5"/>
    <x v="15"/>
    <n v="0.45255480399999998"/>
    <n v="0.57808694400000005"/>
    <n v="8"/>
    <n v="44.621019108280251"/>
    <n v="1563.7555042131935"/>
  </r>
  <r>
    <x v="5"/>
    <x v="7"/>
    <n v="0.39984676499999999"/>
    <n v="0.450333333"/>
    <n v="7"/>
    <n v="61.585350318471342"/>
    <n v="2978.8231048366797"/>
  </r>
  <r>
    <x v="5"/>
    <x v="16"/>
    <n v="0.56572270000000002"/>
    <n v="0.61247410899999999"/>
    <n v="6"/>
    <n v="27.028025477707004"/>
    <n v="573.74448056082633"/>
  </r>
  <r>
    <x v="5"/>
    <x v="17"/>
    <n v="0.56023871300000005"/>
    <n v="0.74103703700000001"/>
    <n v="6"/>
    <n v="12.611464968152866"/>
    <n v="124.91683069428197"/>
  </r>
  <r>
    <x v="5"/>
    <x v="2"/>
    <n v="0.53168696000000004"/>
    <n v="0.61247410899999999"/>
    <n v="9"/>
    <n v="10.318471337579616"/>
    <n v="83.622010630056508"/>
  </r>
  <r>
    <x v="5"/>
    <x v="2"/>
    <n v="0.53168696000000004"/>
    <n v="0.61247410899999999"/>
    <n v="6"/>
    <n v="35.389808917197456"/>
    <n v="983.66295672685794"/>
  </r>
  <r>
    <x v="5"/>
    <x v="18"/>
    <n v="0.432770245"/>
    <n v="0.61247410899999999"/>
    <n v="5"/>
    <n v="60.509554140127392"/>
    <n v="2875.6616595650826"/>
  </r>
  <r>
    <x v="5"/>
    <x v="19"/>
    <n v="0.98708677300000003"/>
    <n v="0.60285714300000004"/>
    <n v="7"/>
    <n v="32.536305732484081"/>
    <n v="831.43128494164887"/>
  </r>
  <r>
    <x v="5"/>
    <x v="19"/>
    <n v="0.98708677300000003"/>
    <n v="0.60285714300000004"/>
    <n v="6"/>
    <n v="58.191719745222926"/>
    <n v="2659.5751450768225"/>
  </r>
  <r>
    <x v="5"/>
    <x v="19"/>
    <n v="0.98708677300000003"/>
    <n v="0.60285714300000004"/>
    <n v="9"/>
    <n v="71.001910828025487"/>
    <n v="3959.4052525909265"/>
  </r>
  <r>
    <x v="5"/>
    <x v="20"/>
    <n v="0.693333333"/>
    <n v="0.64166666699999997"/>
    <n v="6.8"/>
    <n v="20.563057324840763"/>
    <n v="332.09723048041138"/>
  </r>
  <r>
    <x v="5"/>
    <x v="20"/>
    <n v="0.693333333"/>
    <n v="0.64166666699999997"/>
    <n v="6"/>
    <n v="8.1847133757961785"/>
    <n v="52.613456219560696"/>
  </r>
  <r>
    <x v="6"/>
    <x v="21"/>
    <n v="0.86"/>
    <n v="0.65666666699999998"/>
    <n v="7"/>
    <n v="8.4394904458598727"/>
    <n v="55.939983391401071"/>
  </r>
  <r>
    <x v="6"/>
    <x v="22"/>
    <n v="0.40257753800000001"/>
    <n v="0.40843333300000001"/>
    <n v="6"/>
    <n v="23.346496815286624"/>
    <n v="428.08826964258498"/>
  </r>
  <r>
    <x v="6"/>
    <x v="0"/>
    <n v="0.80908761900000004"/>
    <n v="0.87473809499999999"/>
    <n v="8"/>
    <n v="22.738853503184714"/>
    <n v="406.0944075899281"/>
  </r>
  <r>
    <x v="6"/>
    <x v="6"/>
    <n v="0.6"/>
    <n v="0.66674999999999995"/>
    <n v="5"/>
    <n v="6.114649681528662"/>
    <n v="29.365205379004752"/>
  </r>
  <r>
    <x v="6"/>
    <x v="15"/>
    <n v="0.45255480399999998"/>
    <n v="0.57808694400000005"/>
    <n v="6"/>
    <n v="35.421656050955413"/>
    <n v="985.43414126614016"/>
  </r>
  <r>
    <x v="6"/>
    <x v="15"/>
    <n v="0.45255480399999998"/>
    <n v="0.57808694400000005"/>
    <n v="5"/>
    <n v="11.369426751592357"/>
    <n v="101.52360189748202"/>
  </r>
  <r>
    <x v="6"/>
    <x v="15"/>
    <n v="0.45255480399999998"/>
    <n v="0.57808694400000005"/>
    <n v="5.5"/>
    <n v="21.56751592356688"/>
    <n v="365.33403713129644"/>
  </r>
  <r>
    <x v="6"/>
    <x v="15"/>
    <n v="0.45255480399999998"/>
    <n v="0.57808694400000005"/>
    <n v="5"/>
    <n v="21.140764331210192"/>
    <n v="351.01950638890355"/>
  </r>
  <r>
    <x v="6"/>
    <x v="15"/>
    <n v="0.45255480399999998"/>
    <n v="0.57808694400000005"/>
    <n v="6"/>
    <n v="25.640127388535031"/>
    <n v="516.33342305359247"/>
  </r>
  <r>
    <x v="6"/>
    <x v="7"/>
    <n v="0.39984676499999999"/>
    <n v="0.450333333"/>
    <n v="8"/>
    <n v="44.068789808917195"/>
    <n v="1525.28897115466"/>
  </r>
  <r>
    <x v="6"/>
    <x v="7"/>
    <n v="0.39984676499999999"/>
    <n v="0.450333333"/>
    <n v="9"/>
    <n v="54.057961783439488"/>
    <n v="2295.140175517909"/>
  </r>
  <r>
    <x v="6"/>
    <x v="23"/>
    <n v="0.85750000000000004"/>
    <n v="0.61247410899999999"/>
    <n v="7"/>
    <n v="78.634394904458588"/>
    <n v="4856.4059194976544"/>
  </r>
  <r>
    <x v="6"/>
    <x v="18"/>
    <n v="0.432770245"/>
    <n v="0.61247410899999999"/>
    <n v="5"/>
    <n v="9.7133757961783438"/>
    <n v="74.102057030759482"/>
  </r>
  <r>
    <x v="6"/>
    <x v="4"/>
    <n v="0.39"/>
    <n v="0.28861111099999998"/>
    <n v="6"/>
    <n v="18.754140127388535"/>
    <n v="276.23849209842371"/>
  </r>
  <r>
    <x v="6"/>
    <x v="24"/>
    <n v="0.48464433800000001"/>
    <n v="0.62688577999999995"/>
    <n v="5"/>
    <n v="67.557961783439495"/>
    <n v="3584.6186361436112"/>
  </r>
  <r>
    <x v="6"/>
    <x v="19"/>
    <n v="0.98708677300000003"/>
    <n v="0.60285714300000004"/>
    <n v="7"/>
    <n v="5.5414012738853495"/>
    <n v="24.117321995842772"/>
  </r>
  <r>
    <x v="6"/>
    <x v="5"/>
    <n v="0.470857311"/>
    <n v="0.375"/>
    <n v="5"/>
    <n v="61.340764331210188"/>
    <n v="2955.2093196411975"/>
  </r>
  <r>
    <x v="6"/>
    <x v="25"/>
    <n v="0.28577490700000002"/>
    <n v="0.3422"/>
    <n v="6"/>
    <n v="6.8471337579617835"/>
    <n v="36.822011139444854"/>
  </r>
  <r>
    <x v="7"/>
    <x v="21"/>
    <n v="0.86"/>
    <n v="0.65666666699999998"/>
    <n v="8"/>
    <n v="13.535031847133757"/>
    <n v="143.88265575039969"/>
  </r>
  <r>
    <x v="7"/>
    <x v="26"/>
    <n v="0.41"/>
    <n v="0.33983503399999998"/>
    <n v="7"/>
    <n v="5.1910828025477711"/>
    <n v="21.164391865092711"/>
  </r>
  <r>
    <x v="7"/>
    <x v="27"/>
    <n v="0.64800000000000002"/>
    <n v="0.66733333299999997"/>
    <n v="7"/>
    <n v="8.6942675159235669"/>
    <n v="59.368473081918566"/>
  </r>
  <r>
    <x v="7"/>
    <x v="6"/>
    <n v="0.6"/>
    <n v="0.66674999999999995"/>
    <n v="6"/>
    <n v="8.1847133757961785"/>
    <n v="52.613456219560696"/>
  </r>
  <r>
    <x v="7"/>
    <x v="11"/>
    <n v="0.6"/>
    <n v="0.51040266700000003"/>
    <n v="8"/>
    <n v="37.028662420382162"/>
    <n v="1076.8765754348442"/>
  </r>
  <r>
    <x v="7"/>
    <x v="28"/>
    <n v="0.51642601200000005"/>
    <n v="0.60835714299999999"/>
    <n v="4"/>
    <n v="3.9808917197452227"/>
    <n v="12.446596518200664"/>
  </r>
  <r>
    <x v="7"/>
    <x v="29"/>
    <n v="0.490852183"/>
    <n v="0.607288889"/>
    <n v="4"/>
    <n v="3.9490445859872612"/>
    <n v="12.248247556086621"/>
  </r>
  <r>
    <x v="7"/>
    <x v="29"/>
    <n v="0.490852183"/>
    <n v="0.607288889"/>
    <n v="5"/>
    <n v="4.6178343949044587"/>
    <n v="16.748140274890819"/>
  </r>
  <r>
    <x v="7"/>
    <x v="15"/>
    <n v="0.45255480399999998"/>
    <n v="0.57808694400000005"/>
    <n v="9"/>
    <n v="103.62165605095541"/>
    <n v="8433.1716267702959"/>
  </r>
  <r>
    <x v="7"/>
    <x v="15"/>
    <n v="0.45255480399999998"/>
    <n v="0.57808694400000005"/>
    <n v="10"/>
    <n v="114.11210191082803"/>
    <n v="10227.118578237156"/>
  </r>
  <r>
    <x v="7"/>
    <x v="7"/>
    <n v="0.39984676499999999"/>
    <n v="0.450333333"/>
    <n v="9"/>
    <n v="20.445859872611464"/>
    <n v="328.3224964689702"/>
  </r>
  <r>
    <x v="7"/>
    <x v="1"/>
    <n v="0.590536375"/>
    <n v="0.61247410899999999"/>
    <n v="7"/>
    <n v="52.821019108280254"/>
    <n v="2191.3080466077167"/>
  </r>
  <r>
    <x v="7"/>
    <x v="24"/>
    <n v="0.48464433800000001"/>
    <n v="0.62688577999999995"/>
    <n v="7"/>
    <n v="10"/>
    <n v="78.539816339744831"/>
  </r>
  <r>
    <x v="7"/>
    <x v="9"/>
    <n v="0.40238543599999999"/>
    <n v="0.40883333300000002"/>
    <n v="6"/>
    <n v="10.318471337579616"/>
    <n v="83.622010630056508"/>
  </r>
  <r>
    <x v="7"/>
    <x v="9"/>
    <n v="0.40238543599999999"/>
    <n v="0.40883333300000002"/>
    <n v="8"/>
    <n v="11.687898089171975"/>
    <n v="107.29085686015551"/>
  </r>
  <r>
    <x v="7"/>
    <x v="9"/>
    <n v="0.40238543599999999"/>
    <n v="0.40883333300000002"/>
    <n v="7"/>
    <n v="12.579617834394904"/>
    <n v="124.28673419214456"/>
  </r>
  <r>
    <x v="8"/>
    <x v="22"/>
    <n v="0.40257753800000001"/>
    <n v="0.40843333300000001"/>
    <n v="8"/>
    <n v="11.942675159235668"/>
    <n v="112.01936866380598"/>
  </r>
  <r>
    <x v="8"/>
    <x v="10"/>
    <n v="0.31264018999999998"/>
    <n v="0.356821212"/>
    <n v="4.5"/>
    <n v="12.834394904458597"/>
    <n v="129.37211481116489"/>
  </r>
  <r>
    <x v="8"/>
    <x v="27"/>
    <n v="0.64800000000000002"/>
    <n v="0.66733333299999997"/>
    <n v="7"/>
    <n v="9.1082802547770694"/>
    <n v="65.157235763375468"/>
  </r>
  <r>
    <x v="8"/>
    <x v="13"/>
    <n v="0.56572270000000002"/>
    <n v="0.61247410899999999"/>
    <n v="8"/>
    <n v="31.370063694267515"/>
    <n v="772.89532849617251"/>
  </r>
  <r>
    <x v="8"/>
    <x v="11"/>
    <n v="0.6"/>
    <n v="0.51040266700000003"/>
    <n v="6"/>
    <n v="80.32101910828024"/>
    <n v="5066.9696344804015"/>
  </r>
  <r>
    <x v="8"/>
    <x v="29"/>
    <n v="0.490852183"/>
    <n v="0.607288889"/>
    <n v="6"/>
    <n v="6.7515923566878975"/>
    <n v="35.801589370496679"/>
  </r>
  <r>
    <x v="8"/>
    <x v="15"/>
    <n v="0.45255480399999998"/>
    <n v="0.57808694400000005"/>
    <n v="6"/>
    <n v="19.962420382165604"/>
    <n v="312.97977600687028"/>
  </r>
  <r>
    <x v="8"/>
    <x v="15"/>
    <n v="0.45255480399999998"/>
    <n v="0.57808694400000005"/>
    <n v="7"/>
    <n v="29.359872611464969"/>
    <n v="677.01488170535072"/>
  </r>
  <r>
    <x v="8"/>
    <x v="7"/>
    <n v="0.39984676499999999"/>
    <n v="0.450333333"/>
    <n v="8"/>
    <n v="19.840764331210188"/>
    <n v="309.17664384081314"/>
  </r>
  <r>
    <x v="8"/>
    <x v="17"/>
    <n v="0.56023871300000005"/>
    <n v="0.74103703700000001"/>
    <n v="6"/>
    <n v="7.484076433121019"/>
    <n v="43.991250733928432"/>
  </r>
  <r>
    <x v="8"/>
    <x v="30"/>
    <n v="0.50857142899999996"/>
    <n v="0.49666666700000001"/>
    <n v="6"/>
    <n v="8.503184713375795"/>
    <n v="56.78754682790445"/>
  </r>
  <r>
    <x v="8"/>
    <x v="30"/>
    <n v="0.50857142899999996"/>
    <n v="0.49666666700000001"/>
    <n v="8"/>
    <n v="60.440127388535032"/>
    <n v="2869.0665584865874"/>
  </r>
  <r>
    <x v="8"/>
    <x v="4"/>
    <n v="0.39"/>
    <n v="0.28861111099999998"/>
    <n v="6"/>
    <n v="12.802547770700638"/>
    <n v="128.73086615854726"/>
  </r>
  <r>
    <x v="8"/>
    <x v="31"/>
    <n v="0.65716857299999998"/>
    <n v="0.85527777800000004"/>
    <n v="5"/>
    <n v="7.484076433121019"/>
    <n v="43.991250733928432"/>
  </r>
  <r>
    <x v="8"/>
    <x v="32"/>
    <n v="0.84850681500000003"/>
    <n v="0.85527777800000004"/>
    <n v="10"/>
    <n v="14.840764331210192"/>
    <n v="172.98259926440858"/>
  </r>
  <r>
    <x v="8"/>
    <x v="9"/>
    <n v="0.40238543599999999"/>
    <n v="0.40883333300000002"/>
    <n v="8"/>
    <n v="11.847133757961783"/>
    <n v="110.2342280047796"/>
  </r>
  <r>
    <x v="8"/>
    <x v="9"/>
    <n v="0.40238543599999999"/>
    <n v="0.40883333300000002"/>
    <n v="8"/>
    <n v="14.203821656050955"/>
    <n v="158.45294035292184"/>
  </r>
  <r>
    <x v="8"/>
    <x v="9"/>
    <n v="0.40238543599999999"/>
    <n v="0.40883333300000002"/>
    <n v="8"/>
    <n v="14.808917197452228"/>
    <n v="172.24098125746809"/>
  </r>
  <r>
    <x v="8"/>
    <x v="19"/>
    <n v="0.98708677300000003"/>
    <n v="0.60285714300000004"/>
    <n v="7"/>
    <n v="44.022292993630572"/>
    <n v="1522.0720157730859"/>
  </r>
  <r>
    <x v="9"/>
    <x v="0"/>
    <n v="0.80908761900000004"/>
    <n v="0.87473809499999999"/>
    <n v="6"/>
    <n v="7.1019108280254777"/>
    <n v="39.613235088230461"/>
  </r>
  <r>
    <x v="9"/>
    <x v="0"/>
    <n v="0.80908761900000004"/>
    <n v="0.87473809499999999"/>
    <n v="8"/>
    <n v="6.5605095541401273"/>
    <n v="33.803761270167257"/>
  </r>
  <r>
    <x v="9"/>
    <x v="0"/>
    <n v="0.80908761900000004"/>
    <n v="0.87473809499999999"/>
    <n v="7"/>
    <n v="8.4713375796178347"/>
    <n v="56.362968527475616"/>
  </r>
  <r>
    <x v="9"/>
    <x v="0"/>
    <n v="0.80908761900000004"/>
    <n v="0.87473809499999999"/>
    <n v="8"/>
    <n v="11.273885350318471"/>
    <n v="99.824492113589415"/>
  </r>
  <r>
    <x v="9"/>
    <x v="0"/>
    <n v="0.80908761900000004"/>
    <n v="0.87473809499999999"/>
    <n v="8"/>
    <n v="13.471337579617833"/>
    <n v="142.53165237792811"/>
  </r>
  <r>
    <x v="9"/>
    <x v="0"/>
    <n v="0.80908761900000004"/>
    <n v="0.87473809499999999"/>
    <n v="8"/>
    <n v="14.458598726114648"/>
    <n v="164.18833202850868"/>
  </r>
  <r>
    <x v="9"/>
    <x v="6"/>
    <n v="0.6"/>
    <n v="0.66674999999999995"/>
    <n v="6.5"/>
    <n v="4.8726114649681529"/>
    <n v="18.647192185251804"/>
  </r>
  <r>
    <x v="9"/>
    <x v="15"/>
    <n v="0.45255480399999998"/>
    <n v="0.57808694400000005"/>
    <n v="3"/>
    <n v="4.2675159235668794"/>
    <n v="14.303429573171918"/>
  </r>
  <r>
    <x v="9"/>
    <x v="33"/>
    <n v="0.43538739399999998"/>
    <n v="0.568333333"/>
    <n v="2"/>
    <n v="4.2038216560509554"/>
    <n v="13.879647854920218"/>
  </r>
  <r>
    <x v="9"/>
    <x v="16"/>
    <n v="0.56572270000000002"/>
    <n v="0.61247410899999999"/>
    <n v="4.5"/>
    <n v="5.8280254777070066"/>
    <n v="26.676740531073417"/>
  </r>
  <r>
    <x v="9"/>
    <x v="23"/>
    <n v="0.85750000000000004"/>
    <n v="0.61247410899999999"/>
    <n v="5"/>
    <n v="5.5732484076433115"/>
    <n v="24.395329175673304"/>
  </r>
  <r>
    <x v="9"/>
    <x v="9"/>
    <n v="0.40238543599999999"/>
    <n v="0.40883333300000002"/>
    <n v="7"/>
    <n v="12.32484076433121"/>
    <n v="119.30331609180131"/>
  </r>
  <r>
    <x v="9"/>
    <x v="19"/>
    <n v="0.98708677300000003"/>
    <n v="0.60285714300000004"/>
    <n v="9"/>
    <n v="17.67515923566879"/>
    <n v="245.36722512120065"/>
  </r>
  <r>
    <x v="9"/>
    <x v="19"/>
    <n v="0.98708677300000003"/>
    <n v="0.60285714300000004"/>
    <n v="8"/>
    <n v="46.465605095541399"/>
    <n v="1695.7158343239264"/>
  </r>
  <r>
    <x v="9"/>
    <x v="19"/>
    <n v="0.98708677300000003"/>
    <n v="0.60285714300000004"/>
    <n v="10"/>
    <n v="88.566242038216558"/>
    <n v="6160.64688000522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33">
  <r>
    <s v="REGUA_PV1"/>
    <x v="0"/>
    <n v="0.78445916699999996"/>
    <n v="0.87841666699999998"/>
    <n v="3"/>
    <n v="4.1401273885350314"/>
    <n v="13.462238794085838"/>
  </r>
  <r>
    <s v="REGUA_PV1"/>
    <x v="1"/>
    <n v="0.64800000000000002"/>
    <n v="0.66733333299999997"/>
    <n v="4.5"/>
    <n v="4.7770700636942669"/>
    <n v="17.923098986208956"/>
  </r>
  <r>
    <s v="REGUA_PV1"/>
    <x v="2"/>
    <n v="0.6"/>
    <n v="0.66674999999999995"/>
    <n v="3"/>
    <n v="9.872611464968152"/>
    <n v="76.55154722554137"/>
  </r>
  <r>
    <s v="REGUA_PV1"/>
    <x v="2"/>
    <n v="0.6"/>
    <n v="0.66674999999999995"/>
    <n v="7"/>
    <n v="13.694267515923567"/>
    <n v="147.28804455777941"/>
  </r>
  <r>
    <s v="REGUA_PV1"/>
    <x v="3"/>
    <n v="0.83069230800000005"/>
    <n v="0.78683697699999999"/>
    <n v="5.5"/>
    <n v="13.375796178343949"/>
    <n v="140.51709605187824"/>
  </r>
  <r>
    <s v="REGUA_PV1"/>
    <x v="3"/>
    <n v="0.83069230800000005"/>
    <n v="0.78683697699999999"/>
    <n v="5.5"/>
    <n v="11.146496815286623"/>
    <n v="97.581316702693215"/>
  </r>
  <r>
    <s v="REGUA_PV1"/>
    <x v="4"/>
    <n v="0.39790071399999999"/>
    <n v="0.50565277799999997"/>
    <n v="8"/>
    <n v="21.97452229299363"/>
    <n v="379.25277454818155"/>
  </r>
  <r>
    <s v="REGUA_PV1"/>
    <x v="5"/>
    <n v="0.9"/>
    <n v="0.61247410899999999"/>
    <n v="3"/>
    <n v="3.1847133757961781"/>
    <n v="7.9658217716484252"/>
  </r>
  <r>
    <s v="REGUA_PV1"/>
    <x v="6"/>
    <n v="0.89361000000000002"/>
    <n v="0.61247410899999999"/>
    <n v="5.5"/>
    <n v="8.9171974522292992"/>
    <n v="62.452042689723655"/>
  </r>
  <r>
    <s v="REGUA_PV1"/>
    <x v="6"/>
    <n v="0.89361000000000002"/>
    <n v="0.61247410899999999"/>
    <n v="4.5"/>
    <n v="9.872611464968152"/>
    <n v="76.55154722554137"/>
  </r>
  <r>
    <s v="REGUA_PV1"/>
    <x v="6"/>
    <n v="0.89361000000000002"/>
    <n v="0.61247410899999999"/>
    <n v="5"/>
    <n v="6.6878980891719744"/>
    <n v="35.12927401296956"/>
  </r>
  <r>
    <s v="REGUA_PV1"/>
    <x v="6"/>
    <n v="0.89361000000000002"/>
    <n v="0.61247410899999999"/>
    <n v="4.5"/>
    <n v="7.3248407643312099"/>
    <n v="42.139197172020175"/>
  </r>
  <r>
    <s v="REGUA_PV1"/>
    <x v="7"/>
    <n v="0.45255480399999998"/>
    <n v="0.57808694400000005"/>
    <n v="5.5"/>
    <n v="14.331210191082802"/>
    <n v="161.30789087588062"/>
  </r>
  <r>
    <s v="REGUA_PV1"/>
    <x v="8"/>
    <n v="0.62643652800000005"/>
    <n v="0.57808694400000005"/>
    <n v="6.5"/>
    <n v="12.420382165605096"/>
    <n v="121.16014914677258"/>
  </r>
  <r>
    <s v="REGUA_PV1"/>
    <x v="9"/>
    <n v="0.590536375"/>
    <n v="0.61247410899999999"/>
    <n v="9"/>
    <n v="15.286624203821656"/>
    <n v="183.53253361877975"/>
  </r>
  <r>
    <s v="REGUA_PV1"/>
    <x v="10"/>
    <n v="0.432770245"/>
    <n v="0.61247410899999999"/>
    <n v="6.5"/>
    <n v="21.019108280254777"/>
    <n v="346.99119637300544"/>
  </r>
  <r>
    <s v="REGUA_PV1"/>
    <x v="11"/>
    <n v="0.43836446099999998"/>
    <n v="0.58666666700000003"/>
    <n v="5.5"/>
    <n v="18.471337579617835"/>
    <n v="267.9702443982531"/>
  </r>
  <r>
    <s v="REGUA_PV1"/>
    <x v="11"/>
    <n v="0.43836446099999998"/>
    <n v="0.58666666700000003"/>
    <n v="5"/>
    <n v="21.97452229299363"/>
    <n v="379.25277454818155"/>
  </r>
  <r>
    <s v="REGUA_PV2"/>
    <x v="12"/>
    <n v="0.80908761900000004"/>
    <n v="0.87473809499999999"/>
    <n v="15"/>
    <n v="34.394904458598724"/>
    <n v="929.1334514450723"/>
  </r>
  <r>
    <s v="REGUA_PV2"/>
    <x v="13"/>
    <n v="0.41"/>
    <n v="0.33983503399999998"/>
    <n v="6"/>
    <n v="24.68152866242038"/>
    <n v="478.44717015963357"/>
  </r>
  <r>
    <s v="REGUA_PV2"/>
    <x v="14"/>
    <n v="0.31264018999999998"/>
    <n v="0.356821212"/>
    <n v="15"/>
    <n v="6.6878980891719744"/>
    <n v="35.12927401296956"/>
  </r>
  <r>
    <s v="REGUA_PV2"/>
    <x v="15"/>
    <n v="0.766138345"/>
    <n v="0.90500000000000003"/>
    <n v="11"/>
    <n v="25.477707006369425"/>
    <n v="509.81259338549921"/>
  </r>
  <r>
    <s v="REGUA_PV2"/>
    <x v="2"/>
    <n v="0.6"/>
    <n v="0.66674999999999995"/>
    <n v="5.5"/>
    <n v="8.4394904458598727"/>
    <n v="55.939983391401071"/>
  </r>
  <r>
    <s v="REGUA_PV2"/>
    <x v="2"/>
    <n v="0.6"/>
    <n v="0.66674999999999995"/>
    <n v="3.5"/>
    <n v="8.598726114649681"/>
    <n v="58.070840715317019"/>
  </r>
  <r>
    <s v="REGUA_PV2"/>
    <x v="2"/>
    <n v="0.6"/>
    <n v="0.66674999999999995"/>
    <n v="2.5"/>
    <n v="4.936305732484076"/>
    <n v="19.137886806385342"/>
  </r>
  <r>
    <s v="REGUA_PV2"/>
    <x v="16"/>
    <n v="0.63206279899999995"/>
    <n v="0.75690909100000003"/>
    <n v="2.5"/>
    <n v="2.8662420382165603"/>
    <n v="6.4523156350352249"/>
  </r>
  <r>
    <s v="REGUA_PV2"/>
    <x v="16"/>
    <n v="0.63206279899999995"/>
    <n v="0.75690909100000003"/>
    <n v="4.5"/>
    <n v="6.8471337579617835"/>
    <n v="36.822011139444854"/>
  </r>
  <r>
    <s v="REGUA_PV2"/>
    <x v="16"/>
    <n v="0.63206279899999995"/>
    <n v="0.75690909100000003"/>
    <n v="2.5"/>
    <n v="4.1401273885350314"/>
    <n v="13.462238794085838"/>
  </r>
  <r>
    <s v="REGUA_PV2"/>
    <x v="6"/>
    <n v="0.89361000000000002"/>
    <n v="0.61247410899999999"/>
    <n v="7"/>
    <n v="15.605095541401273"/>
    <n v="191.25938073727869"/>
  </r>
  <r>
    <s v="REGUA_PV2"/>
    <x v="6"/>
    <n v="0.89361000000000002"/>
    <n v="0.61247410899999999"/>
    <n v="4.5"/>
    <n v="6.5286624203821653"/>
    <n v="33.476365995352509"/>
  </r>
  <r>
    <s v="REGUA_PV2"/>
    <x v="17"/>
    <n v="0.708787469"/>
    <n v="0.80167708299999996"/>
    <n v="4"/>
    <n v="8.2802547770700627"/>
    <n v="53.848955176343352"/>
  </r>
  <r>
    <s v="REGUA_PV2"/>
    <x v="17"/>
    <n v="0.708787469"/>
    <n v="0.80167708299999996"/>
    <n v="4"/>
    <n v="4.7770700636942669"/>
    <n v="17.923098986208956"/>
  </r>
  <r>
    <s v="REGUA_PV2"/>
    <x v="8"/>
    <n v="0.62643652800000005"/>
    <n v="0.57808694400000005"/>
    <n v="10"/>
    <n v="15.127388535031846"/>
    <n v="179.7288537228176"/>
  </r>
  <r>
    <s v="REGUA_PV2"/>
    <x v="8"/>
    <n v="0.62643652800000005"/>
    <n v="0.57808694400000005"/>
    <n v="3"/>
    <n v="9.872611464968152"/>
    <n v="76.55154722554137"/>
  </r>
  <r>
    <s v="REGUA_PV2"/>
    <x v="18"/>
    <n v="0.63400000000000001"/>
    <n v="0.73247777800000002"/>
    <n v="9"/>
    <n v="11.146496815286623"/>
    <n v="97.581316702693215"/>
  </r>
  <r>
    <s v="REGUA_PV2"/>
    <x v="19"/>
    <n v="0.39"/>
    <n v="0.28861111099999998"/>
    <n v="12"/>
    <n v="15.923566878980891"/>
    <n v="199.14554429121063"/>
  </r>
  <r>
    <s v="REGUA_PV2"/>
    <x v="20"/>
    <n v="0.56000000000000005"/>
    <n v="0.53945833300000001"/>
    <n v="6"/>
    <n v="10.031847133757962"/>
    <n v="79.040866529181514"/>
  </r>
  <r>
    <s v="REGUA_PV2"/>
    <x v="21"/>
    <n v="0.40238543599999999"/>
    <n v="0.40883333300000002"/>
    <n v="10"/>
    <n v="15.445859872611464"/>
    <n v="187.37604262360011"/>
  </r>
  <r>
    <s v="REGUA_PV2"/>
    <x v="21"/>
    <n v="0.40238543599999999"/>
    <n v="0.40883333300000002"/>
    <n v="11"/>
    <n v="12.579617834394904"/>
    <n v="124.28673419214456"/>
  </r>
  <r>
    <s v="REGUA_PV3"/>
    <x v="14"/>
    <n v="0.31264018999999998"/>
    <n v="0.356821212"/>
    <n v="11"/>
    <n v="25.477707006369425"/>
    <n v="509.81259338549921"/>
  </r>
  <r>
    <s v="REGUA_PV3"/>
    <x v="15"/>
    <n v="0.766138345"/>
    <n v="0.90500000000000003"/>
    <n v="6"/>
    <n v="11.146496815286623"/>
    <n v="97.581316702693215"/>
  </r>
  <r>
    <s v="REGUA_PV3"/>
    <x v="15"/>
    <n v="0.766138345"/>
    <n v="0.90500000000000003"/>
    <n v="7"/>
    <n v="7.6433121019108281"/>
    <n v="45.883133404694938"/>
  </r>
  <r>
    <s v="REGUA_PV3"/>
    <x v="2"/>
    <n v="0.6"/>
    <n v="0.66674999999999995"/>
    <n v="3.5"/>
    <n v="5.0955414012738851"/>
    <n v="20.392503735419968"/>
  </r>
  <r>
    <s v="REGUA_PV3"/>
    <x v="2"/>
    <n v="0.6"/>
    <n v="0.66674999999999995"/>
    <n v="8"/>
    <n v="13.057324840764331"/>
    <n v="133.90546398141004"/>
  </r>
  <r>
    <s v="REGUA_PV3"/>
    <x v="2"/>
    <n v="0.6"/>
    <n v="0.66674999999999995"/>
    <n v="3"/>
    <n v="5.4140127388535033"/>
    <n v="23.021224920063954"/>
  </r>
  <r>
    <s v="REGUA_PV3"/>
    <x v="6"/>
    <n v="0.89361000000000002"/>
    <n v="0.61247410899999999"/>
    <n v="6.5"/>
    <n v="7.0063694267515917"/>
    <n v="38.554577374778376"/>
  </r>
  <r>
    <s v="REGUA_PV3"/>
    <x v="17"/>
    <n v="0.708787469"/>
    <n v="0.80167708299999996"/>
    <n v="6.5"/>
    <n v="6.0509554140127388"/>
    <n v="28.756616595650822"/>
  </r>
  <r>
    <s v="REGUA_PV3"/>
    <x v="8"/>
    <n v="0.62643652800000005"/>
    <n v="0.57808694400000005"/>
    <n v="8"/>
    <n v="20.700636942675157"/>
    <n v="336.55596985214595"/>
  </r>
  <r>
    <s v="REGUA_PV3"/>
    <x v="22"/>
    <n v="0.74387999999999999"/>
    <n v="0.59130000000000005"/>
    <n v="12"/>
    <n v="14.012738853503183"/>
    <n v="154.2183094991135"/>
  </r>
  <r>
    <s v="REGUA_PV3"/>
    <x v="10"/>
    <n v="0.432770245"/>
    <n v="0.61247410899999999"/>
    <n v="5"/>
    <n v="18.949044585987259"/>
    <n v="282.01000527078338"/>
  </r>
  <r>
    <s v="REGUA_PV3"/>
    <x v="20"/>
    <n v="0.56000000000000005"/>
    <n v="0.53945833300000001"/>
    <n v="5.5"/>
    <n v="5.7324840764331206"/>
    <n v="25.809262540140899"/>
  </r>
  <r>
    <s v="REGUA_PV3"/>
    <x v="11"/>
    <n v="0.43836446099999998"/>
    <n v="0.58666666700000003"/>
    <n v="3.5"/>
    <n v="5.0955414012738851"/>
    <n v="20.392503735419968"/>
  </r>
  <r>
    <s v="REGUA_PV4"/>
    <x v="23"/>
    <n v="0.86"/>
    <n v="0.65666666699999998"/>
    <n v="9"/>
    <n v="6.6878980891719744"/>
    <n v="35.12927401296956"/>
  </r>
  <r>
    <s v="REGUA_PV4"/>
    <x v="23"/>
    <n v="0.86"/>
    <n v="0.65666666699999998"/>
    <n v="11"/>
    <n v="34.235668789808919"/>
    <n v="920.55027848612133"/>
  </r>
  <r>
    <s v="REGUA_PV4"/>
    <x v="23"/>
    <n v="0.86"/>
    <n v="0.65666666699999998"/>
    <n v="7"/>
    <n v="5.7324840764331206"/>
    <n v="25.809262540140899"/>
  </r>
  <r>
    <s v="REGUA_PV4"/>
    <x v="23"/>
    <n v="0.86"/>
    <n v="0.65666666699999998"/>
    <n v="11"/>
    <n v="7.3248407643312099"/>
    <n v="42.139197172020175"/>
  </r>
  <r>
    <s v="REGUA_PV4"/>
    <x v="23"/>
    <n v="0.86"/>
    <n v="0.65666666699999998"/>
    <n v="10"/>
    <n v="5.7324840764331206"/>
    <n v="25.809262540140899"/>
  </r>
  <r>
    <s v="REGUA_PV4"/>
    <x v="14"/>
    <n v="0.31264018999999998"/>
    <n v="0.356821212"/>
    <n v="13"/>
    <n v="16.878980891719745"/>
    <n v="223.75993356560429"/>
  </r>
  <r>
    <s v="REGUA_PV4"/>
    <x v="14"/>
    <n v="0.31264018999999998"/>
    <n v="0.356821212"/>
    <n v="15"/>
    <n v="24.840764331210192"/>
    <n v="484.64059658709033"/>
  </r>
  <r>
    <s v="REGUA_PV4"/>
    <x v="14"/>
    <n v="0.31264018999999998"/>
    <n v="0.356821212"/>
    <n v="15.5"/>
    <n v="27.070063694267514"/>
    <n v="575.53062300159877"/>
  </r>
  <r>
    <s v="REGUA_PV4"/>
    <x v="14"/>
    <n v="0.31264018999999998"/>
    <n v="0.356821212"/>
    <n v="15.5"/>
    <n v="31.847133757961782"/>
    <n v="796.58217716484251"/>
  </r>
  <r>
    <s v="REGUA_PV4"/>
    <x v="15"/>
    <n v="0.766138345"/>
    <n v="0.90500000000000003"/>
    <n v="12"/>
    <n v="32.165605095541402"/>
    <n v="812.59347892585606"/>
  </r>
  <r>
    <s v="REGUA_PV4"/>
    <x v="2"/>
    <n v="0.6"/>
    <n v="0.66674999999999995"/>
    <n v="10"/>
    <n v="8.9171974522292992"/>
    <n v="62.452042689723655"/>
  </r>
  <r>
    <s v="REGUA_PV4"/>
    <x v="3"/>
    <n v="0.83069230800000005"/>
    <n v="0.78683697699999999"/>
    <n v="8"/>
    <n v="7.6433121019108281"/>
    <n v="45.883133404694938"/>
  </r>
  <r>
    <s v="REGUA_PV4"/>
    <x v="6"/>
    <n v="0.89361000000000002"/>
    <n v="0.61247410899999999"/>
    <n v="3"/>
    <n v="3.1847133757961781"/>
    <n v="7.9658217716484252"/>
  </r>
  <r>
    <s v="REGUA_PV4"/>
    <x v="8"/>
    <n v="0.62643652800000005"/>
    <n v="0.57808694400000005"/>
    <n v="11"/>
    <n v="15.923566878980891"/>
    <n v="199.14554429121063"/>
  </r>
  <r>
    <s v="REGUA_PV4"/>
    <x v="8"/>
    <n v="0.62643652800000005"/>
    <n v="0.57808694400000005"/>
    <n v="4"/>
    <n v="5.7324840764331206"/>
    <n v="25.809262540140899"/>
  </r>
  <r>
    <s v="REGUA_PV4"/>
    <x v="24"/>
    <n v="0.56023871300000005"/>
    <n v="0.74103703700000001"/>
    <n v="11"/>
    <n v="9.0764331210191074"/>
    <n v="64.702387340214344"/>
  </r>
  <r>
    <s v="REGUA_PV4"/>
    <x v="10"/>
    <n v="0.432770245"/>
    <n v="0.61247410899999999"/>
    <n v="10"/>
    <n v="21.337579617834393"/>
    <n v="357.58573932929778"/>
  </r>
  <r>
    <s v="REGUA_PV4"/>
    <x v="11"/>
    <n v="0.43836446099999998"/>
    <n v="0.58666666700000003"/>
    <n v="4"/>
    <n v="9.2356687898089174"/>
    <n v="66.992561099563275"/>
  </r>
  <r>
    <s v="REGUA_PV5"/>
    <x v="14"/>
    <n v="0.31264018999999998"/>
    <n v="0.356821212"/>
    <n v="14"/>
    <n v="25.477707006369425"/>
    <n v="509.81259338549921"/>
  </r>
  <r>
    <s v="REGUA_PV5"/>
    <x v="14"/>
    <n v="0.31264018999999998"/>
    <n v="0.356821212"/>
    <n v="13"/>
    <n v="21.97452229299363"/>
    <n v="379.25277454818155"/>
  </r>
  <r>
    <s v="REGUA_PV5"/>
    <x v="14"/>
    <n v="0.31264018999999998"/>
    <n v="0.356821212"/>
    <n v="13"/>
    <n v="28.662420382165603"/>
    <n v="645.23156350352247"/>
  </r>
  <r>
    <s v="REGUA_PV5"/>
    <x v="15"/>
    <n v="0.766138345"/>
    <n v="0.90500000000000003"/>
    <n v="9"/>
    <n v="21.656050955414013"/>
    <n v="368.33959872102326"/>
  </r>
  <r>
    <s v="REGUA_PV5"/>
    <x v="15"/>
    <n v="0.766138345"/>
    <n v="0.90500000000000003"/>
    <n v="11"/>
    <n v="15.605095541401273"/>
    <n v="191.25938073727869"/>
  </r>
  <r>
    <s v="REGUA_PV5"/>
    <x v="15"/>
    <n v="0.766138345"/>
    <n v="0.90500000000000003"/>
    <n v="6.5"/>
    <n v="9.872611464968152"/>
    <n v="76.55154722554137"/>
  </r>
  <r>
    <s v="REGUA_PV5"/>
    <x v="4"/>
    <n v="0.39790071399999999"/>
    <n v="0.50565277799999997"/>
    <n v="13"/>
    <n v="9.0764331210191074"/>
    <n v="64.702387340214344"/>
  </r>
  <r>
    <s v="REGUA_PV5"/>
    <x v="8"/>
    <n v="0.62643652800000005"/>
    <n v="0.57808694400000005"/>
    <n v="13"/>
    <n v="15.923566878980891"/>
    <n v="199.14554429121063"/>
  </r>
  <r>
    <s v="REGUA_PV5"/>
    <x v="8"/>
    <n v="0.62643652800000005"/>
    <n v="0.57808694400000005"/>
    <n v="5"/>
    <n v="5.7324840764331206"/>
    <n v="25.809262540140899"/>
  </r>
  <r>
    <s v="REGUA_PV5"/>
    <x v="8"/>
    <n v="0.62643652800000005"/>
    <n v="0.57808694400000005"/>
    <n v="12"/>
    <n v="19.745222929936304"/>
    <n v="306.20618890216548"/>
  </r>
  <r>
    <s v="REGUA_PV5"/>
    <x v="8"/>
    <n v="0.62643652800000005"/>
    <n v="0.57808694400000005"/>
    <n v="6"/>
    <n v="13.694267515923567"/>
    <n v="147.28804455777941"/>
  </r>
  <r>
    <s v="REGUA_PV5"/>
    <x v="8"/>
    <n v="0.62643652800000005"/>
    <n v="0.57808694400000005"/>
    <n v="4.5"/>
    <n v="13.694267515923567"/>
    <n v="147.28804455777941"/>
  </r>
  <r>
    <s v="REGUA_PV5"/>
    <x v="18"/>
    <n v="0.63400000000000001"/>
    <n v="0.73247777800000002"/>
    <n v="10"/>
    <n v="14.808917197452228"/>
    <n v="172.24098125746809"/>
  </r>
  <r>
    <s v="REGUA_PV5"/>
    <x v="10"/>
    <n v="0.432770245"/>
    <n v="0.61247410899999999"/>
    <n v="13"/>
    <n v="29.29936305732484"/>
    <n v="674.2271547523228"/>
  </r>
  <r>
    <s v="REGUA_PV5"/>
    <x v="10"/>
    <n v="0.432770245"/>
    <n v="0.61247410899999999"/>
    <n v="12"/>
    <n v="27.388535031847134"/>
    <n v="589.15217823111766"/>
  </r>
  <r>
    <s v="REGUA_PV5"/>
    <x v="10"/>
    <n v="0.432770245"/>
    <n v="0.61247410899999999"/>
    <n v="11"/>
    <n v="21.019108280254777"/>
    <n v="346.99119637300544"/>
  </r>
  <r>
    <s v="REGUA_PV5"/>
    <x v="10"/>
    <n v="0.432770245"/>
    <n v="0.61247410899999999"/>
    <n v="8"/>
    <n v="16.560509554140125"/>
    <n v="215.39582070537341"/>
  </r>
  <r>
    <s v="REGUA_PV5"/>
    <x v="11"/>
    <n v="0.43836446099999998"/>
    <n v="0.58666666700000003"/>
    <n v="6"/>
    <n v="12.420382165605096"/>
    <n v="121.16014914677258"/>
  </r>
  <r>
    <s v="REGUA1"/>
    <x v="12"/>
    <n v="0.80908761900000004"/>
    <n v="0.87473809499999999"/>
    <n v="7"/>
    <n v="15.286624203821656"/>
    <n v="183.53253361877975"/>
  </r>
  <r>
    <s v="REGUA1"/>
    <x v="13"/>
    <n v="0.41"/>
    <n v="0.33983503399999998"/>
    <n v="7"/>
    <n v="9.872611464968152"/>
    <n v="76.55154722554137"/>
  </r>
  <r>
    <s v="REGUA1"/>
    <x v="15"/>
    <n v="0.766138345"/>
    <n v="0.90500000000000003"/>
    <n v="4"/>
    <n v="5.8917197452229297"/>
    <n v="27.263025013466741"/>
  </r>
  <r>
    <s v="REGUA1"/>
    <x v="2"/>
    <n v="0.6"/>
    <n v="0.66674999999999995"/>
    <n v="8"/>
    <n v="21.019108280254777"/>
    <n v="346.99119637300544"/>
  </r>
  <r>
    <s v="REGUA1"/>
    <x v="2"/>
    <n v="0.6"/>
    <n v="0.66674999999999995"/>
    <n v="8"/>
    <n v="10.987261146496815"/>
    <n v="94.813193637045387"/>
  </r>
  <r>
    <s v="REGUA1"/>
    <x v="2"/>
    <n v="0.6"/>
    <n v="0.66674999999999995"/>
    <n v="6.5"/>
    <n v="8.2802547770700627"/>
    <n v="53.848955176343352"/>
  </r>
  <r>
    <s v="REGUA1"/>
    <x v="25"/>
    <n v="0.47982689899999997"/>
    <n v="0.51"/>
    <n v="1.2"/>
    <n v="2.0700636942675157"/>
    <n v="3.3655596985214595"/>
  </r>
  <r>
    <s v="REGUA1"/>
    <x v="26"/>
    <n v="0.490852183"/>
    <n v="0.607288889"/>
    <n v="6.5"/>
    <n v="20.541401273885349"/>
    <n v="331.39810025500361"/>
  </r>
  <r>
    <s v="REGUA1"/>
    <x v="6"/>
    <n v="0.89361000000000002"/>
    <n v="0.61247410899999999"/>
    <n v="5"/>
    <n v="4.2993630573248405"/>
    <n v="14.517710178829255"/>
  </r>
  <r>
    <s v="REGUA1"/>
    <x v="27"/>
    <n v="1082380952"/>
    <n v="0.61247410899999999"/>
    <n v="3"/>
    <n v="1.910828025477707"/>
    <n v="2.8676958377934336"/>
  </r>
  <r>
    <s v="REGUA1"/>
    <x v="28"/>
    <n v="0.85750000000000004"/>
    <n v="0.61247410899999999"/>
    <n v="8.6999999999999993"/>
    <n v="17.67515923566879"/>
    <n v="245.36722512120065"/>
  </r>
  <r>
    <s v="REGUA1"/>
    <x v="28"/>
    <n v="0.85750000000000004"/>
    <n v="0.61247410899999999"/>
    <n v="6"/>
    <n v="5.4140127388535033"/>
    <n v="23.021224920063954"/>
  </r>
  <r>
    <s v="REGUA1"/>
    <x v="28"/>
    <n v="0.85750000000000004"/>
    <n v="0.61247410899999999"/>
    <n v="6"/>
    <n v="4.4585987261146496"/>
    <n v="15.613010672430914"/>
  </r>
  <r>
    <s v="REGUA1"/>
    <x v="28"/>
    <n v="0.85750000000000004"/>
    <n v="0.61247410899999999"/>
    <n v="5.7"/>
    <n v="7.3248407643312099"/>
    <n v="42.139197172020175"/>
  </r>
  <r>
    <s v="REGUA1"/>
    <x v="28"/>
    <n v="0.85750000000000004"/>
    <n v="0.61247410899999999"/>
    <n v="5.5"/>
    <n v="5.4140127388535033"/>
    <n v="23.021224920063954"/>
  </r>
  <r>
    <s v="REGUA1"/>
    <x v="29"/>
    <n v="0.93384615400000004"/>
    <n v="0.61247410899999999"/>
    <n v="2"/>
    <n v="3.5031847133757958"/>
    <n v="9.6386443436945939"/>
  </r>
  <r>
    <s v="REGUA1"/>
    <x v="9"/>
    <n v="0.590536375"/>
    <n v="0.61247410899999999"/>
    <n v="8"/>
    <n v="18.789808917197451"/>
    <n v="277.29025587108168"/>
  </r>
  <r>
    <s v="REGUA1"/>
    <x v="30"/>
    <n v="0.50857142899999996"/>
    <n v="0.49666666700000001"/>
    <n v="10"/>
    <n v="47.452229299363054"/>
    <n v="1768.4920915236669"/>
  </r>
  <r>
    <s v="REGUA1"/>
    <x v="19"/>
    <n v="0.39"/>
    <n v="0.28861111099999998"/>
    <n v="8"/>
    <n v="20.859872611464969"/>
    <n v="341.75366855814667"/>
  </r>
  <r>
    <s v="REGUA1"/>
    <x v="31"/>
    <n v="1.1200000000000001"/>
    <n v="0.85527777800000004"/>
    <n v="2.5"/>
    <n v="1.910828025477707"/>
    <n v="2.8676958377934336"/>
  </r>
  <r>
    <s v="REGUA1"/>
    <x v="32"/>
    <n v="0.66608171000000005"/>
    <n v="0.68661666700000001"/>
    <n v="6.5"/>
    <n v="4.4585987261146496"/>
    <n v="15.613010672430914"/>
  </r>
  <r>
    <s v="REGUA1"/>
    <x v="33"/>
    <n v="0.57917600000000002"/>
    <n v="0.60285714300000004"/>
    <n v="10"/>
    <n v="35.031847133757964"/>
    <n v="963.86443436945979"/>
  </r>
  <r>
    <s v="REGUA1"/>
    <x v="34"/>
    <n v="0.41185709999999998"/>
    <n v="0.41185714299999998"/>
    <n v="2.8"/>
    <n v="2.7070063694267517"/>
    <n v="5.7553062300159885"/>
  </r>
  <r>
    <s v="REGUA2"/>
    <x v="2"/>
    <n v="0.6"/>
    <n v="0.66674999999999995"/>
    <n v="4"/>
    <n v="6.3694267515923562"/>
    <n v="31.863287086593701"/>
  </r>
  <r>
    <s v="REGUA2"/>
    <x v="26"/>
    <n v="0.490852183"/>
    <n v="0.607288889"/>
    <n v="2.5"/>
    <n v="5.2547770700636942"/>
    <n v="21.68694977331284"/>
  </r>
  <r>
    <s v="REGUA2"/>
    <x v="6"/>
    <n v="0.89361000000000002"/>
    <n v="0.61247410899999999"/>
    <n v="2.1"/>
    <n v="3.8216560509554141"/>
    <n v="11.470783351173734"/>
  </r>
  <r>
    <s v="REGUA2"/>
    <x v="17"/>
    <n v="0.708787469"/>
    <n v="0.80167708299999996"/>
    <n v="3.7"/>
    <n v="11.783439490445859"/>
    <n v="109.05210005386697"/>
  </r>
  <r>
    <s v="REGUA2"/>
    <x v="17"/>
    <n v="0.708787469"/>
    <n v="0.80167708299999996"/>
    <n v="2.2000000000000002"/>
    <n v="4.2993630573248405"/>
    <n v="14.517710178829255"/>
  </r>
  <r>
    <s v="REGUA2"/>
    <x v="35"/>
    <n v="0.13069240100000001"/>
    <n v="0.26500000000000001"/>
    <n v="6"/>
    <n v="12.738853503184712"/>
    <n v="127.4531483463748"/>
  </r>
  <r>
    <s v="REGUA2"/>
    <x v="35"/>
    <n v="0.13069240100000001"/>
    <n v="0.26500000000000001"/>
    <n v="4.5"/>
    <n v="12.101910828025478"/>
    <n v="115.02646638260329"/>
  </r>
  <r>
    <s v="REGUA2"/>
    <x v="35"/>
    <n v="0.13069240100000001"/>
    <n v="0.26500000000000001"/>
    <n v="4.5"/>
    <n v="9.5541401273885338"/>
    <n v="71.692395944835823"/>
  </r>
  <r>
    <s v="REGUA2"/>
    <x v="28"/>
    <n v="0.85750000000000004"/>
    <n v="0.61247410899999999"/>
    <n v="3.5"/>
    <n v="9.7133757961783438"/>
    <n v="74.102057030759482"/>
  </r>
  <r>
    <s v="REGUA2"/>
    <x v="24"/>
    <n v="0.56023871300000005"/>
    <n v="0.74103703700000001"/>
    <n v="6"/>
    <n v="7.9617834394904454"/>
    <n v="49.786386072802657"/>
  </r>
  <r>
    <s v="REGUA2"/>
    <x v="24"/>
    <n v="0.56023871300000005"/>
    <n v="0.74103703700000001"/>
    <n v="4.2"/>
    <n v="7.484076433121019"/>
    <n v="43.991250733928432"/>
  </r>
  <r>
    <s v="REGUA2"/>
    <x v="36"/>
    <n v="0.69835862100000001"/>
    <n v="0.69262500000000005"/>
    <n v="8.9"/>
    <n v="7.6433121019108281"/>
    <n v="45.883133404694938"/>
  </r>
  <r>
    <s v="REGUA2"/>
    <x v="36"/>
    <n v="0.69835862100000001"/>
    <n v="0.69262500000000005"/>
    <n v="7.2"/>
    <n v="4.936305732484076"/>
    <n v="19.137886806385342"/>
  </r>
  <r>
    <s v="REGUA2"/>
    <x v="11"/>
    <n v="0.43836446099999998"/>
    <n v="0.58666666700000003"/>
    <n v="2.7"/>
    <n v="10.668789808917197"/>
    <n v="89.396434832324445"/>
  </r>
  <r>
    <s v="REGUA2"/>
    <x v="11"/>
    <n v="0.43836446099999998"/>
    <n v="0.58666666700000003"/>
    <n v="1.9"/>
    <n v="6.3694267515923562"/>
    <n v="31.863287086593701"/>
  </r>
  <r>
    <s v="REGUA2"/>
    <x v="33"/>
    <n v="0.57917600000000002"/>
    <n v="0.60285714300000004"/>
    <n v="8"/>
    <n v="30.254777070063692"/>
    <n v="718.91541489127042"/>
  </r>
  <r>
    <s v="REGUA2"/>
    <x v="37"/>
    <n v="0.28577490700000002"/>
    <n v="0.3422"/>
    <n v="8"/>
    <n v="31.369426751592357"/>
    <n v="772.86394283975949"/>
  </r>
  <r>
    <s v="REGUA3"/>
    <x v="12"/>
    <n v="0.80908761900000004"/>
    <n v="0.87473809499999999"/>
    <n v="7"/>
    <n v="13.216560509554139"/>
    <n v="137.191365462215"/>
  </r>
  <r>
    <s v="REGUA3"/>
    <x v="38"/>
    <n v="0.57550000000000001"/>
    <n v="0.57550000000000001"/>
    <n v="3"/>
    <n v="2.3885350318471334"/>
    <n v="4.480774746552239"/>
  </r>
  <r>
    <s v="REGUA3"/>
    <x v="2"/>
    <n v="0.6"/>
    <n v="0.66674999999999995"/>
    <n v="8"/>
    <n v="15.445859872611464"/>
    <n v="187.37604262360011"/>
  </r>
  <r>
    <s v="REGUA3"/>
    <x v="39"/>
    <n v="0.81991655299999999"/>
    <n v="0.72276027399999998"/>
    <n v="2.2999999999999998"/>
    <n v="6.2101910828025479"/>
    <n v="30.290037286693146"/>
  </r>
  <r>
    <s v="REGUA3"/>
    <x v="25"/>
    <n v="0.47982689899999997"/>
    <n v="0.51"/>
    <n v="3.5"/>
    <n v="9.5541401273885338"/>
    <n v="71.692395944835823"/>
  </r>
  <r>
    <s v="REGUA3"/>
    <x v="25"/>
    <n v="0.47982689899999997"/>
    <n v="0.51"/>
    <n v="2.7"/>
    <n v="6.8471337579617835"/>
    <n v="36.822011139444854"/>
  </r>
  <r>
    <s v="REGUA3"/>
    <x v="26"/>
    <n v="0.490852183"/>
    <n v="0.607288889"/>
    <n v="4.7"/>
    <n v="7.0063694267515917"/>
    <n v="38.554577374778376"/>
  </r>
  <r>
    <s v="REGUA3"/>
    <x v="26"/>
    <n v="0.490852183"/>
    <n v="0.607288889"/>
    <n v="4.5"/>
    <n v="8.9171974522292992"/>
    <n v="62.452042689723655"/>
  </r>
  <r>
    <s v="REGUA3"/>
    <x v="7"/>
    <n v="0.45255480399999998"/>
    <n v="0.57808694400000005"/>
    <n v="5.7"/>
    <n v="12.420382165605096"/>
    <n v="121.16014914677258"/>
  </r>
  <r>
    <s v="REGUA3"/>
    <x v="35"/>
    <n v="0.13069240100000001"/>
    <n v="0.26500000000000001"/>
    <n v="7"/>
    <n v="27.547770700636942"/>
    <n v="596.02269950916434"/>
  </r>
  <r>
    <s v="REGUA3"/>
    <x v="27"/>
    <n v="1082380952"/>
    <n v="0.61247410899999999"/>
    <n v="3.7"/>
    <n v="5.4140127388535033"/>
    <n v="23.021224920063954"/>
  </r>
  <r>
    <s v="REGUA3"/>
    <x v="28"/>
    <n v="0.85750000000000004"/>
    <n v="0.61247410899999999"/>
    <n v="6"/>
    <n v="9.3949044585987256"/>
    <n v="69.322563967770421"/>
  </r>
  <r>
    <s v="REGUA3"/>
    <x v="28"/>
    <n v="0.85750000000000004"/>
    <n v="0.61247410899999999"/>
    <n v="3.5"/>
    <n v="4.7770700636942669"/>
    <n v="17.923098986208956"/>
  </r>
  <r>
    <s v="REGUA3"/>
    <x v="9"/>
    <n v="0.590536375"/>
    <n v="0.61247410899999999"/>
    <n v="10"/>
    <n v="42.834394904458598"/>
    <n v="1441.0370730456295"/>
  </r>
  <r>
    <s v="REGUA3"/>
    <x v="19"/>
    <n v="0.39"/>
    <n v="0.28861111099999998"/>
    <n v="7.5"/>
    <n v="16.401273885350317"/>
    <n v="211.27350793854535"/>
  </r>
  <r>
    <s v="REGUA3"/>
    <x v="21"/>
    <n v="0.40238543599999999"/>
    <n v="0.40883333300000002"/>
    <n v="9"/>
    <n v="16.082802547770701"/>
    <n v="203.14836973146402"/>
  </r>
  <r>
    <s v="REGUA3"/>
    <x v="37"/>
    <n v="0.28577490700000002"/>
    <n v="0.3422"/>
    <n v="8.5"/>
    <n v="27.70700636942675"/>
    <n v="602.93304989606929"/>
  </r>
  <r>
    <s v="REGUA4"/>
    <x v="12"/>
    <n v="0.80908761900000004"/>
    <n v="0.87473809499999999"/>
    <n v="4.5"/>
    <n v="12.738853503184712"/>
    <n v="127.4531483463748"/>
  </r>
  <r>
    <s v="REGUA4"/>
    <x v="12"/>
    <n v="0.80908761900000004"/>
    <n v="0.87473809499999999"/>
    <n v="3.7"/>
    <n v="6.0509554140127388"/>
    <n v="28.756616595650822"/>
  </r>
  <r>
    <s v="REGUA4"/>
    <x v="14"/>
    <n v="0.31264018999999998"/>
    <n v="0.356821212"/>
    <n v="5.7"/>
    <n v="49.681528662420384"/>
    <n v="1938.5623863483613"/>
  </r>
  <r>
    <s v="REGUA4"/>
    <x v="2"/>
    <n v="0.6"/>
    <n v="0.66674999999999995"/>
    <n v="7.5"/>
    <n v="15.764331210191083"/>
    <n v="195.18254795981557"/>
  </r>
  <r>
    <s v="REGUA4"/>
    <x v="3"/>
    <n v="0.83069230800000005"/>
    <n v="0.78683697699999999"/>
    <n v="5.7"/>
    <n v="17.834394904458598"/>
    <n v="249.80817075889462"/>
  </r>
  <r>
    <s v="REGUA4"/>
    <x v="39"/>
    <n v="0.81991655299999999"/>
    <n v="0.72276027399999998"/>
    <n v="1.7"/>
    <n v="2.2292993630573248"/>
    <n v="3.9032526681077284"/>
  </r>
  <r>
    <s v="REGUA4"/>
    <x v="39"/>
    <n v="0.81991655299999999"/>
    <n v="0.72276027399999998"/>
    <n v="1.7"/>
    <n v="5.0955414012738851"/>
    <n v="20.392503735419968"/>
  </r>
  <r>
    <s v="REGUA4"/>
    <x v="39"/>
    <n v="0.81991655299999999"/>
    <n v="0.72276027399999998"/>
    <n v="1.6"/>
    <n v="1.592356687898089"/>
    <n v="1.9914554429121063"/>
  </r>
  <r>
    <s v="REGUA4"/>
    <x v="6"/>
    <n v="0.89361000000000002"/>
    <n v="0.61247410899999999"/>
    <n v="3"/>
    <n v="3.9808917197452227"/>
    <n v="12.446596518200664"/>
  </r>
  <r>
    <s v="REGUA4"/>
    <x v="40"/>
    <n v="0.85449533600000005"/>
    <n v="0.81482857099999995"/>
    <n v="1.7"/>
    <n v="1.910828025477707"/>
    <n v="2.8676958377934336"/>
  </r>
  <r>
    <s v="REGUA4"/>
    <x v="28"/>
    <n v="0.85750000000000004"/>
    <n v="0.61247410899999999"/>
    <n v="6.8"/>
    <n v="20.700636942675157"/>
    <n v="336.55596985214595"/>
  </r>
  <r>
    <s v="REGUA4"/>
    <x v="28"/>
    <n v="0.85750000000000004"/>
    <n v="0.61247410899999999"/>
    <n v="2.2000000000000002"/>
    <n v="5.5732484076433115"/>
    <n v="24.395329175673304"/>
  </r>
  <r>
    <s v="REGUA4"/>
    <x v="24"/>
    <n v="0.56023871300000005"/>
    <n v="0.74103703700000001"/>
    <n v="6"/>
    <n v="8.4394904458598727"/>
    <n v="55.939983391401071"/>
  </r>
  <r>
    <s v="REGUA4"/>
    <x v="10"/>
    <n v="0.432770245"/>
    <n v="0.61247410899999999"/>
    <n v="5.5"/>
    <n v="18.789808917197451"/>
    <n v="277.29025587108168"/>
  </r>
  <r>
    <s v="REGUA4"/>
    <x v="21"/>
    <n v="0.40238543599999999"/>
    <n v="0.40883333300000002"/>
    <n v="9.5"/>
    <n v="15.445859872611464"/>
    <n v="187.37604262360011"/>
  </r>
  <r>
    <s v="REGUA4"/>
    <x v="41"/>
    <n v="0.77"/>
    <n v="0.77"/>
    <n v="5"/>
    <n v="5.5732484076433115"/>
    <n v="24.395329175673304"/>
  </r>
  <r>
    <s v="REGUA5"/>
    <x v="14"/>
    <n v="0.31264018999999998"/>
    <n v="0.356821212"/>
    <n v="5"/>
    <n v="17.834394904458598"/>
    <n v="249.80817075889462"/>
  </r>
  <r>
    <s v="REGUA5"/>
    <x v="2"/>
    <n v="0.6"/>
    <n v="0.66674999999999995"/>
    <n v="5.5"/>
    <n v="6.5286624203821653"/>
    <n v="33.476365995352509"/>
  </r>
  <r>
    <s v="REGUA5"/>
    <x v="2"/>
    <n v="0.6"/>
    <n v="0.66674999999999995"/>
    <n v="5"/>
    <n v="13.375796178343949"/>
    <n v="140.51709605187824"/>
  </r>
  <r>
    <s v="REGUA5"/>
    <x v="42"/>
    <n v="0.54247040000000002"/>
    <n v="0.54247042099999998"/>
    <n v="2.7"/>
    <n v="11.305732484076433"/>
    <n v="100.3892688771993"/>
  </r>
  <r>
    <s v="REGUA5"/>
    <x v="26"/>
    <n v="0.490852183"/>
    <n v="0.607288889"/>
    <n v="2.7"/>
    <n v="4.7770700636942669"/>
    <n v="17.923098986208956"/>
  </r>
  <r>
    <s v="REGUA5"/>
    <x v="28"/>
    <n v="0.85750000000000004"/>
    <n v="0.61247410899999999"/>
    <n v="6"/>
    <n v="17.993630573248407"/>
    <n v="254.28894550544686"/>
  </r>
  <r>
    <s v="REGUA5"/>
    <x v="28"/>
    <n v="0.85750000000000004"/>
    <n v="0.61247410899999999"/>
    <n v="5"/>
    <n v="18.949044585987259"/>
    <n v="282.01000527078338"/>
  </r>
  <r>
    <s v="REGUA5"/>
    <x v="19"/>
    <n v="0.39"/>
    <n v="0.28861111099999998"/>
    <n v="6"/>
    <n v="10.19108280254777"/>
    <n v="81.570014941679872"/>
  </r>
  <r>
    <s v="REGUA5"/>
    <x v="19"/>
    <n v="0.39"/>
    <n v="0.28861111099999998"/>
    <n v="6"/>
    <n v="17.834394904458598"/>
    <n v="249.80817075889462"/>
  </r>
  <r>
    <s v="REGUA5"/>
    <x v="19"/>
    <n v="0.39"/>
    <n v="0.28861111099999998"/>
    <n v="5.5"/>
    <n v="7.9617834394904454"/>
    <n v="49.786386072802657"/>
  </r>
  <r>
    <s v="REGUA5"/>
    <x v="11"/>
    <n v="0.43836446099999998"/>
    <n v="0.58666666700000003"/>
    <n v="5"/>
    <n v="11.146496815286623"/>
    <n v="97.581316702693215"/>
  </r>
  <r>
    <s v="REGUA5"/>
    <x v="11"/>
    <n v="0.43836446099999998"/>
    <n v="0.58666666700000003"/>
    <n v="4"/>
    <n v="11.305732484076433"/>
    <n v="100.3892688771993"/>
  </r>
  <r>
    <s v="REGUA5"/>
    <x v="11"/>
    <n v="0.43836446099999998"/>
    <n v="0.58666666700000003"/>
    <n v="3.9"/>
    <n v="11.146496815286623"/>
    <n v="97.581316702693215"/>
  </r>
  <r>
    <s v="REGUA5"/>
    <x v="11"/>
    <n v="0.43836446099999998"/>
    <n v="0.58666666700000003"/>
    <n v="2.5"/>
    <n v="11.783439490445859"/>
    <n v="109.05210005386697"/>
  </r>
  <r>
    <s v="REGUA5"/>
    <x v="33"/>
    <n v="0.57917600000000002"/>
    <n v="0.60285714300000004"/>
    <n v="7"/>
    <n v="14.490445859872612"/>
    <n v="164.91242522755155"/>
  </r>
  <r>
    <s v="REGUA5"/>
    <x v="41"/>
    <n v="0.77"/>
    <n v="0.77"/>
    <n v="2"/>
    <n v="13.057324840764331"/>
    <n v="133.90546398141004"/>
  </r>
  <r>
    <s v="REGUA6"/>
    <x v="13"/>
    <n v="0.41"/>
    <n v="0.33983503399999998"/>
    <n v="6"/>
    <n v="5.7324840764331206"/>
    <n v="25.809262540140899"/>
  </r>
  <r>
    <s v="REGUA6"/>
    <x v="4"/>
    <n v="0.39790071399999999"/>
    <n v="0.50565277799999997"/>
    <n v="4.5"/>
    <n v="7.8025477707006363"/>
    <n v="47.814845184319672"/>
  </r>
  <r>
    <s v="REGUA6"/>
    <x v="4"/>
    <n v="0.39790071399999999"/>
    <n v="0.50565277799999997"/>
    <n v="2.5"/>
    <n v="3.3439490445859872"/>
    <n v="8.7823185032423901"/>
  </r>
  <r>
    <s v="REGUA6"/>
    <x v="25"/>
    <n v="0.47982689899999997"/>
    <n v="0.51"/>
    <n v="1.8"/>
    <n v="3.8216560509554141"/>
    <n v="11.470783351173734"/>
  </r>
  <r>
    <s v="REGUA6"/>
    <x v="6"/>
    <n v="0.89361000000000002"/>
    <n v="0.61247410899999999"/>
    <n v="2.2000000000000002"/>
    <n v="2.3885350318471334"/>
    <n v="4.480774746552239"/>
  </r>
  <r>
    <s v="REGUA6"/>
    <x v="7"/>
    <n v="0.45255480399999998"/>
    <n v="0.57808694400000005"/>
    <n v="1.9"/>
    <n v="4.1401273885350314"/>
    <n v="13.462238794085838"/>
  </r>
  <r>
    <s v="REGUA6"/>
    <x v="8"/>
    <n v="0.62643652800000005"/>
    <n v="0.57808694400000005"/>
    <n v="5.3"/>
    <n v="20.541401273885349"/>
    <n v="331.39810025500361"/>
  </r>
  <r>
    <s v="REGUA6"/>
    <x v="8"/>
    <n v="0.62643652800000005"/>
    <n v="0.57808694400000005"/>
    <n v="4.9000000000000004"/>
    <n v="18.471337579617835"/>
    <n v="267.9702443982531"/>
  </r>
  <r>
    <s v="REGUA6"/>
    <x v="8"/>
    <n v="0.62643652800000005"/>
    <n v="0.57808694400000005"/>
    <n v="4.7"/>
    <n v="15.127388535031846"/>
    <n v="179.7288537228176"/>
  </r>
  <r>
    <s v="REGUA6"/>
    <x v="8"/>
    <n v="0.62643652800000005"/>
    <n v="0.57808694400000005"/>
    <n v="3.9"/>
    <n v="8.2802547770700627"/>
    <n v="53.848955176343352"/>
  </r>
  <r>
    <s v="REGUA6"/>
    <x v="35"/>
    <n v="0.13069240100000001"/>
    <n v="0.26500000000000001"/>
    <n v="3.5"/>
    <n v="8.7579617834394909"/>
    <n v="60.241527148091237"/>
  </r>
  <r>
    <s v="REGUA6"/>
    <x v="43"/>
    <n v="0.63"/>
    <n v="0.629222222"/>
    <n v="2.8"/>
    <n v="6.8471337579617835"/>
    <n v="36.822011139444854"/>
  </r>
  <r>
    <s v="REGUA6"/>
    <x v="28"/>
    <n v="0.85750000000000004"/>
    <n v="0.61247410899999999"/>
    <n v="7"/>
    <n v="14.64968152866242"/>
    <n v="168.5567886880807"/>
  </r>
  <r>
    <s v="REGUA6"/>
    <x v="28"/>
    <n v="0.85750000000000004"/>
    <n v="0.61247410899999999"/>
    <n v="5.7"/>
    <n v="10.509554140127388"/>
    <n v="86.747799093251359"/>
  </r>
  <r>
    <s v="REGUA6"/>
    <x v="19"/>
    <n v="0.39"/>
    <n v="0.28861111099999998"/>
    <n v="5"/>
    <n v="11.464968152866241"/>
    <n v="103.2370501605636"/>
  </r>
  <r>
    <s v="REGUA6"/>
    <x v="11"/>
    <n v="0.43836446099999998"/>
    <n v="0.58666666700000003"/>
    <n v="4"/>
    <n v="16.560509554140125"/>
    <n v="215.39582070537341"/>
  </r>
  <r>
    <s v="REGUA6"/>
    <x v="37"/>
    <n v="0.28577490700000002"/>
    <n v="0.3422"/>
    <n v="6.5"/>
    <n v="8.1210191082802545"/>
    <n v="51.79775607014389"/>
  </r>
  <r>
    <s v="REGUA6"/>
    <x v="37"/>
    <n v="0.28577490700000002"/>
    <n v="0.3422"/>
    <n v="5"/>
    <n v="9.872611464968152"/>
    <n v="76.55154722554137"/>
  </r>
  <r>
    <s v="REGUA6"/>
    <x v="37"/>
    <n v="0.28577490700000002"/>
    <n v="0.3422"/>
    <n v="4.5"/>
    <n v="12.101910828025478"/>
    <n v="115.02646638260329"/>
  </r>
  <r>
    <s v="REGUA7"/>
    <x v="13"/>
    <n v="0.41"/>
    <n v="0.33983503399999998"/>
    <n v="8"/>
    <n v="9.7133757961783438"/>
    <n v="74.102057030759482"/>
  </r>
  <r>
    <s v="REGUA7"/>
    <x v="13"/>
    <n v="0.41"/>
    <n v="0.33983503399999998"/>
    <n v="7"/>
    <n v="7.0063694267515917"/>
    <n v="38.554577374778376"/>
  </r>
  <r>
    <s v="REGUA7"/>
    <x v="13"/>
    <n v="0.41"/>
    <n v="0.33983503399999998"/>
    <n v="7"/>
    <n v="10.031847133757962"/>
    <n v="79.040866529181514"/>
  </r>
  <r>
    <s v="REGUA7"/>
    <x v="26"/>
    <n v="0.490852183"/>
    <n v="0.607288889"/>
    <n v="5.5"/>
    <n v="4.1401273885350314"/>
    <n v="13.462238794085838"/>
  </r>
  <r>
    <s v="REGUA7"/>
    <x v="8"/>
    <n v="0.62643652800000005"/>
    <n v="0.57808694400000005"/>
    <n v="6"/>
    <n v="20.222929936305732"/>
    <n v="321.20184838729369"/>
  </r>
  <r>
    <s v="REGUA7"/>
    <x v="8"/>
    <n v="0.62643652800000005"/>
    <n v="0.57808694400000005"/>
    <n v="5"/>
    <n v="16.401273885350317"/>
    <n v="211.27350793854535"/>
  </r>
  <r>
    <s v="REGUA7"/>
    <x v="8"/>
    <n v="0.62643652800000005"/>
    <n v="0.57808694400000005"/>
    <n v="4.5"/>
    <n v="4.936305732484076"/>
    <n v="19.137886806385342"/>
  </r>
  <r>
    <s v="REGUA7"/>
    <x v="28"/>
    <n v="0.85750000000000004"/>
    <n v="0.61247410899999999"/>
    <n v="6.5"/>
    <n v="15.764331210191083"/>
    <n v="195.18254795981557"/>
  </r>
  <r>
    <s v="REGUA7"/>
    <x v="28"/>
    <n v="0.85750000000000004"/>
    <n v="0.61247410899999999"/>
    <n v="6.5"/>
    <n v="7.9617834394904454"/>
    <n v="49.786386072802657"/>
  </r>
  <r>
    <s v="REGUA7"/>
    <x v="28"/>
    <n v="0.85750000000000004"/>
    <n v="0.61247410899999999"/>
    <n v="5.7"/>
    <n v="9.3949044585987256"/>
    <n v="69.322563967770421"/>
  </r>
  <r>
    <s v="REGUA7"/>
    <x v="28"/>
    <n v="0.85750000000000004"/>
    <n v="0.61247410899999999"/>
    <n v="5.6"/>
    <n v="9.5541401273885338"/>
    <n v="71.692395944835823"/>
  </r>
  <r>
    <s v="REGUA7"/>
    <x v="28"/>
    <n v="0.85750000000000004"/>
    <n v="0.61247410899999999"/>
    <n v="5.5"/>
    <n v="9.5541401273885338"/>
    <n v="71.692395944835823"/>
  </r>
  <r>
    <s v="REGUA7"/>
    <x v="28"/>
    <n v="0.85750000000000004"/>
    <n v="0.61247410899999999"/>
    <n v="5.5"/>
    <n v="7.3248407643312099"/>
    <n v="42.139197172020175"/>
  </r>
  <r>
    <s v="REGUA7"/>
    <x v="28"/>
    <n v="0.85750000000000004"/>
    <n v="0.61247410899999999"/>
    <n v="4.5"/>
    <n v="15.286624203821656"/>
    <n v="183.53253361877975"/>
  </r>
  <r>
    <s v="REGUA7"/>
    <x v="28"/>
    <n v="0.85750000000000004"/>
    <n v="0.61247410899999999"/>
    <n v="3"/>
    <n v="12.101910828025478"/>
    <n v="115.02646638260329"/>
  </r>
  <r>
    <s v="REGUA7"/>
    <x v="19"/>
    <n v="0.39"/>
    <n v="0.28861111099999998"/>
    <n v="6.5"/>
    <n v="10.350318471337578"/>
    <n v="84.138992463036487"/>
  </r>
  <r>
    <s v="REGUA7"/>
    <x v="31"/>
    <n v="1.1200000000000001"/>
    <n v="0.85527777800000004"/>
    <n v="1.8"/>
    <n v="3.9808917197452227"/>
    <n v="12.446596518200664"/>
  </r>
  <r>
    <s v="REGUA7"/>
    <x v="11"/>
    <n v="0.43836446099999998"/>
    <n v="0.58666666700000003"/>
    <n v="4"/>
    <n v="13.694267515923567"/>
    <n v="147.28804455777941"/>
  </r>
  <r>
    <s v="REGUA7"/>
    <x v="11"/>
    <n v="0.43836446099999998"/>
    <n v="0.58666666700000003"/>
    <n v="3.8"/>
    <n v="12.261146496815286"/>
    <n v="118.0733932102588"/>
  </r>
  <r>
    <s v="REGUA7"/>
    <x v="11"/>
    <n v="0.43836446099999998"/>
    <n v="0.58666666700000003"/>
    <n v="3"/>
    <n v="14.331210191082802"/>
    <n v="161.30789087588062"/>
  </r>
  <r>
    <s v="REGUA7"/>
    <x v="11"/>
    <n v="0.43836446099999998"/>
    <n v="0.58666666700000003"/>
    <n v="2.1"/>
    <n v="1.910828025477707"/>
    <n v="2.8676958377934336"/>
  </r>
  <r>
    <s v="REGUA8"/>
    <x v="13"/>
    <n v="0.41"/>
    <n v="0.33983503399999998"/>
    <n v="7.5"/>
    <n v="7.1656050955414008"/>
    <n v="40.326972718970154"/>
  </r>
  <r>
    <s v="REGUA8"/>
    <x v="2"/>
    <n v="0.6"/>
    <n v="0.66674999999999995"/>
    <n v="5.5"/>
    <n v="8.598726114649681"/>
    <n v="58.070840715317019"/>
  </r>
  <r>
    <s v="REGUA8"/>
    <x v="28"/>
    <n v="0.85750000000000004"/>
    <n v="0.61247410899999999"/>
    <n v="6"/>
    <n v="7.3248407643312099"/>
    <n v="42.139197172020175"/>
  </r>
  <r>
    <s v="REGUA8"/>
    <x v="28"/>
    <n v="0.85750000000000004"/>
    <n v="0.61247410899999999"/>
    <n v="6"/>
    <n v="22.165605095541398"/>
    <n v="385.87715193348436"/>
  </r>
  <r>
    <s v="REGUA8"/>
    <x v="28"/>
    <n v="0.85750000000000004"/>
    <n v="0.61247410899999999"/>
    <n v="6"/>
    <n v="10.509554140127388"/>
    <n v="86.747799093251359"/>
  </r>
  <r>
    <s v="REGUA8"/>
    <x v="28"/>
    <n v="0.85750000000000004"/>
    <n v="0.61247410899999999"/>
    <n v="5.5"/>
    <n v="24.363057324840764"/>
    <n v="466.17980463129504"/>
  </r>
  <r>
    <s v="REGUA8"/>
    <x v="28"/>
    <n v="0.85750000000000004"/>
    <n v="0.61247410899999999"/>
    <n v="4.5"/>
    <n v="13.694267515923567"/>
    <n v="147.28804455777941"/>
  </r>
  <r>
    <s v="REGUA8"/>
    <x v="24"/>
    <n v="0.56023871300000005"/>
    <n v="0.74103703700000001"/>
    <n v="6"/>
    <n v="7.484076433121019"/>
    <n v="43.991250733928432"/>
  </r>
  <r>
    <s v="REGUA8"/>
    <x v="31"/>
    <n v="1.1200000000000001"/>
    <n v="0.85527777800000004"/>
    <n v="5"/>
    <n v="13.375796178343949"/>
    <n v="140.51709605187824"/>
  </r>
  <r>
    <s v="REGUA8"/>
    <x v="31"/>
    <n v="1.1200000000000001"/>
    <n v="0.85527777800000004"/>
    <n v="2.5"/>
    <n v="6.6878980891719744"/>
    <n v="35.12927401296956"/>
  </r>
  <r>
    <s v="REGUA8"/>
    <x v="31"/>
    <n v="1.1200000000000001"/>
    <n v="0.85527777800000004"/>
    <n v="2.2999999999999998"/>
    <n v="2.8662420382165603"/>
    <n v="6.4523156350352249"/>
  </r>
  <r>
    <s v="REGUA8"/>
    <x v="44"/>
    <n v="0.53"/>
    <n v="0.41185714299999998"/>
    <n v="5.5"/>
    <n v="5.7324840764331206"/>
    <n v="25.809262540140899"/>
  </r>
  <r>
    <s v="REGUA8"/>
    <x v="44"/>
    <n v="0.53"/>
    <n v="0.41185714299999998"/>
    <n v="5"/>
    <n v="5.8917197452229297"/>
    <n v="27.263025013466741"/>
  </r>
  <r>
    <s v="REGUA8"/>
    <x v="44"/>
    <n v="0.53"/>
    <n v="0.41185714299999998"/>
    <n v="2.5"/>
    <n v="3.5031847133757958"/>
    <n v="9.6386443436945939"/>
  </r>
  <r>
    <s v="REGUA8"/>
    <x v="45"/>
    <n v="0.371297506"/>
    <n v="0.35258402799999999"/>
    <n v="4.5"/>
    <n v="4.2993630573248405"/>
    <n v="14.517710178829255"/>
  </r>
  <r>
    <s v="REGUA8"/>
    <x v="45"/>
    <n v="0.371297506"/>
    <n v="0.35258402799999999"/>
    <n v="4"/>
    <n v="3.3439490445859872"/>
    <n v="8.782318503242390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314">
  <r>
    <x v="0"/>
    <n v="0.36"/>
    <n v="0.35"/>
    <n v="4"/>
    <n v="3.9808917197452227"/>
  </r>
  <r>
    <x v="0"/>
    <n v="0.36"/>
    <n v="0.35"/>
    <n v="4"/>
    <n v="3.6624203821656049"/>
  </r>
  <r>
    <x v="0"/>
    <n v="0.36"/>
    <n v="0.35"/>
    <n v="4"/>
    <n v="3.9808917197452227"/>
  </r>
  <r>
    <x v="0"/>
    <n v="0.36"/>
    <n v="0.35"/>
    <n v="2.5"/>
    <n v="2.2292993630573248"/>
  </r>
  <r>
    <x v="1"/>
    <n v="0.766138345"/>
    <n v="0.90500000000000003"/>
    <n v="7"/>
    <n v="5.5732484076433115"/>
  </r>
  <r>
    <x v="1"/>
    <n v="0.766138345"/>
    <n v="0.90500000000000003"/>
    <n v="6"/>
    <n v="11.942675159235668"/>
  </r>
  <r>
    <x v="2"/>
    <n v="0.47982689899999997"/>
    <n v="0.51"/>
    <n v="4"/>
    <n v="1.910828025477707"/>
  </r>
  <r>
    <x v="2"/>
    <n v="0.47982689899999997"/>
    <n v="0.51"/>
    <n v="3"/>
    <n v="1.7515923566878979"/>
  </r>
  <r>
    <x v="3"/>
    <n v="0.89361000000000002"/>
    <n v="0.61247410899999999"/>
    <n v="4"/>
    <n v="4.4585987261146496"/>
  </r>
  <r>
    <x v="4"/>
    <n v="0.708787469"/>
    <n v="0.80167708299999996"/>
    <n v="9"/>
    <n v="9.3949044585987256"/>
  </r>
  <r>
    <x v="4"/>
    <n v="0.708787469"/>
    <n v="0.80167708299999996"/>
    <n v="9"/>
    <n v="12.898089171974522"/>
  </r>
  <r>
    <x v="4"/>
    <n v="0.708787469"/>
    <n v="0.80167708299999996"/>
    <n v="8"/>
    <n v="4.2993630573248405"/>
  </r>
  <r>
    <x v="4"/>
    <n v="0.708787469"/>
    <n v="0.80167708299999996"/>
    <n v="7"/>
    <n v="4.7770700636942669"/>
  </r>
  <r>
    <x v="5"/>
    <n v="0.45255480399999998"/>
    <n v="0.57808694400000005"/>
    <n v="9"/>
    <n v="23.544585987261144"/>
  </r>
  <r>
    <x v="5"/>
    <n v="0.45255480399999998"/>
    <n v="0.57808694400000005"/>
    <n v="9"/>
    <n v="47.611464968152866"/>
  </r>
  <r>
    <x v="5"/>
    <n v="0.45255480399999998"/>
    <n v="0.57808694400000005"/>
    <n v="8"/>
    <n v="13.535031847133757"/>
  </r>
  <r>
    <x v="5"/>
    <n v="0.45255480399999998"/>
    <n v="0.57808694400000005"/>
    <n v="8"/>
    <n v="49.044585987261144"/>
  </r>
  <r>
    <x v="6"/>
    <n v="0.374"/>
    <n v="0.47945833300000001"/>
    <n v="6"/>
    <n v="4.936305732484076"/>
  </r>
  <r>
    <x v="6"/>
    <n v="0.374"/>
    <n v="0.47945833300000001"/>
    <n v="5"/>
    <n v="3.6624203821656049"/>
  </r>
  <r>
    <x v="7"/>
    <n v="0.74387999999999999"/>
    <n v="0.59130000000000005"/>
    <n v="6"/>
    <n v="3.8216560509554141"/>
  </r>
  <r>
    <x v="7"/>
    <n v="0.74387999999999999"/>
    <n v="0.59130000000000005"/>
    <n v="10.1"/>
    <n v="18.312101910828027"/>
  </r>
  <r>
    <x v="8"/>
    <n v="0.66608171000000005"/>
    <n v="0.68661666700000001"/>
    <n v="5"/>
    <n v="2.7070063694267517"/>
  </r>
  <r>
    <x v="8"/>
    <n v="0.66608171000000005"/>
    <n v="0.68661666700000001"/>
    <n v="5"/>
    <n v="3.5031847133757958"/>
  </r>
  <r>
    <x v="8"/>
    <n v="0.66608171000000005"/>
    <n v="0.68661666700000001"/>
    <n v="5"/>
    <n v="6.2101910828025479"/>
  </r>
  <r>
    <x v="8"/>
    <n v="0.66608171000000005"/>
    <n v="0.68661666700000001"/>
    <n v="4"/>
    <n v="3.3439490445859872"/>
  </r>
  <r>
    <x v="9"/>
    <n v="0.43836446099999998"/>
    <n v="0.58666666700000003"/>
    <n v="7"/>
    <n v="19.936305732484072"/>
  </r>
  <r>
    <x v="9"/>
    <n v="0.43836446099999998"/>
    <n v="0.58666666700000003"/>
    <n v="7"/>
    <n v="6.5286624203821653"/>
  </r>
  <r>
    <x v="9"/>
    <n v="0.43836446099999998"/>
    <n v="0.58666666700000003"/>
    <n v="4"/>
    <n v="10.764331210191081"/>
  </r>
  <r>
    <x v="10"/>
    <n v="0.76500000000000001"/>
    <n v="0.61247410899999999"/>
    <n v="10"/>
    <n v="21.815286624203821"/>
  </r>
  <r>
    <x v="10"/>
    <n v="0.76500000000000001"/>
    <n v="0.61247410899999999"/>
    <n v="10"/>
    <n v="21.592356687898086"/>
  </r>
  <r>
    <x v="10"/>
    <n v="0.76500000000000001"/>
    <n v="0.61247410899999999"/>
    <n v="10"/>
    <n v="27.133757961783438"/>
  </r>
  <r>
    <x v="11"/>
    <n v="0.41240947999999999"/>
    <n v="0.52705000000000002"/>
    <n v="9"/>
    <n v="6.2101910828025479"/>
  </r>
  <r>
    <x v="11"/>
    <n v="0.41240947999999999"/>
    <n v="0.52705000000000002"/>
    <n v="8.5"/>
    <n v="7.484076433121019"/>
  </r>
  <r>
    <x v="11"/>
    <n v="0.41240947999999999"/>
    <n v="0.52705000000000002"/>
    <n v="8.5"/>
    <n v="5.5732484076433115"/>
  </r>
  <r>
    <x v="11"/>
    <n v="0.41240947999999999"/>
    <n v="0.52705000000000002"/>
    <n v="4"/>
    <n v="5.8917197452229297"/>
  </r>
  <r>
    <x v="11"/>
    <n v="0.41240947999999999"/>
    <n v="0.52705000000000002"/>
    <n v="2.7"/>
    <n v="2.0700636942675157"/>
  </r>
  <r>
    <x v="12"/>
    <n v="0.80908761900000004"/>
    <n v="0.87473809499999999"/>
    <n v="7"/>
    <n v="5.8917197452229297"/>
  </r>
  <r>
    <x v="0"/>
    <n v="0.36"/>
    <n v="0.35"/>
    <n v="5"/>
    <n v="5.5095541401273884"/>
  </r>
  <r>
    <x v="0"/>
    <n v="0.36"/>
    <n v="0.35"/>
    <n v="2.2999999999999998"/>
    <n v="4.4585987261146496"/>
  </r>
  <r>
    <x v="1"/>
    <n v="0.766138345"/>
    <n v="0.90500000000000003"/>
    <n v="7"/>
    <n v="9.0764331210191074"/>
  </r>
  <r>
    <x v="1"/>
    <n v="0.766138345"/>
    <n v="0.90500000000000003"/>
    <n v="5.5"/>
    <n v="8.7579617834394909"/>
  </r>
  <r>
    <x v="1"/>
    <n v="0.766138345"/>
    <n v="0.90500000000000003"/>
    <n v="5"/>
    <n v="4.936305732484076"/>
  </r>
  <r>
    <x v="5"/>
    <n v="0.45255480399999998"/>
    <n v="0.57808694400000005"/>
    <n v="9"/>
    <n v="44.904458598726116"/>
  </r>
  <r>
    <x v="5"/>
    <n v="0.45255480399999998"/>
    <n v="0.57808694400000005"/>
    <n v="8"/>
    <n v="26.273885350318469"/>
  </r>
  <r>
    <x v="5"/>
    <n v="0.45255480399999998"/>
    <n v="0.57808694400000005"/>
    <n v="7"/>
    <n v="47.133757961783438"/>
  </r>
  <r>
    <x v="7"/>
    <n v="0.74387999999999999"/>
    <n v="0.59130000000000005"/>
    <n v="7"/>
    <n v="6.3694267515923562"/>
  </r>
  <r>
    <x v="7"/>
    <n v="0.74387999999999999"/>
    <n v="0.59130000000000005"/>
    <n v="6"/>
    <n v="3.8216560509554141"/>
  </r>
  <r>
    <x v="7"/>
    <n v="0.74387999999999999"/>
    <n v="0.59130000000000005"/>
    <n v="5"/>
    <n v="5.0955414012738851"/>
  </r>
  <r>
    <x v="7"/>
    <n v="0.74387999999999999"/>
    <n v="0.59130000000000005"/>
    <n v="5"/>
    <n v="3.3757961783439487"/>
  </r>
  <r>
    <x v="13"/>
    <n v="0.50857142899999996"/>
    <n v="0.49666666700000001"/>
    <n v="10"/>
    <n v="6.5286624203821653"/>
  </r>
  <r>
    <x v="13"/>
    <n v="0.50857142899999996"/>
    <n v="0.49666666700000001"/>
    <n v="9"/>
    <n v="8.9171974522292992"/>
  </r>
  <r>
    <x v="13"/>
    <n v="0.50857142899999996"/>
    <n v="0.49666666700000001"/>
    <n v="9"/>
    <n v="7.1656050955414008"/>
  </r>
  <r>
    <x v="14"/>
    <n v="0.48464433800000001"/>
    <n v="0.62688577999999995"/>
    <n v="5"/>
    <n v="2.5477707006369426"/>
  </r>
  <r>
    <x v="8"/>
    <n v="0.66608171000000005"/>
    <n v="0.68661666700000001"/>
    <n v="5"/>
    <n v="4.2993630573248405"/>
  </r>
  <r>
    <x v="8"/>
    <n v="0.66608171000000005"/>
    <n v="0.68661666700000001"/>
    <n v="3.5"/>
    <n v="2.8025477707006372"/>
  </r>
  <r>
    <x v="9"/>
    <n v="0.43836446099999998"/>
    <n v="0.58666666700000003"/>
    <n v="8"/>
    <n v="3.5031847133757958"/>
  </r>
  <r>
    <x v="9"/>
    <n v="0.43836446099999998"/>
    <n v="0.58666666700000003"/>
    <n v="7"/>
    <n v="14.936305732484076"/>
  </r>
  <r>
    <x v="9"/>
    <n v="0.43836446099999998"/>
    <n v="0.58666666700000003"/>
    <n v="6.5"/>
    <n v="15.445859872611464"/>
  </r>
  <r>
    <x v="10"/>
    <n v="0.76500000000000001"/>
    <n v="0.61247410899999999"/>
    <n v="8"/>
    <n v="10.19108280254777"/>
  </r>
  <r>
    <x v="11"/>
    <n v="0.41240947999999999"/>
    <n v="0.52705000000000002"/>
    <n v="6.5"/>
    <n v="4.7770700636942669"/>
  </r>
  <r>
    <x v="11"/>
    <n v="0.41240947999999999"/>
    <n v="0.52705000000000002"/>
    <n v="6"/>
    <n v="4.0764331210191083"/>
  </r>
  <r>
    <x v="11"/>
    <n v="0.41240947999999999"/>
    <n v="0.52705000000000002"/>
    <n v="4.5"/>
    <n v="4.3949044585987265"/>
  </r>
  <r>
    <x v="0"/>
    <n v="0.36"/>
    <n v="0.35"/>
    <n v="4"/>
    <n v="3.1847133757961781"/>
  </r>
  <r>
    <x v="1"/>
    <n v="0.766138345"/>
    <n v="0.90500000000000003"/>
    <n v="6"/>
    <n v="6.7515923566878975"/>
  </r>
  <r>
    <x v="4"/>
    <n v="0.708787469"/>
    <n v="0.80167708299999996"/>
    <n v="7"/>
    <n v="8.9171974522292992"/>
  </r>
  <r>
    <x v="5"/>
    <n v="0.45255480399999998"/>
    <n v="0.57808694400000005"/>
    <n v="8"/>
    <n v="30.573248407643312"/>
  </r>
  <r>
    <x v="5"/>
    <n v="0.45255480399999998"/>
    <n v="0.57808694400000005"/>
    <n v="7"/>
    <n v="25.796178343949045"/>
  </r>
  <r>
    <x v="5"/>
    <n v="0.45255480399999998"/>
    <n v="0.57808694400000005"/>
    <n v="5"/>
    <n v="5.7324840764331206"/>
  </r>
  <r>
    <x v="15"/>
    <n v="0.372"/>
    <n v="0.73247777800000002"/>
    <n v="6"/>
    <n v="4.0445859872611463"/>
  </r>
  <r>
    <x v="16"/>
    <n v="0.63400000000000001"/>
    <n v="0.73247777800000002"/>
    <n v="6"/>
    <n v="4.3949044585987265"/>
  </r>
  <r>
    <x v="16"/>
    <n v="0.63400000000000001"/>
    <n v="0.73247777800000002"/>
    <n v="5"/>
    <n v="5.8280254777070066"/>
  </r>
  <r>
    <x v="7"/>
    <n v="0.74387999999999999"/>
    <n v="0.59130000000000005"/>
    <n v="9"/>
    <n v="9.872611464968152"/>
  </r>
  <r>
    <x v="7"/>
    <n v="0.74387999999999999"/>
    <n v="0.59130000000000005"/>
    <n v="8"/>
    <n v="5.7324840764331206"/>
  </r>
  <r>
    <x v="7"/>
    <n v="0.74387999999999999"/>
    <n v="0.59130000000000005"/>
    <n v="6"/>
    <n v="9.5541401273885338"/>
  </r>
  <r>
    <x v="17"/>
    <n v="0.65716857299999998"/>
    <n v="0.85527777800000004"/>
    <n v="6"/>
    <n v="12.961783439490446"/>
  </r>
  <r>
    <x v="14"/>
    <n v="0.48464433800000001"/>
    <n v="0.62688577999999995"/>
    <n v="3.5"/>
    <n v="2.2292993630573248"/>
  </r>
  <r>
    <x v="18"/>
    <n v="0.69835862100000001"/>
    <n v="0.69262500000000005"/>
    <n v="8"/>
    <n v="8.4394904458598727"/>
  </r>
  <r>
    <x v="19"/>
    <n v="0.54326798300000001"/>
    <n v="0.61247410899999999"/>
    <n v="8"/>
    <n v="14.968152866242038"/>
  </r>
  <r>
    <x v="19"/>
    <n v="0.54326798300000001"/>
    <n v="0.61247410899999999"/>
    <n v="5.5"/>
    <n v="5.2547770700636942"/>
  </r>
  <r>
    <x v="9"/>
    <n v="0.43836446099999998"/>
    <n v="0.58666666700000003"/>
    <n v="9"/>
    <n v="10.828025477707007"/>
  </r>
  <r>
    <x v="9"/>
    <n v="0.43836446099999998"/>
    <n v="0.58666666700000003"/>
    <n v="8"/>
    <n v="13.152866242038215"/>
  </r>
  <r>
    <x v="9"/>
    <n v="0.43836446099999998"/>
    <n v="0.58666666700000003"/>
    <n v="8"/>
    <n v="13.343949044585989"/>
  </r>
  <r>
    <x v="9"/>
    <n v="0.43836446099999998"/>
    <n v="0.58666666700000003"/>
    <n v="6.5"/>
    <n v="39.36305732484076"/>
  </r>
  <r>
    <x v="9"/>
    <n v="0.43836446099999998"/>
    <n v="0.58666666700000003"/>
    <n v="6"/>
    <n v="10.987261146496815"/>
  </r>
  <r>
    <x v="10"/>
    <n v="0.76500000000000001"/>
    <n v="0.61247410899999999"/>
    <n v="9"/>
    <n v="28.980891719745223"/>
  </r>
  <r>
    <x v="10"/>
    <n v="0.76500000000000001"/>
    <n v="0.61247410899999999"/>
    <n v="10.4"/>
    <n v="13.503184713375795"/>
  </r>
  <r>
    <x v="10"/>
    <n v="0.76500000000000001"/>
    <n v="0.61247410899999999"/>
    <n v="9.1"/>
    <n v="14.872611464968154"/>
  </r>
  <r>
    <x v="11"/>
    <n v="0.41240947999999999"/>
    <n v="0.52705000000000002"/>
    <n v="6"/>
    <n v="4.3949044585987265"/>
  </r>
  <r>
    <x v="0"/>
    <n v="0.36"/>
    <n v="0.35"/>
    <n v="4.5"/>
    <n v="16.464968152866241"/>
  </r>
  <r>
    <x v="0"/>
    <n v="0.36"/>
    <n v="0.35"/>
    <n v="4"/>
    <n v="4.4585987261146496"/>
  </r>
  <r>
    <x v="0"/>
    <n v="0.36"/>
    <n v="0.35"/>
    <n v="3.2"/>
    <n v="5.4140127388535033"/>
  </r>
  <r>
    <x v="20"/>
    <n v="0.86599999999999999"/>
    <n v="0.73582777799999999"/>
    <n v="9"/>
    <n v="17.038216560509554"/>
  </r>
  <r>
    <x v="21"/>
    <n v="0.39790071399999999"/>
    <n v="0.50565277799999997"/>
    <n v="7"/>
    <n v="11.305732484076433"/>
  </r>
  <r>
    <x v="5"/>
    <n v="0.45255480399999998"/>
    <n v="0.57808694400000005"/>
    <n v="8"/>
    <n v="36.783439490445858"/>
  </r>
  <r>
    <x v="5"/>
    <n v="0.45255480399999998"/>
    <n v="0.57808694400000005"/>
    <n v="6.1"/>
    <n v="48.152866242038208"/>
  </r>
  <r>
    <x v="22"/>
    <n v="1082380952"/>
    <n v="0.61247410899999999"/>
    <n v="8"/>
    <n v="15.764331210191083"/>
  </r>
  <r>
    <x v="15"/>
    <n v="0.372"/>
    <n v="0.73247777800000002"/>
    <n v="6"/>
    <n v="9.3949044585987256"/>
  </r>
  <r>
    <x v="15"/>
    <n v="0.372"/>
    <n v="0.73247777800000002"/>
    <n v="5.5"/>
    <n v="10.668789808917197"/>
  </r>
  <r>
    <x v="6"/>
    <n v="0.374"/>
    <n v="0.47945833300000001"/>
    <n v="5"/>
    <n v="4.1401273885350314"/>
  </r>
  <r>
    <x v="7"/>
    <n v="0.74387999999999999"/>
    <n v="0.59130000000000005"/>
    <n v="12"/>
    <n v="16.242038216560509"/>
  </r>
  <r>
    <x v="7"/>
    <n v="0.74387999999999999"/>
    <n v="0.59130000000000005"/>
    <n v="9"/>
    <n v="9.4585987261146496"/>
  </r>
  <r>
    <x v="7"/>
    <n v="0.74387999999999999"/>
    <n v="0.59130000000000005"/>
    <n v="7"/>
    <n v="10.350318471337578"/>
  </r>
  <r>
    <x v="23"/>
    <n v="0.590536375"/>
    <n v="0.61247410899999999"/>
    <n v="9"/>
    <n v="27.866242038216559"/>
  </r>
  <r>
    <x v="23"/>
    <n v="0.590536375"/>
    <n v="0.61247410899999999"/>
    <n v="8.5"/>
    <n v="56.050955414012734"/>
  </r>
  <r>
    <x v="9"/>
    <n v="0.43836446099999998"/>
    <n v="0.58666666700000003"/>
    <n v="6.5"/>
    <n v="29.29936305732484"/>
  </r>
  <r>
    <x v="11"/>
    <n v="0.41240947999999999"/>
    <n v="0.52705000000000002"/>
    <n v="8"/>
    <n v="10.987261146496815"/>
  </r>
  <r>
    <x v="11"/>
    <n v="0.41240947999999999"/>
    <n v="0.52705000000000002"/>
    <n v="6"/>
    <n v="8.9171974522292992"/>
  </r>
  <r>
    <x v="12"/>
    <n v="0.80908761900000004"/>
    <n v="0.87473809499999999"/>
    <n v="10.199999999999999"/>
    <n v="20.063694267515924"/>
  </r>
  <r>
    <x v="12"/>
    <n v="0.80908761900000004"/>
    <n v="0.87473809499999999"/>
    <n v="8.6"/>
    <n v="29.490445859872608"/>
  </r>
  <r>
    <x v="12"/>
    <n v="0.80908761900000004"/>
    <n v="0.87473809499999999"/>
    <n v="8.1"/>
    <n v="23.789808917197451"/>
  </r>
  <r>
    <x v="0"/>
    <n v="0.36"/>
    <n v="0.35"/>
    <n v="5"/>
    <n v="19.044585987261144"/>
  </r>
  <r>
    <x v="1"/>
    <n v="0.766138345"/>
    <n v="0.90500000000000003"/>
    <n v="6.5"/>
    <n v="8.598726114649681"/>
  </r>
  <r>
    <x v="21"/>
    <n v="0.39790071399999999"/>
    <n v="0.50565277799999997"/>
    <n v="8"/>
    <n v="11.942675159235668"/>
  </r>
  <r>
    <x v="21"/>
    <n v="0.39790071399999999"/>
    <n v="0.50565277799999997"/>
    <n v="5.5"/>
    <n v="7.6433121019108281"/>
  </r>
  <r>
    <x v="3"/>
    <n v="0.89361000000000002"/>
    <n v="0.61247410899999999"/>
    <n v="6"/>
    <n v="7.6433121019108281"/>
  </r>
  <r>
    <x v="3"/>
    <n v="0.89361000000000002"/>
    <n v="0.61247410899999999"/>
    <n v="2.7"/>
    <n v="3.6624203821656049"/>
  </r>
  <r>
    <x v="4"/>
    <n v="0.708787469"/>
    <n v="0.80167708299999996"/>
    <n v="8"/>
    <n v="8.598726114649681"/>
  </r>
  <r>
    <x v="24"/>
    <n v="0.56193137999999998"/>
    <n v="0.57808694400000005"/>
    <n v="5.5"/>
    <n v="14.490445859872612"/>
  </r>
  <r>
    <x v="15"/>
    <n v="0.372"/>
    <n v="0.73247777800000002"/>
    <n v="5.5"/>
    <n v="12.993630573248407"/>
  </r>
  <r>
    <x v="7"/>
    <n v="0.74387999999999999"/>
    <n v="0.59130000000000005"/>
    <n v="6.5"/>
    <n v="5.7324840764331206"/>
  </r>
  <r>
    <x v="23"/>
    <n v="0.590536375"/>
    <n v="0.61247410899999999"/>
    <n v="9"/>
    <n v="23.248407643312103"/>
  </r>
  <r>
    <x v="25"/>
    <n v="1187461538"/>
    <n v="0.95"/>
    <n v="2.5"/>
    <n v="3.9808917197452227"/>
  </r>
  <r>
    <x v="14"/>
    <n v="0.48464433800000001"/>
    <n v="0.62688577999999995"/>
    <n v="6"/>
    <n v="3.9808917197452227"/>
  </r>
  <r>
    <x v="8"/>
    <n v="0.66608171000000005"/>
    <n v="0.68661666700000001"/>
    <n v="6"/>
    <n v="11.464968152866241"/>
  </r>
  <r>
    <x v="10"/>
    <n v="0.76500000000000001"/>
    <n v="0.61247410899999999"/>
    <n v="10"/>
    <n v="33.757961783439491"/>
  </r>
  <r>
    <x v="26"/>
    <n v="0.54247040000000002"/>
    <n v="0.54247042099999998"/>
    <n v="4"/>
    <n v="2.5477707006369426"/>
  </r>
  <r>
    <x v="27"/>
    <n v="0.81991655299999999"/>
    <n v="0.72276027399999998"/>
    <n v="4"/>
    <n v="4.4585987261146496"/>
  </r>
  <r>
    <x v="3"/>
    <n v="0.89361000000000002"/>
    <n v="0.61247410899999999"/>
    <n v="6.5"/>
    <n v="8.7579617834394909"/>
  </r>
  <r>
    <x v="3"/>
    <n v="0.89361000000000002"/>
    <n v="0.61247410899999999"/>
    <n v="5"/>
    <n v="3.121019108280255"/>
  </r>
  <r>
    <x v="3"/>
    <n v="0.89361000000000002"/>
    <n v="0.61247410899999999"/>
    <n v="4.5"/>
    <n v="3.1847133757961781"/>
  </r>
  <r>
    <x v="5"/>
    <n v="0.45255480399999998"/>
    <n v="0.57808694400000005"/>
    <n v="8"/>
    <n v="43.630573248407643"/>
  </r>
  <r>
    <x v="5"/>
    <n v="0.45255480399999998"/>
    <n v="0.57808694400000005"/>
    <n v="8"/>
    <n v="28.980891719745223"/>
  </r>
  <r>
    <x v="7"/>
    <n v="0.74387999999999999"/>
    <n v="0.59130000000000005"/>
    <n v="5"/>
    <n v="8.7579617834394909"/>
  </r>
  <r>
    <x v="7"/>
    <n v="0.74387999999999999"/>
    <n v="0.59130000000000005"/>
    <n v="3.5"/>
    <n v="6.2101910828025479"/>
  </r>
  <r>
    <x v="28"/>
    <n v="1.1200000000000001"/>
    <n v="0.85527777800000004"/>
    <n v="5"/>
    <n v="9.3949044585987256"/>
  </r>
  <r>
    <x v="18"/>
    <n v="0.69835862100000001"/>
    <n v="0.69262500000000005"/>
    <n v="4.5"/>
    <n v="3.0254777070063694"/>
  </r>
  <r>
    <x v="8"/>
    <n v="0.66608171000000005"/>
    <n v="0.68661666700000001"/>
    <n v="7"/>
    <n v="11.783439490445859"/>
  </r>
  <r>
    <x v="8"/>
    <n v="0.66608171000000005"/>
    <n v="0.68661666700000001"/>
    <n v="6"/>
    <n v="9.2356687898089174"/>
  </r>
  <r>
    <x v="9"/>
    <n v="0.43836446099999998"/>
    <n v="0.58666666700000003"/>
    <n v="8"/>
    <n v="43.248407643312106"/>
  </r>
  <r>
    <x v="9"/>
    <n v="0.43836446099999998"/>
    <n v="0.58666666700000003"/>
    <n v="8"/>
    <n v="43.949044585987259"/>
  </r>
  <r>
    <x v="9"/>
    <n v="0.43836446099999998"/>
    <n v="0.58666666700000003"/>
    <n v="8"/>
    <n v="32.675159235668787"/>
  </r>
  <r>
    <x v="9"/>
    <n v="0.43836446099999998"/>
    <n v="0.58666666700000003"/>
    <n v="6.5"/>
    <n v="14.968152866242038"/>
  </r>
  <r>
    <x v="29"/>
    <n v="0.40238543599999999"/>
    <n v="0.40883333300000002"/>
    <n v="12"/>
    <n v="16.242038216560509"/>
  </r>
  <r>
    <x v="10"/>
    <n v="0.76500000000000001"/>
    <n v="0.61247410899999999"/>
    <n v="9"/>
    <n v="18.312101910828027"/>
  </r>
  <r>
    <x v="11"/>
    <n v="0.41240947999999999"/>
    <n v="0.52705000000000002"/>
    <n v="7"/>
    <n v="10.031847133757962"/>
  </r>
  <r>
    <x v="11"/>
    <n v="0.41240947999999999"/>
    <n v="0.52705000000000002"/>
    <n v="6.5"/>
    <n v="8.1210191082802545"/>
  </r>
  <r>
    <x v="11"/>
    <n v="0.41240947999999999"/>
    <n v="0.52705000000000002"/>
    <n v="6"/>
    <n v="7.9617834394904454"/>
  </r>
  <r>
    <x v="11"/>
    <n v="0.41240947999999999"/>
    <n v="0.52705000000000002"/>
    <n v="4.5"/>
    <n v="4.2993630573248405"/>
  </r>
  <r>
    <x v="1"/>
    <n v="0.766138345"/>
    <n v="0.90500000000000003"/>
    <n v="5"/>
    <n v="3.5031847133757958"/>
  </r>
  <r>
    <x v="1"/>
    <n v="0.766138345"/>
    <n v="0.90500000000000003"/>
    <n v="4"/>
    <n v="5.3184713375796173"/>
  </r>
  <r>
    <x v="26"/>
    <n v="0.54247040000000002"/>
    <n v="0.54247042099999998"/>
    <n v="3"/>
    <n v="4.7770700636942669"/>
  </r>
  <r>
    <x v="26"/>
    <n v="0.54247040000000002"/>
    <n v="0.54247042099999998"/>
    <n v="2.2999999999999998"/>
    <n v="3.9808917197452227"/>
  </r>
  <r>
    <x v="3"/>
    <n v="0.89361000000000002"/>
    <n v="0.61247410899999999"/>
    <n v="6"/>
    <n v="2.7070063694267517"/>
  </r>
  <r>
    <x v="4"/>
    <n v="0.708787469"/>
    <n v="0.80167708299999996"/>
    <n v="5"/>
    <n v="3.5031847133757958"/>
  </r>
  <r>
    <x v="4"/>
    <n v="0.708787469"/>
    <n v="0.80167708299999996"/>
    <n v="4"/>
    <n v="3.5031847133757958"/>
  </r>
  <r>
    <x v="5"/>
    <n v="0.45255480399999998"/>
    <n v="0.57808694400000005"/>
    <n v="9"/>
    <n v="57.00636942675159"/>
  </r>
  <r>
    <x v="5"/>
    <n v="0.45255480399999998"/>
    <n v="0.57808694400000005"/>
    <n v="9"/>
    <n v="25.796178343949045"/>
  </r>
  <r>
    <x v="5"/>
    <n v="0.45255480399999998"/>
    <n v="0.57808694400000005"/>
    <n v="8.5"/>
    <n v="19.585987261146496"/>
  </r>
  <r>
    <x v="5"/>
    <n v="0.45255480399999998"/>
    <n v="0.57808694400000005"/>
    <n v="8"/>
    <n v="48.726114649681527"/>
  </r>
  <r>
    <x v="5"/>
    <n v="0.45255480399999998"/>
    <n v="0.57808694400000005"/>
    <n v="7"/>
    <n v="28.821656050955411"/>
  </r>
  <r>
    <x v="5"/>
    <n v="0.45255480399999998"/>
    <n v="0.57808694400000005"/>
    <n v="6"/>
    <n v="4.6178343949044587"/>
  </r>
  <r>
    <x v="5"/>
    <n v="0.45255480399999998"/>
    <n v="0.57808694400000005"/>
    <n v="6"/>
    <n v="33.375796178343947"/>
  </r>
  <r>
    <x v="5"/>
    <n v="0.45255480399999998"/>
    <n v="0.57808694400000005"/>
    <n v="5"/>
    <n v="15.923566878980891"/>
  </r>
  <r>
    <x v="15"/>
    <n v="0.372"/>
    <n v="0.73247777800000002"/>
    <n v="5"/>
    <n v="6.8471337579617835"/>
  </r>
  <r>
    <x v="15"/>
    <n v="0.372"/>
    <n v="0.73247777800000002"/>
    <n v="5"/>
    <n v="12.420382165605096"/>
  </r>
  <r>
    <x v="7"/>
    <n v="0.74387999999999999"/>
    <n v="0.59130000000000005"/>
    <n v="10"/>
    <n v="7.3248407643312099"/>
  </r>
  <r>
    <x v="7"/>
    <n v="0.74387999999999999"/>
    <n v="0.59130000000000005"/>
    <n v="8.5"/>
    <n v="5.4140127388535033"/>
  </r>
  <r>
    <x v="7"/>
    <n v="0.74387999999999999"/>
    <n v="0.59130000000000005"/>
    <n v="7"/>
    <n v="3.5668789808917194"/>
  </r>
  <r>
    <x v="7"/>
    <n v="0.74387999999999999"/>
    <n v="0.59130000000000005"/>
    <n v="5"/>
    <n v="3.6624203821656049"/>
  </r>
  <r>
    <x v="13"/>
    <n v="0.50857142899999996"/>
    <n v="0.49666666700000001"/>
    <n v="10"/>
    <n v="10.668789808917197"/>
  </r>
  <r>
    <x v="13"/>
    <n v="0.50857142899999996"/>
    <n v="0.49666666700000001"/>
    <n v="9"/>
    <n v="13.375796178343949"/>
  </r>
  <r>
    <x v="9"/>
    <n v="0.43836446099999998"/>
    <n v="0.58666666700000003"/>
    <n v="7"/>
    <n v="12.579617834394904"/>
  </r>
  <r>
    <x v="9"/>
    <n v="0.43836446099999998"/>
    <n v="0.58666666700000003"/>
    <n v="6"/>
    <n v="14.808917197452228"/>
  </r>
  <r>
    <x v="9"/>
    <n v="0.43836446099999998"/>
    <n v="0.58666666700000003"/>
    <n v="6"/>
    <n v="12.929936305732484"/>
  </r>
  <r>
    <x v="9"/>
    <n v="0.43836446099999998"/>
    <n v="0.58666666700000003"/>
    <n v="5.5"/>
    <n v="3.121019108280255"/>
  </r>
  <r>
    <x v="9"/>
    <n v="0.43836446099999998"/>
    <n v="0.58666666700000003"/>
    <n v="4.5"/>
    <n v="8.2802547770700627"/>
  </r>
  <r>
    <x v="29"/>
    <n v="0.40238543599999999"/>
    <n v="0.40883333300000002"/>
    <n v="8"/>
    <n v="13.694267515923567"/>
  </r>
  <r>
    <x v="10"/>
    <n v="0.76500000000000001"/>
    <n v="0.61247410899999999"/>
    <n v="8"/>
    <n v="18.630573248407643"/>
  </r>
  <r>
    <x v="30"/>
    <n v="0.57917600000000002"/>
    <n v="0.60285714300000004"/>
    <n v="6"/>
    <n v="10.350318471337578"/>
  </r>
  <r>
    <x v="11"/>
    <n v="0.41240947999999999"/>
    <n v="0.52705000000000002"/>
    <n v="7"/>
    <n v="8.4394904458598727"/>
  </r>
  <r>
    <x v="11"/>
    <n v="0.41240947999999999"/>
    <n v="0.52705000000000002"/>
    <n v="6"/>
    <n v="4.6815286624203818"/>
  </r>
  <r>
    <x v="11"/>
    <n v="0.41240947999999999"/>
    <n v="0.52705000000000002"/>
    <n v="6"/>
    <n v="3.7898089171974521"/>
  </r>
  <r>
    <x v="11"/>
    <n v="0.41240947999999999"/>
    <n v="0.52705000000000002"/>
    <n v="5"/>
    <n v="4.936305732484076"/>
  </r>
  <r>
    <x v="31"/>
    <n v="0.40257753800000001"/>
    <n v="0.40843333300000001"/>
    <n v="7"/>
    <n v="14.490445859872612"/>
  </r>
  <r>
    <x v="31"/>
    <n v="0.40257753800000001"/>
    <n v="0.40843333300000001"/>
    <n v="7"/>
    <n v="8.7898089171974529"/>
  </r>
  <r>
    <x v="12"/>
    <n v="0.80908761900000004"/>
    <n v="0.87473809499999999"/>
    <n v="8"/>
    <n v="22.643312101910826"/>
  </r>
  <r>
    <x v="32"/>
    <n v="0.78445916699999996"/>
    <n v="0.87841666699999998"/>
    <n v="3.5"/>
    <n v="3.7579617834394905"/>
  </r>
  <r>
    <x v="33"/>
    <n v="0.63206279899999995"/>
    <n v="0.75690909100000003"/>
    <n v="3"/>
    <n v="3.7261146496815285"/>
  </r>
  <r>
    <x v="34"/>
    <n v="0.53"/>
    <n v="0.54764999999999997"/>
    <n v="5"/>
    <n v="24.331210191082803"/>
  </r>
  <r>
    <x v="35"/>
    <n v="0.52500000000000002"/>
    <n v="0.52500000000000002"/>
    <n v="5"/>
    <n v="14.108280254777069"/>
  </r>
  <r>
    <x v="35"/>
    <n v="0.52500000000000002"/>
    <n v="0.52500000000000002"/>
    <n v="5"/>
    <n v="42.834394904458598"/>
  </r>
  <r>
    <x v="36"/>
    <n v="0.39984676499999999"/>
    <n v="0.450333333"/>
    <n v="7"/>
    <n v="17.070063694267517"/>
  </r>
  <r>
    <x v="37"/>
    <n v="0.61"/>
    <n v="0.84088888900000003"/>
    <n v="6.5"/>
    <n v="61.178343949044589"/>
  </r>
  <r>
    <x v="7"/>
    <n v="0.74387999999999999"/>
    <n v="0.59130000000000005"/>
    <n v="8"/>
    <n v="9.936305732484076"/>
  </r>
  <r>
    <x v="38"/>
    <n v="0.371297506"/>
    <n v="0.35258402799999999"/>
    <n v="7"/>
    <n v="9.3312101910828016"/>
  </r>
  <r>
    <x v="38"/>
    <n v="0.371297506"/>
    <n v="0.35258402799999999"/>
    <n v="7"/>
    <n v="23.503184713375795"/>
  </r>
  <r>
    <x v="12"/>
    <n v="0.80908761900000004"/>
    <n v="0.87473809499999999"/>
    <n v="4.5"/>
    <n v="10.350318471337578"/>
  </r>
  <r>
    <x v="39"/>
    <n v="0.41"/>
    <n v="0.33983503399999998"/>
    <n v="5.5"/>
    <n v="16.97452229299363"/>
  </r>
  <r>
    <x v="40"/>
    <n v="0.9"/>
    <n v="0.61247410899999999"/>
    <n v="4"/>
    <n v="5.5732484076433115"/>
  </r>
  <r>
    <x v="40"/>
    <n v="0.9"/>
    <n v="0.61247410899999999"/>
    <n v="4"/>
    <n v="10.127388535031846"/>
  </r>
  <r>
    <x v="24"/>
    <n v="0.56193137999999998"/>
    <n v="0.57808694400000005"/>
    <n v="5"/>
    <n v="20.159235668789808"/>
  </r>
  <r>
    <x v="36"/>
    <n v="0.39984676499999999"/>
    <n v="0.450333333"/>
    <n v="7"/>
    <n v="13.439490445859873"/>
  </r>
  <r>
    <x v="22"/>
    <n v="1082380952"/>
    <n v="0.61247410899999999"/>
    <n v="6.5"/>
    <n v="23.885350318471335"/>
  </r>
  <r>
    <x v="37"/>
    <n v="0.61"/>
    <n v="0.84088888900000003"/>
    <n v="6"/>
    <n v="56.464968152866234"/>
  </r>
  <r>
    <x v="9"/>
    <n v="0.43836446099999998"/>
    <n v="0.58666666700000003"/>
    <n v="4"/>
    <n v="58.630573248407636"/>
  </r>
  <r>
    <x v="9"/>
    <n v="0.43836446099999998"/>
    <n v="0.58666666700000003"/>
    <n v="3.5"/>
    <n v="14.968152866242038"/>
  </r>
  <r>
    <x v="9"/>
    <n v="0.43836446099999998"/>
    <n v="0.58666666700000003"/>
    <n v="5"/>
    <n v="18.439490445859871"/>
  </r>
  <r>
    <x v="9"/>
    <n v="0.43836446099999998"/>
    <n v="0.58666666700000003"/>
    <n v="5.5"/>
    <n v="51.464968152866248"/>
  </r>
  <r>
    <x v="38"/>
    <n v="0.371297506"/>
    <n v="0.35258402799999999"/>
    <n v="5"/>
    <n v="24.490445859872612"/>
  </r>
  <r>
    <x v="41"/>
    <n v="0.693333333"/>
    <n v="0.64166666699999997"/>
    <n v="6"/>
    <n v="10.286624203821654"/>
  </r>
  <r>
    <x v="41"/>
    <n v="0.693333333"/>
    <n v="0.64166666699999997"/>
    <n v="4.5"/>
    <n v="9.6496815286624198"/>
  </r>
  <r>
    <x v="12"/>
    <n v="0.80908761900000004"/>
    <n v="0.87473809499999999"/>
    <n v="4.5"/>
    <n v="8.7579617834394909"/>
  </r>
  <r>
    <x v="32"/>
    <n v="0.78445916699999996"/>
    <n v="0.87841666699999998"/>
    <n v="4"/>
    <n v="7.2929936305732479"/>
  </r>
  <r>
    <x v="42"/>
    <n v="0.66"/>
    <n v="0.75533333300000005"/>
    <n v="7"/>
    <n v="7.7388535031847123"/>
  </r>
  <r>
    <x v="26"/>
    <n v="0.54247040000000002"/>
    <n v="0.54247042099999998"/>
    <n v="3.5"/>
    <n v="16.019108280254777"/>
  </r>
  <r>
    <x v="35"/>
    <n v="0.52500000000000002"/>
    <n v="0.52500000000000002"/>
    <n v="5"/>
    <n v="7.2929936305732479"/>
  </r>
  <r>
    <x v="24"/>
    <n v="0.56193137999999998"/>
    <n v="0.57808694400000005"/>
    <n v="7"/>
    <n v="28.057324840764334"/>
  </r>
  <r>
    <x v="24"/>
    <n v="0.56193137999999998"/>
    <n v="0.57808694400000005"/>
    <n v="7"/>
    <n v="35.828025477707008"/>
  </r>
  <r>
    <x v="36"/>
    <n v="0.39984676499999999"/>
    <n v="0.450333333"/>
    <n v="8"/>
    <n v="20.636942675159233"/>
  </r>
  <r>
    <x v="36"/>
    <n v="0.39984676499999999"/>
    <n v="0.450333333"/>
    <n v="9"/>
    <n v="42.866242038216569"/>
  </r>
  <r>
    <x v="22"/>
    <n v="1082380952"/>
    <n v="0.61247410899999999"/>
    <n v="5.5"/>
    <n v="12.961783439490446"/>
  </r>
  <r>
    <x v="37"/>
    <n v="0.61"/>
    <n v="0.84088888900000003"/>
    <n v="6.5"/>
    <n v="51.27388535031848"/>
  </r>
  <r>
    <x v="37"/>
    <n v="0.61"/>
    <n v="0.84088888900000003"/>
    <n v="8"/>
    <n v="49.777070063694261"/>
  </r>
  <r>
    <x v="9"/>
    <n v="0.43836446099999998"/>
    <n v="0.58666666700000003"/>
    <n v="5"/>
    <n v="39.71337579617834"/>
  </r>
  <r>
    <x v="9"/>
    <n v="0.43836446099999998"/>
    <n v="0.58666666700000003"/>
    <n v="6.5"/>
    <n v="22.611464968152866"/>
  </r>
  <r>
    <x v="38"/>
    <n v="0.371297506"/>
    <n v="0.35258402799999999"/>
    <n v="6"/>
    <n v="15.318471337579615"/>
  </r>
  <r>
    <x v="41"/>
    <n v="0.693333333"/>
    <n v="0.64166666699999997"/>
    <n v="5"/>
    <n v="9.4585987261146496"/>
  </r>
  <r>
    <x v="39"/>
    <n v="0.41"/>
    <n v="0.33983503399999998"/>
    <n v="6"/>
    <n v="12.707006369426752"/>
  </r>
  <r>
    <x v="26"/>
    <n v="0.54247040000000002"/>
    <n v="0.54247042099999998"/>
    <n v="2.8"/>
    <n v="10.127388535031846"/>
  </r>
  <r>
    <x v="33"/>
    <n v="0.63206279899999995"/>
    <n v="0.75690909100000003"/>
    <n v="3"/>
    <n v="2.4203821656050954"/>
  </r>
  <r>
    <x v="40"/>
    <n v="0.9"/>
    <n v="0.61247410899999999"/>
    <n v="5"/>
    <n v="8.9808917197452232"/>
  </r>
  <r>
    <x v="35"/>
    <n v="0.52500000000000002"/>
    <n v="0.52500000000000002"/>
    <n v="8"/>
    <n v="4.5222929936305727"/>
  </r>
  <r>
    <x v="35"/>
    <n v="0.52500000000000002"/>
    <n v="0.52500000000000002"/>
    <n v="6"/>
    <n v="14.490445859872612"/>
  </r>
  <r>
    <x v="43"/>
    <n v="0.62643652800000005"/>
    <n v="0.57808694400000005"/>
    <n v="5.5"/>
    <n v="34.681528662420384"/>
  </r>
  <r>
    <x v="24"/>
    <n v="0.56193137999999998"/>
    <n v="0.57808694400000005"/>
    <n v="6.5"/>
    <n v="37.101910828025474"/>
  </r>
  <r>
    <x v="24"/>
    <n v="0.56193137999999998"/>
    <n v="0.57808694400000005"/>
    <n v="4"/>
    <n v="11.242038216560509"/>
  </r>
  <r>
    <x v="36"/>
    <n v="0.39984676499999999"/>
    <n v="0.450333333"/>
    <n v="10"/>
    <n v="30.191082802547768"/>
  </r>
  <r>
    <x v="36"/>
    <n v="0.39984676499999999"/>
    <n v="0.450333333"/>
    <n v="9"/>
    <n v="15.19108280254777"/>
  </r>
  <r>
    <x v="36"/>
    <n v="0.39984676499999999"/>
    <n v="0.450333333"/>
    <n v="10"/>
    <n v="48.089171974522294"/>
  </r>
  <r>
    <x v="22"/>
    <n v="1082380952"/>
    <n v="0.61247410899999999"/>
    <n v="4.5"/>
    <n v="11.337579617834395"/>
  </r>
  <r>
    <x v="22"/>
    <n v="1082380952"/>
    <n v="0.61247410899999999"/>
    <n v="4.5"/>
    <n v="9.936305732484076"/>
  </r>
  <r>
    <x v="37"/>
    <n v="0.61"/>
    <n v="0.84088888900000003"/>
    <n v="6"/>
    <n v="26.624203821656053"/>
  </r>
  <r>
    <x v="37"/>
    <n v="0.61"/>
    <n v="0.84088888900000003"/>
    <n v="8"/>
    <n v="67.70700636942675"/>
  </r>
  <r>
    <x v="37"/>
    <n v="0.61"/>
    <n v="0.84088888900000003"/>
    <n v="4"/>
    <n v="4.3949044585987265"/>
  </r>
  <r>
    <x v="9"/>
    <n v="0.43836446099999998"/>
    <n v="0.58666666700000003"/>
    <n v="6"/>
    <n v="31.050955414012737"/>
  </r>
  <r>
    <x v="38"/>
    <n v="0.371297506"/>
    <n v="0.35258402799999999"/>
    <n v="5"/>
    <n v="8.1847133757961785"/>
  </r>
  <r>
    <x v="38"/>
    <n v="0.371297506"/>
    <n v="0.35258402799999999"/>
    <n v="8"/>
    <n v="36.433121019108277"/>
  </r>
  <r>
    <x v="38"/>
    <n v="0.371297506"/>
    <n v="0.35258402799999999"/>
    <n v="6.5"/>
    <n v="28.566878980891719"/>
  </r>
  <r>
    <x v="12"/>
    <n v="0.80908761900000004"/>
    <n v="0.87473809499999999"/>
    <n v="7"/>
    <n v="7.7388535031847132"/>
  </r>
  <r>
    <x v="44"/>
    <n v="0.77800000000000002"/>
    <n v="0.77386111099999999"/>
    <n v="3.5"/>
    <n v="3.6305732484076434"/>
  </r>
  <r>
    <x v="39"/>
    <n v="0.41"/>
    <n v="0.33983503399999998"/>
    <n v="6"/>
    <n v="10.477707006369428"/>
  </r>
  <r>
    <x v="45"/>
    <n v="0.31264018999999998"/>
    <n v="0.356821212"/>
    <n v="5"/>
    <n v="6.4968152866242033"/>
  </r>
  <r>
    <x v="46"/>
    <n v="0.55560299999999996"/>
    <n v="0.55961111100000005"/>
    <n v="3.5"/>
    <n v="17.802547770700635"/>
  </r>
  <r>
    <x v="40"/>
    <n v="0.9"/>
    <n v="0.61247410899999999"/>
    <n v="7"/>
    <n v="4.2356687898089174"/>
  </r>
  <r>
    <x v="40"/>
    <n v="0.9"/>
    <n v="0.61247410899999999"/>
    <n v="6"/>
    <n v="1.7834394904458597"/>
  </r>
  <r>
    <x v="43"/>
    <n v="0.62643652800000005"/>
    <n v="0.57808694400000005"/>
    <n v="6"/>
    <n v="8.8216560509554132"/>
  </r>
  <r>
    <x v="36"/>
    <n v="0.39984676499999999"/>
    <n v="0.450333333"/>
    <n v="10"/>
    <n v="7.9617834394904454"/>
  </r>
  <r>
    <x v="36"/>
    <n v="0.39984676499999999"/>
    <n v="0.450333333"/>
    <n v="10"/>
    <n v="23.471337579617831"/>
  </r>
  <r>
    <x v="36"/>
    <n v="0.39984676499999999"/>
    <n v="0.450333333"/>
    <n v="9"/>
    <n v="20.541401273885349"/>
  </r>
  <r>
    <x v="36"/>
    <n v="0.39984676499999999"/>
    <n v="0.450333333"/>
    <n v="9"/>
    <n v="30.796178343949045"/>
  </r>
  <r>
    <x v="36"/>
    <n v="0.39984676499999999"/>
    <n v="0.450333333"/>
    <n v="8"/>
    <n v="15.063694267515922"/>
  </r>
  <r>
    <x v="36"/>
    <n v="0.39984676499999999"/>
    <n v="0.450333333"/>
    <n v="11"/>
    <n v="5.4458598726114653"/>
  </r>
  <r>
    <x v="36"/>
    <n v="0.39984676499999999"/>
    <n v="0.450333333"/>
    <n v="7"/>
    <n v="16.242038216560509"/>
  </r>
  <r>
    <x v="36"/>
    <n v="0.39984676499999999"/>
    <n v="0.450333333"/>
    <n v="7"/>
    <n v="48.121019108280251"/>
  </r>
  <r>
    <x v="22"/>
    <n v="1082380952"/>
    <n v="0.61247410899999999"/>
    <n v="5"/>
    <n v="23.853503184713375"/>
  </r>
  <r>
    <x v="22"/>
    <n v="1082380952"/>
    <n v="0.61247410899999999"/>
    <n v="6"/>
    <n v="17.802547770700635"/>
  </r>
  <r>
    <x v="37"/>
    <n v="0.61"/>
    <n v="0.84088888900000003"/>
    <n v="8"/>
    <n v="34.681528662420384"/>
  </r>
  <r>
    <x v="9"/>
    <n v="0.43836446099999998"/>
    <n v="0.58666666700000003"/>
    <n v="7"/>
    <n v="32.484076433121025"/>
  </r>
  <r>
    <x v="9"/>
    <n v="0.43836446099999998"/>
    <n v="0.58666666700000003"/>
    <n v="6"/>
    <n v="22.101910828025478"/>
  </r>
  <r>
    <x v="47"/>
    <n v="0.43916666700000001"/>
    <n v="0.51877777800000002"/>
    <n v="6"/>
    <n v="10"/>
  </r>
  <r>
    <x v="39"/>
    <n v="0.41"/>
    <n v="0.33983503399999998"/>
    <n v="7"/>
    <n v="8.0891719745222925"/>
  </r>
  <r>
    <x v="33"/>
    <n v="0.63206279899999995"/>
    <n v="0.75690909100000003"/>
    <n v="5"/>
    <n v="6.1783439490445851"/>
  </r>
  <r>
    <x v="33"/>
    <n v="0.63206279899999995"/>
    <n v="0.75690909100000003"/>
    <n v="5.5"/>
    <n v="19.076433121019104"/>
  </r>
  <r>
    <x v="33"/>
    <n v="0.63206279899999995"/>
    <n v="0.75690909100000003"/>
    <n v="4.5"/>
    <n v="4.6178343949044587"/>
  </r>
  <r>
    <x v="40"/>
    <n v="0.9"/>
    <n v="0.61247410899999999"/>
    <n v="3"/>
    <n v="2.6433121019108281"/>
  </r>
  <r>
    <x v="35"/>
    <n v="0.52500000000000002"/>
    <n v="0.52500000000000002"/>
    <n v="6"/>
    <n v="18.121019108280255"/>
  </r>
  <r>
    <x v="43"/>
    <n v="0.62643652800000005"/>
    <n v="0.57808694400000005"/>
    <n v="6"/>
    <n v="26.273885350318469"/>
  </r>
  <r>
    <x v="43"/>
    <n v="0.62643652800000005"/>
    <n v="0.57808694400000005"/>
    <n v="6.5"/>
    <n v="34.522292993630572"/>
  </r>
  <r>
    <x v="43"/>
    <n v="0.62643652800000005"/>
    <n v="0.57808694400000005"/>
    <n v="7"/>
    <n v="40.636942675159233"/>
  </r>
  <r>
    <x v="43"/>
    <n v="0.62643652800000005"/>
    <n v="0.57808694400000005"/>
    <n v="6"/>
    <n v="42.834394904458598"/>
  </r>
  <r>
    <x v="43"/>
    <n v="0.62643652800000005"/>
    <n v="0.57808694400000005"/>
    <n v="6"/>
    <n v="80.636942675159233"/>
  </r>
  <r>
    <x v="43"/>
    <n v="0.62643652800000005"/>
    <n v="0.57808694400000005"/>
    <n v="5.5"/>
    <n v="53.726114649681534"/>
  </r>
  <r>
    <x v="43"/>
    <n v="0.62643652800000005"/>
    <n v="0.57808694400000005"/>
    <n v="6.5"/>
    <n v="68.439490445859875"/>
  </r>
  <r>
    <x v="22"/>
    <n v="1082380952"/>
    <n v="0.61247410899999999"/>
    <n v="6"/>
    <n v="4.6496815286624198"/>
  </r>
  <r>
    <x v="48"/>
    <n v="0.39"/>
    <n v="0.28861111099999998"/>
    <n v="4.5"/>
    <n v="5.2547770700636942"/>
  </r>
  <r>
    <x v="9"/>
    <n v="0.43836446099999998"/>
    <n v="0.58666666700000003"/>
    <n v="6"/>
    <n v="19.777070063694268"/>
  </r>
  <r>
    <x v="9"/>
    <n v="0.43836446099999998"/>
    <n v="0.58666666700000003"/>
    <n v="5.5"/>
    <n v="24.076433121019104"/>
  </r>
  <r>
    <x v="29"/>
    <n v="0.40238543599999999"/>
    <n v="0.40883333300000002"/>
    <n v="12"/>
    <n v="17.00636942675159"/>
  </r>
  <r>
    <x v="29"/>
    <n v="0.40238543599999999"/>
    <n v="0.40883333300000002"/>
    <n v="12"/>
    <n v="22.452229299363058"/>
  </r>
  <r>
    <x v="41"/>
    <n v="0.693333333"/>
    <n v="0.64166666699999997"/>
    <n v="6"/>
    <n v="10.063694267515924"/>
  </r>
  <r>
    <x v="49"/>
    <n v="0.86"/>
    <n v="0.65666666699999998"/>
    <n v="7"/>
    <n v="42.70700636942675"/>
  </r>
  <r>
    <x v="49"/>
    <n v="0.86"/>
    <n v="0.65666666699999998"/>
    <n v="7"/>
    <n v="10.031847133757962"/>
  </r>
  <r>
    <x v="39"/>
    <n v="0.41"/>
    <n v="0.33983503399999998"/>
    <n v="6"/>
    <n v="11.082802547770699"/>
  </r>
  <r>
    <x v="33"/>
    <n v="0.63206279899999995"/>
    <n v="0.75690909100000003"/>
    <n v="6"/>
    <n v="9.7133757961783438"/>
  </r>
  <r>
    <x v="43"/>
    <n v="0.62643652800000005"/>
    <n v="0.57808694400000005"/>
    <n v="7"/>
    <n v="24.777070063694271"/>
  </r>
  <r>
    <x v="43"/>
    <n v="0.62643652800000005"/>
    <n v="0.57808694400000005"/>
    <n v="7.5"/>
    <n v="37.356687898089163"/>
  </r>
  <r>
    <x v="43"/>
    <n v="0.62643652800000005"/>
    <n v="0.57808694400000005"/>
    <n v="7"/>
    <n v="38.566878980891715"/>
  </r>
  <r>
    <x v="36"/>
    <n v="0.39984676499999999"/>
    <n v="0.450333333"/>
    <n v="9"/>
    <n v="26.815286624203821"/>
  </r>
  <r>
    <x v="22"/>
    <n v="1082380952"/>
    <n v="0.61247410899999999"/>
    <n v="5"/>
    <n v="5.1273885350318471"/>
  </r>
  <r>
    <x v="37"/>
    <n v="0.61"/>
    <n v="0.84088888900000003"/>
    <n v="6"/>
    <n v="3.8853503184713372"/>
  </r>
  <r>
    <x v="37"/>
    <n v="0.61"/>
    <n v="0.84088888900000003"/>
    <n v="5"/>
    <n v="12.770700636942674"/>
  </r>
  <r>
    <x v="37"/>
    <n v="0.61"/>
    <n v="0.84088888900000003"/>
    <n v="8"/>
    <n v="29.617834394904456"/>
  </r>
  <r>
    <x v="9"/>
    <n v="0.43836446099999998"/>
    <n v="0.58666666700000003"/>
    <n v="5"/>
    <n v="10.668789808917197"/>
  </r>
  <r>
    <x v="9"/>
    <n v="0.43836446099999998"/>
    <n v="0.58666666700000003"/>
    <n v="6.5"/>
    <n v="16.050955414012737"/>
  </r>
  <r>
    <x v="29"/>
    <n v="0.40238543599999999"/>
    <n v="0.40883333300000002"/>
    <n v="11"/>
    <n v="28.726114649681527"/>
  </r>
  <r>
    <x v="30"/>
    <n v="0.57917600000000002"/>
    <n v="0.60285714300000004"/>
    <n v="8"/>
    <n v="58.121019108280251"/>
  </r>
  <r>
    <x v="12"/>
    <n v="0.80908761900000004"/>
    <n v="0.87473809499999999"/>
    <n v="12"/>
    <n v="25.668789808917193"/>
  </r>
  <r>
    <x v="12"/>
    <n v="0.80908761900000004"/>
    <n v="0.87473809499999999"/>
    <n v="12"/>
    <n v="26.815286624203821"/>
  </r>
  <r>
    <x v="45"/>
    <n v="0.31264018999999998"/>
    <n v="0.356821212"/>
    <n v="6"/>
    <n v="13.789808917197451"/>
  </r>
  <r>
    <x v="45"/>
    <n v="0.31264018999999998"/>
    <n v="0.356821212"/>
    <n v="5"/>
    <n v="7.7388535031847132"/>
  </r>
  <r>
    <x v="45"/>
    <n v="0.31264018999999998"/>
    <n v="0.356821212"/>
    <n v="4.5"/>
    <n v="7.388535031847133"/>
  </r>
  <r>
    <x v="35"/>
    <n v="0.52500000000000002"/>
    <n v="0.52500000000000002"/>
    <n v="6"/>
    <n v="6.5286624203821653"/>
  </r>
  <r>
    <x v="35"/>
    <n v="0.52500000000000002"/>
    <n v="0.52500000000000002"/>
    <n v="8"/>
    <n v="15.796178343949045"/>
  </r>
  <r>
    <x v="35"/>
    <n v="0.52500000000000002"/>
    <n v="0.52500000000000002"/>
    <n v="10"/>
    <n v="37.802547770700635"/>
  </r>
  <r>
    <x v="35"/>
    <n v="0.52500000000000002"/>
    <n v="0.52500000000000002"/>
    <n v="6.5"/>
    <n v="8.7261146496815272"/>
  </r>
  <r>
    <x v="35"/>
    <n v="0.52500000000000002"/>
    <n v="0.52500000000000002"/>
    <n v="5"/>
    <n v="8.7579617834394909"/>
  </r>
  <r>
    <x v="36"/>
    <n v="0.39984676499999999"/>
    <n v="0.450333333"/>
    <n v="7"/>
    <n v="18.375796178343951"/>
  </r>
  <r>
    <x v="36"/>
    <n v="0.39984676499999999"/>
    <n v="0.450333333"/>
    <n v="7"/>
    <n v="16.273885350318473"/>
  </r>
  <r>
    <x v="9"/>
    <n v="0.43836446099999998"/>
    <n v="0.58666666700000003"/>
    <n v="6"/>
    <n v="11.273885350318473"/>
  </r>
  <r>
    <x v="9"/>
    <n v="0.43836446099999998"/>
    <n v="0.58666666700000003"/>
    <n v="5.5"/>
    <n v="10.668789808917197"/>
  </r>
  <r>
    <x v="45"/>
    <n v="0.31264018999999998"/>
    <n v="0.356821212"/>
    <n v="3"/>
    <n v="6.8471337579617835"/>
  </r>
  <r>
    <x v="45"/>
    <n v="0.31264018999999998"/>
    <n v="0.356821212"/>
    <n v="4.5"/>
    <n v="8.4713375796178347"/>
  </r>
  <r>
    <x v="45"/>
    <n v="0.31264018999999998"/>
    <n v="0.356821212"/>
    <n v="4.5"/>
    <n v="11.273885350318471"/>
  </r>
  <r>
    <x v="45"/>
    <n v="0.31264018999999998"/>
    <n v="0.356821212"/>
    <n v="6"/>
    <n v="14.108280254777069"/>
  </r>
  <r>
    <x v="45"/>
    <n v="0.31264018999999998"/>
    <n v="0.356821212"/>
    <n v="3"/>
    <n v="7.388535031847133"/>
  </r>
  <r>
    <x v="45"/>
    <n v="0.31264018999999998"/>
    <n v="0.356821212"/>
    <n v="5"/>
    <n v="10.286624203821654"/>
  </r>
  <r>
    <x v="45"/>
    <n v="0.31264018999999998"/>
    <n v="0.356821212"/>
    <n v="5"/>
    <n v="5.8917197452229297"/>
  </r>
  <r>
    <x v="35"/>
    <n v="0.52500000000000002"/>
    <n v="0.52500000000000002"/>
    <n v="7"/>
    <n v="11.942675159235668"/>
  </r>
  <r>
    <x v="35"/>
    <n v="0.52500000000000002"/>
    <n v="0.52500000000000002"/>
    <n v="8"/>
    <n v="17.070063694267514"/>
  </r>
  <r>
    <x v="35"/>
    <n v="0.52500000000000002"/>
    <n v="0.52500000000000002"/>
    <n v="8"/>
    <n v="28.025477707006367"/>
  </r>
  <r>
    <x v="35"/>
    <n v="0.52500000000000002"/>
    <n v="0.52500000000000002"/>
    <n v="8"/>
    <n v="10.891719745222931"/>
  </r>
  <r>
    <x v="36"/>
    <n v="0.39984676499999999"/>
    <n v="0.450333333"/>
    <n v="8"/>
    <n v="14.490445859872612"/>
  </r>
  <r>
    <x v="36"/>
    <n v="0.39984676499999999"/>
    <n v="0.450333333"/>
    <n v="11"/>
    <n v="15.987261146496815"/>
  </r>
  <r>
    <x v="50"/>
    <n v="0.43538739399999998"/>
    <n v="0.568333333"/>
    <n v="6.5"/>
    <n v="10.095541401273884"/>
  </r>
  <r>
    <x v="17"/>
    <n v="0.65716857299999998"/>
    <n v="0.85527777800000004"/>
    <n v="6"/>
    <n v="6.2101910828025479"/>
  </r>
  <r>
    <x v="17"/>
    <n v="0.65716857299999998"/>
    <n v="0.85527777800000004"/>
    <n v="6"/>
    <n v="5.7961783439490437"/>
  </r>
  <r>
    <x v="17"/>
    <n v="0.65716857299999998"/>
    <n v="0.85527777800000004"/>
    <n v="8"/>
    <n v="12.611464968152864"/>
  </r>
  <r>
    <x v="9"/>
    <n v="0.43836446099999998"/>
    <n v="0.58666666700000003"/>
    <n v="6.5"/>
    <n v="18.598726114649679"/>
  </r>
  <r>
    <x v="9"/>
    <n v="0.43836446099999998"/>
    <n v="0.58666666700000003"/>
    <n v="7.5"/>
    <n v="29.840764331210195"/>
  </r>
  <r>
    <x v="29"/>
    <n v="0.40238543599999999"/>
    <n v="0.40883333300000002"/>
    <n v="11"/>
    <n v="20.828025477707008"/>
  </r>
  <r>
    <x v="29"/>
    <n v="0.40238543599999999"/>
    <n v="0.40883333300000002"/>
    <n v="12"/>
    <n v="21.082802547770701"/>
  </r>
  <r>
    <x v="12"/>
    <n v="0.80908761900000004"/>
    <n v="0.87473809499999999"/>
    <n v="14"/>
    <n v="30.668789808917197"/>
  </r>
  <r>
    <x v="12"/>
    <n v="0.80908761900000004"/>
    <n v="0.87473809499999999"/>
    <n v="11"/>
    <n v="75.859872611464965"/>
  </r>
  <r>
    <x v="45"/>
    <n v="0.31264018999999998"/>
    <n v="0.356821212"/>
    <n v="5"/>
    <n v="9.968152866242038"/>
  </r>
  <r>
    <x v="35"/>
    <n v="0.52500000000000002"/>
    <n v="0.52500000000000002"/>
    <n v="7"/>
    <n v="16.719745222929937"/>
  </r>
  <r>
    <x v="35"/>
    <n v="0.52500000000000002"/>
    <n v="0.52500000000000002"/>
    <n v="6.5"/>
    <n v="8.6942675159235669"/>
  </r>
  <r>
    <x v="35"/>
    <n v="0.52500000000000002"/>
    <n v="0.52500000000000002"/>
    <n v="9"/>
    <n v="46.43312101910827"/>
  </r>
  <r>
    <x v="36"/>
    <n v="0.39984676499999999"/>
    <n v="0.450333333"/>
    <n v="12"/>
    <n v="41.019108280254777"/>
  </r>
  <r>
    <x v="36"/>
    <n v="0.39984676499999999"/>
    <n v="0.450333333"/>
    <n v="12"/>
    <n v="23.98089171974522"/>
  </r>
  <r>
    <x v="36"/>
    <n v="0.39984676499999999"/>
    <n v="0.450333333"/>
    <n v="13"/>
    <n v="41.401273885350314"/>
  </r>
  <r>
    <x v="36"/>
    <n v="0.39984676499999999"/>
    <n v="0.450333333"/>
    <n v="12"/>
    <n v="38.471337579617831"/>
  </r>
  <r>
    <x v="36"/>
    <n v="0.39984676499999999"/>
    <n v="0.450333333"/>
    <n v="12"/>
    <n v="18.885350318471335"/>
  </r>
  <r>
    <x v="36"/>
    <n v="0.39984676499999999"/>
    <n v="0.450333333"/>
    <n v="10"/>
    <n v="19.554140127388536"/>
  </r>
  <r>
    <x v="51"/>
    <n v="0.54"/>
    <n v="0.61247410899999999"/>
    <n v="6"/>
    <n v="7.1019108280254777"/>
  </r>
  <r>
    <x v="9"/>
    <n v="0.43836446099999998"/>
    <n v="0.58666666700000003"/>
    <n v="6"/>
    <n v="17.261146496815286"/>
  </r>
  <r>
    <x v="29"/>
    <n v="0.40238543599999999"/>
    <n v="0.40883333300000002"/>
    <n v="11"/>
    <n v="15.445859872611464"/>
  </r>
  <r>
    <x v="29"/>
    <n v="0.40238543599999999"/>
    <n v="0.40883333300000002"/>
    <n v="8"/>
    <n v="15.19108280254777"/>
  </r>
  <r>
    <x v="29"/>
    <n v="0.40238543599999999"/>
    <n v="0.40883333300000002"/>
    <n v="8"/>
    <n v="16.433121019108281"/>
  </r>
  <r>
    <x v="41"/>
    <n v="0.693333333"/>
    <n v="0.64166666699999997"/>
    <n v="5"/>
    <n v="5.8280254777070066"/>
  </r>
  <r>
    <x v="41"/>
    <n v="0.693333333"/>
    <n v="0.64166666699999997"/>
    <n v="7"/>
    <n v="17.00636942675159"/>
  </r>
  <r>
    <x v="45"/>
    <n v="0.31264018999999998"/>
    <n v="0.356821212"/>
    <n v="2.7"/>
    <n v="2.3885350320000001"/>
  </r>
  <r>
    <x v="2"/>
    <n v="0.47982689899999997"/>
    <n v="0.51"/>
    <n v="6"/>
    <n v="8.6624203820000005"/>
  </r>
  <r>
    <x v="2"/>
    <n v="0.47982689899999997"/>
    <n v="0.51"/>
    <n v="6"/>
    <n v="7.1019108280000003"/>
  </r>
  <r>
    <x v="43"/>
    <n v="0.62643652800000005"/>
    <n v="0.57808694400000005"/>
    <n v="6"/>
    <n v="43.184713379999998"/>
  </r>
  <r>
    <x v="43"/>
    <n v="0.62643652800000005"/>
    <n v="0.57808694400000005"/>
    <n v="7"/>
    <n v="35.414012739999997"/>
  </r>
  <r>
    <x v="43"/>
    <n v="0.62643652800000005"/>
    <n v="0.57808694400000005"/>
    <n v="6"/>
    <n v="27.866242039999999"/>
  </r>
  <r>
    <x v="43"/>
    <n v="0.62643652800000005"/>
    <n v="0.57808694400000005"/>
    <n v="6"/>
    <n v="38.270700640000001"/>
  </r>
  <r>
    <x v="36"/>
    <n v="0.39984676499999999"/>
    <n v="0.450333333"/>
    <n v="11"/>
    <n v="38.72611465"/>
  </r>
  <r>
    <x v="29"/>
    <n v="0.40238543599999999"/>
    <n v="0.40883333300000002"/>
    <n v="6"/>
    <n v="15.95541401"/>
  </r>
  <r>
    <x v="29"/>
    <n v="0.40238543599999999"/>
    <n v="0.40883333300000002"/>
    <n v="8"/>
    <n v="14.076433120000001"/>
  </r>
  <r>
    <x v="29"/>
    <n v="0.40238543599999999"/>
    <n v="0.40883333300000002"/>
    <n v="7"/>
    <n v="12.61146497"/>
  </r>
  <r>
    <x v="29"/>
    <n v="0.40238543599999999"/>
    <n v="0.40883333300000002"/>
    <n v="7"/>
    <n v="11.33757962"/>
  </r>
  <r>
    <x v="29"/>
    <n v="0.40238543599999999"/>
    <n v="0.40883333300000002"/>
    <n v="7"/>
    <n v="13.853503180000001"/>
  </r>
  <r>
    <x v="29"/>
    <n v="0.40238543599999999"/>
    <n v="0.40883333300000002"/>
    <n v="7"/>
    <n v="14.10828025"/>
  </r>
  <r>
    <x v="29"/>
    <n v="0.40238543599999999"/>
    <n v="0.40883333300000002"/>
    <n v="8"/>
    <n v="12.229299360000001"/>
  </r>
  <r>
    <x v="29"/>
    <n v="0.40238543599999999"/>
    <n v="0.40883333300000002"/>
    <n v="8"/>
    <n v="13.15286624"/>
  </r>
  <r>
    <x v="29"/>
    <n v="0.40238543599999999"/>
    <n v="0.40883333300000002"/>
    <n v="8"/>
    <n v="14.076433120000001"/>
  </r>
  <r>
    <x v="52"/>
    <n v="0.46679999999999999"/>
    <n v="0.81159999999999999"/>
    <n v="8"/>
    <n v="17.006369429999999"/>
  </r>
  <r>
    <x v="52"/>
    <n v="0.46679999999999999"/>
    <n v="0.81159999999999999"/>
    <n v="5"/>
    <n v="14.58598726"/>
  </r>
  <r>
    <x v="52"/>
    <n v="0.46679999999999999"/>
    <n v="0.81159999999999999"/>
    <n v="6"/>
    <n v="4.9681528659999996"/>
  </r>
  <r>
    <x v="2"/>
    <n v="0.47982689899999997"/>
    <n v="0.51"/>
    <n v="8"/>
    <n v="10.350318471337578"/>
  </r>
  <r>
    <x v="2"/>
    <n v="0.47982689899999997"/>
    <n v="0.51"/>
    <n v="8"/>
    <n v="6.5605095541401273"/>
  </r>
  <r>
    <x v="2"/>
    <n v="0.47982689899999997"/>
    <n v="0.51"/>
    <n v="9"/>
    <n v="10.414012738853504"/>
  </r>
  <r>
    <x v="43"/>
    <n v="0.62643652800000005"/>
    <n v="0.57808694400000005"/>
    <n v="5"/>
    <n v="27.802547770700635"/>
  </r>
  <r>
    <x v="43"/>
    <n v="0.62643652800000005"/>
    <n v="0.57808694400000005"/>
    <n v="7"/>
    <n v="61.942675159235669"/>
  </r>
  <r>
    <x v="43"/>
    <n v="0.62643652800000005"/>
    <n v="0.57808694400000005"/>
    <n v="7"/>
    <n v="59.203821656050955"/>
  </r>
  <r>
    <x v="43"/>
    <n v="0.62643652800000005"/>
    <n v="0.57808694400000005"/>
    <n v="7"/>
    <n v="64.363057324840767"/>
  </r>
  <r>
    <x v="43"/>
    <n v="0.62643652800000005"/>
    <n v="0.57808694400000005"/>
    <n v="7"/>
    <n v="34.617834394904456"/>
  </r>
  <r>
    <x v="43"/>
    <n v="0.62643652800000005"/>
    <n v="0.57808694400000005"/>
    <n v="7"/>
    <n v="58.535031847133759"/>
  </r>
  <r>
    <x v="45"/>
    <n v="0.31264018999999998"/>
    <n v="0.356821212"/>
    <n v="5"/>
    <n v="9.7133757961783438"/>
  </r>
  <r>
    <x v="53"/>
    <n v="0.6"/>
    <n v="0.66674999999999995"/>
    <n v="8"/>
    <n v="10.031847133757962"/>
  </r>
  <r>
    <x v="2"/>
    <n v="0.47982689899999997"/>
    <n v="0.51"/>
    <n v="5"/>
    <n v="4.0127388535031843"/>
  </r>
  <r>
    <x v="2"/>
    <n v="0.47982689899999997"/>
    <n v="0.51"/>
    <n v="4"/>
    <n v="2.6751592356687897"/>
  </r>
  <r>
    <x v="43"/>
    <n v="0.62643652800000005"/>
    <n v="0.57808694400000005"/>
    <n v="6"/>
    <n v="41.910828025477706"/>
  </r>
  <r>
    <x v="43"/>
    <n v="0.62643652800000005"/>
    <n v="0.57808694400000005"/>
    <n v="6"/>
    <n v="45.859872611464965"/>
  </r>
  <r>
    <x v="43"/>
    <n v="0.62643652800000005"/>
    <n v="0.57808694400000005"/>
    <n v="6"/>
    <n v="58.152866242038222"/>
  </r>
  <r>
    <x v="43"/>
    <n v="0.62643652800000005"/>
    <n v="0.57808694400000005"/>
    <n v="7"/>
    <n v="52.133757961783431"/>
  </r>
  <r>
    <x v="43"/>
    <n v="0.62643652800000005"/>
    <n v="0.57808694400000005"/>
    <n v="7"/>
    <n v="68.184713375796179"/>
  </r>
  <r>
    <x v="43"/>
    <n v="0.62643652800000005"/>
    <n v="0.57808694400000005"/>
    <n v="6"/>
    <n v="48.089171974522294"/>
  </r>
  <r>
    <x v="43"/>
    <n v="0.62643652800000005"/>
    <n v="0.57808694400000005"/>
    <n v="6"/>
    <n v="52.738853503184707"/>
  </r>
  <r>
    <x v="43"/>
    <n v="0.62643652800000005"/>
    <n v="0.57808694400000005"/>
    <n v="6.5"/>
    <n v="38.726114649681527"/>
  </r>
  <r>
    <x v="43"/>
    <n v="0.62643652800000005"/>
    <n v="0.57808694400000005"/>
    <n v="5"/>
    <n v="45.859872611464965"/>
  </r>
  <r>
    <x v="36"/>
    <n v="0.39984676499999999"/>
    <n v="0.450333333"/>
    <n v="10"/>
    <n v="15.35031847133758"/>
  </r>
  <r>
    <x v="36"/>
    <n v="0.39984676499999999"/>
    <n v="0.450333333"/>
    <n v="10"/>
    <n v="50.222929936305725"/>
  </r>
  <r>
    <x v="36"/>
    <n v="0.39984676499999999"/>
    <n v="0.450333333"/>
    <n v="12"/>
    <n v="24.044585987261147"/>
  </r>
  <r>
    <x v="50"/>
    <n v="0.43538739399999998"/>
    <n v="0.568333333"/>
    <n v="5"/>
    <n v="14.840764331210188"/>
  </r>
  <r>
    <x v="9"/>
    <n v="0.43836446099999998"/>
    <n v="0.58666666700000003"/>
    <n v="7"/>
    <n v="10.085987261146498"/>
  </r>
  <r>
    <x v="9"/>
    <n v="0.43836446099999998"/>
    <n v="0.58666666700000003"/>
    <n v="4"/>
    <n v="5.6050955414012744"/>
  </r>
  <r>
    <x v="29"/>
    <n v="0.40238543599999999"/>
    <n v="0.40883333300000002"/>
    <n v="9"/>
    <n v="10.031847133757962"/>
  </r>
  <r>
    <x v="29"/>
    <n v="0.40238543599999999"/>
    <n v="0.40883333300000002"/>
    <n v="8"/>
    <n v="4.9044585987261149"/>
  </r>
  <r>
    <x v="29"/>
    <n v="0.40238543599999999"/>
    <n v="0.40883333300000002"/>
    <n v="8.5"/>
    <n v="10.859872611464969"/>
  </r>
  <r>
    <x v="29"/>
    <n v="0.40238543599999999"/>
    <n v="0.40883333300000002"/>
    <n v="8"/>
    <n v="16.305732484076433"/>
  </r>
  <r>
    <x v="29"/>
    <n v="0.40238543599999999"/>
    <n v="0.40883333300000002"/>
    <n v="8"/>
    <n v="11.146496815286623"/>
  </r>
  <r>
    <x v="45"/>
    <n v="0.31264018999999998"/>
    <n v="0.356821212"/>
    <n v="6"/>
    <n v="12.898089171974522"/>
  </r>
  <r>
    <x v="45"/>
    <n v="0.31264018999999998"/>
    <n v="0.356821212"/>
    <n v="4.5"/>
    <n v="5.8917197452229297"/>
  </r>
  <r>
    <x v="45"/>
    <n v="0.31264018999999998"/>
    <n v="0.356821212"/>
    <n v="6"/>
    <n v="13.821656050955413"/>
  </r>
  <r>
    <x v="53"/>
    <n v="0.6"/>
    <n v="0.66674999999999995"/>
    <n v="6"/>
    <n v="9.7770700636942678"/>
  </r>
  <r>
    <x v="53"/>
    <n v="0.6"/>
    <n v="0.66674999999999995"/>
    <n v="5"/>
    <n v="23.662420382165603"/>
  </r>
  <r>
    <x v="54"/>
    <n v="0.59"/>
    <n v="0.59"/>
    <n v="6"/>
    <n v="12.738853503184712"/>
  </r>
  <r>
    <x v="2"/>
    <n v="0.47982689899999997"/>
    <n v="0.51"/>
    <n v="6"/>
    <n v="11.337579617834395"/>
  </r>
  <r>
    <x v="2"/>
    <n v="0.47982689899999997"/>
    <n v="0.51"/>
    <n v="8"/>
    <n v="15.254777070063692"/>
  </r>
  <r>
    <x v="35"/>
    <n v="0.52500000000000002"/>
    <n v="0.52500000000000002"/>
    <n v="8"/>
    <n v="18.089171974522291"/>
  </r>
  <r>
    <x v="35"/>
    <n v="0.52500000000000002"/>
    <n v="0.52500000000000002"/>
    <n v="8"/>
    <n v="16.337579617834393"/>
  </r>
  <r>
    <x v="22"/>
    <n v="1082380952"/>
    <n v="0.61247410899999999"/>
    <n v="6"/>
    <n v="20.764331210191077"/>
  </r>
  <r>
    <x v="50"/>
    <n v="0.43538739399999998"/>
    <n v="0.568333333"/>
    <n v="7"/>
    <n v="23.853503184713375"/>
  </r>
  <r>
    <x v="50"/>
    <n v="0.43538739399999998"/>
    <n v="0.568333333"/>
    <n v="8"/>
    <n v="29.267515923566879"/>
  </r>
  <r>
    <x v="48"/>
    <n v="0.39"/>
    <n v="0.28861111099999998"/>
    <n v="4"/>
    <n v="6.5286624203821653"/>
  </r>
  <r>
    <x v="48"/>
    <n v="0.39"/>
    <n v="0.28861111099999998"/>
    <n v="5.5"/>
    <n v="14.585987261146496"/>
  </r>
  <r>
    <x v="41"/>
    <n v="0.693333333"/>
    <n v="0.64166666699999997"/>
    <n v="7"/>
    <n v="18.757961783439491"/>
  </r>
  <r>
    <x v="41"/>
    <n v="0.693333333"/>
    <n v="0.64166666699999997"/>
    <n v="6"/>
    <n v="13.789808917197451"/>
  </r>
  <r>
    <x v="41"/>
    <n v="0.693333333"/>
    <n v="0.64166666699999997"/>
    <n v="8"/>
    <n v="23.917197452229296"/>
  </r>
  <r>
    <x v="55"/>
    <n v="0.77"/>
    <n v="0.77"/>
    <n v="3"/>
    <n v="4.2675159235668794"/>
  </r>
  <r>
    <x v="55"/>
    <n v="0.77"/>
    <n v="0.77"/>
    <n v="3.5"/>
    <n v="3.6624203821656049"/>
  </r>
  <r>
    <x v="12"/>
    <n v="0.80908761900000004"/>
    <n v="0.87473809499999999"/>
    <n v="11"/>
    <n v="27.261146496815282"/>
  </r>
  <r>
    <x v="12"/>
    <n v="0.80908761900000004"/>
    <n v="0.87473809499999999"/>
    <n v="5"/>
    <n v="5.5732484076433115"/>
  </r>
  <r>
    <x v="12"/>
    <n v="0.80908761900000004"/>
    <n v="0.87473809499999999"/>
    <n v="8"/>
    <n v="31.210191082802545"/>
  </r>
  <r>
    <x v="12"/>
    <n v="0.80908761900000004"/>
    <n v="0.87473809499999999"/>
    <n v="7"/>
    <n v="16.019108280254777"/>
  </r>
  <r>
    <x v="56"/>
    <n v="0.37226847299999999"/>
    <n v="0.42234285700000002"/>
    <n v="3"/>
    <n v="3.9171974522292996"/>
  </r>
  <r>
    <x v="53"/>
    <n v="0.6"/>
    <n v="0.66674999999999995"/>
    <n v="6.5"/>
    <n v="4.6178343949044587"/>
  </r>
  <r>
    <x v="53"/>
    <n v="0.6"/>
    <n v="0.66674999999999995"/>
    <n v="6"/>
    <n v="6.2101910828025479"/>
  </r>
  <r>
    <x v="40"/>
    <n v="0.9"/>
    <n v="0.61247410899999999"/>
    <n v="4"/>
    <n v="2.6114649681528661"/>
  </r>
  <r>
    <x v="43"/>
    <n v="0.62643652800000005"/>
    <n v="0.57808694400000005"/>
    <n v="8"/>
    <n v="82.738853503184714"/>
  </r>
  <r>
    <x v="43"/>
    <n v="0.62643652800000005"/>
    <n v="0.57808694400000005"/>
    <n v="7"/>
    <n v="69.522292993630572"/>
  </r>
  <r>
    <x v="48"/>
    <n v="0.39"/>
    <n v="0.28861111099999998"/>
    <n v="4"/>
    <n v="11.019108280254777"/>
  </r>
  <r>
    <x v="48"/>
    <n v="0.39"/>
    <n v="0.28861111099999998"/>
    <n v="4"/>
    <n v="8.6942675159235669"/>
  </r>
  <r>
    <x v="41"/>
    <n v="0.693333333"/>
    <n v="0.64166666699999997"/>
    <n v="7"/>
    <n v="27.452229299363058"/>
  </r>
  <r>
    <x v="41"/>
    <n v="0.693333333"/>
    <n v="0.64166666699999997"/>
    <n v="7"/>
    <n v="11.878980891719744"/>
  </r>
  <r>
    <x v="41"/>
    <n v="0.693333333"/>
    <n v="0.64166666699999997"/>
    <n v="7"/>
    <n v="11.592356687898087"/>
  </r>
  <r>
    <x v="41"/>
    <n v="0.693333333"/>
    <n v="0.64166666699999997"/>
    <n v="8"/>
    <n v="24.012738853503187"/>
  </r>
  <r>
    <x v="41"/>
    <n v="0.693333333"/>
    <n v="0.64166666699999997"/>
    <n v="6"/>
    <n v="6.7515923566878975"/>
  </r>
  <r>
    <x v="41"/>
    <n v="0.693333333"/>
    <n v="0.64166666699999997"/>
    <n v="8"/>
    <n v="24.7452229299363"/>
  </r>
  <r>
    <x v="41"/>
    <n v="0.693333333"/>
    <n v="0.64166666699999997"/>
    <n v="7"/>
    <n v="25.03184713375796"/>
  </r>
  <r>
    <x v="41"/>
    <n v="0.693333333"/>
    <n v="0.64166666699999997"/>
    <n v="8"/>
    <n v="28.885350318471332"/>
  </r>
  <r>
    <x v="41"/>
    <n v="0.693333333"/>
    <n v="0.64166666699999997"/>
    <n v="7"/>
    <n v="14.61783439490446"/>
  </r>
  <r>
    <x v="49"/>
    <n v="0.86"/>
    <n v="0.65666666699999998"/>
    <n v="5"/>
    <n v="4.6178343949044587"/>
  </r>
  <r>
    <x v="31"/>
    <n v="0.40257753800000001"/>
    <n v="0.40843333300000001"/>
    <n v="4"/>
    <n v="10.477707006369426"/>
  </r>
  <r>
    <x v="57"/>
    <n v="0.80803492399999999"/>
    <n v="0.87275320499999998"/>
    <n v="7"/>
    <n v="14.076433121019109"/>
  </r>
  <r>
    <x v="57"/>
    <n v="0.80803492399999999"/>
    <n v="0.87275320499999998"/>
    <n v="7"/>
    <n v="28.726114649681524"/>
  </r>
  <r>
    <x v="39"/>
    <n v="0.41"/>
    <n v="0.33983503399999998"/>
    <n v="9"/>
    <n v="20.127388535031844"/>
  </r>
  <r>
    <x v="39"/>
    <n v="0.41"/>
    <n v="0.33983503399999998"/>
    <n v="9"/>
    <n v="8.4076433121019107"/>
  </r>
  <r>
    <x v="39"/>
    <n v="0.41"/>
    <n v="0.33983503399999998"/>
    <n v="7"/>
    <n v="7.1019108280254777"/>
  </r>
  <r>
    <x v="56"/>
    <n v="0.37226847299999999"/>
    <n v="0.42234285700000002"/>
    <n v="6"/>
    <n v="6.2101910828025479"/>
  </r>
  <r>
    <x v="56"/>
    <n v="0.37226847299999999"/>
    <n v="0.42234285700000002"/>
    <n v="3.5"/>
    <n v="11.815286624203821"/>
  </r>
  <r>
    <x v="35"/>
    <n v="0.52500000000000002"/>
    <n v="0.52500000000000002"/>
    <n v="7"/>
    <n v="15.668789808917198"/>
  </r>
  <r>
    <x v="35"/>
    <n v="0.52500000000000002"/>
    <n v="0.52500000000000002"/>
    <n v="7"/>
    <n v="12.643312101910828"/>
  </r>
  <r>
    <x v="58"/>
    <n v="0.85449533600000005"/>
    <n v="0.81482857099999995"/>
    <n v="5"/>
    <n v="9.4904458598726116"/>
  </r>
  <r>
    <x v="50"/>
    <n v="0.43538739399999998"/>
    <n v="0.568333333"/>
    <n v="8"/>
    <n v="20.318471337579616"/>
  </r>
  <r>
    <x v="29"/>
    <n v="0.40238543599999999"/>
    <n v="0.40883333300000002"/>
    <n v="9"/>
    <n v="18.312101910828027"/>
  </r>
  <r>
    <x v="29"/>
    <n v="0.40238543599999999"/>
    <n v="0.40883333300000002"/>
    <n v="9"/>
    <n v="18.312101910828027"/>
  </r>
  <r>
    <x v="29"/>
    <n v="0.40238543599999999"/>
    <n v="0.40883333300000002"/>
    <n v="8"/>
    <n v="17.35668789808917"/>
  </r>
  <r>
    <x v="29"/>
    <n v="0.40238543599999999"/>
    <n v="0.40883333300000002"/>
    <n v="7"/>
    <n v="17.00636942675159"/>
  </r>
  <r>
    <x v="59"/>
    <n v="0.28577490700000002"/>
    <n v="0.3422"/>
    <n v="5"/>
    <n v="29.968152866242036"/>
  </r>
  <r>
    <x v="59"/>
    <n v="0.28577490700000002"/>
    <n v="0.3422"/>
    <n v="6.5"/>
    <n v="20.859872611464969"/>
  </r>
  <r>
    <x v="31"/>
    <n v="0.40257753800000001"/>
    <n v="0.40843333300000001"/>
    <n v="3.5"/>
    <n v="12.579617834394904"/>
  </r>
  <r>
    <x v="31"/>
    <n v="0.40257753800000001"/>
    <n v="0.40843333300000001"/>
    <n v="7"/>
    <n v="11.942675159235668"/>
  </r>
  <r>
    <x v="57"/>
    <n v="0.80803492399999999"/>
    <n v="0.87275320499999998"/>
    <n v="7"/>
    <n v="6.5286624203821653"/>
  </r>
  <r>
    <x v="57"/>
    <n v="0.80803492399999999"/>
    <n v="0.87275320499999998"/>
    <n v="8"/>
    <n v="23.789808917197448"/>
  </r>
  <r>
    <x v="57"/>
    <n v="0.80803492399999999"/>
    <n v="0.87275320499999998"/>
    <n v="8.5"/>
    <n v="15.764331210191083"/>
  </r>
  <r>
    <x v="57"/>
    <n v="0.80803492399999999"/>
    <n v="0.87275320499999998"/>
    <n v="8"/>
    <n v="11.210191082802549"/>
  </r>
  <r>
    <x v="39"/>
    <n v="0.41"/>
    <n v="0.33983503399999998"/>
    <n v="7"/>
    <n v="6.4968152866242033"/>
  </r>
  <r>
    <x v="39"/>
    <n v="0.41"/>
    <n v="0.33983503399999998"/>
    <n v="5"/>
    <n v="6.4649681528662422"/>
  </r>
  <r>
    <x v="45"/>
    <n v="0.31264018999999998"/>
    <n v="0.356821212"/>
    <n v="3.5"/>
    <n v="5.8917197452229297"/>
  </r>
  <r>
    <x v="53"/>
    <n v="0.6"/>
    <n v="0.66674999999999995"/>
    <n v="4.5"/>
    <n v="5.2229299363057322"/>
  </r>
  <r>
    <x v="60"/>
    <n v="0.60413333300000005"/>
    <n v="0.60831666699999998"/>
    <n v="8"/>
    <n v="13.757961783439491"/>
  </r>
  <r>
    <x v="35"/>
    <n v="0.52500000000000002"/>
    <n v="0.52500000000000002"/>
    <n v="3.5"/>
    <n v="2.9617834394904459"/>
  </r>
  <r>
    <x v="36"/>
    <n v="0.39984676499999999"/>
    <n v="0.450333333"/>
    <n v="8"/>
    <n v="28.025477707006367"/>
  </r>
  <r>
    <x v="29"/>
    <n v="0.40238543599999999"/>
    <n v="0.40883333300000002"/>
    <n v="6"/>
    <n v="19.872611464968152"/>
  </r>
  <r>
    <x v="30"/>
    <n v="0.57917600000000002"/>
    <n v="0.60285714300000004"/>
    <n v="9"/>
    <n v="42.611464968152866"/>
  </r>
  <r>
    <x v="30"/>
    <n v="0.57917600000000002"/>
    <n v="0.60285714300000004"/>
    <n v="8"/>
    <n v="48.312101910828027"/>
  </r>
  <r>
    <x v="59"/>
    <n v="0.28577490700000002"/>
    <n v="0.3422"/>
    <n v="7"/>
    <n v="9.6178343949044578"/>
  </r>
  <r>
    <x v="2"/>
    <n v="0.47982689899999997"/>
    <n v="0.51"/>
    <n v="2"/>
    <n v="2.9617834394904459"/>
  </r>
  <r>
    <x v="2"/>
    <n v="0.47982689899999997"/>
    <n v="0.51"/>
    <n v="6"/>
    <n v="5.1910828025477711"/>
  </r>
  <r>
    <x v="2"/>
    <n v="0.47982689899999997"/>
    <n v="0.51"/>
    <n v="3"/>
    <n v="5.4140127388535033"/>
  </r>
  <r>
    <x v="2"/>
    <n v="0.47982689899999997"/>
    <n v="0.51"/>
    <n v="5"/>
    <n v="3.6942675159235665"/>
  </r>
  <r>
    <x v="2"/>
    <n v="0.47982689899999997"/>
    <n v="0.51"/>
    <n v="3"/>
    <n v="6.3057324840764331"/>
  </r>
  <r>
    <x v="35"/>
    <n v="0.52500000000000002"/>
    <n v="0.52500000000000002"/>
    <n v="7.5"/>
    <n v="10.636942675159235"/>
  </r>
  <r>
    <x v="30"/>
    <n v="0.57917600000000002"/>
    <n v="0.60285714300000004"/>
    <n v="7"/>
    <n v="13.439490445859873"/>
  </r>
  <r>
    <x v="30"/>
    <n v="0.57917600000000002"/>
    <n v="0.60285714300000004"/>
    <n v="5.5"/>
    <n v="9.0127388535031852"/>
  </r>
  <r>
    <x v="30"/>
    <n v="0.57917600000000002"/>
    <n v="0.60285714300000004"/>
    <n v="7"/>
    <n v="13.789808917197451"/>
  </r>
  <r>
    <x v="30"/>
    <n v="0.57917600000000002"/>
    <n v="0.60285714300000004"/>
    <n v="6.5"/>
    <n v="10.286624203821654"/>
  </r>
  <r>
    <x v="55"/>
    <n v="0.77"/>
    <n v="0.77"/>
    <n v="6"/>
    <n v="8.7579617834394909"/>
  </r>
  <r>
    <x v="55"/>
    <n v="0.77"/>
    <n v="0.77"/>
    <n v="5.5"/>
    <n v="9.6178343949044578"/>
  </r>
  <r>
    <x v="55"/>
    <n v="0.77"/>
    <n v="0.77"/>
    <n v="7"/>
    <n v="10.828025477707007"/>
  </r>
  <r>
    <x v="57"/>
    <n v="0.80803492399999999"/>
    <n v="0.87275320499999998"/>
    <n v="8"/>
    <n v="11.656050955414013"/>
  </r>
  <r>
    <x v="61"/>
    <n v="0.60064078700000001"/>
    <n v="0.66733333299999997"/>
    <n v="6.8"/>
    <n v="3.5987261146496814"/>
  </r>
  <r>
    <x v="35"/>
    <n v="0.52500000000000002"/>
    <n v="0.52500000000000002"/>
    <n v="7"/>
    <n v="7.4203821656050959"/>
  </r>
  <r>
    <x v="35"/>
    <n v="0.52500000000000002"/>
    <n v="0.52500000000000002"/>
    <n v="3.2"/>
    <n v="6.2738853503184719"/>
  </r>
  <r>
    <x v="35"/>
    <n v="0.52500000000000002"/>
    <n v="0.52500000000000002"/>
    <n v="6"/>
    <n v="8.4713375796178347"/>
  </r>
  <r>
    <x v="24"/>
    <n v="0.56193137999999998"/>
    <n v="0.57808694400000005"/>
    <n v="3.5"/>
    <n v="8.9171974522292992"/>
  </r>
  <r>
    <x v="24"/>
    <n v="0.56193137999999998"/>
    <n v="0.57808694400000005"/>
    <n v="6"/>
    <n v="28.757961783439487"/>
  </r>
  <r>
    <x v="24"/>
    <n v="0.56193137999999998"/>
    <n v="0.57808694400000005"/>
    <n v="5"/>
    <n v="18.121019108280255"/>
  </r>
  <r>
    <x v="24"/>
    <n v="0.56193137999999998"/>
    <n v="0.57808694400000005"/>
    <n v="6"/>
    <n v="19.554140127388536"/>
  </r>
  <r>
    <x v="36"/>
    <n v="0.39984676499999999"/>
    <n v="0.450333333"/>
    <n v="8"/>
    <n v="14.426751592356686"/>
  </r>
  <r>
    <x v="36"/>
    <n v="0.39984676499999999"/>
    <n v="0.450333333"/>
    <n v="7"/>
    <n v="27.452229299363054"/>
  </r>
  <r>
    <x v="36"/>
    <n v="0.39984676499999999"/>
    <n v="0.450333333"/>
    <n v="7.5"/>
    <n v="20.859872611464969"/>
  </r>
  <r>
    <x v="30"/>
    <n v="0.57917600000000002"/>
    <n v="0.60285714300000004"/>
    <n v="5"/>
    <n v="10.095541401273884"/>
  </r>
  <r>
    <x v="30"/>
    <n v="0.57917600000000002"/>
    <n v="0.60285714300000004"/>
    <n v="7"/>
    <n v="16.878980891719745"/>
  </r>
  <r>
    <x v="30"/>
    <n v="0.57917600000000002"/>
    <n v="0.60285714300000004"/>
    <n v="7"/>
    <n v="11.242038216560509"/>
  </r>
  <r>
    <x v="53"/>
    <n v="0.6"/>
    <n v="0.66674999999999995"/>
    <n v="7"/>
    <n v="15.891719745222929"/>
  </r>
  <r>
    <x v="35"/>
    <n v="0.52500000000000002"/>
    <n v="0.52500000000000002"/>
    <n v="7"/>
    <n v="22.579617834394906"/>
  </r>
  <r>
    <x v="35"/>
    <n v="0.52500000000000002"/>
    <n v="0.52500000000000002"/>
    <n v="8"/>
    <n v="13.789808917197451"/>
  </r>
  <r>
    <x v="24"/>
    <n v="0.56193137999999998"/>
    <n v="0.57808694400000005"/>
    <n v="8"/>
    <n v="13.917197452229299"/>
  </r>
  <r>
    <x v="24"/>
    <n v="0.56193137999999998"/>
    <n v="0.57808694400000005"/>
    <n v="3.5"/>
    <n v="6.401273885350319"/>
  </r>
  <r>
    <x v="36"/>
    <n v="0.39984676499999999"/>
    <n v="0.450333333"/>
    <n v="15"/>
    <n v="37.420382165605091"/>
  </r>
  <r>
    <x v="36"/>
    <n v="0.39984676499999999"/>
    <n v="0.450333333"/>
    <n v="12"/>
    <n v="36.337579617834393"/>
  </r>
  <r>
    <x v="36"/>
    <n v="0.39984676499999999"/>
    <n v="0.450333333"/>
    <n v="10"/>
    <n v="16.433121019108281"/>
  </r>
  <r>
    <x v="36"/>
    <n v="0.39984676499999999"/>
    <n v="0.450333333"/>
    <n v="11"/>
    <n v="21.464968152866241"/>
  </r>
  <r>
    <x v="50"/>
    <n v="0.43538739399999998"/>
    <n v="0.568333333"/>
    <n v="7.5"/>
    <n v="10.382165605095542"/>
  </r>
  <r>
    <x v="30"/>
    <n v="0.57917600000000002"/>
    <n v="0.60285714300000004"/>
    <n v="10"/>
    <n v="46.146496815286625"/>
  </r>
  <r>
    <x v="30"/>
    <n v="0.57917600000000002"/>
    <n v="0.60285714300000004"/>
    <n v="6"/>
    <n v="11.305732484076433"/>
  </r>
  <r>
    <x v="30"/>
    <n v="0.57917600000000002"/>
    <n v="0.60285714300000004"/>
    <n v="6"/>
    <n v="24.363057324840764"/>
  </r>
  <r>
    <x v="30"/>
    <n v="0.57917600000000002"/>
    <n v="0.60285714300000004"/>
    <n v="8.4"/>
    <n v="11.942675159235668"/>
  </r>
  <r>
    <x v="31"/>
    <n v="0.40257753800000001"/>
    <n v="0.40843333300000001"/>
    <n v="5"/>
    <n v="5.5095541401273884"/>
  </r>
  <r>
    <x v="57"/>
    <n v="0.80803492399999999"/>
    <n v="0.87275320499999998"/>
    <n v="7"/>
    <n v="23.343949044585987"/>
  </r>
  <r>
    <x v="53"/>
    <n v="0.6"/>
    <n v="0.66674999999999995"/>
    <n v="5"/>
    <n v="4.2993630573248405"/>
  </r>
  <r>
    <x v="34"/>
    <n v="0.53"/>
    <n v="0.54764999999999997"/>
    <n v="5"/>
    <n v="5.4777070063694264"/>
  </r>
  <r>
    <x v="35"/>
    <n v="0.52500000000000002"/>
    <n v="0.52500000000000002"/>
    <n v="7"/>
    <n v="12.898089171974522"/>
  </r>
  <r>
    <x v="24"/>
    <n v="0.56193137999999998"/>
    <n v="0.57808694400000005"/>
    <n v="7"/>
    <n v="38.757961783439491"/>
  </r>
  <r>
    <x v="36"/>
    <n v="0.39984676499999999"/>
    <n v="0.450333333"/>
    <n v="9"/>
    <n v="42.29299363057325"/>
  </r>
  <r>
    <x v="51"/>
    <n v="0.54"/>
    <n v="0.61247410899999999"/>
    <n v="8"/>
    <n v="22.356687898089174"/>
  </r>
  <r>
    <x v="51"/>
    <n v="0.54"/>
    <n v="0.61247410899999999"/>
    <n v="7"/>
    <n v="16.464968152866241"/>
  </r>
  <r>
    <x v="51"/>
    <n v="0.54"/>
    <n v="0.61247410899999999"/>
    <n v="7"/>
    <n v="11.656050955414013"/>
  </r>
  <r>
    <x v="9"/>
    <n v="0.43836446099999998"/>
    <n v="0.58666666700000003"/>
    <n v="6"/>
    <n v="7.5796178343949041"/>
  </r>
  <r>
    <x v="52"/>
    <n v="0.46679999999999999"/>
    <n v="0.81159999999999999"/>
    <n v="7.5"/>
    <n v="19.713375796178344"/>
  </r>
  <r>
    <x v="55"/>
    <n v="0.77"/>
    <n v="0.77"/>
    <n v="3.5"/>
    <n v="4.8726114649681529"/>
  </r>
  <r>
    <x v="57"/>
    <n v="0.80803492399999999"/>
    <n v="0.87275320499999998"/>
    <n v="9"/>
    <n v="25.159235668789808"/>
  </r>
  <r>
    <x v="57"/>
    <n v="0.80803492399999999"/>
    <n v="0.87275320499999998"/>
    <n v="8"/>
    <n v="27.133757961783438"/>
  </r>
  <r>
    <x v="39"/>
    <n v="0.41"/>
    <n v="0.33983503399999998"/>
    <n v="8"/>
    <n v="8.1210191082802545"/>
  </r>
  <r>
    <x v="35"/>
    <n v="0.52500000000000002"/>
    <n v="0.52500000000000002"/>
    <n v="8"/>
    <n v="21.369426751592353"/>
  </r>
  <r>
    <x v="24"/>
    <n v="0.56193137999999998"/>
    <n v="0.57808694400000005"/>
    <n v="6"/>
    <n v="42.834394904458598"/>
  </r>
  <r>
    <x v="24"/>
    <n v="0.56193137999999998"/>
    <n v="0.57808694400000005"/>
    <n v="6.5"/>
    <n v="50.541401273885342"/>
  </r>
  <r>
    <x v="24"/>
    <n v="0.56193137999999998"/>
    <n v="0.57808694400000005"/>
    <n v="6.5"/>
    <n v="62.229299363057322"/>
  </r>
  <r>
    <x v="24"/>
    <n v="0.56193137999999998"/>
    <n v="0.57808694400000005"/>
    <n v="7"/>
    <n v="42.834394904458598"/>
  </r>
  <r>
    <x v="24"/>
    <n v="0.56193137999999998"/>
    <n v="0.57808694400000005"/>
    <n v="6"/>
    <n v="28.152866242038218"/>
  </r>
  <r>
    <x v="36"/>
    <n v="0.39984676499999999"/>
    <n v="0.450333333"/>
    <n v="9"/>
    <n v="20.445859872611464"/>
  </r>
  <r>
    <x v="36"/>
    <n v="0.39984676499999999"/>
    <n v="0.450333333"/>
    <n v="9"/>
    <n v="30.668789808917197"/>
  </r>
  <r>
    <x v="9"/>
    <n v="0.43836446099999998"/>
    <n v="0.58666666700000003"/>
    <n v="5"/>
    <n v="7.2292993630573257"/>
  </r>
  <r>
    <x v="9"/>
    <n v="0.43836446099999998"/>
    <n v="0.58666666700000003"/>
    <n v="3"/>
    <n v="6.401273885350319"/>
  </r>
  <r>
    <x v="9"/>
    <n v="0.43836446099999998"/>
    <n v="0.58666666700000003"/>
    <n v="6.5"/>
    <n v="2.9617834394904459"/>
  </r>
  <r>
    <x v="30"/>
    <n v="0.57917600000000002"/>
    <n v="0.60285714300000004"/>
    <n v="8"/>
    <n v="43.121019108280258"/>
  </r>
  <r>
    <x v="55"/>
    <n v="0.77"/>
    <n v="0.77"/>
    <n v="6"/>
    <n v="5.2547770700636942"/>
  </r>
  <r>
    <x v="55"/>
    <n v="0.77"/>
    <n v="0.77"/>
    <n v="3.8"/>
    <n v="4.6178343949044587"/>
  </r>
  <r>
    <x v="55"/>
    <n v="0.77"/>
    <n v="0.77"/>
    <n v="5.5"/>
    <n v="10.859872611464969"/>
  </r>
  <r>
    <x v="49"/>
    <n v="0.86"/>
    <n v="0.65666666699999998"/>
    <n v="5"/>
    <n v="12.547770700636942"/>
  </r>
  <r>
    <x v="12"/>
    <n v="0.80908761900000004"/>
    <n v="0.87473809499999999"/>
    <n v="7"/>
    <n v="42.547770700636939"/>
  </r>
  <r>
    <x v="12"/>
    <n v="0.80908761900000004"/>
    <n v="0.87473809499999999"/>
    <n v="8"/>
    <n v="30.031847133757964"/>
  </r>
  <r>
    <x v="12"/>
    <n v="0.80908761900000004"/>
    <n v="0.87473809499999999"/>
    <n v="4.5"/>
    <n v="12.006369426751593"/>
  </r>
  <r>
    <x v="44"/>
    <n v="0.77800000000000002"/>
    <n v="0.77386111099999999"/>
    <n v="6"/>
    <n v="8.8216560509554132"/>
  </r>
  <r>
    <x v="57"/>
    <n v="0.80803492399999999"/>
    <n v="0.87275320499999998"/>
    <n v="5"/>
    <n v="8.4713375796178347"/>
  </r>
  <r>
    <x v="39"/>
    <n v="0.41"/>
    <n v="0.33983503399999998"/>
    <n v="8"/>
    <n v="7.7388535031847132"/>
  </r>
  <r>
    <x v="34"/>
    <n v="0.53"/>
    <n v="0.54764999999999997"/>
    <n v="5"/>
    <n v="8.0573248407643305"/>
  </r>
  <r>
    <x v="35"/>
    <n v="0.52500000000000002"/>
    <n v="0.52500000000000002"/>
    <n v="6.5"/>
    <n v="24.458598726114648"/>
  </r>
  <r>
    <x v="36"/>
    <n v="0.39984676499999999"/>
    <n v="0.450333333"/>
    <n v="11"/>
    <n v="21.656050955414013"/>
  </r>
  <r>
    <x v="36"/>
    <n v="0.39984676499999999"/>
    <n v="0.450333333"/>
    <n v="11"/>
    <n v="28.949044585987263"/>
  </r>
  <r>
    <x v="36"/>
    <n v="0.39984676499999999"/>
    <n v="0.450333333"/>
    <n v="7"/>
    <n v="40.955414012738856"/>
  </r>
  <r>
    <x v="23"/>
    <n v="0.590536375"/>
    <n v="0.61247410899999999"/>
    <n v="6"/>
    <n v="26.146496815286621"/>
  </r>
  <r>
    <x v="30"/>
    <n v="0.57917600000000002"/>
    <n v="0.60285714300000004"/>
    <n v="4"/>
    <n v="5.5732484076433115"/>
  </r>
  <r>
    <x v="55"/>
    <n v="0.77"/>
    <n v="0.77"/>
    <n v="3.5"/>
    <n v="5.4777070063694264"/>
  </r>
  <r>
    <x v="49"/>
    <n v="0.86"/>
    <n v="0.65666666699999998"/>
    <n v="6.5"/>
    <n v="24.394904458598724"/>
  </r>
  <r>
    <x v="49"/>
    <n v="0.86"/>
    <n v="0.65666666699999998"/>
    <n v="7"/>
    <n v="11.687898089171975"/>
  </r>
  <r>
    <x v="12"/>
    <n v="0.80908761900000004"/>
    <n v="0.87473809499999999"/>
    <n v="4.5"/>
    <n v="18.02547770700637"/>
  </r>
  <r>
    <x v="12"/>
    <n v="0.80908761900000004"/>
    <n v="0.87473809499999999"/>
    <n v="8"/>
    <n v="14.840764331210192"/>
  </r>
  <r>
    <x v="12"/>
    <n v="0.80908761900000004"/>
    <n v="0.87473809499999999"/>
    <n v="7"/>
    <n v="17.929936305732483"/>
  </r>
  <r>
    <x v="12"/>
    <n v="0.80908761900000004"/>
    <n v="0.87473809499999999"/>
    <n v="8"/>
    <n v="17.101910828025478"/>
  </r>
  <r>
    <x v="57"/>
    <n v="0.80803492399999999"/>
    <n v="0.87275320499999998"/>
    <n v="9"/>
    <n v="15.477707006369426"/>
  </r>
  <r>
    <x v="53"/>
    <n v="0.6"/>
    <n v="0.66674999999999995"/>
    <n v="5.5"/>
    <n v="5.5414012738853495"/>
  </r>
  <r>
    <x v="2"/>
    <n v="0.47982689899999997"/>
    <n v="0.51"/>
    <n v="3"/>
    <n v="7.9617834394904454"/>
  </r>
  <r>
    <x v="2"/>
    <n v="0.47982689899999997"/>
    <n v="0.51"/>
    <n v="5"/>
    <n v="6.4649681528662422"/>
  </r>
  <r>
    <x v="34"/>
    <n v="0.53"/>
    <n v="0.54764999999999997"/>
    <n v="5.5"/>
    <n v="6.1464968152866239"/>
  </r>
  <r>
    <x v="34"/>
    <n v="0.53"/>
    <n v="0.54764999999999997"/>
    <n v="4.5"/>
    <n v="8.2165605095541405"/>
  </r>
  <r>
    <x v="36"/>
    <n v="0.39984676499999999"/>
    <n v="0.450333333"/>
    <n v="8"/>
    <n v="14.745222929936304"/>
  </r>
  <r>
    <x v="9"/>
    <n v="0.43836446099999998"/>
    <n v="0.58666666700000003"/>
    <n v="5"/>
    <n v="10.445859872611464"/>
  </r>
  <r>
    <x v="30"/>
    <n v="0.57917600000000002"/>
    <n v="0.60285714300000004"/>
    <n v="6"/>
    <n v="10.286624203821654"/>
  </r>
  <r>
    <x v="30"/>
    <n v="0.57917600000000002"/>
    <n v="0.60285714300000004"/>
    <n v="5"/>
    <n v="9.3949044585987256"/>
  </r>
  <r>
    <x v="30"/>
    <n v="0.57917600000000002"/>
    <n v="0.60285714300000004"/>
    <n v="6.5"/>
    <n v="4.8726114649681529"/>
  </r>
  <r>
    <x v="30"/>
    <n v="0.57917600000000002"/>
    <n v="0.60285714300000004"/>
    <n v="5"/>
    <n v="7.4203821656050959"/>
  </r>
  <r>
    <x v="30"/>
    <n v="0.57917600000000002"/>
    <n v="0.60285714300000004"/>
    <n v="7"/>
    <n v="14.745222929936304"/>
  </r>
  <r>
    <x v="49"/>
    <n v="0.86"/>
    <n v="0.65666666699999998"/>
    <n v="6"/>
    <n v="8.3757961783439487"/>
  </r>
  <r>
    <x v="49"/>
    <n v="0.86"/>
    <n v="0.65666666699999998"/>
    <n v="6.5"/>
    <n v="7.1656050955414008"/>
  </r>
  <r>
    <x v="39"/>
    <n v="0.41"/>
    <n v="0.33983503399999998"/>
    <n v="6"/>
    <n v="5.2547770700636942"/>
  </r>
  <r>
    <x v="60"/>
    <n v="0.60413333300000005"/>
    <n v="0.60831666699999998"/>
    <n v="10"/>
    <n v="21.146496815286625"/>
  </r>
  <r>
    <x v="46"/>
    <n v="0.55560299999999996"/>
    <n v="0.55961111100000005"/>
    <n v="3"/>
    <n v="6.1783439490445851"/>
  </r>
  <r>
    <x v="46"/>
    <n v="0.55560299999999996"/>
    <n v="0.55961111100000005"/>
    <n v="4"/>
    <n v="8.1210191082802545"/>
  </r>
  <r>
    <x v="36"/>
    <n v="0.39984676499999999"/>
    <n v="0.450333333"/>
    <n v="11"/>
    <n v="27.898089171974519"/>
  </r>
  <r>
    <x v="36"/>
    <n v="0.39984676499999999"/>
    <n v="0.450333333"/>
    <n v="7"/>
    <n v="11.656050955414013"/>
  </r>
  <r>
    <x v="36"/>
    <n v="0.39984676499999999"/>
    <n v="0.450333333"/>
    <n v="8"/>
    <n v="23.216560509554142"/>
  </r>
  <r>
    <x v="36"/>
    <n v="0.39984676499999999"/>
    <n v="0.450333333"/>
    <n v="7.5"/>
    <n v="45.06369426751592"/>
  </r>
  <r>
    <x v="36"/>
    <n v="0.39984676499999999"/>
    <n v="0.450333333"/>
    <n v="7.5"/>
    <n v="27.229299363057322"/>
  </r>
  <r>
    <x v="36"/>
    <n v="0.39984676499999999"/>
    <n v="0.450333333"/>
    <n v="8"/>
    <n v="20"/>
  </r>
  <r>
    <x v="36"/>
    <n v="0.39984676499999999"/>
    <n v="0.450333333"/>
    <n v="7.5"/>
    <n v="14.108280254777069"/>
  </r>
  <r>
    <x v="9"/>
    <n v="0.43836446099999998"/>
    <n v="0.58666666700000003"/>
    <n v="4"/>
    <n v="3.9171974522292996"/>
  </r>
  <r>
    <x v="41"/>
    <n v="0.693333333"/>
    <n v="0.64166666699999997"/>
    <n v="6"/>
    <n v="6.8789808917197455"/>
  </r>
  <r>
    <x v="55"/>
    <n v="0.77"/>
    <n v="0.77"/>
    <n v="6"/>
    <n v="8.0573248407643305"/>
  </r>
  <r>
    <x v="12"/>
    <n v="0.80908761900000004"/>
    <n v="0.87473809499999999"/>
    <n v="12"/>
    <n v="82.22993630573248"/>
  </r>
  <r>
    <x v="23"/>
    <n v="0.590536375"/>
    <n v="0.61247410899999999"/>
    <n v="7"/>
    <n v="10.605095541401273"/>
  </r>
  <r>
    <x v="23"/>
    <n v="0.590536375"/>
    <n v="0.61247410899999999"/>
    <n v="8"/>
    <n v="11.656050955414013"/>
  </r>
  <r>
    <x v="23"/>
    <n v="0.590536375"/>
    <n v="0.61247410899999999"/>
    <n v="11"/>
    <n v="16.65605095541401"/>
  </r>
  <r>
    <x v="23"/>
    <n v="0.590536375"/>
    <n v="0.61247410899999999"/>
    <n v="11"/>
    <n v="17.32484076433121"/>
  </r>
  <r>
    <x v="23"/>
    <n v="0.590536375"/>
    <n v="0.61247410899999999"/>
    <n v="10"/>
    <n v="19.904458598726112"/>
  </r>
  <r>
    <x v="23"/>
    <n v="0.590536375"/>
    <n v="0.61247410899999999"/>
    <n v="7"/>
    <n v="36.136942675159233"/>
  </r>
  <r>
    <x v="23"/>
    <n v="0.590536375"/>
    <n v="0.61247410899999999"/>
    <n v="8"/>
    <n v="43.436305732484072"/>
  </r>
  <r>
    <x v="23"/>
    <n v="0.590536375"/>
    <n v="0.61247410899999999"/>
    <n v="8"/>
    <n v="49.803184713375792"/>
  </r>
  <r>
    <x v="62"/>
    <n v="0.53168696000000004"/>
    <n v="0.61247410899999999"/>
    <n v="9"/>
    <n v="17.101910828025478"/>
  </r>
  <r>
    <x v="62"/>
    <n v="0.53168696000000004"/>
    <n v="0.61247410899999999"/>
    <n v="13"/>
    <n v="32.00636942675159"/>
  </r>
  <r>
    <x v="12"/>
    <n v="0.80908761900000004"/>
    <n v="0.87473809499999999"/>
    <n v="11"/>
    <n v="21.178343949044585"/>
  </r>
  <r>
    <x v="43"/>
    <n v="0.62643652800000005"/>
    <n v="0.57808694400000005"/>
    <n v="4"/>
    <n v="4.2038216560509554"/>
  </r>
  <r>
    <x v="43"/>
    <n v="0.62643652800000005"/>
    <n v="0.57808694400000005"/>
    <n v="4.5"/>
    <n v="16.898089171974522"/>
  </r>
  <r>
    <x v="43"/>
    <n v="0.62643652800000005"/>
    <n v="0.57808694400000005"/>
    <n v="5.5"/>
    <n v="28.283439490445858"/>
  </r>
  <r>
    <x v="23"/>
    <n v="0.590536375"/>
    <n v="0.61247410899999999"/>
    <n v="7"/>
    <n v="19.108280254777068"/>
  </r>
  <r>
    <x v="23"/>
    <n v="0.590536375"/>
    <n v="0.61247410899999999"/>
    <n v="11"/>
    <n v="26.656050955414013"/>
  </r>
  <r>
    <x v="23"/>
    <n v="0.590536375"/>
    <n v="0.61247410899999999"/>
    <n v="8"/>
    <n v="37.680254777070061"/>
  </r>
  <r>
    <x v="23"/>
    <n v="0.590536375"/>
    <n v="0.61247410899999999"/>
    <n v="9"/>
    <n v="51.072611464968155"/>
  </r>
  <r>
    <x v="48"/>
    <n v="0.39"/>
    <n v="0.28861111099999998"/>
    <n v="5"/>
    <n v="8.1210191082802545"/>
  </r>
  <r>
    <x v="48"/>
    <n v="0.39"/>
    <n v="0.28861111099999998"/>
    <n v="6"/>
    <n v="8.4713375796178347"/>
  </r>
  <r>
    <x v="48"/>
    <n v="0.39"/>
    <n v="0.28861111099999998"/>
    <n v="4"/>
    <n v="8.6942675159235669"/>
  </r>
  <r>
    <x v="48"/>
    <n v="0.39"/>
    <n v="0.28861111099999998"/>
    <n v="6"/>
    <n v="8.7579617834394909"/>
  </r>
  <r>
    <x v="48"/>
    <n v="0.39"/>
    <n v="0.28861111099999998"/>
    <n v="5"/>
    <n v="9.2356687898089174"/>
  </r>
  <r>
    <x v="48"/>
    <n v="0.39"/>
    <n v="0.28861111099999998"/>
    <n v="3"/>
    <n v="10.414012738853504"/>
  </r>
  <r>
    <x v="48"/>
    <n v="0.39"/>
    <n v="0.28861111099999998"/>
    <n v="4.5"/>
    <n v="10.923566878980891"/>
  </r>
  <r>
    <x v="48"/>
    <n v="0.39"/>
    <n v="0.28861111099999998"/>
    <n v="5"/>
    <n v="28.938853503184713"/>
  </r>
  <r>
    <x v="48"/>
    <n v="0.39"/>
    <n v="0.28861111099999998"/>
    <n v="4.8"/>
    <n v="30.788535031847132"/>
  </r>
  <r>
    <x v="63"/>
    <n v="0.470857311"/>
    <n v="0.375"/>
    <n v="7"/>
    <n v="6.7515923566878975"/>
  </r>
  <r>
    <x v="12"/>
    <n v="0.80908761900000004"/>
    <n v="0.87473809499999999"/>
    <n v="8"/>
    <n v="6.7515923566878975"/>
  </r>
  <r>
    <x v="12"/>
    <n v="0.80908761900000004"/>
    <n v="0.87473809499999999"/>
    <n v="9"/>
    <n v="12.802547770700638"/>
  </r>
  <r>
    <x v="12"/>
    <n v="0.80908761900000004"/>
    <n v="0.87473809499999999"/>
    <n v="10"/>
    <n v="15.987261146496815"/>
  </r>
  <r>
    <x v="12"/>
    <n v="0.80908761900000004"/>
    <n v="0.87473809499999999"/>
    <n v="11"/>
    <n v="24.076433121019104"/>
  </r>
  <r>
    <x v="12"/>
    <n v="0.80908761900000004"/>
    <n v="0.87473809499999999"/>
    <n v="12"/>
    <n v="77.064331210191085"/>
  </r>
  <r>
    <x v="12"/>
    <n v="0.80908761900000004"/>
    <n v="0.87473809499999999"/>
    <n v="12"/>
    <n v="77.108917197452229"/>
  </r>
  <r>
    <x v="53"/>
    <n v="0.6"/>
    <n v="0.66674999999999995"/>
    <n v="8"/>
    <n v="8.4394904458598727"/>
  </r>
  <r>
    <x v="36"/>
    <n v="0.39984676499999999"/>
    <n v="0.450333333"/>
    <n v="6"/>
    <n v="7.7707006369426743"/>
  </r>
  <r>
    <x v="36"/>
    <n v="0.39984676499999999"/>
    <n v="0.450333333"/>
    <n v="7"/>
    <n v="9.7133757961783438"/>
  </r>
  <r>
    <x v="36"/>
    <n v="0.39984676499999999"/>
    <n v="0.450333333"/>
    <n v="7"/>
    <n v="13.439490445859873"/>
  </r>
  <r>
    <x v="36"/>
    <n v="0.39984676499999999"/>
    <n v="0.450333333"/>
    <n v="7"/>
    <n v="35.994904458598725"/>
  </r>
  <r>
    <x v="36"/>
    <n v="0.39984676499999999"/>
    <n v="0.450333333"/>
    <n v="8"/>
    <n v="54.08407643312102"/>
  </r>
  <r>
    <x v="36"/>
    <n v="0.39984676499999999"/>
    <n v="0.450333333"/>
    <n v="10"/>
    <n v="66.27006369426752"/>
  </r>
  <r>
    <x v="23"/>
    <n v="0.590536375"/>
    <n v="0.61247410899999999"/>
    <n v="8"/>
    <n v="16.114649681528661"/>
  </r>
  <r>
    <x v="23"/>
    <n v="0.590536375"/>
    <n v="0.61247410899999999"/>
    <n v="11"/>
    <n v="75.277070063694268"/>
  </r>
  <r>
    <x v="62"/>
    <n v="0.53168696000000004"/>
    <n v="0.61247410899999999"/>
    <n v="8"/>
    <n v="10.923566878980891"/>
  </r>
  <r>
    <x v="48"/>
    <n v="0.39"/>
    <n v="0.28861111099999998"/>
    <n v="2.8"/>
    <n v="4.6496815286624198"/>
  </r>
  <r>
    <x v="48"/>
    <n v="0.39"/>
    <n v="0.28861111099999998"/>
    <n v="4.8"/>
    <n v="7.8343949044585992"/>
  </r>
  <r>
    <x v="48"/>
    <n v="0.39"/>
    <n v="0.28861111099999998"/>
    <n v="4.5"/>
    <n v="7.8343949044585992"/>
  </r>
  <r>
    <x v="48"/>
    <n v="0.39"/>
    <n v="0.28861111099999998"/>
    <n v="2"/>
    <n v="8.3439490445859867"/>
  </r>
  <r>
    <x v="48"/>
    <n v="0.39"/>
    <n v="0.28861111099999998"/>
    <n v="6"/>
    <n v="8.4713375796178347"/>
  </r>
  <r>
    <x v="56"/>
    <n v="0.37226847299999999"/>
    <n v="0.42234285700000002"/>
    <n v="6"/>
    <n v="7.7388535031847132"/>
  </r>
  <r>
    <x v="43"/>
    <n v="0.62643652800000005"/>
    <n v="0.57808694400000005"/>
    <n v="5"/>
    <n v="4.8726114649681529"/>
  </r>
  <r>
    <x v="43"/>
    <n v="0.62643652800000005"/>
    <n v="0.57808694400000005"/>
    <n v="4"/>
    <n v="13.933121019108281"/>
  </r>
  <r>
    <x v="43"/>
    <n v="0.62643652800000005"/>
    <n v="0.57808694400000005"/>
    <n v="5"/>
    <n v="17.86687898089172"/>
  </r>
  <r>
    <x v="36"/>
    <n v="0.39984676499999999"/>
    <n v="0.450333333"/>
    <n v="9"/>
    <n v="14.840764331210192"/>
  </r>
  <r>
    <x v="36"/>
    <n v="0.39984676499999999"/>
    <n v="0.450333333"/>
    <n v="10"/>
    <n v="19.267515923566879"/>
  </r>
  <r>
    <x v="36"/>
    <n v="0.39984676499999999"/>
    <n v="0.450333333"/>
    <n v="8"/>
    <n v="45.317834394904459"/>
  </r>
  <r>
    <x v="23"/>
    <n v="0.590536375"/>
    <n v="0.61247410899999999"/>
    <n v="6"/>
    <n v="7.1019108280254777"/>
  </r>
  <r>
    <x v="23"/>
    <n v="0.590536375"/>
    <n v="0.61247410899999999"/>
    <n v="8"/>
    <n v="13.280254777070065"/>
  </r>
  <r>
    <x v="23"/>
    <n v="0.590536375"/>
    <n v="0.61247410899999999"/>
    <n v="9"/>
    <n v="17.611464968152866"/>
  </r>
  <r>
    <x v="23"/>
    <n v="0.590536375"/>
    <n v="0.61247410899999999"/>
    <n v="6"/>
    <n v="29.822292993630573"/>
  </r>
  <r>
    <x v="23"/>
    <n v="0.590536375"/>
    <n v="0.61247410899999999"/>
    <n v="8"/>
    <n v="37.867515923566884"/>
  </r>
  <r>
    <x v="23"/>
    <n v="0.590536375"/>
    <n v="0.61247410899999999"/>
    <n v="8"/>
    <n v="52.650318471337577"/>
  </r>
  <r>
    <x v="23"/>
    <n v="0.590536375"/>
    <n v="0.61247410899999999"/>
    <n v="9"/>
    <n v="60.147133757961782"/>
  </r>
  <r>
    <x v="23"/>
    <n v="0.590536375"/>
    <n v="0.61247410899999999"/>
    <n v="12"/>
    <n v="63.994267515923568"/>
  </r>
  <r>
    <x v="29"/>
    <n v="0.40238543599999999"/>
    <n v="0.40883333300000002"/>
    <n v="7"/>
    <n v="10.636942675159235"/>
  </r>
  <r>
    <x v="45"/>
    <n v="0.31264018999999998"/>
    <n v="0.356821212"/>
    <n v="5"/>
    <n v="14.171974522292993"/>
  </r>
  <r>
    <x v="45"/>
    <n v="0.31264018999999998"/>
    <n v="0.356821212"/>
    <n v="9"/>
    <n v="27.515923566878982"/>
  </r>
  <r>
    <x v="53"/>
    <n v="0.6"/>
    <n v="0.66674999999999995"/>
    <n v="7"/>
    <n v="10.891719745222931"/>
  </r>
  <r>
    <x v="53"/>
    <n v="0.6"/>
    <n v="0.66674999999999995"/>
    <n v="6.5"/>
    <n v="12.32484076433121"/>
  </r>
  <r>
    <x v="64"/>
    <n v="0.6"/>
    <n v="0.51040266700000003"/>
    <n v="8"/>
    <n v="72.045222929936301"/>
  </r>
  <r>
    <x v="64"/>
    <n v="0.6"/>
    <n v="0.51040266700000003"/>
    <n v="9"/>
    <n v="10.350318471337578"/>
  </r>
  <r>
    <x v="64"/>
    <n v="0.6"/>
    <n v="0.51040266700000003"/>
    <n v="11"/>
    <n v="29.005732484076432"/>
  </r>
  <r>
    <x v="43"/>
    <n v="0.62643652800000005"/>
    <n v="0.57808694400000005"/>
    <n v="5"/>
    <n v="6.5286624203821653"/>
  </r>
  <r>
    <x v="43"/>
    <n v="0.62643652800000005"/>
    <n v="0.57808694400000005"/>
    <n v="5"/>
    <n v="6.6242038216560513"/>
  </r>
  <r>
    <x v="43"/>
    <n v="0.62643652800000005"/>
    <n v="0.57808694400000005"/>
    <n v="4"/>
    <n v="16.376433121019108"/>
  </r>
  <r>
    <x v="43"/>
    <n v="0.62643652800000005"/>
    <n v="0.57808694400000005"/>
    <n v="5.5"/>
    <n v="16.448407643312102"/>
  </r>
  <r>
    <x v="43"/>
    <n v="0.62643652800000005"/>
    <n v="0.57808694400000005"/>
    <n v="6"/>
    <n v="21.91783439490446"/>
  </r>
  <r>
    <x v="36"/>
    <n v="0.39984676499999999"/>
    <n v="0.450333333"/>
    <n v="13"/>
    <n v="17.261146496815286"/>
  </r>
  <r>
    <x v="23"/>
    <n v="0.590536375"/>
    <n v="0.61247410899999999"/>
    <n v="9"/>
    <n v="41.731210191082802"/>
  </r>
  <r>
    <x v="23"/>
    <n v="0.590536375"/>
    <n v="0.61247410899999999"/>
    <n v="10"/>
    <n v="66.91783439490446"/>
  </r>
  <r>
    <x v="23"/>
    <n v="0.590536375"/>
    <n v="0.61247410899999999"/>
    <n v="11"/>
    <n v="101.86369426751592"/>
  </r>
  <r>
    <x v="48"/>
    <n v="0.39"/>
    <n v="0.28861111099999998"/>
    <n v="4.5"/>
    <n v="29.359235668789808"/>
  </r>
  <r>
    <x v="47"/>
    <n v="0.43916666700000001"/>
    <n v="0.51877777800000002"/>
    <n v="4"/>
    <n v="5.1910828025477711"/>
  </r>
  <r>
    <x v="65"/>
    <n v="0.56572270000000002"/>
    <n v="0.61247410899999999"/>
    <n v="6"/>
    <n v="28.115286624203822"/>
  </r>
  <r>
    <x v="66"/>
    <n v="0.46921933300000002"/>
    <n v="0.46713991199999999"/>
    <n v="5"/>
    <n v="21.777707006369425"/>
  </r>
  <r>
    <x v="5"/>
    <n v="0.45255480399999998"/>
    <n v="0.57808694400000005"/>
    <n v="8"/>
    <n v="44.621019108280251"/>
  </r>
  <r>
    <x v="36"/>
    <n v="0.39984676499999999"/>
    <n v="0.450333333"/>
    <n v="7"/>
    <n v="61.585350318471342"/>
  </r>
  <r>
    <x v="67"/>
    <n v="0.56572270000000002"/>
    <n v="0.61247410899999999"/>
    <n v="6"/>
    <n v="27.028025477707004"/>
  </r>
  <r>
    <x v="68"/>
    <n v="0.56023871300000005"/>
    <n v="0.74103703700000001"/>
    <n v="6"/>
    <n v="12.611464968152866"/>
  </r>
  <r>
    <x v="62"/>
    <n v="0.53168696000000004"/>
    <n v="0.61247410899999999"/>
    <n v="9"/>
    <n v="10.318471337579616"/>
  </r>
  <r>
    <x v="62"/>
    <n v="0.53168696000000004"/>
    <n v="0.61247410899999999"/>
    <n v="6"/>
    <n v="35.389808917197456"/>
  </r>
  <r>
    <x v="69"/>
    <n v="0.432770245"/>
    <n v="0.61247410899999999"/>
    <n v="5"/>
    <n v="60.509554140127392"/>
  </r>
  <r>
    <x v="70"/>
    <n v="0.98708677300000003"/>
    <n v="0.60285714300000004"/>
    <n v="7"/>
    <n v="32.536305732484081"/>
  </r>
  <r>
    <x v="70"/>
    <n v="0.98708677300000003"/>
    <n v="0.60285714300000004"/>
    <n v="6"/>
    <n v="58.191719745222926"/>
  </r>
  <r>
    <x v="70"/>
    <n v="0.98708677300000003"/>
    <n v="0.60285714300000004"/>
    <n v="9"/>
    <n v="71.001910828025487"/>
  </r>
  <r>
    <x v="41"/>
    <n v="0.693333333"/>
    <n v="0.64166666699999997"/>
    <n v="6.8"/>
    <n v="20.563057324840763"/>
  </r>
  <r>
    <x v="41"/>
    <n v="0.693333333"/>
    <n v="0.64166666699999997"/>
    <n v="6"/>
    <n v="8.1847133757961785"/>
  </r>
  <r>
    <x v="49"/>
    <n v="0.86"/>
    <n v="0.65666666699999998"/>
    <n v="7"/>
    <n v="8.4394904458598727"/>
  </r>
  <r>
    <x v="31"/>
    <n v="0.40257753800000001"/>
    <n v="0.40843333300000001"/>
    <n v="6"/>
    <n v="23.346496815286624"/>
  </r>
  <r>
    <x v="12"/>
    <n v="0.80908761900000004"/>
    <n v="0.87473809499999999"/>
    <n v="8"/>
    <n v="22.738853503184714"/>
  </r>
  <r>
    <x v="53"/>
    <n v="0.6"/>
    <n v="0.66674999999999995"/>
    <n v="5"/>
    <n v="6.114649681528662"/>
  </r>
  <r>
    <x v="5"/>
    <n v="0.45255480399999998"/>
    <n v="0.57808694400000005"/>
    <n v="6"/>
    <n v="35.421656050955413"/>
  </r>
  <r>
    <x v="5"/>
    <n v="0.45255480399999998"/>
    <n v="0.57808694400000005"/>
    <n v="5"/>
    <n v="11.369426751592357"/>
  </r>
  <r>
    <x v="5"/>
    <n v="0.45255480399999998"/>
    <n v="0.57808694400000005"/>
    <n v="5.5"/>
    <n v="21.56751592356688"/>
  </r>
  <r>
    <x v="5"/>
    <n v="0.45255480399999998"/>
    <n v="0.57808694400000005"/>
    <n v="5"/>
    <n v="21.140764331210192"/>
  </r>
  <r>
    <x v="5"/>
    <n v="0.45255480399999998"/>
    <n v="0.57808694400000005"/>
    <n v="6"/>
    <n v="25.640127388535031"/>
  </r>
  <r>
    <x v="36"/>
    <n v="0.39984676499999999"/>
    <n v="0.450333333"/>
    <n v="8"/>
    <n v="44.068789808917195"/>
  </r>
  <r>
    <x v="36"/>
    <n v="0.39984676499999999"/>
    <n v="0.450333333"/>
    <n v="9"/>
    <n v="54.057961783439488"/>
  </r>
  <r>
    <x v="71"/>
    <n v="0.85750000000000004"/>
    <n v="0.61247410899999999"/>
    <n v="7"/>
    <n v="78.634394904458588"/>
  </r>
  <r>
    <x v="69"/>
    <n v="0.432770245"/>
    <n v="0.61247410899999999"/>
    <n v="5"/>
    <n v="9.7133757961783438"/>
  </r>
  <r>
    <x v="48"/>
    <n v="0.39"/>
    <n v="0.28861111099999998"/>
    <n v="6"/>
    <n v="18.754140127388535"/>
  </r>
  <r>
    <x v="14"/>
    <n v="0.48464433800000001"/>
    <n v="0.62688577999999995"/>
    <n v="5"/>
    <n v="67.557961783439495"/>
  </r>
  <r>
    <x v="70"/>
    <n v="0.98708677300000003"/>
    <n v="0.60285714300000004"/>
    <n v="7"/>
    <n v="5.5414012738853495"/>
  </r>
  <r>
    <x v="63"/>
    <n v="0.470857311"/>
    <n v="0.375"/>
    <n v="5"/>
    <n v="61.340764331210188"/>
  </r>
  <r>
    <x v="59"/>
    <n v="0.28577490700000002"/>
    <n v="0.3422"/>
    <n v="6"/>
    <n v="6.8471337579617835"/>
  </r>
  <r>
    <x v="49"/>
    <n v="0.86"/>
    <n v="0.65666666699999998"/>
    <n v="8"/>
    <n v="13.535031847133757"/>
  </r>
  <r>
    <x v="39"/>
    <n v="0.41"/>
    <n v="0.33983503399999998"/>
    <n v="7"/>
    <n v="5.1910828025477711"/>
  </r>
  <r>
    <x v="72"/>
    <n v="0.64800000000000002"/>
    <n v="0.66733333299999997"/>
    <n v="7"/>
    <n v="8.6942675159235669"/>
  </r>
  <r>
    <x v="53"/>
    <n v="0.6"/>
    <n v="0.66674999999999995"/>
    <n v="6"/>
    <n v="8.1847133757961785"/>
  </r>
  <r>
    <x v="64"/>
    <n v="0.6"/>
    <n v="0.51040266700000003"/>
    <n v="8"/>
    <n v="37.028662420382162"/>
  </r>
  <r>
    <x v="73"/>
    <n v="0.51642601200000005"/>
    <n v="0.60835714299999999"/>
    <n v="4"/>
    <n v="3.9808917197452227"/>
  </r>
  <r>
    <x v="74"/>
    <n v="0.490852183"/>
    <n v="0.607288889"/>
    <n v="4"/>
    <n v="3.9490445859872612"/>
  </r>
  <r>
    <x v="74"/>
    <n v="0.490852183"/>
    <n v="0.607288889"/>
    <n v="5"/>
    <n v="4.6178343949044587"/>
  </r>
  <r>
    <x v="5"/>
    <n v="0.45255480399999998"/>
    <n v="0.57808694400000005"/>
    <n v="9"/>
    <n v="103.62165605095541"/>
  </r>
  <r>
    <x v="5"/>
    <n v="0.45255480399999998"/>
    <n v="0.57808694400000005"/>
    <n v="10"/>
    <n v="114.11210191082803"/>
  </r>
  <r>
    <x v="36"/>
    <n v="0.39984676499999999"/>
    <n v="0.450333333"/>
    <n v="9"/>
    <n v="20.445859872611464"/>
  </r>
  <r>
    <x v="23"/>
    <n v="0.590536375"/>
    <n v="0.61247410899999999"/>
    <n v="7"/>
    <n v="52.821019108280254"/>
  </r>
  <r>
    <x v="14"/>
    <n v="0.48464433800000001"/>
    <n v="0.62688577999999995"/>
    <n v="7"/>
    <n v="10"/>
  </r>
  <r>
    <x v="29"/>
    <n v="0.40238543599999999"/>
    <n v="0.40883333300000002"/>
    <n v="6"/>
    <n v="10.318471337579616"/>
  </r>
  <r>
    <x v="29"/>
    <n v="0.40238543599999999"/>
    <n v="0.40883333300000002"/>
    <n v="8"/>
    <n v="11.687898089171975"/>
  </r>
  <r>
    <x v="29"/>
    <n v="0.40238543599999999"/>
    <n v="0.40883333300000002"/>
    <n v="7"/>
    <n v="12.579617834394904"/>
  </r>
  <r>
    <x v="31"/>
    <n v="0.40257753800000001"/>
    <n v="0.40843333300000001"/>
    <n v="8"/>
    <n v="11.942675159235668"/>
  </r>
  <r>
    <x v="45"/>
    <n v="0.31264018999999998"/>
    <n v="0.356821212"/>
    <n v="4.5"/>
    <n v="12.834394904458597"/>
  </r>
  <r>
    <x v="72"/>
    <n v="0.64800000000000002"/>
    <n v="0.66733333299999997"/>
    <n v="7"/>
    <n v="9.1082802547770694"/>
  </r>
  <r>
    <x v="65"/>
    <n v="0.56572270000000002"/>
    <n v="0.61247410899999999"/>
    <n v="8"/>
    <n v="31.370063694267515"/>
  </r>
  <r>
    <x v="64"/>
    <n v="0.6"/>
    <n v="0.51040266700000003"/>
    <n v="6"/>
    <n v="80.32101910828024"/>
  </r>
  <r>
    <x v="74"/>
    <n v="0.490852183"/>
    <n v="0.607288889"/>
    <n v="6"/>
    <n v="6.7515923566878975"/>
  </r>
  <r>
    <x v="5"/>
    <n v="0.45255480399999998"/>
    <n v="0.57808694400000005"/>
    <n v="6"/>
    <n v="19.962420382165604"/>
  </r>
  <r>
    <x v="5"/>
    <n v="0.45255480399999998"/>
    <n v="0.57808694400000005"/>
    <n v="7"/>
    <n v="29.359872611464969"/>
  </r>
  <r>
    <x v="36"/>
    <n v="0.39984676499999999"/>
    <n v="0.450333333"/>
    <n v="8"/>
    <n v="19.840764331210188"/>
  </r>
  <r>
    <x v="68"/>
    <n v="0.56023871300000005"/>
    <n v="0.74103703700000001"/>
    <n v="6"/>
    <n v="7.484076433121019"/>
  </r>
  <r>
    <x v="13"/>
    <n v="0.50857142899999996"/>
    <n v="0.49666666700000001"/>
    <n v="6"/>
    <n v="8.503184713375795"/>
  </r>
  <r>
    <x v="13"/>
    <n v="0.50857142899999996"/>
    <n v="0.49666666700000001"/>
    <n v="8"/>
    <n v="60.440127388535032"/>
  </r>
  <r>
    <x v="48"/>
    <n v="0.39"/>
    <n v="0.28861111099999998"/>
    <n v="6"/>
    <n v="12.802547770700638"/>
  </r>
  <r>
    <x v="17"/>
    <n v="0.65716857299999998"/>
    <n v="0.85527777800000004"/>
    <n v="5"/>
    <n v="7.484076433121019"/>
  </r>
  <r>
    <x v="75"/>
    <n v="0.84850681500000003"/>
    <n v="0.85527777800000004"/>
    <n v="10"/>
    <n v="14.840764331210192"/>
  </r>
  <r>
    <x v="29"/>
    <n v="0.40238543599999999"/>
    <n v="0.40883333300000002"/>
    <n v="8"/>
    <n v="11.847133757961783"/>
  </r>
  <r>
    <x v="29"/>
    <n v="0.40238543599999999"/>
    <n v="0.40883333300000002"/>
    <n v="8"/>
    <n v="14.203821656050955"/>
  </r>
  <r>
    <x v="29"/>
    <n v="0.40238543599999999"/>
    <n v="0.40883333300000002"/>
    <n v="8"/>
    <n v="14.808917197452228"/>
  </r>
  <r>
    <x v="70"/>
    <n v="0.98708677300000003"/>
    <n v="0.60285714300000004"/>
    <n v="7"/>
    <n v="44.022292993630572"/>
  </r>
  <r>
    <x v="12"/>
    <n v="0.80908761900000004"/>
    <n v="0.87473809499999999"/>
    <n v="6"/>
    <n v="7.1019108280254777"/>
  </r>
  <r>
    <x v="12"/>
    <n v="0.80908761900000004"/>
    <n v="0.87473809499999999"/>
    <n v="8"/>
    <n v="6.5605095541401273"/>
  </r>
  <r>
    <x v="12"/>
    <n v="0.80908761900000004"/>
    <n v="0.87473809499999999"/>
    <n v="7"/>
    <n v="8.4713375796178347"/>
  </r>
  <r>
    <x v="12"/>
    <n v="0.80908761900000004"/>
    <n v="0.87473809499999999"/>
    <n v="8"/>
    <n v="11.273885350318471"/>
  </r>
  <r>
    <x v="12"/>
    <n v="0.80908761900000004"/>
    <n v="0.87473809499999999"/>
    <n v="8"/>
    <n v="13.471337579617833"/>
  </r>
  <r>
    <x v="12"/>
    <n v="0.80908761900000004"/>
    <n v="0.87473809499999999"/>
    <n v="8"/>
    <n v="14.458598726114648"/>
  </r>
  <r>
    <x v="53"/>
    <n v="0.6"/>
    <n v="0.66674999999999995"/>
    <n v="6.5"/>
    <n v="4.8726114649681529"/>
  </r>
  <r>
    <x v="5"/>
    <n v="0.45255480399999998"/>
    <n v="0.57808694400000005"/>
    <n v="3"/>
    <n v="4.2675159235668794"/>
  </r>
  <r>
    <x v="50"/>
    <n v="0.43538739399999998"/>
    <n v="0.568333333"/>
    <n v="2"/>
    <n v="4.2038216560509554"/>
  </r>
  <r>
    <x v="67"/>
    <n v="0.56572270000000002"/>
    <n v="0.61247410899999999"/>
    <n v="4.5"/>
    <n v="5.8280254777070066"/>
  </r>
  <r>
    <x v="71"/>
    <n v="0.85750000000000004"/>
    <n v="0.61247410899999999"/>
    <n v="5"/>
    <n v="5.5732484076433115"/>
  </r>
  <r>
    <x v="29"/>
    <n v="0.40238543599999999"/>
    <n v="0.40883333300000002"/>
    <n v="7"/>
    <n v="12.32484076433121"/>
  </r>
  <r>
    <x v="70"/>
    <n v="0.98708677300000003"/>
    <n v="0.60285714300000004"/>
    <n v="9"/>
    <n v="17.67515923566879"/>
  </r>
  <r>
    <x v="70"/>
    <n v="0.98708677300000003"/>
    <n v="0.60285714300000004"/>
    <n v="8"/>
    <n v="46.465605095541399"/>
  </r>
  <r>
    <x v="70"/>
    <n v="0.98708677300000003"/>
    <n v="0.60285714300000004"/>
    <n v="10"/>
    <n v="88.566242038216558"/>
  </r>
  <r>
    <x v="53"/>
    <n v="0.6"/>
    <n v="0.66674999999999995"/>
    <n v="3"/>
    <n v="4.4585987261146496"/>
  </r>
  <r>
    <x v="21"/>
    <n v="0.39790071399999999"/>
    <n v="0.50565277799999997"/>
    <n v="4.5"/>
    <n v="7.0063694267515917"/>
  </r>
  <r>
    <x v="43"/>
    <n v="0.62643652800000005"/>
    <n v="0.57808694400000005"/>
    <n v="5"/>
    <n v="4.2356687898089174"/>
  </r>
  <r>
    <x v="24"/>
    <n v="0.56193137999999998"/>
    <n v="0.57808694400000005"/>
    <n v="4.5"/>
    <n v="20.859872611464969"/>
  </r>
  <r>
    <x v="24"/>
    <n v="0.56193137999999998"/>
    <n v="0.57808694400000005"/>
    <n v="7"/>
    <n v="24.522292993630572"/>
  </r>
  <r>
    <x v="24"/>
    <n v="0.56193137999999998"/>
    <n v="0.57808694400000005"/>
    <n v="8"/>
    <n v="21.656050955414013"/>
  </r>
  <r>
    <x v="24"/>
    <n v="0.56193137999999998"/>
    <n v="0.57808694400000005"/>
    <n v="8"/>
    <n v="17.515923566878982"/>
  </r>
  <r>
    <x v="24"/>
    <n v="0.56193137999999998"/>
    <n v="0.57808694400000005"/>
    <n v="6"/>
    <n v="8.9171974522292992"/>
  </r>
  <r>
    <x v="24"/>
    <n v="0.56193137999999998"/>
    <n v="0.57808694400000005"/>
    <n v="7.5"/>
    <n v="31.050955414012737"/>
  </r>
  <r>
    <x v="71"/>
    <n v="0.85750000000000004"/>
    <n v="0.61247410899999999"/>
    <n v="2.7"/>
    <n v="4.1401273885350314"/>
  </r>
  <r>
    <x v="71"/>
    <n v="0.85750000000000004"/>
    <n v="0.61247410899999999"/>
    <n v="2"/>
    <n v="5.0955414012738851"/>
  </r>
  <r>
    <x v="71"/>
    <n v="0.85750000000000004"/>
    <n v="0.61247410899999999"/>
    <n v="4.5"/>
    <n v="11.624203821656051"/>
  </r>
  <r>
    <x v="71"/>
    <n v="0.85750000000000004"/>
    <n v="0.61247410899999999"/>
    <n v="6.5"/>
    <n v="11.942675159235668"/>
  </r>
  <r>
    <x v="71"/>
    <n v="0.85750000000000004"/>
    <n v="0.61247410899999999"/>
    <n v="4.5"/>
    <n v="6.6878980891719744"/>
  </r>
  <r>
    <x v="71"/>
    <n v="0.85750000000000004"/>
    <n v="0.61247410899999999"/>
    <n v="3.5"/>
    <n v="6.6878980891719744"/>
  </r>
  <r>
    <x v="71"/>
    <n v="0.85750000000000004"/>
    <n v="0.61247410899999999"/>
    <n v="5.5"/>
    <n v="3.6624203821656049"/>
  </r>
  <r>
    <x v="71"/>
    <n v="0.85750000000000004"/>
    <n v="0.61247410899999999"/>
    <n v="6.5"/>
    <n v="19.331210191082803"/>
  </r>
  <r>
    <x v="71"/>
    <n v="0.85750000000000004"/>
    <n v="0.61247410899999999"/>
    <n v="7"/>
    <n v="8.7579617834394909"/>
  </r>
  <r>
    <x v="71"/>
    <n v="0.85750000000000004"/>
    <n v="0.61247410899999999"/>
    <n v="8"/>
    <n v="51.910828025477706"/>
  </r>
  <r>
    <x v="17"/>
    <n v="0.65716857299999998"/>
    <n v="0.85527777800000004"/>
    <n v="1.9"/>
    <n v="6.5286624203821653"/>
  </r>
  <r>
    <x v="17"/>
    <n v="0.65716857299999998"/>
    <n v="0.85527777800000004"/>
    <n v="1.5"/>
    <n v="1.2738853503184713"/>
  </r>
  <r>
    <x v="76"/>
    <n v="0.52520999999999995"/>
    <n v="0.58666666700000003"/>
    <n v="7"/>
    <n v="4.6178343949044587"/>
  </r>
  <r>
    <x v="10"/>
    <n v="0.76500000000000001"/>
    <n v="0.61247410899999999"/>
    <n v="7"/>
    <n v="23.726114649681527"/>
  </r>
  <r>
    <x v="77"/>
    <n v="0.68500000000000005"/>
    <n v="0.54"/>
    <n v="2.5"/>
    <n v="5.7324840764331206"/>
  </r>
  <r>
    <x v="77"/>
    <n v="0.68500000000000005"/>
    <n v="0.54"/>
    <n v="4.5"/>
    <n v="2.5477707006369426"/>
  </r>
  <r>
    <x v="78"/>
    <n v="0.50016547600000005"/>
    <n v="0.61774072899999999"/>
    <n v="2"/>
    <n v="1.592356687898089"/>
  </r>
  <r>
    <x v="40"/>
    <n v="0.9"/>
    <n v="0.61247410899999999"/>
    <n v="4"/>
    <n v="2.5477707006369426"/>
  </r>
  <r>
    <x v="24"/>
    <n v="0.56193137999999998"/>
    <n v="0.57808694400000005"/>
    <n v="5"/>
    <n v="9.0764331210191074"/>
  </r>
  <r>
    <x v="24"/>
    <n v="0.56193137999999998"/>
    <n v="0.57808694400000005"/>
    <n v="6"/>
    <n v="6.6878980891719744"/>
  </r>
  <r>
    <x v="24"/>
    <n v="0.56193137999999998"/>
    <n v="0.57808694400000005"/>
    <n v="6"/>
    <n v="5.2547770700636942"/>
  </r>
  <r>
    <x v="24"/>
    <n v="0.56193137999999998"/>
    <n v="0.57808694400000005"/>
    <n v="6"/>
    <n v="9.5541401273885338"/>
  </r>
  <r>
    <x v="24"/>
    <n v="0.56193137999999998"/>
    <n v="0.57808694400000005"/>
    <n v="5.7"/>
    <n v="25.159235668789808"/>
  </r>
  <r>
    <x v="24"/>
    <n v="0.56193137999999998"/>
    <n v="0.57808694400000005"/>
    <n v="6.3"/>
    <n v="13.694267515923567"/>
  </r>
  <r>
    <x v="79"/>
    <n v="0.84088890000000005"/>
    <n v="0.84088888900000003"/>
    <n v="9"/>
    <n v="25.477707006369425"/>
  </r>
  <r>
    <x v="71"/>
    <n v="0.85750000000000004"/>
    <n v="0.61247410899999999"/>
    <n v="2.5"/>
    <n v="1.910828025477707"/>
  </r>
  <r>
    <x v="71"/>
    <n v="0.85750000000000004"/>
    <n v="0.61247410899999999"/>
    <n v="4"/>
    <n v="3.6624203821656049"/>
  </r>
  <r>
    <x v="71"/>
    <n v="0.85750000000000004"/>
    <n v="0.61247410899999999"/>
    <n v="7.5"/>
    <n v="12.261146496815286"/>
  </r>
  <r>
    <x v="71"/>
    <n v="0.85750000000000004"/>
    <n v="0.61247410899999999"/>
    <n v="3"/>
    <n v="4.1401273885350314"/>
  </r>
  <r>
    <x v="71"/>
    <n v="0.85750000000000004"/>
    <n v="0.61247410899999999"/>
    <n v="6.5"/>
    <n v="3.3439490445859872"/>
  </r>
  <r>
    <x v="71"/>
    <n v="0.85750000000000004"/>
    <n v="0.61247410899999999"/>
    <n v="6"/>
    <n v="6.2101910828025479"/>
  </r>
  <r>
    <x v="7"/>
    <n v="0.74387999999999999"/>
    <n v="0.59130000000000005"/>
    <n v="3.7"/>
    <n v="5.0955414012738851"/>
  </r>
  <r>
    <x v="17"/>
    <n v="0.65716857299999998"/>
    <n v="0.85527777800000004"/>
    <n v="2"/>
    <n v="2.5477707006369426"/>
  </r>
  <r>
    <x v="17"/>
    <n v="0.65716857299999998"/>
    <n v="0.85527777800000004"/>
    <n v="2.5"/>
    <n v="2.7070063694267517"/>
  </r>
  <r>
    <x v="76"/>
    <n v="0.52520999999999995"/>
    <n v="0.58666666700000003"/>
    <n v="5.5"/>
    <n v="7.1656050955414008"/>
  </r>
  <r>
    <x v="76"/>
    <n v="0.52520999999999995"/>
    <n v="0.58666666700000003"/>
    <n v="5.2"/>
    <n v="9.5541401273885338"/>
  </r>
  <r>
    <x v="10"/>
    <n v="0.76500000000000001"/>
    <n v="0.61247410899999999"/>
    <n v="9.5"/>
    <n v="26.273885350318469"/>
  </r>
  <r>
    <x v="10"/>
    <n v="0.76500000000000001"/>
    <n v="0.61247410899999999"/>
    <n v="9.5"/>
    <n v="18.789808917197451"/>
  </r>
  <r>
    <x v="12"/>
    <n v="0.80908761900000004"/>
    <n v="0.87473809499999999"/>
    <n v="5.5"/>
    <n v="27.70700636942675"/>
  </r>
  <r>
    <x v="53"/>
    <n v="0.6"/>
    <n v="0.66674999999999995"/>
    <n v="6.5"/>
    <n v="3.5031847133757958"/>
  </r>
  <r>
    <x v="54"/>
    <n v="0.59"/>
    <n v="0.59"/>
    <n v="2"/>
    <n v="12.579617834394904"/>
  </r>
  <r>
    <x v="21"/>
    <n v="0.39790071399999999"/>
    <n v="0.50565277799999997"/>
    <n v="8.5"/>
    <n v="15.031847133757962"/>
  </r>
  <r>
    <x v="46"/>
    <n v="0.55560299999999996"/>
    <n v="0.55961111100000005"/>
    <n v="10"/>
    <n v="21.496815286624201"/>
  </r>
  <r>
    <x v="71"/>
    <n v="0.85750000000000004"/>
    <n v="0.61247410899999999"/>
    <n v="8.5"/>
    <n v="45.70063694267516"/>
  </r>
  <r>
    <x v="7"/>
    <n v="0.74387999999999999"/>
    <n v="0.59130000000000005"/>
    <n v="5"/>
    <n v="17.292993630573246"/>
  </r>
  <r>
    <x v="76"/>
    <n v="0.52520999999999995"/>
    <n v="0.58666666700000003"/>
    <n v="6"/>
    <n v="23.407643312101911"/>
  </r>
  <r>
    <x v="76"/>
    <n v="0.52520999999999995"/>
    <n v="0.58666666700000003"/>
    <n v="5"/>
    <n v="15.509554140127388"/>
  </r>
  <r>
    <x v="21"/>
    <n v="0.39790071399999999"/>
    <n v="0.50565277799999997"/>
    <n v="4.5"/>
    <n v="10.828025477707007"/>
  </r>
  <r>
    <x v="27"/>
    <n v="0.81991655299999999"/>
    <n v="0.72276027399999998"/>
    <n v="2"/>
    <n v="2.8662420382165603"/>
  </r>
  <r>
    <x v="24"/>
    <n v="0.56193137999999998"/>
    <n v="0.57808694400000005"/>
    <n v="6"/>
    <n v="30.414012738853501"/>
  </r>
  <r>
    <x v="79"/>
    <n v="0.84088890000000005"/>
    <n v="0.84088888900000003"/>
    <n v="10"/>
    <n v="20.38216560509554"/>
  </r>
  <r>
    <x v="79"/>
    <n v="0.84088890000000005"/>
    <n v="0.84088888900000003"/>
    <n v="9"/>
    <n v="17.834394904458598"/>
  </r>
  <r>
    <x v="79"/>
    <n v="0.84088890000000005"/>
    <n v="0.84088888900000003"/>
    <n v="8.5"/>
    <n v="32.324840764331206"/>
  </r>
  <r>
    <x v="71"/>
    <n v="0.85750000000000004"/>
    <n v="0.61247410899999999"/>
    <n v="5"/>
    <n v="14.012738853503183"/>
  </r>
  <r>
    <x v="69"/>
    <n v="0.432770245"/>
    <n v="0.61247410899999999"/>
    <n v="3"/>
    <n v="2.8662420382165603"/>
  </r>
  <r>
    <x v="12"/>
    <n v="0.80908761900000004"/>
    <n v="0.87473809499999999"/>
    <n v="9.5"/>
    <n v="10.19108280254777"/>
  </r>
  <r>
    <x v="12"/>
    <n v="0.80908761900000004"/>
    <n v="0.87473809499999999"/>
    <n v="9.5"/>
    <n v="7.9617834394904454"/>
  </r>
  <r>
    <x v="53"/>
    <n v="0.6"/>
    <n v="0.66674999999999995"/>
    <n v="7"/>
    <n v="6.3694267515923562"/>
  </r>
  <r>
    <x v="53"/>
    <n v="0.6"/>
    <n v="0.66674999999999995"/>
    <n v="7.3"/>
    <n v="9.5541401273885338"/>
  </r>
  <r>
    <x v="53"/>
    <n v="0.6"/>
    <n v="0.66674999999999995"/>
    <n v="7.5"/>
    <n v="5.7324840764331206"/>
  </r>
  <r>
    <x v="21"/>
    <n v="0.39790071399999999"/>
    <n v="0.50565277799999997"/>
    <n v="6.5"/>
    <n v="7.3248407643312099"/>
  </r>
  <r>
    <x v="5"/>
    <n v="0.45255480399999998"/>
    <n v="0.57808694400000005"/>
    <n v="3.5"/>
    <n v="6.0509554140127388"/>
  </r>
  <r>
    <x v="5"/>
    <n v="0.45255480399999998"/>
    <n v="0.57808694400000005"/>
    <n v="6"/>
    <n v="24.840764331210192"/>
  </r>
  <r>
    <x v="43"/>
    <n v="0.62643652800000005"/>
    <n v="0.57808694400000005"/>
    <n v="4.5"/>
    <n v="15.286624203821656"/>
  </r>
  <r>
    <x v="43"/>
    <n v="0.62643652800000005"/>
    <n v="0.57808694400000005"/>
    <n v="4"/>
    <n v="9.2356687898089174"/>
  </r>
  <r>
    <x v="43"/>
    <n v="0.62643652800000005"/>
    <n v="0.57808694400000005"/>
    <n v="3.5"/>
    <n v="5.0955414012738851"/>
  </r>
  <r>
    <x v="43"/>
    <n v="0.62643652800000005"/>
    <n v="0.57808694400000005"/>
    <n v="5"/>
    <n v="6.0509554140127388"/>
  </r>
  <r>
    <x v="24"/>
    <n v="0.56193137999999998"/>
    <n v="0.57808694400000005"/>
    <n v="6"/>
    <n v="31.210191082802545"/>
  </r>
  <r>
    <x v="71"/>
    <n v="0.85750000000000004"/>
    <n v="0.61247410899999999"/>
    <n v="3.5"/>
    <n v="9.5541401273885338"/>
  </r>
  <r>
    <x v="71"/>
    <n v="0.85750000000000004"/>
    <n v="0.61247410899999999"/>
    <n v="6"/>
    <n v="6.6878980891719744"/>
  </r>
  <r>
    <x v="71"/>
    <n v="0.85750000000000004"/>
    <n v="0.61247410899999999"/>
    <n v="7"/>
    <n v="39.171974522292992"/>
  </r>
  <r>
    <x v="71"/>
    <n v="0.85750000000000004"/>
    <n v="0.61247410899999999"/>
    <n v="2.5"/>
    <n v="13.375796178343949"/>
  </r>
  <r>
    <x v="7"/>
    <n v="0.74387999999999999"/>
    <n v="0.59130000000000005"/>
    <n v="7"/>
    <n v="11.464968152866241"/>
  </r>
  <r>
    <x v="10"/>
    <n v="0.76500000000000001"/>
    <n v="0.61247410899999999"/>
    <n v="10"/>
    <n v="42.993630573248403"/>
  </r>
  <r>
    <x v="10"/>
    <n v="0.76500000000000001"/>
    <n v="0.61247410899999999"/>
    <n v="4.5"/>
    <n v="5.0955414012738851"/>
  </r>
  <r>
    <x v="10"/>
    <n v="0.76500000000000001"/>
    <n v="0.61247410899999999"/>
    <n v="8.5"/>
    <n v="29.936305732484076"/>
  </r>
  <r>
    <x v="10"/>
    <n v="0.76500000000000001"/>
    <n v="0.61247410899999999"/>
    <n v="8.5"/>
    <n v="25.159235668789808"/>
  </r>
  <r>
    <x v="10"/>
    <n v="0.76500000000000001"/>
    <n v="0.61247410899999999"/>
    <n v="10"/>
    <n v="23.885350318471335"/>
  </r>
  <r>
    <x v="78"/>
    <n v="0.50016547600000005"/>
    <n v="0.61774072899999999"/>
    <n v="5"/>
    <n v="5.0955414012738851"/>
  </r>
  <r>
    <x v="78"/>
    <n v="0.50016547600000005"/>
    <n v="0.61774072899999999"/>
    <n v="8"/>
    <n v="9.872611464968152"/>
  </r>
  <r>
    <x v="12"/>
    <n v="0.80908761900000004"/>
    <n v="0.87473809499999999"/>
    <n v="10"/>
    <n v="14.012738853503183"/>
  </r>
  <r>
    <x v="12"/>
    <n v="0.80908761900000004"/>
    <n v="0.87473809499999999"/>
    <n v="10"/>
    <n v="14.968152866242038"/>
  </r>
  <r>
    <x v="53"/>
    <n v="0.6"/>
    <n v="0.66674999999999995"/>
    <n v="6"/>
    <n v="6.0509554140127388"/>
  </r>
  <r>
    <x v="53"/>
    <n v="0.6"/>
    <n v="0.66674999999999995"/>
    <n v="7"/>
    <n v="8.2802547770700627"/>
  </r>
  <r>
    <x v="5"/>
    <n v="0.45255480399999998"/>
    <n v="0.57808694400000005"/>
    <n v="5"/>
    <n v="11.464968152866241"/>
  </r>
  <r>
    <x v="5"/>
    <n v="0.45255480399999998"/>
    <n v="0.57808694400000005"/>
    <n v="5"/>
    <n v="3.1847133757961781"/>
  </r>
  <r>
    <x v="5"/>
    <n v="0.45255480399999998"/>
    <n v="0.57808694400000005"/>
    <n v="4"/>
    <n v="6.3694267515923562"/>
  </r>
  <r>
    <x v="71"/>
    <n v="0.85750000000000004"/>
    <n v="0.61247410899999999"/>
    <n v="9"/>
    <n v="17.834394904458598"/>
  </r>
  <r>
    <x v="71"/>
    <n v="0.85750000000000004"/>
    <n v="0.61247410899999999"/>
    <n v="8.5"/>
    <n v="15.923566878980891"/>
  </r>
  <r>
    <x v="71"/>
    <n v="0.85750000000000004"/>
    <n v="0.61247410899999999"/>
    <n v="8.5"/>
    <n v="36.942675159235669"/>
  </r>
  <r>
    <x v="71"/>
    <n v="0.85750000000000004"/>
    <n v="0.61247410899999999"/>
    <n v="9.5"/>
    <n v="28.025477707006367"/>
  </r>
  <r>
    <x v="71"/>
    <n v="0.85750000000000004"/>
    <n v="0.61247410899999999"/>
    <n v="9"/>
    <n v="29.936305732484076"/>
  </r>
  <r>
    <x v="71"/>
    <n v="0.85750000000000004"/>
    <n v="0.61247410899999999"/>
    <n v="9"/>
    <n v="14.012738853503183"/>
  </r>
  <r>
    <x v="71"/>
    <n v="0.85750000000000004"/>
    <n v="0.61247410899999999"/>
    <n v="8"/>
    <n v="24.840764331210192"/>
  </r>
  <r>
    <x v="71"/>
    <n v="0.85750000000000004"/>
    <n v="0.61247410899999999"/>
    <n v="8"/>
    <n v="11.464968152866241"/>
  </r>
  <r>
    <x v="7"/>
    <n v="0.74387999999999999"/>
    <n v="0.59130000000000005"/>
    <n v="2.5"/>
    <n v="4.1401273885350314"/>
  </r>
  <r>
    <x v="32"/>
    <n v="0.78445916699999996"/>
    <n v="0.87841666699999998"/>
    <n v="3"/>
    <n v="4.1401273885350314"/>
  </r>
  <r>
    <x v="72"/>
    <n v="0.64800000000000002"/>
    <n v="0.66733333299999997"/>
    <n v="4.5"/>
    <n v="4.7770700636942669"/>
  </r>
  <r>
    <x v="53"/>
    <n v="0.6"/>
    <n v="0.66674999999999995"/>
    <n v="3"/>
    <n v="9.872611464968152"/>
  </r>
  <r>
    <x v="53"/>
    <n v="0.6"/>
    <n v="0.66674999999999995"/>
    <n v="7"/>
    <n v="13.694267515923567"/>
  </r>
  <r>
    <x v="80"/>
    <n v="0.83069230800000005"/>
    <n v="0.78683697699999999"/>
    <n v="5.5"/>
    <n v="13.375796178343949"/>
  </r>
  <r>
    <x v="80"/>
    <n v="0.83069230800000005"/>
    <n v="0.78683697699999999"/>
    <n v="5.5"/>
    <n v="11.146496815286623"/>
  </r>
  <r>
    <x v="21"/>
    <n v="0.39790071399999999"/>
    <n v="0.50565277799999997"/>
    <n v="8"/>
    <n v="21.97452229299363"/>
  </r>
  <r>
    <x v="40"/>
    <n v="0.9"/>
    <n v="0.61247410899999999"/>
    <n v="3"/>
    <n v="3.1847133757961781"/>
  </r>
  <r>
    <x v="3"/>
    <n v="0.89361000000000002"/>
    <n v="0.61247410899999999"/>
    <n v="5.5"/>
    <n v="8.9171974522292992"/>
  </r>
  <r>
    <x v="3"/>
    <n v="0.89361000000000002"/>
    <n v="0.61247410899999999"/>
    <n v="4.5"/>
    <n v="9.872611464968152"/>
  </r>
  <r>
    <x v="3"/>
    <n v="0.89361000000000002"/>
    <n v="0.61247410899999999"/>
    <n v="5"/>
    <n v="6.6878980891719744"/>
  </r>
  <r>
    <x v="3"/>
    <n v="0.89361000000000002"/>
    <n v="0.61247410899999999"/>
    <n v="4.5"/>
    <n v="7.3248407643312099"/>
  </r>
  <r>
    <x v="5"/>
    <n v="0.45255480399999998"/>
    <n v="0.57808694400000005"/>
    <n v="5.5"/>
    <n v="14.331210191082802"/>
  </r>
  <r>
    <x v="43"/>
    <n v="0.62643652800000005"/>
    <n v="0.57808694400000005"/>
    <n v="6.5"/>
    <n v="12.420382165605096"/>
  </r>
  <r>
    <x v="23"/>
    <n v="0.590536375"/>
    <n v="0.61247410899999999"/>
    <n v="9"/>
    <n v="15.286624203821656"/>
  </r>
  <r>
    <x v="69"/>
    <n v="0.432770245"/>
    <n v="0.61247410899999999"/>
    <n v="6.5"/>
    <n v="21.019108280254777"/>
  </r>
  <r>
    <x v="9"/>
    <n v="0.43836446099999998"/>
    <n v="0.58666666700000003"/>
    <n v="5.5"/>
    <n v="18.471337579617835"/>
  </r>
  <r>
    <x v="9"/>
    <n v="0.43836446099999998"/>
    <n v="0.58666666700000003"/>
    <n v="5"/>
    <n v="21.97452229299363"/>
  </r>
  <r>
    <x v="12"/>
    <n v="0.80908761900000004"/>
    <n v="0.87473809499999999"/>
    <n v="15"/>
    <n v="34.394904458598724"/>
  </r>
  <r>
    <x v="39"/>
    <n v="0.41"/>
    <n v="0.33983503399999998"/>
    <n v="6"/>
    <n v="24.68152866242038"/>
  </r>
  <r>
    <x v="45"/>
    <n v="0.31264018999999998"/>
    <n v="0.356821212"/>
    <n v="15"/>
    <n v="6.6878980891719744"/>
  </r>
  <r>
    <x v="1"/>
    <n v="0.766138345"/>
    <n v="0.90500000000000003"/>
    <n v="11"/>
    <n v="25.477707006369425"/>
  </r>
  <r>
    <x v="53"/>
    <n v="0.6"/>
    <n v="0.66674999999999995"/>
    <n v="5.5"/>
    <n v="8.4394904458598727"/>
  </r>
  <r>
    <x v="53"/>
    <n v="0.6"/>
    <n v="0.66674999999999995"/>
    <n v="3.5"/>
    <n v="8.598726114649681"/>
  </r>
  <r>
    <x v="53"/>
    <n v="0.6"/>
    <n v="0.66674999999999995"/>
    <n v="2.5"/>
    <n v="4.936305732484076"/>
  </r>
  <r>
    <x v="33"/>
    <n v="0.63206279899999995"/>
    <n v="0.75690909100000003"/>
    <n v="2.5"/>
    <n v="2.8662420382165603"/>
  </r>
  <r>
    <x v="33"/>
    <n v="0.63206279899999995"/>
    <n v="0.75690909100000003"/>
    <n v="4.5"/>
    <n v="6.8471337579617835"/>
  </r>
  <r>
    <x v="33"/>
    <n v="0.63206279899999995"/>
    <n v="0.75690909100000003"/>
    <n v="2.5"/>
    <n v="4.1401273885350314"/>
  </r>
  <r>
    <x v="3"/>
    <n v="0.89361000000000002"/>
    <n v="0.61247410899999999"/>
    <n v="7"/>
    <n v="15.605095541401273"/>
  </r>
  <r>
    <x v="3"/>
    <n v="0.89361000000000002"/>
    <n v="0.61247410899999999"/>
    <n v="4.5"/>
    <n v="6.5286624203821653"/>
  </r>
  <r>
    <x v="4"/>
    <n v="0.708787469"/>
    <n v="0.80167708299999996"/>
    <n v="4"/>
    <n v="8.2802547770700627"/>
  </r>
  <r>
    <x v="4"/>
    <n v="0.708787469"/>
    <n v="0.80167708299999996"/>
    <n v="4"/>
    <n v="4.7770700636942669"/>
  </r>
  <r>
    <x v="43"/>
    <n v="0.62643652800000005"/>
    <n v="0.57808694400000005"/>
    <n v="10"/>
    <n v="15.127388535031846"/>
  </r>
  <r>
    <x v="43"/>
    <n v="0.62643652800000005"/>
    <n v="0.57808694400000005"/>
    <n v="3"/>
    <n v="9.872611464968152"/>
  </r>
  <r>
    <x v="16"/>
    <n v="0.63400000000000001"/>
    <n v="0.73247777800000002"/>
    <n v="9"/>
    <n v="11.146496815286623"/>
  </r>
  <r>
    <x v="48"/>
    <n v="0.39"/>
    <n v="0.28861111099999998"/>
    <n v="12"/>
    <n v="15.923566878980891"/>
  </r>
  <r>
    <x v="81"/>
    <n v="0.56000000000000005"/>
    <n v="0.53945833300000001"/>
    <n v="6"/>
    <n v="10.031847133757962"/>
  </r>
  <r>
    <x v="29"/>
    <n v="0.40238543599999999"/>
    <n v="0.40883333300000002"/>
    <n v="10"/>
    <n v="15.445859872611464"/>
  </r>
  <r>
    <x v="29"/>
    <n v="0.40238543599999999"/>
    <n v="0.40883333300000002"/>
    <n v="11"/>
    <n v="12.579617834394904"/>
  </r>
  <r>
    <x v="45"/>
    <n v="0.31264018999999998"/>
    <n v="0.356821212"/>
    <n v="11"/>
    <n v="25.477707006369425"/>
  </r>
  <r>
    <x v="1"/>
    <n v="0.766138345"/>
    <n v="0.90500000000000003"/>
    <n v="6"/>
    <n v="11.146496815286623"/>
  </r>
  <r>
    <x v="1"/>
    <n v="0.766138345"/>
    <n v="0.90500000000000003"/>
    <n v="7"/>
    <n v="7.6433121019108281"/>
  </r>
  <r>
    <x v="53"/>
    <n v="0.6"/>
    <n v="0.66674999999999995"/>
    <n v="3.5"/>
    <n v="5.0955414012738851"/>
  </r>
  <r>
    <x v="53"/>
    <n v="0.6"/>
    <n v="0.66674999999999995"/>
    <n v="8"/>
    <n v="13.057324840764331"/>
  </r>
  <r>
    <x v="53"/>
    <n v="0.6"/>
    <n v="0.66674999999999995"/>
    <n v="3"/>
    <n v="5.4140127388535033"/>
  </r>
  <r>
    <x v="3"/>
    <n v="0.89361000000000002"/>
    <n v="0.61247410899999999"/>
    <n v="6.5"/>
    <n v="7.0063694267515917"/>
  </r>
  <r>
    <x v="4"/>
    <n v="0.708787469"/>
    <n v="0.80167708299999996"/>
    <n v="6.5"/>
    <n v="6.0509554140127388"/>
  </r>
  <r>
    <x v="43"/>
    <n v="0.62643652800000005"/>
    <n v="0.57808694400000005"/>
    <n v="8"/>
    <n v="20.700636942675157"/>
  </r>
  <r>
    <x v="7"/>
    <n v="0.74387999999999999"/>
    <n v="0.59130000000000005"/>
    <n v="12"/>
    <n v="14.012738853503183"/>
  </r>
  <r>
    <x v="69"/>
    <n v="0.432770245"/>
    <n v="0.61247410899999999"/>
    <n v="5"/>
    <n v="18.949044585987259"/>
  </r>
  <r>
    <x v="81"/>
    <n v="0.56000000000000005"/>
    <n v="0.53945833300000001"/>
    <n v="5.5"/>
    <n v="5.7324840764331206"/>
  </r>
  <r>
    <x v="9"/>
    <n v="0.43836446099999998"/>
    <n v="0.58666666700000003"/>
    <n v="3.5"/>
    <n v="5.0955414012738851"/>
  </r>
  <r>
    <x v="49"/>
    <n v="0.86"/>
    <n v="0.65666666699999998"/>
    <n v="9"/>
    <n v="6.6878980891719744"/>
  </r>
  <r>
    <x v="49"/>
    <n v="0.86"/>
    <n v="0.65666666699999998"/>
    <n v="11"/>
    <n v="34.235668789808919"/>
  </r>
  <r>
    <x v="49"/>
    <n v="0.86"/>
    <n v="0.65666666699999998"/>
    <n v="7"/>
    <n v="5.7324840764331206"/>
  </r>
  <r>
    <x v="49"/>
    <n v="0.86"/>
    <n v="0.65666666699999998"/>
    <n v="11"/>
    <n v="7.3248407643312099"/>
  </r>
  <r>
    <x v="49"/>
    <n v="0.86"/>
    <n v="0.65666666699999998"/>
    <n v="10"/>
    <n v="5.7324840764331206"/>
  </r>
  <r>
    <x v="45"/>
    <n v="0.31264018999999998"/>
    <n v="0.356821212"/>
    <n v="13"/>
    <n v="16.878980891719745"/>
  </r>
  <r>
    <x v="45"/>
    <n v="0.31264018999999998"/>
    <n v="0.356821212"/>
    <n v="15"/>
    <n v="24.840764331210192"/>
  </r>
  <r>
    <x v="45"/>
    <n v="0.31264018999999998"/>
    <n v="0.356821212"/>
    <n v="15.5"/>
    <n v="27.070063694267514"/>
  </r>
  <r>
    <x v="45"/>
    <n v="0.31264018999999998"/>
    <n v="0.356821212"/>
    <n v="15.5"/>
    <n v="31.847133757961782"/>
  </r>
  <r>
    <x v="1"/>
    <n v="0.766138345"/>
    <n v="0.90500000000000003"/>
    <n v="12"/>
    <n v="32.165605095541402"/>
  </r>
  <r>
    <x v="53"/>
    <n v="0.6"/>
    <n v="0.66674999999999995"/>
    <n v="10"/>
    <n v="8.9171974522292992"/>
  </r>
  <r>
    <x v="80"/>
    <n v="0.83069230800000005"/>
    <n v="0.78683697699999999"/>
    <n v="8"/>
    <n v="7.6433121019108281"/>
  </r>
  <r>
    <x v="3"/>
    <n v="0.89361000000000002"/>
    <n v="0.61247410899999999"/>
    <n v="3"/>
    <n v="3.1847133757961781"/>
  </r>
  <r>
    <x v="43"/>
    <n v="0.62643652800000005"/>
    <n v="0.57808694400000005"/>
    <n v="11"/>
    <n v="15.923566878980891"/>
  </r>
  <r>
    <x v="43"/>
    <n v="0.62643652800000005"/>
    <n v="0.57808694400000005"/>
    <n v="4"/>
    <n v="5.7324840764331206"/>
  </r>
  <r>
    <x v="68"/>
    <n v="0.56023871300000005"/>
    <n v="0.74103703700000001"/>
    <n v="11"/>
    <n v="9.0764331210191074"/>
  </r>
  <r>
    <x v="69"/>
    <n v="0.432770245"/>
    <n v="0.61247410899999999"/>
    <n v="10"/>
    <n v="21.337579617834393"/>
  </r>
  <r>
    <x v="9"/>
    <n v="0.43836446099999998"/>
    <n v="0.58666666700000003"/>
    <n v="4"/>
    <n v="9.2356687898089174"/>
  </r>
  <r>
    <x v="45"/>
    <n v="0.31264018999999998"/>
    <n v="0.356821212"/>
    <n v="14"/>
    <n v="25.477707006369425"/>
  </r>
  <r>
    <x v="45"/>
    <n v="0.31264018999999998"/>
    <n v="0.356821212"/>
    <n v="13"/>
    <n v="21.97452229299363"/>
  </r>
  <r>
    <x v="45"/>
    <n v="0.31264018999999998"/>
    <n v="0.356821212"/>
    <n v="13"/>
    <n v="28.662420382165603"/>
  </r>
  <r>
    <x v="1"/>
    <n v="0.766138345"/>
    <n v="0.90500000000000003"/>
    <n v="9"/>
    <n v="21.656050955414013"/>
  </r>
  <r>
    <x v="1"/>
    <n v="0.766138345"/>
    <n v="0.90500000000000003"/>
    <n v="11"/>
    <n v="15.605095541401273"/>
  </r>
  <r>
    <x v="1"/>
    <n v="0.766138345"/>
    <n v="0.90500000000000003"/>
    <n v="6.5"/>
    <n v="9.872611464968152"/>
  </r>
  <r>
    <x v="21"/>
    <n v="0.39790071399999999"/>
    <n v="0.50565277799999997"/>
    <n v="13"/>
    <n v="9.0764331210191074"/>
  </r>
  <r>
    <x v="43"/>
    <n v="0.62643652800000005"/>
    <n v="0.57808694400000005"/>
    <n v="13"/>
    <n v="15.923566878980891"/>
  </r>
  <r>
    <x v="43"/>
    <n v="0.62643652800000005"/>
    <n v="0.57808694400000005"/>
    <n v="5"/>
    <n v="5.7324840764331206"/>
  </r>
  <r>
    <x v="43"/>
    <n v="0.62643652800000005"/>
    <n v="0.57808694400000005"/>
    <n v="12"/>
    <n v="19.745222929936304"/>
  </r>
  <r>
    <x v="43"/>
    <n v="0.62643652800000005"/>
    <n v="0.57808694400000005"/>
    <n v="6"/>
    <n v="13.694267515923567"/>
  </r>
  <r>
    <x v="43"/>
    <n v="0.62643652800000005"/>
    <n v="0.57808694400000005"/>
    <n v="4.5"/>
    <n v="13.694267515923567"/>
  </r>
  <r>
    <x v="16"/>
    <n v="0.63400000000000001"/>
    <n v="0.73247777800000002"/>
    <n v="10"/>
    <n v="14.808917197452228"/>
  </r>
  <r>
    <x v="69"/>
    <n v="0.432770245"/>
    <n v="0.61247410899999999"/>
    <n v="13"/>
    <n v="29.29936305732484"/>
  </r>
  <r>
    <x v="69"/>
    <n v="0.432770245"/>
    <n v="0.61247410899999999"/>
    <n v="12"/>
    <n v="27.388535031847134"/>
  </r>
  <r>
    <x v="69"/>
    <n v="0.432770245"/>
    <n v="0.61247410899999999"/>
    <n v="11"/>
    <n v="21.019108280254777"/>
  </r>
  <r>
    <x v="69"/>
    <n v="0.432770245"/>
    <n v="0.61247410899999999"/>
    <n v="8"/>
    <n v="16.560509554140125"/>
  </r>
  <r>
    <x v="9"/>
    <n v="0.43836446099999998"/>
    <n v="0.58666666700000003"/>
    <n v="6"/>
    <n v="12.420382165605096"/>
  </r>
  <r>
    <x v="12"/>
    <n v="0.80908761900000004"/>
    <n v="0.87473809499999999"/>
    <n v="7"/>
    <n v="15.286624203821656"/>
  </r>
  <r>
    <x v="39"/>
    <n v="0.41"/>
    <n v="0.33983503399999998"/>
    <n v="7"/>
    <n v="9.872611464968152"/>
  </r>
  <r>
    <x v="1"/>
    <n v="0.766138345"/>
    <n v="0.90500000000000003"/>
    <n v="4"/>
    <n v="5.8917197452229297"/>
  </r>
  <r>
    <x v="53"/>
    <n v="0.6"/>
    <n v="0.66674999999999995"/>
    <n v="8"/>
    <n v="21.019108280254777"/>
  </r>
  <r>
    <x v="53"/>
    <n v="0.6"/>
    <n v="0.66674999999999995"/>
    <n v="8"/>
    <n v="10.987261146496815"/>
  </r>
  <r>
    <x v="53"/>
    <n v="0.6"/>
    <n v="0.66674999999999995"/>
    <n v="6.5"/>
    <n v="8.2802547770700627"/>
  </r>
  <r>
    <x v="2"/>
    <n v="0.47982689899999997"/>
    <n v="0.51"/>
    <n v="1.2"/>
    <n v="2.0700636942675157"/>
  </r>
  <r>
    <x v="74"/>
    <n v="0.490852183"/>
    <n v="0.607288889"/>
    <n v="6.5"/>
    <n v="20.541401273885349"/>
  </r>
  <r>
    <x v="3"/>
    <n v="0.89361000000000002"/>
    <n v="0.61247410899999999"/>
    <n v="5"/>
    <n v="4.2993630573248405"/>
  </r>
  <r>
    <x v="22"/>
    <n v="1082380952"/>
    <n v="0.61247410899999999"/>
    <n v="3"/>
    <n v="1.910828025477707"/>
  </r>
  <r>
    <x v="71"/>
    <n v="0.85750000000000004"/>
    <n v="0.61247410899999999"/>
    <n v="8.6999999999999993"/>
    <n v="17.67515923566879"/>
  </r>
  <r>
    <x v="71"/>
    <n v="0.85750000000000004"/>
    <n v="0.61247410899999999"/>
    <n v="6"/>
    <n v="5.4140127388535033"/>
  </r>
  <r>
    <x v="71"/>
    <n v="0.85750000000000004"/>
    <n v="0.61247410899999999"/>
    <n v="6"/>
    <n v="4.4585987261146496"/>
  </r>
  <r>
    <x v="71"/>
    <n v="0.85750000000000004"/>
    <n v="0.61247410899999999"/>
    <n v="5.7"/>
    <n v="7.3248407643312099"/>
  </r>
  <r>
    <x v="71"/>
    <n v="0.85750000000000004"/>
    <n v="0.61247410899999999"/>
    <n v="5.5"/>
    <n v="5.4140127388535033"/>
  </r>
  <r>
    <x v="82"/>
    <n v="0.93384615400000004"/>
    <n v="0.61247410899999999"/>
    <n v="2"/>
    <n v="3.5031847133757958"/>
  </r>
  <r>
    <x v="23"/>
    <n v="0.590536375"/>
    <n v="0.61247410899999999"/>
    <n v="8"/>
    <n v="18.789808917197451"/>
  </r>
  <r>
    <x v="13"/>
    <n v="0.50857142899999996"/>
    <n v="0.49666666700000001"/>
    <n v="10"/>
    <n v="47.452229299363054"/>
  </r>
  <r>
    <x v="48"/>
    <n v="0.39"/>
    <n v="0.28861111099999998"/>
    <n v="8"/>
    <n v="20.859872611464969"/>
  </r>
  <r>
    <x v="28"/>
    <n v="1.1200000000000001"/>
    <n v="0.85527777800000004"/>
    <n v="2.5"/>
    <n v="1.910828025477707"/>
  </r>
  <r>
    <x v="8"/>
    <n v="0.66608171000000005"/>
    <n v="0.68661666700000001"/>
    <n v="6.5"/>
    <n v="4.4585987261146496"/>
  </r>
  <r>
    <x v="30"/>
    <n v="0.57917600000000002"/>
    <n v="0.60285714300000004"/>
    <n v="10"/>
    <n v="35.031847133757964"/>
  </r>
  <r>
    <x v="83"/>
    <n v="0.41185709999999998"/>
    <n v="0.41185714299999998"/>
    <n v="2.8"/>
    <n v="2.7070063694267517"/>
  </r>
  <r>
    <x v="53"/>
    <n v="0.6"/>
    <n v="0.66674999999999995"/>
    <n v="4"/>
    <n v="6.3694267515923562"/>
  </r>
  <r>
    <x v="74"/>
    <n v="0.490852183"/>
    <n v="0.607288889"/>
    <n v="2.5"/>
    <n v="5.2547770700636942"/>
  </r>
  <r>
    <x v="3"/>
    <n v="0.89361000000000002"/>
    <n v="0.61247410899999999"/>
    <n v="2.1"/>
    <n v="3.8216560509554141"/>
  </r>
  <r>
    <x v="4"/>
    <n v="0.708787469"/>
    <n v="0.80167708299999996"/>
    <n v="3.7"/>
    <n v="11.783439490445859"/>
  </r>
  <r>
    <x v="4"/>
    <n v="0.708787469"/>
    <n v="0.80167708299999996"/>
    <n v="2.2000000000000002"/>
    <n v="4.2993630573248405"/>
  </r>
  <r>
    <x v="84"/>
    <n v="0.13069240100000001"/>
    <n v="0.26500000000000001"/>
    <n v="6"/>
    <n v="12.738853503184712"/>
  </r>
  <r>
    <x v="84"/>
    <n v="0.13069240100000001"/>
    <n v="0.26500000000000001"/>
    <n v="4.5"/>
    <n v="12.101910828025478"/>
  </r>
  <r>
    <x v="84"/>
    <n v="0.13069240100000001"/>
    <n v="0.26500000000000001"/>
    <n v="4.5"/>
    <n v="9.5541401273885338"/>
  </r>
  <r>
    <x v="71"/>
    <n v="0.85750000000000004"/>
    <n v="0.61247410899999999"/>
    <n v="3.5"/>
    <n v="9.7133757961783438"/>
  </r>
  <r>
    <x v="68"/>
    <n v="0.56023871300000005"/>
    <n v="0.74103703700000001"/>
    <n v="6"/>
    <n v="7.9617834394904454"/>
  </r>
  <r>
    <x v="68"/>
    <n v="0.56023871300000005"/>
    <n v="0.74103703700000001"/>
    <n v="4.2"/>
    <n v="7.484076433121019"/>
  </r>
  <r>
    <x v="18"/>
    <n v="0.69835862100000001"/>
    <n v="0.69262500000000005"/>
    <n v="8.9"/>
    <n v="7.6433121019108281"/>
  </r>
  <r>
    <x v="18"/>
    <n v="0.69835862100000001"/>
    <n v="0.69262500000000005"/>
    <n v="7.2"/>
    <n v="4.936305732484076"/>
  </r>
  <r>
    <x v="9"/>
    <n v="0.43836446099999998"/>
    <n v="0.58666666700000003"/>
    <n v="2.7"/>
    <n v="10.668789808917197"/>
  </r>
  <r>
    <x v="9"/>
    <n v="0.43836446099999998"/>
    <n v="0.58666666700000003"/>
    <n v="1.9"/>
    <n v="6.3694267515923562"/>
  </r>
  <r>
    <x v="30"/>
    <n v="0.57917600000000002"/>
    <n v="0.60285714300000004"/>
    <n v="8"/>
    <n v="30.254777070063692"/>
  </r>
  <r>
    <x v="59"/>
    <n v="0.28577490700000002"/>
    <n v="0.3422"/>
    <n v="8"/>
    <n v="31.369426751592357"/>
  </r>
  <r>
    <x v="12"/>
    <n v="0.80908761900000004"/>
    <n v="0.87473809499999999"/>
    <n v="7"/>
    <n v="13.216560509554139"/>
  </r>
  <r>
    <x v="85"/>
    <n v="0.57550000000000001"/>
    <n v="0.57550000000000001"/>
    <n v="3"/>
    <n v="2.3885350318471334"/>
  </r>
  <r>
    <x v="53"/>
    <n v="0.6"/>
    <n v="0.66674999999999995"/>
    <n v="8"/>
    <n v="15.445859872611464"/>
  </r>
  <r>
    <x v="27"/>
    <n v="0.81991655299999999"/>
    <n v="0.72276027399999998"/>
    <n v="2.2999999999999998"/>
    <n v="6.2101910828025479"/>
  </r>
  <r>
    <x v="2"/>
    <n v="0.47982689899999997"/>
    <n v="0.51"/>
    <n v="3.5"/>
    <n v="9.5541401273885338"/>
  </r>
  <r>
    <x v="2"/>
    <n v="0.47982689899999997"/>
    <n v="0.51"/>
    <n v="2.7"/>
    <n v="6.8471337579617835"/>
  </r>
  <r>
    <x v="74"/>
    <n v="0.490852183"/>
    <n v="0.607288889"/>
    <n v="4.7"/>
    <n v="7.0063694267515917"/>
  </r>
  <r>
    <x v="74"/>
    <n v="0.490852183"/>
    <n v="0.607288889"/>
    <n v="4.5"/>
    <n v="8.9171974522292992"/>
  </r>
  <r>
    <x v="5"/>
    <n v="0.45255480399999998"/>
    <n v="0.57808694400000005"/>
    <n v="5.7"/>
    <n v="12.420382165605096"/>
  </r>
  <r>
    <x v="84"/>
    <n v="0.13069240100000001"/>
    <n v="0.26500000000000001"/>
    <n v="7"/>
    <n v="27.547770700636942"/>
  </r>
  <r>
    <x v="22"/>
    <n v="1082380952"/>
    <n v="0.61247410899999999"/>
    <n v="3.7"/>
    <n v="5.4140127388535033"/>
  </r>
  <r>
    <x v="71"/>
    <n v="0.85750000000000004"/>
    <n v="0.61247410899999999"/>
    <n v="6"/>
    <n v="9.3949044585987256"/>
  </r>
  <r>
    <x v="71"/>
    <n v="0.85750000000000004"/>
    <n v="0.61247410899999999"/>
    <n v="3.5"/>
    <n v="4.7770700636942669"/>
  </r>
  <r>
    <x v="23"/>
    <n v="0.590536375"/>
    <n v="0.61247410899999999"/>
    <n v="10"/>
    <n v="42.834394904458598"/>
  </r>
  <r>
    <x v="48"/>
    <n v="0.39"/>
    <n v="0.28861111099999998"/>
    <n v="7.5"/>
    <n v="16.401273885350317"/>
  </r>
  <r>
    <x v="29"/>
    <n v="0.40238543599999999"/>
    <n v="0.40883333300000002"/>
    <n v="9"/>
    <n v="16.082802547770701"/>
  </r>
  <r>
    <x v="59"/>
    <n v="0.28577490700000002"/>
    <n v="0.3422"/>
    <n v="8.5"/>
    <n v="27.70700636942675"/>
  </r>
  <r>
    <x v="12"/>
    <n v="0.80908761900000004"/>
    <n v="0.87473809499999999"/>
    <n v="4.5"/>
    <n v="12.738853503184712"/>
  </r>
  <r>
    <x v="12"/>
    <n v="0.80908761900000004"/>
    <n v="0.87473809499999999"/>
    <n v="3.7"/>
    <n v="6.0509554140127388"/>
  </r>
  <r>
    <x v="45"/>
    <n v="0.31264018999999998"/>
    <n v="0.356821212"/>
    <n v="5.7"/>
    <n v="49.681528662420384"/>
  </r>
  <r>
    <x v="53"/>
    <n v="0.6"/>
    <n v="0.66674999999999995"/>
    <n v="7.5"/>
    <n v="15.764331210191083"/>
  </r>
  <r>
    <x v="80"/>
    <n v="0.83069230800000005"/>
    <n v="0.78683697699999999"/>
    <n v="5.7"/>
    <n v="17.834394904458598"/>
  </r>
  <r>
    <x v="27"/>
    <n v="0.81991655299999999"/>
    <n v="0.72276027399999998"/>
    <n v="1.7"/>
    <n v="2.2292993630573248"/>
  </r>
  <r>
    <x v="27"/>
    <n v="0.81991655299999999"/>
    <n v="0.72276027399999998"/>
    <n v="1.7"/>
    <n v="5.0955414012738851"/>
  </r>
  <r>
    <x v="27"/>
    <n v="0.81991655299999999"/>
    <n v="0.72276027399999998"/>
    <n v="1.6"/>
    <n v="1.592356687898089"/>
  </r>
  <r>
    <x v="3"/>
    <n v="0.89361000000000002"/>
    <n v="0.61247410899999999"/>
    <n v="3"/>
    <n v="3.9808917197452227"/>
  </r>
  <r>
    <x v="58"/>
    <n v="0.85449533600000005"/>
    <n v="0.81482857099999995"/>
    <n v="1.7"/>
    <n v="1.910828025477707"/>
  </r>
  <r>
    <x v="71"/>
    <n v="0.85750000000000004"/>
    <n v="0.61247410899999999"/>
    <n v="6.8"/>
    <n v="20.700636942675157"/>
  </r>
  <r>
    <x v="71"/>
    <n v="0.85750000000000004"/>
    <n v="0.61247410899999999"/>
    <n v="2.2000000000000002"/>
    <n v="5.5732484076433115"/>
  </r>
  <r>
    <x v="68"/>
    <n v="0.56023871300000005"/>
    <n v="0.74103703700000001"/>
    <n v="6"/>
    <n v="8.4394904458598727"/>
  </r>
  <r>
    <x v="69"/>
    <n v="0.432770245"/>
    <n v="0.61247410899999999"/>
    <n v="5.5"/>
    <n v="18.789808917197451"/>
  </r>
  <r>
    <x v="29"/>
    <n v="0.40238543599999999"/>
    <n v="0.40883333300000002"/>
    <n v="9.5"/>
    <n v="15.445859872611464"/>
  </r>
  <r>
    <x v="55"/>
    <n v="0.77"/>
    <n v="0.77"/>
    <n v="5"/>
    <n v="5.5732484076433115"/>
  </r>
  <r>
    <x v="45"/>
    <n v="0.31264018999999998"/>
    <n v="0.356821212"/>
    <n v="5"/>
    <n v="17.834394904458598"/>
  </r>
  <r>
    <x v="53"/>
    <n v="0.6"/>
    <n v="0.66674999999999995"/>
    <n v="5.5"/>
    <n v="6.5286624203821653"/>
  </r>
  <r>
    <x v="53"/>
    <n v="0.6"/>
    <n v="0.66674999999999995"/>
    <n v="5"/>
    <n v="13.375796178343949"/>
  </r>
  <r>
    <x v="26"/>
    <n v="0.54247040000000002"/>
    <n v="0.54247042099999998"/>
    <n v="2.7"/>
    <n v="11.305732484076433"/>
  </r>
  <r>
    <x v="74"/>
    <n v="0.490852183"/>
    <n v="0.607288889"/>
    <n v="2.7"/>
    <n v="4.7770700636942669"/>
  </r>
  <r>
    <x v="71"/>
    <n v="0.85750000000000004"/>
    <n v="0.61247410899999999"/>
    <n v="6"/>
    <n v="17.993630573248407"/>
  </r>
  <r>
    <x v="71"/>
    <n v="0.85750000000000004"/>
    <n v="0.61247410899999999"/>
    <n v="5"/>
    <n v="18.949044585987259"/>
  </r>
  <r>
    <x v="48"/>
    <n v="0.39"/>
    <n v="0.28861111099999998"/>
    <n v="6"/>
    <n v="10.19108280254777"/>
  </r>
  <r>
    <x v="48"/>
    <n v="0.39"/>
    <n v="0.28861111099999998"/>
    <n v="6"/>
    <n v="17.834394904458598"/>
  </r>
  <r>
    <x v="48"/>
    <n v="0.39"/>
    <n v="0.28861111099999998"/>
    <n v="5.5"/>
    <n v="7.9617834394904454"/>
  </r>
  <r>
    <x v="9"/>
    <n v="0.43836446099999998"/>
    <n v="0.58666666700000003"/>
    <n v="5"/>
    <n v="11.146496815286623"/>
  </r>
  <r>
    <x v="9"/>
    <n v="0.43836446099999998"/>
    <n v="0.58666666700000003"/>
    <n v="4"/>
    <n v="11.305732484076433"/>
  </r>
  <r>
    <x v="9"/>
    <n v="0.43836446099999998"/>
    <n v="0.58666666700000003"/>
    <n v="3.9"/>
    <n v="11.146496815286623"/>
  </r>
  <r>
    <x v="9"/>
    <n v="0.43836446099999998"/>
    <n v="0.58666666700000003"/>
    <n v="2.5"/>
    <n v="11.783439490445859"/>
  </r>
  <r>
    <x v="30"/>
    <n v="0.57917600000000002"/>
    <n v="0.60285714300000004"/>
    <n v="7"/>
    <n v="14.490445859872612"/>
  </r>
  <r>
    <x v="55"/>
    <n v="0.77"/>
    <n v="0.77"/>
    <n v="2"/>
    <n v="13.057324840764331"/>
  </r>
  <r>
    <x v="39"/>
    <n v="0.41"/>
    <n v="0.33983503399999998"/>
    <n v="6"/>
    <n v="5.7324840764331206"/>
  </r>
  <r>
    <x v="21"/>
    <n v="0.39790071399999999"/>
    <n v="0.50565277799999997"/>
    <n v="4.5"/>
    <n v="7.8025477707006363"/>
  </r>
  <r>
    <x v="21"/>
    <n v="0.39790071399999999"/>
    <n v="0.50565277799999997"/>
    <n v="2.5"/>
    <n v="3.3439490445859872"/>
  </r>
  <r>
    <x v="2"/>
    <n v="0.47982689899999997"/>
    <n v="0.51"/>
    <n v="1.8"/>
    <n v="3.8216560509554141"/>
  </r>
  <r>
    <x v="3"/>
    <n v="0.89361000000000002"/>
    <n v="0.61247410899999999"/>
    <n v="2.2000000000000002"/>
    <n v="2.3885350318471334"/>
  </r>
  <r>
    <x v="5"/>
    <n v="0.45255480399999998"/>
    <n v="0.57808694400000005"/>
    <n v="1.9"/>
    <n v="4.1401273885350314"/>
  </r>
  <r>
    <x v="43"/>
    <n v="0.62643652800000005"/>
    <n v="0.57808694400000005"/>
    <n v="5.3"/>
    <n v="20.541401273885349"/>
  </r>
  <r>
    <x v="43"/>
    <n v="0.62643652800000005"/>
    <n v="0.57808694400000005"/>
    <n v="4.9000000000000004"/>
    <n v="18.471337579617835"/>
  </r>
  <r>
    <x v="43"/>
    <n v="0.62643652800000005"/>
    <n v="0.57808694400000005"/>
    <n v="4.7"/>
    <n v="15.127388535031846"/>
  </r>
  <r>
    <x v="43"/>
    <n v="0.62643652800000005"/>
    <n v="0.57808694400000005"/>
    <n v="3.9"/>
    <n v="8.2802547770700627"/>
  </r>
  <r>
    <x v="84"/>
    <n v="0.13069240100000001"/>
    <n v="0.26500000000000001"/>
    <n v="3.5"/>
    <n v="8.7579617834394909"/>
  </r>
  <r>
    <x v="86"/>
    <n v="0.63"/>
    <n v="0.629222222"/>
    <n v="2.8"/>
    <n v="6.8471337579617835"/>
  </r>
  <r>
    <x v="71"/>
    <n v="0.85750000000000004"/>
    <n v="0.61247410899999999"/>
    <n v="7"/>
    <n v="14.64968152866242"/>
  </r>
  <r>
    <x v="71"/>
    <n v="0.85750000000000004"/>
    <n v="0.61247410899999999"/>
    <n v="5.7"/>
    <n v="10.509554140127388"/>
  </r>
  <r>
    <x v="48"/>
    <n v="0.39"/>
    <n v="0.28861111099999998"/>
    <n v="5"/>
    <n v="11.464968152866241"/>
  </r>
  <r>
    <x v="9"/>
    <n v="0.43836446099999998"/>
    <n v="0.58666666700000003"/>
    <n v="4"/>
    <n v="16.560509554140125"/>
  </r>
  <r>
    <x v="59"/>
    <n v="0.28577490700000002"/>
    <n v="0.3422"/>
    <n v="6.5"/>
    <n v="8.1210191082802545"/>
  </r>
  <r>
    <x v="59"/>
    <n v="0.28577490700000002"/>
    <n v="0.3422"/>
    <n v="5"/>
    <n v="9.872611464968152"/>
  </r>
  <r>
    <x v="59"/>
    <n v="0.28577490700000002"/>
    <n v="0.3422"/>
    <n v="4.5"/>
    <n v="12.101910828025478"/>
  </r>
  <r>
    <x v="39"/>
    <n v="0.41"/>
    <n v="0.33983503399999998"/>
    <n v="8"/>
    <n v="9.7133757961783438"/>
  </r>
  <r>
    <x v="39"/>
    <n v="0.41"/>
    <n v="0.33983503399999998"/>
    <n v="7"/>
    <n v="7.0063694267515917"/>
  </r>
  <r>
    <x v="39"/>
    <n v="0.41"/>
    <n v="0.33983503399999998"/>
    <n v="7"/>
    <n v="10.031847133757962"/>
  </r>
  <r>
    <x v="74"/>
    <n v="0.490852183"/>
    <n v="0.607288889"/>
    <n v="5.5"/>
    <n v="4.1401273885350314"/>
  </r>
  <r>
    <x v="43"/>
    <n v="0.62643652800000005"/>
    <n v="0.57808694400000005"/>
    <n v="6"/>
    <n v="20.222929936305732"/>
  </r>
  <r>
    <x v="43"/>
    <n v="0.62643652800000005"/>
    <n v="0.57808694400000005"/>
    <n v="5"/>
    <n v="16.401273885350317"/>
  </r>
  <r>
    <x v="43"/>
    <n v="0.62643652800000005"/>
    <n v="0.57808694400000005"/>
    <n v="4.5"/>
    <n v="4.936305732484076"/>
  </r>
  <r>
    <x v="71"/>
    <n v="0.85750000000000004"/>
    <n v="0.61247410899999999"/>
    <n v="6.5"/>
    <n v="15.764331210191083"/>
  </r>
  <r>
    <x v="71"/>
    <n v="0.85750000000000004"/>
    <n v="0.61247410899999999"/>
    <n v="6.5"/>
    <n v="7.9617834394904454"/>
  </r>
  <r>
    <x v="71"/>
    <n v="0.85750000000000004"/>
    <n v="0.61247410899999999"/>
    <n v="5.7"/>
    <n v="9.3949044585987256"/>
  </r>
  <r>
    <x v="71"/>
    <n v="0.85750000000000004"/>
    <n v="0.61247410899999999"/>
    <n v="5.6"/>
    <n v="9.5541401273885338"/>
  </r>
  <r>
    <x v="71"/>
    <n v="0.85750000000000004"/>
    <n v="0.61247410899999999"/>
    <n v="5.5"/>
    <n v="9.5541401273885338"/>
  </r>
  <r>
    <x v="71"/>
    <n v="0.85750000000000004"/>
    <n v="0.61247410899999999"/>
    <n v="5.5"/>
    <n v="7.3248407643312099"/>
  </r>
  <r>
    <x v="71"/>
    <n v="0.85750000000000004"/>
    <n v="0.61247410899999999"/>
    <n v="4.5"/>
    <n v="15.286624203821656"/>
  </r>
  <r>
    <x v="71"/>
    <n v="0.85750000000000004"/>
    <n v="0.61247410899999999"/>
    <n v="3"/>
    <n v="12.101910828025478"/>
  </r>
  <r>
    <x v="48"/>
    <n v="0.39"/>
    <n v="0.28861111099999998"/>
    <n v="6.5"/>
    <n v="10.350318471337578"/>
  </r>
  <r>
    <x v="28"/>
    <n v="1.1200000000000001"/>
    <n v="0.85527777800000004"/>
    <n v="1.8"/>
    <n v="3.9808917197452227"/>
  </r>
  <r>
    <x v="9"/>
    <n v="0.43836446099999998"/>
    <n v="0.58666666700000003"/>
    <n v="4"/>
    <n v="13.694267515923567"/>
  </r>
  <r>
    <x v="9"/>
    <n v="0.43836446099999998"/>
    <n v="0.58666666700000003"/>
    <n v="3.8"/>
    <n v="12.261146496815286"/>
  </r>
  <r>
    <x v="9"/>
    <n v="0.43836446099999998"/>
    <n v="0.58666666700000003"/>
    <n v="3"/>
    <n v="14.331210191082802"/>
  </r>
  <r>
    <x v="9"/>
    <n v="0.43836446099999998"/>
    <n v="0.58666666700000003"/>
    <n v="2.1"/>
    <n v="1.910828025477707"/>
  </r>
  <r>
    <x v="39"/>
    <n v="0.41"/>
    <n v="0.33983503399999998"/>
    <n v="7.5"/>
    <n v="7.1656050955414008"/>
  </r>
  <r>
    <x v="53"/>
    <n v="0.6"/>
    <n v="0.66674999999999995"/>
    <n v="5.5"/>
    <n v="8.598726114649681"/>
  </r>
  <r>
    <x v="71"/>
    <n v="0.85750000000000004"/>
    <n v="0.61247410899999999"/>
    <n v="6"/>
    <n v="7.3248407643312099"/>
  </r>
  <r>
    <x v="71"/>
    <n v="0.85750000000000004"/>
    <n v="0.61247410899999999"/>
    <n v="6"/>
    <n v="22.165605095541398"/>
  </r>
  <r>
    <x v="71"/>
    <n v="0.85750000000000004"/>
    <n v="0.61247410899999999"/>
    <n v="6"/>
    <n v="10.509554140127388"/>
  </r>
  <r>
    <x v="71"/>
    <n v="0.85750000000000004"/>
    <n v="0.61247410899999999"/>
    <n v="5.5"/>
    <n v="24.363057324840764"/>
  </r>
  <r>
    <x v="71"/>
    <n v="0.85750000000000004"/>
    <n v="0.61247410899999999"/>
    <n v="4.5"/>
    <n v="13.694267515923567"/>
  </r>
  <r>
    <x v="68"/>
    <n v="0.56023871300000005"/>
    <n v="0.74103703700000001"/>
    <n v="6"/>
    <n v="7.484076433121019"/>
  </r>
  <r>
    <x v="28"/>
    <n v="1.1200000000000001"/>
    <n v="0.85527777800000004"/>
    <n v="5"/>
    <n v="13.375796178343949"/>
  </r>
  <r>
    <x v="28"/>
    <n v="1.1200000000000001"/>
    <n v="0.85527777800000004"/>
    <n v="2.5"/>
    <n v="6.6878980891719744"/>
  </r>
  <r>
    <x v="28"/>
    <n v="1.1200000000000001"/>
    <n v="0.85527777800000004"/>
    <n v="2.2999999999999998"/>
    <n v="2.8662420382165603"/>
  </r>
  <r>
    <x v="87"/>
    <n v="0.53"/>
    <n v="0.41185714299999998"/>
    <n v="5.5"/>
    <n v="5.7324840764331206"/>
  </r>
  <r>
    <x v="87"/>
    <n v="0.53"/>
    <n v="0.41185714299999998"/>
    <n v="5"/>
    <n v="5.8917197452229297"/>
  </r>
  <r>
    <x v="87"/>
    <n v="0.53"/>
    <n v="0.41185714299999998"/>
    <n v="2.5"/>
    <n v="3.5031847133757958"/>
  </r>
  <r>
    <x v="38"/>
    <n v="0.371297506"/>
    <n v="0.35258402799999999"/>
    <n v="4.5"/>
    <n v="4.2993630573248405"/>
  </r>
  <r>
    <x v="38"/>
    <n v="0.371297506"/>
    <n v="0.35258402799999999"/>
    <n v="4"/>
    <n v="3.3439490445859872"/>
  </r>
  <r>
    <x v="49"/>
    <n v="0.86"/>
    <n v="0.65666666699999998"/>
    <n v="9"/>
    <n v="17.32484076433121"/>
  </r>
  <r>
    <x v="49"/>
    <n v="0.86"/>
    <n v="0.65666666699999998"/>
    <n v="7"/>
    <n v="10.063694267515924"/>
  </r>
  <r>
    <x v="39"/>
    <n v="0.41"/>
    <n v="0.33983503399999998"/>
    <n v="9"/>
    <n v="10.828025477707007"/>
  </r>
  <r>
    <x v="39"/>
    <n v="0.41"/>
    <n v="0.33983503399999998"/>
    <n v="6.8"/>
    <n v="13.566878980891719"/>
  </r>
  <r>
    <x v="39"/>
    <n v="0.41"/>
    <n v="0.33983503399999998"/>
    <n v="6"/>
    <n v="4.4267515923566876"/>
  </r>
  <r>
    <x v="45"/>
    <n v="0.31264018999999998"/>
    <n v="0.356821212"/>
    <n v="3"/>
    <n v="17.515923566878982"/>
  </r>
  <r>
    <x v="88"/>
    <n v="0.52800000000000002"/>
    <n v="0.51040266700000003"/>
    <n v="5"/>
    <n v="3.6624203821656049"/>
  </r>
  <r>
    <x v="27"/>
    <n v="0.81991655299999999"/>
    <n v="0.72276027399999998"/>
    <n v="4.5"/>
    <n v="11.146496815286623"/>
  </r>
  <r>
    <x v="24"/>
    <n v="0.56193137999999998"/>
    <n v="0.57808694400000005"/>
    <n v="8"/>
    <n v="28.280254777070063"/>
  </r>
  <r>
    <x v="24"/>
    <n v="0.56193137999999998"/>
    <n v="0.57808694400000005"/>
    <n v="8"/>
    <n v="25.445859872611464"/>
  </r>
  <r>
    <x v="86"/>
    <n v="0.63"/>
    <n v="0.629222222"/>
    <n v="2.5"/>
    <n v="4.6815286624203818"/>
  </r>
  <r>
    <x v="7"/>
    <n v="0.74387999999999999"/>
    <n v="0.59130000000000005"/>
    <n v="6.5"/>
    <n v="5.1592356687898082"/>
  </r>
  <r>
    <x v="7"/>
    <n v="0.74387999999999999"/>
    <n v="0.59130000000000005"/>
    <n v="6.5"/>
    <n v="8.3121019108280247"/>
  </r>
  <r>
    <x v="89"/>
    <n v="0.65"/>
    <n v="0.65"/>
    <n v="8"/>
    <n v="18.694267515923567"/>
  </r>
  <r>
    <x v="89"/>
    <n v="0.65"/>
    <n v="0.65"/>
    <n v="7.1"/>
    <n v="12.86624203821656"/>
  </r>
  <r>
    <x v="89"/>
    <n v="0.65"/>
    <n v="0.65"/>
    <n v="7"/>
    <n v="23.917197452229296"/>
  </r>
  <r>
    <x v="89"/>
    <n v="0.65"/>
    <n v="0.65"/>
    <n v="7"/>
    <n v="12.579617834394904"/>
  </r>
  <r>
    <x v="9"/>
    <n v="0.43836446099999998"/>
    <n v="0.58666666700000003"/>
    <n v="4.7"/>
    <n v="12.547770700636942"/>
  </r>
  <r>
    <x v="9"/>
    <n v="0.43836446099999998"/>
    <n v="0.58666666700000003"/>
    <n v="2"/>
    <n v="5.8280254777070066"/>
  </r>
  <r>
    <x v="10"/>
    <n v="0.76500000000000001"/>
    <n v="0.61247410899999999"/>
    <n v="7"/>
    <n v="15.35031847133758"/>
  </r>
  <r>
    <x v="49"/>
    <n v="0.86"/>
    <n v="0.65666666699999998"/>
    <n v="5.5"/>
    <n v="5.1910828025477711"/>
  </r>
  <r>
    <x v="12"/>
    <n v="0.80908761900000004"/>
    <n v="0.87473809499999999"/>
    <n v="5.7"/>
    <n v="8.9171974522292992"/>
  </r>
  <r>
    <x v="39"/>
    <n v="0.41"/>
    <n v="0.33983503399999998"/>
    <n v="6.5"/>
    <n v="6.3694267515923562"/>
  </r>
  <r>
    <x v="3"/>
    <n v="0.89361000000000002"/>
    <n v="0.61247410899999999"/>
    <n v="3.5"/>
    <n v="6.5286624203821653"/>
  </r>
  <r>
    <x v="5"/>
    <n v="0.45255480399999998"/>
    <n v="0.57808694400000005"/>
    <n v="6"/>
    <n v="2.5796178343949041"/>
  </r>
  <r>
    <x v="16"/>
    <n v="0.63400000000000001"/>
    <n v="0.73247777800000002"/>
    <n v="3.7"/>
    <n v="14.076433121019109"/>
  </r>
  <r>
    <x v="6"/>
    <n v="0.374"/>
    <n v="0.47945833300000001"/>
    <n v="4"/>
    <n v="6.2101910828025479"/>
  </r>
  <r>
    <x v="7"/>
    <n v="0.74387999999999999"/>
    <n v="0.59130000000000005"/>
    <n v="6"/>
    <n v="8.2165605095541405"/>
  </r>
  <r>
    <x v="89"/>
    <n v="0.65"/>
    <n v="0.65"/>
    <n v="8.5"/>
    <n v="14.904458598726114"/>
  </r>
  <r>
    <x v="89"/>
    <n v="0.65"/>
    <n v="0.65"/>
    <n v="8"/>
    <n v="8.2802547770700627"/>
  </r>
  <r>
    <x v="10"/>
    <n v="0.76500000000000001"/>
    <n v="0.61247410899999999"/>
    <n v="8"/>
    <n v="12.13375796178344"/>
  </r>
  <r>
    <x v="10"/>
    <n v="0.76500000000000001"/>
    <n v="0.61247410899999999"/>
    <n v="7"/>
    <n v="28.057324840764327"/>
  </r>
  <r>
    <x v="49"/>
    <n v="0.86"/>
    <n v="0.65666666699999998"/>
    <n v="7"/>
    <n v="7.0063694267515917"/>
  </r>
  <r>
    <x v="31"/>
    <n v="0.40257753800000001"/>
    <n v="0.40843333300000001"/>
    <n v="7"/>
    <n v="10.19108280254777"/>
  </r>
  <r>
    <x v="39"/>
    <n v="0.41"/>
    <n v="0.33983503399999998"/>
    <n v="6"/>
    <n v="4.7770700636942669"/>
  </r>
  <r>
    <x v="88"/>
    <n v="0.52800000000000002"/>
    <n v="0.51040266700000003"/>
    <n v="8"/>
    <n v="3.9808917197452227"/>
  </r>
  <r>
    <x v="90"/>
    <n v="0.28905069999999999"/>
    <n v="0.28905072500000001"/>
    <n v="4"/>
    <n v="3.6624203821656049"/>
  </r>
  <r>
    <x v="46"/>
    <n v="0.55560299999999996"/>
    <n v="0.55961111100000005"/>
    <n v="2.7"/>
    <n v="4.1401273885350314"/>
  </r>
  <r>
    <x v="24"/>
    <n v="0.56193137999999998"/>
    <n v="0.57808694400000005"/>
    <n v="6.5"/>
    <n v="14.012738853503183"/>
  </r>
  <r>
    <x v="37"/>
    <n v="0.61"/>
    <n v="0.84088888900000003"/>
    <n v="6.5"/>
    <n v="26.751592356687897"/>
  </r>
  <r>
    <x v="79"/>
    <n v="0.84088890000000005"/>
    <n v="0.84088888900000003"/>
    <n v="6.5"/>
    <n v="26.114649681528661"/>
  </r>
  <r>
    <x v="17"/>
    <n v="0.65716857299999998"/>
    <n v="0.85527777800000004"/>
    <n v="4.5"/>
    <n v="10.477707006369426"/>
  </r>
  <r>
    <x v="9"/>
    <n v="0.43836446099999998"/>
    <n v="0.58666666700000003"/>
    <n v="5"/>
    <n v="12.579617834394904"/>
  </r>
  <r>
    <x v="9"/>
    <n v="0.43836446099999998"/>
    <n v="0.58666666700000003"/>
    <n v="4.5"/>
    <n v="1.910828025477707"/>
  </r>
  <r>
    <x v="91"/>
    <n v="0.52607139999999997"/>
    <n v="0.52607142900000003"/>
    <n v="4.5999999999999996"/>
    <n v="3.8216560509554141"/>
  </r>
  <r>
    <x v="91"/>
    <n v="0.52607139999999997"/>
    <n v="0.52607142900000003"/>
    <n v="4.5999999999999996"/>
    <n v="7.8025477707006363"/>
  </r>
  <r>
    <x v="91"/>
    <n v="0.52607139999999997"/>
    <n v="0.52607142900000003"/>
    <n v="2.2000000000000002"/>
    <n v="6.3694267515923562"/>
  </r>
  <r>
    <x v="77"/>
    <n v="0.68500000000000005"/>
    <n v="0.54"/>
    <n v="4"/>
    <n v="3.3439490445859872"/>
  </r>
  <r>
    <x v="77"/>
    <n v="0.68500000000000005"/>
    <n v="0.54"/>
    <n v="4"/>
    <n v="2.5477707006369426"/>
  </r>
  <r>
    <x v="77"/>
    <n v="0.68500000000000005"/>
    <n v="0.54"/>
    <n v="3"/>
    <n v="2.8662420382165603"/>
  </r>
  <r>
    <x v="49"/>
    <n v="0.86"/>
    <n v="0.65666666699999998"/>
    <n v="6"/>
    <n v="20.541401273885349"/>
  </r>
  <r>
    <x v="49"/>
    <n v="0.86"/>
    <n v="0.65666666699999998"/>
    <n v="4.5"/>
    <n v="5.7324840764331206"/>
  </r>
  <r>
    <x v="49"/>
    <n v="0.86"/>
    <n v="0.65666666699999998"/>
    <n v="3"/>
    <n v="2.8662420382165603"/>
  </r>
  <r>
    <x v="37"/>
    <n v="0.61"/>
    <n v="0.84088888900000003"/>
    <n v="5"/>
    <n v="32.484076433121018"/>
  </r>
  <r>
    <x v="79"/>
    <n v="0.84088890000000005"/>
    <n v="0.84088888900000003"/>
    <n v="8"/>
    <n v="10.19108280254777"/>
  </r>
  <r>
    <x v="10"/>
    <n v="0.76500000000000001"/>
    <n v="0.61247410899999999"/>
    <n v="8.5"/>
    <n v="16.401273885350317"/>
  </r>
  <r>
    <x v="10"/>
    <n v="0.76500000000000001"/>
    <n v="0.61247410899999999"/>
    <n v="7"/>
    <n v="26.273885350318469"/>
  </r>
  <r>
    <x v="10"/>
    <n v="0.76500000000000001"/>
    <n v="0.61247410899999999"/>
    <n v="6"/>
    <n v="14.968152866242038"/>
  </r>
  <r>
    <x v="49"/>
    <n v="0.86"/>
    <n v="0.65666666699999998"/>
    <n v="3.5"/>
    <n v="6.0509554140127388"/>
  </r>
  <r>
    <x v="31"/>
    <n v="0.40257753800000001"/>
    <n v="0.40843333300000001"/>
    <n v="12"/>
    <n v="30.095541401273884"/>
  </r>
  <r>
    <x v="39"/>
    <n v="0.41"/>
    <n v="0.33983503399999998"/>
    <n v="6.5"/>
    <n v="10.828025477707007"/>
  </r>
  <r>
    <x v="39"/>
    <n v="0.41"/>
    <n v="0.33983503399999998"/>
    <n v="12"/>
    <n v="9.872611464968152"/>
  </r>
  <r>
    <x v="24"/>
    <n v="0.56193137999999998"/>
    <n v="0.57808694400000005"/>
    <n v="4.5"/>
    <n v="10.19108280254777"/>
  </r>
  <r>
    <x v="89"/>
    <n v="0.65"/>
    <n v="0.65"/>
    <n v="7"/>
    <n v="3.0254777070063694"/>
  </r>
  <r>
    <x v="17"/>
    <n v="0.65716857299999998"/>
    <n v="0.85527777800000004"/>
    <n v="3.5"/>
    <n v="5.8917197452229297"/>
  </r>
  <r>
    <x v="29"/>
    <n v="0.40238543599999999"/>
    <n v="0.40883333300000002"/>
    <n v="16"/>
    <n v="17.834394904458598"/>
  </r>
  <r>
    <x v="30"/>
    <n v="0.57917600000000002"/>
    <n v="0.60285714300000004"/>
    <n v="6"/>
    <n v="25.318471337579616"/>
  </r>
  <r>
    <x v="91"/>
    <n v="0.52607139999999997"/>
    <n v="0.52607142900000003"/>
    <n v="5"/>
    <n v="9.872611464968152"/>
  </r>
  <r>
    <x v="39"/>
    <n v="0.41"/>
    <n v="0.33983503399999998"/>
    <n v="8"/>
    <n v="7.7070063694267512"/>
  </r>
  <r>
    <x v="39"/>
    <n v="0.41"/>
    <n v="0.33983503399999998"/>
    <n v="7"/>
    <n v="4.7770700636942669"/>
  </r>
  <r>
    <x v="39"/>
    <n v="0.41"/>
    <n v="0.33983503399999998"/>
    <n v="7"/>
    <n v="7.3248407643312099"/>
  </r>
  <r>
    <x v="39"/>
    <n v="0.41"/>
    <n v="0.33983503399999998"/>
    <n v="7"/>
    <n v="5.8917197452229297"/>
  </r>
  <r>
    <x v="39"/>
    <n v="0.41"/>
    <n v="0.33983503399999998"/>
    <n v="5"/>
    <n v="2.5477707006369426"/>
  </r>
  <r>
    <x v="39"/>
    <n v="0.41"/>
    <n v="0.33983503399999998"/>
    <n v="5"/>
    <n v="2.2292993630573248"/>
  </r>
  <r>
    <x v="39"/>
    <n v="0.41"/>
    <n v="0.33983503399999998"/>
    <n v="4.5"/>
    <n v="2.2292993630573248"/>
  </r>
  <r>
    <x v="39"/>
    <n v="0.41"/>
    <n v="0.33983503399999998"/>
    <n v="4"/>
    <n v="2.7070063694267517"/>
  </r>
  <r>
    <x v="92"/>
    <n v="0.6671667"/>
    <n v="0.66716666700000005"/>
    <n v="3.5"/>
    <n v="2.2611464968152863"/>
  </r>
  <r>
    <x v="80"/>
    <n v="0.83069230800000005"/>
    <n v="0.78683697699999999"/>
    <n v="6"/>
    <n v="8.2802547770700627"/>
  </r>
  <r>
    <x v="36"/>
    <n v="0.39984676499999999"/>
    <n v="0.450333333"/>
    <n v="7"/>
    <n v="9.872611464968152"/>
  </r>
  <r>
    <x v="86"/>
    <n v="0.63"/>
    <n v="0.629222222"/>
    <n v="4.5"/>
    <n v="2.6751592356687897"/>
  </r>
  <r>
    <x v="86"/>
    <n v="0.63"/>
    <n v="0.629222222"/>
    <n v="4.5"/>
    <n v="1.910828025477707"/>
  </r>
  <r>
    <x v="86"/>
    <n v="0.63"/>
    <n v="0.629222222"/>
    <n v="3"/>
    <n v="1.910828025477707"/>
  </r>
  <r>
    <x v="86"/>
    <n v="0.63"/>
    <n v="0.629222222"/>
    <n v="2.2000000000000002"/>
    <n v="1.2738853503184713"/>
  </r>
  <r>
    <x v="93"/>
    <n v="0.62922219999999995"/>
    <n v="0.629222222"/>
    <n v="1.6"/>
    <n v="1.2738853503184713"/>
  </r>
  <r>
    <x v="93"/>
    <n v="0.62922219999999995"/>
    <n v="0.629222222"/>
    <n v="1.5"/>
    <n v="1.592356687898089"/>
  </r>
  <r>
    <x v="79"/>
    <n v="0.84088890000000005"/>
    <n v="0.84088888900000003"/>
    <n v="10"/>
    <n v="10.764331210191081"/>
  </r>
  <r>
    <x v="79"/>
    <n v="0.84088890000000005"/>
    <n v="0.84088888900000003"/>
    <n v="10"/>
    <n v="16.560509554140125"/>
  </r>
  <r>
    <x v="89"/>
    <n v="0.65"/>
    <n v="0.65"/>
    <n v="10"/>
    <n v="6.7515923566878975"/>
  </r>
  <r>
    <x v="89"/>
    <n v="0.65"/>
    <n v="0.65"/>
    <n v="9"/>
    <n v="6.114649681528662"/>
  </r>
  <r>
    <x v="89"/>
    <n v="0.65"/>
    <n v="0.65"/>
    <n v="8"/>
    <n v="10.254777070063694"/>
  </r>
  <r>
    <x v="89"/>
    <n v="0.65"/>
    <n v="0.65"/>
    <n v="8"/>
    <n v="14.840764331210192"/>
  </r>
  <r>
    <x v="89"/>
    <n v="0.65"/>
    <n v="0.65"/>
    <n v="7.5"/>
    <n v="20.700636942675157"/>
  </r>
  <r>
    <x v="89"/>
    <n v="0.65"/>
    <n v="0.65"/>
    <n v="7"/>
    <n v="16.082802547770701"/>
  </r>
  <r>
    <x v="89"/>
    <n v="0.65"/>
    <n v="0.65"/>
    <n v="7"/>
    <n v="5.2547770700636942"/>
  </r>
  <r>
    <x v="89"/>
    <n v="0.65"/>
    <n v="0.65"/>
    <n v="7"/>
    <n v="7.0063694267515917"/>
  </r>
  <r>
    <x v="89"/>
    <n v="0.65"/>
    <n v="0.65"/>
    <n v="7"/>
    <n v="11.783439490445859"/>
  </r>
  <r>
    <x v="89"/>
    <n v="0.65"/>
    <n v="0.65"/>
    <n v="5.5"/>
    <n v="3.1847133757961781"/>
  </r>
  <r>
    <x v="89"/>
    <n v="0.65"/>
    <n v="0.65"/>
    <n v="5"/>
    <n v="4.2993630573248405"/>
  </r>
  <r>
    <x v="89"/>
    <n v="0.65"/>
    <n v="0.65"/>
    <n v="4"/>
    <n v="2.2292993630573248"/>
  </r>
  <r>
    <x v="94"/>
    <n v="0.56572270000000002"/>
    <n v="0.61247410899999999"/>
    <n v="3"/>
    <n v="1.910828025477707"/>
  </r>
  <r>
    <x v="9"/>
    <n v="0.43836446099999998"/>
    <n v="0.58666666700000003"/>
    <n v="4.5"/>
    <n v="3.2484076433121016"/>
  </r>
  <r>
    <x v="9"/>
    <n v="0.43836446099999998"/>
    <n v="0.58666666700000003"/>
    <n v="4.5"/>
    <n v="2.7070063694267517"/>
  </r>
  <r>
    <x v="9"/>
    <n v="0.43836446099999998"/>
    <n v="0.58666666700000003"/>
    <n v="3.6"/>
    <n v="1.7834394904458597"/>
  </r>
  <r>
    <x v="9"/>
    <n v="0.43836446099999998"/>
    <n v="0.58666666700000003"/>
    <n v="3.4"/>
    <n v="3.4713375796178343"/>
  </r>
  <r>
    <x v="39"/>
    <n v="0.41"/>
    <n v="0.33983503399999998"/>
    <n v="8"/>
    <n v="7.6751592356687901"/>
  </r>
  <r>
    <x v="64"/>
    <n v="0.6"/>
    <n v="0.51040266700000003"/>
    <n v="7.5"/>
    <n v="23.089171974522291"/>
  </r>
  <r>
    <x v="21"/>
    <n v="0.39790071399999999"/>
    <n v="0.50565277799999997"/>
    <n v="6.3"/>
    <n v="9.3949044585987256"/>
  </r>
  <r>
    <x v="21"/>
    <n v="0.39790071399999999"/>
    <n v="0.50565277799999997"/>
    <n v="5.5"/>
    <n v="8.4713375796178347"/>
  </r>
  <r>
    <x v="46"/>
    <n v="0.55560299999999996"/>
    <n v="0.55961111100000005"/>
    <n v="6.5"/>
    <n v="9.0764331210191074"/>
  </r>
  <r>
    <x v="46"/>
    <n v="0.55560299999999996"/>
    <n v="0.55961111100000005"/>
    <n v="3.5"/>
    <n v="4.936305732484076"/>
  </r>
  <r>
    <x v="24"/>
    <n v="0.56193137999999998"/>
    <n v="0.57808694400000005"/>
    <n v="6"/>
    <n v="3.9490445859872612"/>
  </r>
  <r>
    <x v="24"/>
    <n v="0.56193137999999998"/>
    <n v="0.57808694400000005"/>
    <n v="5.5"/>
    <n v="21.496815286624201"/>
  </r>
  <r>
    <x v="86"/>
    <n v="0.63"/>
    <n v="0.629222222"/>
    <n v="2.2000000000000002"/>
    <n v="4.5859872611464967"/>
  </r>
  <r>
    <x v="86"/>
    <n v="0.63"/>
    <n v="0.629222222"/>
    <n v="1.3"/>
    <n v="1.1146496815286624"/>
  </r>
  <r>
    <x v="37"/>
    <n v="0.61"/>
    <n v="0.84088888900000003"/>
    <n v="6.5"/>
    <n v="53.025477707006367"/>
  </r>
  <r>
    <x v="79"/>
    <n v="0.84088890000000005"/>
    <n v="0.84088888900000003"/>
    <n v="10"/>
    <n v="33.312101910828019"/>
  </r>
  <r>
    <x v="79"/>
    <n v="0.84088890000000005"/>
    <n v="0.84088888900000003"/>
    <n v="9"/>
    <n v="5.5732484076433115"/>
  </r>
  <r>
    <x v="79"/>
    <n v="0.84088890000000005"/>
    <n v="0.84088888900000003"/>
    <n v="9"/>
    <n v="13.248407643312103"/>
  </r>
  <r>
    <x v="95"/>
    <n v="0.78713326400000005"/>
    <n v="0.8155"/>
    <n v="3.5"/>
    <n v="6.6878980891719744"/>
  </r>
  <r>
    <x v="68"/>
    <n v="0.56023871300000005"/>
    <n v="0.74103703700000001"/>
    <n v="7"/>
    <n v="14.29936305732484"/>
  </r>
  <r>
    <x v="49"/>
    <n v="0.86"/>
    <n v="0.65666666699999998"/>
    <n v="7"/>
    <n v="9.2356687898089174"/>
  </r>
  <r>
    <x v="49"/>
    <n v="0.86"/>
    <n v="0.65666666699999998"/>
    <n v="6"/>
    <n v="6.8471337579617835"/>
  </r>
  <r>
    <x v="49"/>
    <n v="0.86"/>
    <n v="0.65666666699999998"/>
    <n v="5"/>
    <n v="7.1656050955414008"/>
  </r>
  <r>
    <x v="49"/>
    <n v="0.86"/>
    <n v="0.65666666699999998"/>
    <n v="4.5"/>
    <n v="9.2356687898089174"/>
  </r>
  <r>
    <x v="12"/>
    <n v="0.80908761900000004"/>
    <n v="0.87473809499999999"/>
    <n v="8"/>
    <n v="16.560509554140125"/>
  </r>
  <r>
    <x v="39"/>
    <n v="0.41"/>
    <n v="0.33983503399999998"/>
    <n v="8"/>
    <n v="15.286624203821656"/>
  </r>
  <r>
    <x v="4"/>
    <n v="0.708787469"/>
    <n v="0.80167708299999996"/>
    <n v="2"/>
    <n v="4.0999999999999996"/>
  </r>
  <r>
    <x v="86"/>
    <n v="0.63"/>
    <n v="0.629222222"/>
    <n v="2.6"/>
    <n v="2.3885350318471334"/>
  </r>
  <r>
    <x v="86"/>
    <n v="0.63"/>
    <n v="0.629222222"/>
    <n v="2.2000000000000002"/>
    <n v="1.910828025477707"/>
  </r>
  <r>
    <x v="86"/>
    <n v="0.63"/>
    <n v="0.629222222"/>
    <n v="1.45"/>
    <n v="0.46178343949044581"/>
  </r>
  <r>
    <x v="86"/>
    <n v="0.63"/>
    <n v="0.629222222"/>
    <n v="2.2000000000000002"/>
    <n v="1.592356687898089"/>
  </r>
  <r>
    <x v="23"/>
    <n v="0.590536375"/>
    <n v="0.61247410899999999"/>
    <n v="9"/>
    <n v="43.630573248407643"/>
  </r>
  <r>
    <x v="9"/>
    <n v="0.43836446099999998"/>
    <n v="0.58666666700000003"/>
    <n v="4.5"/>
    <n v="3.5031847133757958"/>
  </r>
  <r>
    <x v="9"/>
    <n v="0.43836446099999998"/>
    <n v="0.58666666700000003"/>
    <n v="1.8"/>
    <n v="1.1146496815286624"/>
  </r>
  <r>
    <x v="83"/>
    <n v="0.41185709999999998"/>
    <n v="0.41185714299999998"/>
    <n v="6"/>
    <n v="37.484076433121011"/>
  </r>
  <r>
    <x v="49"/>
    <n v="0.86"/>
    <n v="0.65666666699999998"/>
    <n v="7"/>
    <n v="10.445859872611464"/>
  </r>
  <r>
    <x v="85"/>
    <n v="0.57550000000000001"/>
    <n v="0.57550000000000001"/>
    <n v="1.9"/>
    <n v="1.8789808917197452"/>
  </r>
  <r>
    <x v="85"/>
    <n v="0.57550000000000001"/>
    <n v="0.57550000000000001"/>
    <n v="1.8"/>
    <n v="1.4649681528662419"/>
  </r>
  <r>
    <x v="85"/>
    <n v="0.57550000000000001"/>
    <n v="0.57550000000000001"/>
    <n v="2.5"/>
    <n v="1.910828025477707"/>
  </r>
  <r>
    <x v="39"/>
    <n v="0.41"/>
    <n v="0.33983503399999998"/>
    <n v="7"/>
    <n v="12.929936305732484"/>
  </r>
  <r>
    <x v="39"/>
    <n v="0.41"/>
    <n v="0.33983503399999998"/>
    <n v="2"/>
    <n v="2.0382165605095541"/>
  </r>
  <r>
    <x v="39"/>
    <n v="0.41"/>
    <n v="0.33983503399999998"/>
    <n v="7"/>
    <n v="6.0509554140127388"/>
  </r>
  <r>
    <x v="39"/>
    <n v="0.41"/>
    <n v="0.33983503399999998"/>
    <n v="5.5"/>
    <n v="2.8025477707006372"/>
  </r>
  <r>
    <x v="1"/>
    <n v="0.766138345"/>
    <n v="0.90500000000000003"/>
    <n v="2.7"/>
    <n v="12.197452229299362"/>
  </r>
  <r>
    <x v="92"/>
    <n v="0.6671667"/>
    <n v="0.66716666700000005"/>
    <n v="1.75"/>
    <n v="3.9808917197452227"/>
  </r>
  <r>
    <x v="80"/>
    <n v="0.83069230800000005"/>
    <n v="0.78683697699999999"/>
    <n v="4.7"/>
    <n v="4.7133757961783438"/>
  </r>
  <r>
    <x v="46"/>
    <n v="0.55560299999999996"/>
    <n v="0.55961111100000005"/>
    <n v="2"/>
    <n v="3.2165605095541401"/>
  </r>
  <r>
    <x v="24"/>
    <n v="0.56193137999999998"/>
    <n v="0.57808694400000005"/>
    <n v="7.5"/>
    <n v="10.796178343949043"/>
  </r>
  <r>
    <x v="24"/>
    <n v="0.56193137999999998"/>
    <n v="0.57808694400000005"/>
    <n v="6.8"/>
    <n v="9.7452229299363058"/>
  </r>
  <r>
    <x v="24"/>
    <n v="0.56193137999999998"/>
    <n v="0.57808694400000005"/>
    <n v="2.8"/>
    <n v="4.4585987261146496"/>
  </r>
  <r>
    <x v="24"/>
    <n v="0.56193137999999998"/>
    <n v="0.57808694400000005"/>
    <n v="2.5"/>
    <n v="2.2292993630573248"/>
  </r>
  <r>
    <x v="86"/>
    <n v="0.63"/>
    <n v="0.629222222"/>
    <n v="1.8"/>
    <n v="1.2738853503184713"/>
  </r>
  <r>
    <x v="86"/>
    <n v="0.63"/>
    <n v="0.629222222"/>
    <n v="1.6"/>
    <n v="1.2738853503184713"/>
  </r>
  <r>
    <x v="93"/>
    <n v="0.62922219999999995"/>
    <n v="0.629222222"/>
    <n v="1.5"/>
    <n v="1.592356687898089"/>
  </r>
  <r>
    <x v="93"/>
    <n v="0.62922219999999995"/>
    <n v="0.629222222"/>
    <n v="1.4"/>
    <n v="1.1146496815286624"/>
  </r>
  <r>
    <x v="93"/>
    <n v="0.62922219999999995"/>
    <n v="0.629222222"/>
    <n v="1.4"/>
    <n v="1.2738853503184713"/>
  </r>
  <r>
    <x v="93"/>
    <n v="0.62922219999999995"/>
    <n v="0.629222222"/>
    <n v="1.6"/>
    <n v="1.8471337579617833"/>
  </r>
  <r>
    <x v="93"/>
    <n v="0.62922219999999995"/>
    <n v="0.629222222"/>
    <n v="1.5"/>
    <n v="1.592356687898089"/>
  </r>
  <r>
    <x v="79"/>
    <n v="0.84088890000000005"/>
    <n v="0.84088888900000003"/>
    <n v="9.5"/>
    <n v="14.012738853503183"/>
  </r>
  <r>
    <x v="79"/>
    <n v="0.84088890000000005"/>
    <n v="0.84088888900000003"/>
    <n v="9"/>
    <n v="22.547770700636946"/>
  </r>
  <r>
    <x v="96"/>
    <n v="0.685322871"/>
    <n v="0.8155"/>
    <n v="6.5"/>
    <n v="3.3439490445859872"/>
  </r>
  <r>
    <x v="96"/>
    <n v="0.685322871"/>
    <n v="0.8155"/>
    <n v="1.5"/>
    <n v="9.6815286624203818"/>
  </r>
  <r>
    <x v="96"/>
    <n v="0.685322871"/>
    <n v="0.8155"/>
    <n v="4"/>
    <n v="1.2738853503184713"/>
  </r>
  <r>
    <x v="68"/>
    <n v="0.56023871300000005"/>
    <n v="0.74103703700000001"/>
    <n v="6.5"/>
    <n v="0.95541401273885351"/>
  </r>
  <r>
    <x v="68"/>
    <n v="0.56023871300000005"/>
    <n v="0.74103703700000001"/>
    <n v="3"/>
    <n v="13.726114649681529"/>
  </r>
  <r>
    <x v="97"/>
    <n v="0.56572270000000002"/>
    <n v="0.61247410899999999"/>
    <n v="0.77"/>
    <n v="2.6751592356687897"/>
  </r>
  <r>
    <x v="69"/>
    <n v="0.432770245"/>
    <n v="0.61247410899999999"/>
    <n v="7"/>
    <n v="4.6178343949044587"/>
  </r>
  <r>
    <x v="28"/>
    <n v="1.1200000000000001"/>
    <n v="0.85527777800000004"/>
    <n v="2.9"/>
    <n v="2.1974522292993632"/>
  </r>
  <r>
    <x v="29"/>
    <n v="0.40238543599999999"/>
    <n v="0.40883333300000002"/>
    <n v="11"/>
    <n v="17.866242038216559"/>
  </r>
  <r>
    <x v="10"/>
    <n v="0.76500000000000001"/>
    <n v="0.61247410899999999"/>
    <n v="8"/>
    <n v="6.8471337579617835"/>
  </r>
  <r>
    <x v="49"/>
    <n v="0.86"/>
    <n v="0.65666666699999998"/>
    <n v="6"/>
    <n v="6.3694267515923562"/>
  </r>
  <r>
    <x v="85"/>
    <n v="0.57550000000000001"/>
    <n v="0.57550000000000001"/>
    <n v="4"/>
    <n v="1.4331210191082802"/>
  </r>
  <r>
    <x v="39"/>
    <n v="0.41"/>
    <n v="0.33983503399999998"/>
    <n v="7"/>
    <n v="7.8025477707006363"/>
  </r>
  <r>
    <x v="39"/>
    <n v="0.41"/>
    <n v="0.33983503399999998"/>
    <n v="6"/>
    <n v="4.4585987261146496"/>
  </r>
  <r>
    <x v="45"/>
    <n v="0.31264018999999998"/>
    <n v="0.356821212"/>
    <n v="4.5"/>
    <n v="3.8216560509554141"/>
  </r>
  <r>
    <x v="46"/>
    <n v="0.55560299999999996"/>
    <n v="0.55961111100000005"/>
    <n v="4"/>
    <n v="3.0254777070063694"/>
  </r>
  <r>
    <x v="37"/>
    <n v="0.61"/>
    <n v="0.84088888900000003"/>
    <n v="7"/>
    <n v="54.140127388535028"/>
  </r>
  <r>
    <x v="79"/>
    <n v="0.84088890000000005"/>
    <n v="0.84088888900000003"/>
    <n v="10"/>
    <n v="22.770700636942674"/>
  </r>
  <r>
    <x v="79"/>
    <n v="0.84088890000000005"/>
    <n v="0.84088888900000003"/>
    <n v="9"/>
    <n v="17.515923566878982"/>
  </r>
  <r>
    <x v="29"/>
    <n v="0.40238543599999999"/>
    <n v="0.40883333300000002"/>
    <n v="8"/>
    <n v="14.171974522292993"/>
  </r>
  <r>
    <x v="30"/>
    <n v="0.57917600000000002"/>
    <n v="0.60285714300000004"/>
    <n v="10"/>
    <n v="60.35031847133758"/>
  </r>
  <r>
    <x v="83"/>
    <n v="0.41185709999999998"/>
    <n v="0.41185714299999998"/>
    <n v="3.5"/>
    <n v="5.7324840764331206"/>
  </r>
  <r>
    <x v="85"/>
    <n v="0.57550000000000001"/>
    <n v="0.57550000000000001"/>
    <n v="2.6"/>
    <n v="3.6624203821656049"/>
  </r>
  <r>
    <x v="39"/>
    <n v="0.41"/>
    <n v="0.33983503399999998"/>
    <n v="9.5"/>
    <n v="5.5732484076433115"/>
  </r>
  <r>
    <x v="88"/>
    <n v="0.52800000000000002"/>
    <n v="0.51040266700000003"/>
    <n v="10"/>
    <n v="26.624203821656049"/>
  </r>
  <r>
    <x v="46"/>
    <n v="0.55560299999999996"/>
    <n v="0.55961111100000005"/>
    <n v="7"/>
    <n v="7.484076433121019"/>
  </r>
  <r>
    <x v="46"/>
    <n v="0.55560299999999996"/>
    <n v="0.55961111100000005"/>
    <n v="7.5"/>
    <n v="18.789808917197451"/>
  </r>
  <r>
    <x v="36"/>
    <n v="0.39984676499999999"/>
    <n v="0.450333333"/>
    <n v="4.5"/>
    <n v="13.057324840764331"/>
  </r>
  <r>
    <x v="50"/>
    <n v="0.43538739399999998"/>
    <n v="0.568333333"/>
    <n v="6.5"/>
    <n v="9.5541401273885338"/>
  </r>
  <r>
    <x v="16"/>
    <n v="0.63400000000000001"/>
    <n v="0.73247777800000002"/>
    <n v="8"/>
    <n v="16.401273885350317"/>
  </r>
  <r>
    <x v="37"/>
    <n v="0.61"/>
    <n v="0.84088888900000003"/>
    <n v="5"/>
    <n v="35.031847133757964"/>
  </r>
  <r>
    <x v="95"/>
    <n v="0.78713326400000005"/>
    <n v="0.8155"/>
    <n v="4.5"/>
    <n v="2.6114649681528661"/>
  </r>
  <r>
    <x v="95"/>
    <n v="0.78713326400000005"/>
    <n v="0.8155"/>
    <n v="3.5"/>
    <n v="3.0254777070063694"/>
  </r>
  <r>
    <x v="68"/>
    <n v="0.56023871300000005"/>
    <n v="0.74103703700000001"/>
    <n v="2.7"/>
    <n v="2.3885350318471334"/>
  </r>
  <r>
    <x v="28"/>
    <n v="1.1200000000000001"/>
    <n v="0.85527777800000004"/>
    <n v="2.2000000000000002"/>
    <n v="2.0700636942675157"/>
  </r>
  <r>
    <x v="9"/>
    <n v="0.43836446099999998"/>
    <n v="0.58666666700000003"/>
    <n v="5.5"/>
    <n v="9.4585987261146496"/>
  </r>
  <r>
    <x v="29"/>
    <n v="0.40238543599999999"/>
    <n v="0.40883333300000002"/>
    <n v="7"/>
    <n v="15.3821656050955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314">
  <r>
    <x v="0"/>
    <x v="0"/>
    <n v="0.36"/>
    <n v="0.35"/>
    <n v="4"/>
    <n v="3.9808917197452227"/>
    <n v="12.446596518200664"/>
  </r>
  <r>
    <x v="0"/>
    <x v="0"/>
    <n v="0.36"/>
    <n v="0.35"/>
    <n v="4"/>
    <n v="3.6624203821656049"/>
    <n v="10.534799293005044"/>
  </r>
  <r>
    <x v="0"/>
    <x v="0"/>
    <n v="0.36"/>
    <n v="0.35"/>
    <n v="4"/>
    <n v="3.9808917197452227"/>
    <n v="12.446596518200664"/>
  </r>
  <r>
    <x v="0"/>
    <x v="0"/>
    <n v="0.36"/>
    <n v="0.35"/>
    <n v="2.5"/>
    <n v="2.2292993630573248"/>
    <n v="3.9032526681077284"/>
  </r>
  <r>
    <x v="0"/>
    <x v="1"/>
    <n v="0.766138345"/>
    <n v="0.90500000000000003"/>
    <n v="7"/>
    <n v="5.5732484076433115"/>
    <n v="24.395329175673304"/>
  </r>
  <r>
    <x v="0"/>
    <x v="1"/>
    <n v="0.766138345"/>
    <n v="0.90500000000000003"/>
    <n v="6"/>
    <n v="11.942675159235668"/>
    <n v="112.01936866380598"/>
  </r>
  <r>
    <x v="0"/>
    <x v="2"/>
    <n v="0.47982689899999997"/>
    <n v="0.51"/>
    <n v="4"/>
    <n v="1.910828025477707"/>
    <n v="2.8676958377934336"/>
  </r>
  <r>
    <x v="0"/>
    <x v="2"/>
    <n v="0.47982689899999997"/>
    <n v="0.51"/>
    <n v="3"/>
    <n v="1.7515923566878979"/>
    <n v="2.4096610859236485"/>
  </r>
  <r>
    <x v="0"/>
    <x v="3"/>
    <n v="0.89361000000000002"/>
    <n v="0.61247410899999999"/>
    <n v="4"/>
    <n v="4.4585987261146496"/>
    <n v="15.613010672430914"/>
  </r>
  <r>
    <x v="0"/>
    <x v="4"/>
    <n v="0.708787469"/>
    <n v="0.80167708299999996"/>
    <n v="9"/>
    <n v="9.3949044585987256"/>
    <n v="69.322563967770421"/>
  </r>
  <r>
    <x v="0"/>
    <x v="4"/>
    <n v="0.708787469"/>
    <n v="0.80167708299999996"/>
    <n v="9"/>
    <n v="12.898089171974522"/>
    <n v="130.65939160946331"/>
  </r>
  <r>
    <x v="0"/>
    <x v="4"/>
    <n v="0.708787469"/>
    <n v="0.80167708299999996"/>
    <n v="8"/>
    <n v="4.2993630573248405"/>
    <n v="14.517710178829255"/>
  </r>
  <r>
    <x v="0"/>
    <x v="4"/>
    <n v="0.708787469"/>
    <n v="0.80167708299999996"/>
    <n v="7"/>
    <n v="4.7770700636942669"/>
    <n v="17.923098986208956"/>
  </r>
  <r>
    <x v="0"/>
    <x v="5"/>
    <n v="0.45255480399999998"/>
    <n v="0.57808694400000005"/>
    <n v="9"/>
    <n v="23.544585987261144"/>
    <n v="435.38353140519177"/>
  </r>
  <r>
    <x v="0"/>
    <x v="5"/>
    <n v="0.45255480399999998"/>
    <n v="0.57808694400000005"/>
    <n v="9"/>
    <n v="47.611464968152866"/>
    <n v="1780.3810805178525"/>
  </r>
  <r>
    <x v="0"/>
    <x v="5"/>
    <n v="0.45255480399999998"/>
    <n v="0.57808694400000005"/>
    <n v="8"/>
    <n v="13.535031847133757"/>
    <n v="143.88265575039969"/>
  </r>
  <r>
    <x v="0"/>
    <x v="5"/>
    <n v="0.45255480399999998"/>
    <n v="0.57808694400000005"/>
    <n v="8"/>
    <n v="49.044585987261144"/>
    <n v="1889.1742913641408"/>
  </r>
  <r>
    <x v="0"/>
    <x v="6"/>
    <n v="0.374"/>
    <n v="0.47945833300000001"/>
    <n v="6"/>
    <n v="4.936305732484076"/>
    <n v="19.137886806385342"/>
  </r>
  <r>
    <x v="0"/>
    <x v="6"/>
    <n v="0.374"/>
    <n v="0.47945833300000001"/>
    <n v="5"/>
    <n v="3.6624203821656049"/>
    <n v="10.534799293005044"/>
  </r>
  <r>
    <x v="0"/>
    <x v="7"/>
    <n v="0.74387999999999999"/>
    <n v="0.59130000000000005"/>
    <n v="6"/>
    <n v="3.8216560509554141"/>
    <n v="11.470783351173734"/>
  </r>
  <r>
    <x v="0"/>
    <x v="7"/>
    <n v="0.74387999999999999"/>
    <n v="0.59130000000000005"/>
    <n v="10.1"/>
    <n v="18.312101910828027"/>
    <n v="263.3699823251261"/>
  </r>
  <r>
    <x v="0"/>
    <x v="8"/>
    <n v="0.66608171000000005"/>
    <n v="0.68661666700000001"/>
    <n v="5"/>
    <n v="2.7070063694267517"/>
    <n v="5.7553062300159885"/>
  </r>
  <r>
    <x v="0"/>
    <x v="8"/>
    <n v="0.66608171000000005"/>
    <n v="0.68661666700000001"/>
    <n v="5"/>
    <n v="3.5031847133757958"/>
    <n v="9.6386443436945939"/>
  </r>
  <r>
    <x v="0"/>
    <x v="8"/>
    <n v="0.66608171000000005"/>
    <n v="0.68661666700000001"/>
    <n v="5"/>
    <n v="6.2101910828025479"/>
    <n v="30.290037286693146"/>
  </r>
  <r>
    <x v="0"/>
    <x v="8"/>
    <n v="0.66608171000000005"/>
    <n v="0.68661666700000001"/>
    <n v="4"/>
    <n v="3.3439490445859872"/>
    <n v="8.7823185032423901"/>
  </r>
  <r>
    <x v="0"/>
    <x v="9"/>
    <n v="0.43836446099999998"/>
    <n v="0.58666666700000003"/>
    <n v="7"/>
    <n v="19.936305732484072"/>
    <n v="312.16143725864976"/>
  </r>
  <r>
    <x v="0"/>
    <x v="9"/>
    <n v="0.43836446099999998"/>
    <n v="0.58666666700000003"/>
    <n v="7"/>
    <n v="6.5286624203821653"/>
    <n v="33.476365995352509"/>
  </r>
  <r>
    <x v="0"/>
    <x v="9"/>
    <n v="0.43836446099999998"/>
    <n v="0.58666666700000003"/>
    <n v="4"/>
    <n v="10.764331210191081"/>
    <n v="91.004734248020256"/>
  </r>
  <r>
    <x v="0"/>
    <x v="10"/>
    <n v="0.76500000000000001"/>
    <n v="0.61247410899999999"/>
    <n v="10"/>
    <n v="21.815286624203821"/>
    <n v="373.77627208017333"/>
  </r>
  <r>
    <x v="0"/>
    <x v="10"/>
    <n v="0.76500000000000001"/>
    <n v="0.61247410899999999"/>
    <n v="10"/>
    <n v="21.592356687898086"/>
    <n v="366.17608152784345"/>
  </r>
  <r>
    <x v="0"/>
    <x v="10"/>
    <n v="0.76500000000000001"/>
    <n v="0.61247410899999999"/>
    <n v="10"/>
    <n v="27.133757961783438"/>
    <n v="578.24218873266784"/>
  </r>
  <r>
    <x v="0"/>
    <x v="11"/>
    <n v="0.41240947999999999"/>
    <n v="0.52705000000000002"/>
    <n v="9"/>
    <n v="6.2101910828025479"/>
    <n v="30.290037286693146"/>
  </r>
  <r>
    <x v="0"/>
    <x v="11"/>
    <n v="0.41240947999999999"/>
    <n v="0.52705000000000002"/>
    <n v="8.5"/>
    <n v="7.484076433121019"/>
    <n v="43.991250733928432"/>
  </r>
  <r>
    <x v="0"/>
    <x v="11"/>
    <n v="0.41240947999999999"/>
    <n v="0.52705000000000002"/>
    <n v="8.5"/>
    <n v="5.5732484076433115"/>
    <n v="24.395329175673304"/>
  </r>
  <r>
    <x v="0"/>
    <x v="11"/>
    <n v="0.41240947999999999"/>
    <n v="0.52705000000000002"/>
    <n v="4"/>
    <n v="5.8917197452229297"/>
    <n v="27.263025013466741"/>
  </r>
  <r>
    <x v="0"/>
    <x v="11"/>
    <n v="0.41240947999999999"/>
    <n v="0.52705000000000002"/>
    <n v="2.7"/>
    <n v="2.0700636942675157"/>
    <n v="3.3655596985214595"/>
  </r>
  <r>
    <x v="1"/>
    <x v="12"/>
    <n v="0.80908761900000004"/>
    <n v="0.87473809499999999"/>
    <n v="7"/>
    <n v="5.8917197452229297"/>
    <n v="27.263025013466741"/>
  </r>
  <r>
    <x v="1"/>
    <x v="0"/>
    <n v="0.36"/>
    <n v="0.35"/>
    <n v="5"/>
    <n v="5.5095541401273884"/>
    <n v="23.840907980366573"/>
  </r>
  <r>
    <x v="1"/>
    <x v="0"/>
    <n v="0.36"/>
    <n v="0.35"/>
    <n v="2.2999999999999998"/>
    <n v="4.4585987261146496"/>
    <n v="15.613010672430914"/>
  </r>
  <r>
    <x v="1"/>
    <x v="1"/>
    <n v="0.766138345"/>
    <n v="0.90500000000000003"/>
    <n v="7"/>
    <n v="9.0764331210191074"/>
    <n v="64.702387340214344"/>
  </r>
  <r>
    <x v="1"/>
    <x v="1"/>
    <n v="0.766138345"/>
    <n v="0.90500000000000003"/>
    <n v="5.5"/>
    <n v="8.7579617834394909"/>
    <n v="60.241527148091237"/>
  </r>
  <r>
    <x v="1"/>
    <x v="1"/>
    <n v="0.766138345"/>
    <n v="0.90500000000000003"/>
    <n v="5"/>
    <n v="4.936305732484076"/>
    <n v="19.137886806385342"/>
  </r>
  <r>
    <x v="1"/>
    <x v="5"/>
    <n v="0.45255480399999998"/>
    <n v="0.57808694400000005"/>
    <n v="9"/>
    <n v="44.904458598726116"/>
    <n v="1583.6850264214238"/>
  </r>
  <r>
    <x v="1"/>
    <x v="5"/>
    <n v="0.45255480399999998"/>
    <n v="0.57808694400000005"/>
    <n v="8"/>
    <n v="26.273885350318469"/>
    <n v="542.173744332821"/>
  </r>
  <r>
    <x v="1"/>
    <x v="5"/>
    <n v="0.45255480399999998"/>
    <n v="0.57808694400000005"/>
    <n v="7"/>
    <n v="47.133757961783438"/>
    <n v="1744.8336008618714"/>
  </r>
  <r>
    <x v="1"/>
    <x v="7"/>
    <n v="0.74387999999999999"/>
    <n v="0.59130000000000005"/>
    <n v="7"/>
    <n v="6.3694267515923562"/>
    <n v="31.863287086593701"/>
  </r>
  <r>
    <x v="1"/>
    <x v="7"/>
    <n v="0.74387999999999999"/>
    <n v="0.59130000000000005"/>
    <n v="6"/>
    <n v="3.8216560509554141"/>
    <n v="11.470783351173734"/>
  </r>
  <r>
    <x v="1"/>
    <x v="7"/>
    <n v="0.74387999999999999"/>
    <n v="0.59130000000000005"/>
    <n v="5"/>
    <n v="5.0955414012738851"/>
    <n v="20.392503735419968"/>
  </r>
  <r>
    <x v="1"/>
    <x v="7"/>
    <n v="0.74387999999999999"/>
    <n v="0.59130000000000005"/>
    <n v="5"/>
    <n v="3.3757961783439487"/>
    <n v="8.9503973426241696"/>
  </r>
  <r>
    <x v="1"/>
    <x v="13"/>
    <n v="0.50857142899999996"/>
    <n v="0.49666666700000001"/>
    <n v="10"/>
    <n v="6.5286624203821653"/>
    <n v="33.476365995352509"/>
  </r>
  <r>
    <x v="1"/>
    <x v="13"/>
    <n v="0.50857142899999996"/>
    <n v="0.49666666700000001"/>
    <n v="9"/>
    <n v="8.9171974522292992"/>
    <n v="62.452042689723655"/>
  </r>
  <r>
    <x v="1"/>
    <x v="13"/>
    <n v="0.50857142899999996"/>
    <n v="0.49666666700000001"/>
    <n v="9"/>
    <n v="7.1656050955414008"/>
    <n v="40.326972718970154"/>
  </r>
  <r>
    <x v="1"/>
    <x v="14"/>
    <n v="0.48464433800000001"/>
    <n v="0.62688577999999995"/>
    <n v="5"/>
    <n v="2.5477707006369426"/>
    <n v="5.098125933854992"/>
  </r>
  <r>
    <x v="1"/>
    <x v="8"/>
    <n v="0.66608171000000005"/>
    <n v="0.68661666700000001"/>
    <n v="5"/>
    <n v="4.2993630573248405"/>
    <n v="14.517710178829255"/>
  </r>
  <r>
    <x v="1"/>
    <x v="8"/>
    <n v="0.66608171000000005"/>
    <n v="0.68661666700000001"/>
    <n v="3.5"/>
    <n v="2.8025477707006372"/>
    <n v="6.1687323799645428"/>
  </r>
  <r>
    <x v="1"/>
    <x v="9"/>
    <n v="0.43836446099999998"/>
    <n v="0.58666666700000003"/>
    <n v="8"/>
    <n v="3.5031847133757958"/>
    <n v="9.6386443436945939"/>
  </r>
  <r>
    <x v="1"/>
    <x v="9"/>
    <n v="0.43836446099999998"/>
    <n v="0.58666666700000003"/>
    <n v="7"/>
    <n v="14.936305732484076"/>
    <n v="175.21701227135594"/>
  </r>
  <r>
    <x v="1"/>
    <x v="9"/>
    <n v="0.43836446099999998"/>
    <n v="0.58666666700000003"/>
    <n v="6.5"/>
    <n v="15.445859872611464"/>
    <n v="187.37604262360011"/>
  </r>
  <r>
    <x v="1"/>
    <x v="10"/>
    <n v="0.76500000000000001"/>
    <n v="0.61247410899999999"/>
    <n v="8"/>
    <n v="10.19108280254777"/>
    <n v="81.570014941679872"/>
  </r>
  <r>
    <x v="1"/>
    <x v="11"/>
    <n v="0.41240947999999999"/>
    <n v="0.52705000000000002"/>
    <n v="6.5"/>
    <n v="4.7770700636942669"/>
    <n v="17.923098986208956"/>
  </r>
  <r>
    <x v="1"/>
    <x v="11"/>
    <n v="0.41240947999999999"/>
    <n v="0.52705000000000002"/>
    <n v="6"/>
    <n v="4.0764331210191083"/>
    <n v="13.051202390668783"/>
  </r>
  <r>
    <x v="1"/>
    <x v="11"/>
    <n v="0.41240947999999999"/>
    <n v="0.52705000000000002"/>
    <n v="4.5"/>
    <n v="4.3949044585987265"/>
    <n v="15.170110981927266"/>
  </r>
  <r>
    <x v="2"/>
    <x v="0"/>
    <n v="0.36"/>
    <n v="0.35"/>
    <n v="4"/>
    <n v="3.1847133757961781"/>
    <n v="7.9658217716484252"/>
  </r>
  <r>
    <x v="2"/>
    <x v="1"/>
    <n v="0.766138345"/>
    <n v="0.90500000000000003"/>
    <n v="6"/>
    <n v="6.7515923566878975"/>
    <n v="35.801589370496679"/>
  </r>
  <r>
    <x v="2"/>
    <x v="4"/>
    <n v="0.708787469"/>
    <n v="0.80167708299999996"/>
    <n v="7"/>
    <n v="8.9171974522292992"/>
    <n v="62.452042689723655"/>
  </r>
  <r>
    <x v="2"/>
    <x v="5"/>
    <n v="0.45255480399999998"/>
    <n v="0.57808694400000005"/>
    <n v="8"/>
    <n v="30.573248407643312"/>
    <n v="734.13013447511901"/>
  </r>
  <r>
    <x v="2"/>
    <x v="5"/>
    <n v="0.45255480399999998"/>
    <n v="0.57808694400000005"/>
    <n v="7"/>
    <n v="25.796178343949045"/>
    <n v="522.63756643785325"/>
  </r>
  <r>
    <x v="2"/>
    <x v="5"/>
    <n v="0.45255480399999998"/>
    <n v="0.57808694400000005"/>
    <n v="5"/>
    <n v="5.7324840764331206"/>
    <n v="25.809262540140899"/>
  </r>
  <r>
    <x v="2"/>
    <x v="15"/>
    <n v="0.372"/>
    <n v="0.73247777800000002"/>
    <n v="6"/>
    <n v="4.0445859872611463"/>
    <n v="12.848073935491747"/>
  </r>
  <r>
    <x v="2"/>
    <x v="16"/>
    <n v="0.63400000000000001"/>
    <n v="0.73247777800000002"/>
    <n v="6"/>
    <n v="4.3949044585987265"/>
    <n v="15.170110981927266"/>
  </r>
  <r>
    <x v="2"/>
    <x v="16"/>
    <n v="0.63400000000000001"/>
    <n v="0.73247777800000002"/>
    <n v="5"/>
    <n v="5.8280254777070066"/>
    <n v="26.676740531073417"/>
  </r>
  <r>
    <x v="2"/>
    <x v="7"/>
    <n v="0.74387999999999999"/>
    <n v="0.59130000000000005"/>
    <n v="9"/>
    <n v="9.872611464968152"/>
    <n v="76.55154722554137"/>
  </r>
  <r>
    <x v="2"/>
    <x v="7"/>
    <n v="0.74387999999999999"/>
    <n v="0.59130000000000005"/>
    <n v="8"/>
    <n v="5.7324840764331206"/>
    <n v="25.809262540140899"/>
  </r>
  <r>
    <x v="2"/>
    <x v="7"/>
    <n v="0.74387999999999999"/>
    <n v="0.59130000000000005"/>
    <n v="6"/>
    <n v="9.5541401273885338"/>
    <n v="71.692395944835823"/>
  </r>
  <r>
    <x v="2"/>
    <x v="17"/>
    <n v="0.65716857299999998"/>
    <n v="0.85527777800000004"/>
    <n v="6"/>
    <n v="12.961783439490446"/>
    <n v="131.95304106517904"/>
  </r>
  <r>
    <x v="2"/>
    <x v="14"/>
    <n v="0.48464433800000001"/>
    <n v="0.62688577999999995"/>
    <n v="3.5"/>
    <n v="2.2292993630573248"/>
    <n v="3.9032526681077284"/>
  </r>
  <r>
    <x v="2"/>
    <x v="18"/>
    <n v="0.69835862100000001"/>
    <n v="0.69262500000000005"/>
    <n v="8"/>
    <n v="8.4394904458598727"/>
    <n v="55.939983391401071"/>
  </r>
  <r>
    <x v="2"/>
    <x v="19"/>
    <n v="0.54326798300000001"/>
    <n v="0.61247410899999999"/>
    <n v="8"/>
    <n v="14.968152866242038"/>
    <n v="175.96500293571373"/>
  </r>
  <r>
    <x v="2"/>
    <x v="19"/>
    <n v="0.54326798300000001"/>
    <n v="0.61247410899999999"/>
    <n v="5.5"/>
    <n v="5.2547770700636942"/>
    <n v="21.68694977331284"/>
  </r>
  <r>
    <x v="2"/>
    <x v="9"/>
    <n v="0.43836446099999998"/>
    <n v="0.58666666700000003"/>
    <n v="9"/>
    <n v="10.828025477707007"/>
    <n v="92.084899680255816"/>
  </r>
  <r>
    <x v="2"/>
    <x v="9"/>
    <n v="0.43836446099999998"/>
    <n v="0.58666666700000003"/>
    <n v="8"/>
    <n v="13.152866242038215"/>
    <n v="135.87222537683002"/>
  </r>
  <r>
    <x v="2"/>
    <x v="9"/>
    <n v="0.43836446099999998"/>
    <n v="0.58666666700000003"/>
    <n v="8"/>
    <n v="13.343949044585989"/>
    <n v="139.84876360523697"/>
  </r>
  <r>
    <x v="2"/>
    <x v="9"/>
    <n v="0.43836446099999998"/>
    <n v="0.58666666700000003"/>
    <n v="6.5"/>
    <n v="39.36305732484076"/>
    <n v="1216.9354057260214"/>
  </r>
  <r>
    <x v="2"/>
    <x v="9"/>
    <n v="0.43836446099999998"/>
    <n v="0.58666666700000003"/>
    <n v="6"/>
    <n v="10.987261146496815"/>
    <n v="94.813193637045387"/>
  </r>
  <r>
    <x v="2"/>
    <x v="10"/>
    <n v="0.76500000000000001"/>
    <n v="0.61247410899999999"/>
    <n v="9"/>
    <n v="28.980891719745223"/>
    <n v="659.64970091020621"/>
  </r>
  <r>
    <x v="2"/>
    <x v="10"/>
    <n v="0.76500000000000001"/>
    <n v="0.61247410899999999"/>
    <n v="10.4"/>
    <n v="13.503184713375795"/>
    <n v="143.20635748198671"/>
  </r>
  <r>
    <x v="2"/>
    <x v="10"/>
    <n v="0.76500000000000001"/>
    <n v="0.61247410899999999"/>
    <n v="9.1"/>
    <n v="14.872611464968154"/>
    <n v="173.72581043570338"/>
  </r>
  <r>
    <x v="2"/>
    <x v="11"/>
    <n v="0.41240947999999999"/>
    <n v="0.52705000000000002"/>
    <n v="6"/>
    <n v="4.3949044585987265"/>
    <n v="15.170110981927266"/>
  </r>
  <r>
    <x v="3"/>
    <x v="0"/>
    <n v="0.36"/>
    <n v="0.35"/>
    <n v="4.5"/>
    <n v="16.464968152866241"/>
    <n v="212.91765355221364"/>
  </r>
  <r>
    <x v="3"/>
    <x v="0"/>
    <n v="0.36"/>
    <n v="0.35"/>
    <n v="4"/>
    <n v="4.4585987261146496"/>
    <n v="15.613010672430914"/>
  </r>
  <r>
    <x v="3"/>
    <x v="0"/>
    <n v="0.36"/>
    <n v="0.35"/>
    <n v="3.2"/>
    <n v="5.4140127388535033"/>
    <n v="23.021224920063954"/>
  </r>
  <r>
    <x v="3"/>
    <x v="20"/>
    <n v="0.86599999999999999"/>
    <n v="0.73582777799999999"/>
    <n v="9"/>
    <n v="17.038216560509554"/>
    <n v="228.0017336590071"/>
  </r>
  <r>
    <x v="3"/>
    <x v="21"/>
    <n v="0.39790071399999999"/>
    <n v="0.50565277799999997"/>
    <n v="7"/>
    <n v="11.305732484076433"/>
    <n v="100.3892688771993"/>
  </r>
  <r>
    <x v="3"/>
    <x v="5"/>
    <n v="0.45255480399999998"/>
    <n v="0.57808694400000005"/>
    <n v="8"/>
    <n v="36.783439490445858"/>
    <n v="1062.6605388923292"/>
  </r>
  <r>
    <x v="3"/>
    <x v="5"/>
    <n v="0.45255480399999998"/>
    <n v="0.57808694400000005"/>
    <n v="6.1"/>
    <n v="48.152866242038208"/>
    <n v="1821.1015648323414"/>
  </r>
  <r>
    <x v="3"/>
    <x v="22"/>
    <n v="1082380952"/>
    <n v="0.61247410899999999"/>
    <n v="8"/>
    <n v="15.764331210191083"/>
    <n v="195.18254795981557"/>
  </r>
  <r>
    <x v="3"/>
    <x v="15"/>
    <n v="0.372"/>
    <n v="0.73247777800000002"/>
    <n v="6"/>
    <n v="9.3949044585987256"/>
    <n v="69.322563967770421"/>
  </r>
  <r>
    <x v="3"/>
    <x v="15"/>
    <n v="0.372"/>
    <n v="0.73247777800000002"/>
    <n v="5.5"/>
    <n v="10.668789808917197"/>
    <n v="89.396434832324445"/>
  </r>
  <r>
    <x v="3"/>
    <x v="6"/>
    <n v="0.374"/>
    <n v="0.47945833300000001"/>
    <n v="5"/>
    <n v="4.1401273885350314"/>
    <n v="13.462238794085838"/>
  </r>
  <r>
    <x v="3"/>
    <x v="7"/>
    <n v="0.74387999999999999"/>
    <n v="0.59130000000000005"/>
    <n v="12"/>
    <n v="16.242038216560509"/>
    <n v="207.19102428057556"/>
  </r>
  <r>
    <x v="3"/>
    <x v="7"/>
    <n v="0.74387999999999999"/>
    <n v="0.59130000000000005"/>
    <n v="9"/>
    <n v="9.4585987261146496"/>
    <n v="70.26571726553361"/>
  </r>
  <r>
    <x v="3"/>
    <x v="7"/>
    <n v="0.74387999999999999"/>
    <n v="0.59130000000000005"/>
    <n v="7"/>
    <n v="10.350318471337578"/>
    <n v="84.138992463036487"/>
  </r>
  <r>
    <x v="3"/>
    <x v="23"/>
    <n v="0.590536375"/>
    <n v="0.61247410899999999"/>
    <n v="9"/>
    <n v="27.866242038216559"/>
    <n v="609.88322939183263"/>
  </r>
  <r>
    <x v="3"/>
    <x v="23"/>
    <n v="0.590536375"/>
    <n v="0.61247410899999999"/>
    <n v="8.5"/>
    <n v="56.050955414012734"/>
    <n v="2467.492951985816"/>
  </r>
  <r>
    <x v="3"/>
    <x v="9"/>
    <n v="0.43836446099999998"/>
    <n v="0.58666666700000003"/>
    <n v="6.5"/>
    <n v="29.29936305732484"/>
    <n v="674.2271547523228"/>
  </r>
  <r>
    <x v="3"/>
    <x v="11"/>
    <n v="0.41240947999999999"/>
    <n v="0.52705000000000002"/>
    <n v="8"/>
    <n v="10.987261146496815"/>
    <n v="94.813193637045387"/>
  </r>
  <r>
    <x v="3"/>
    <x v="11"/>
    <n v="0.41240947999999999"/>
    <n v="0.52705000000000002"/>
    <n v="6"/>
    <n v="8.9171974522292992"/>
    <n v="62.452042689723655"/>
  </r>
  <r>
    <x v="4"/>
    <x v="12"/>
    <n v="0.80908761900000004"/>
    <n v="0.87473809499999999"/>
    <n v="10.199999999999999"/>
    <n v="20.063694267515924"/>
    <n v="316.16346611672606"/>
  </r>
  <r>
    <x v="4"/>
    <x v="12"/>
    <n v="0.80908761900000004"/>
    <n v="0.87473809499999999"/>
    <n v="8.6"/>
    <n v="29.490445859872608"/>
    <n v="683.05009894660043"/>
  </r>
  <r>
    <x v="4"/>
    <x v="12"/>
    <n v="0.80908761900000004"/>
    <n v="0.87473809499999999"/>
    <n v="8.1"/>
    <n v="23.789808917197451"/>
    <n v="444.50002409757667"/>
  </r>
  <r>
    <x v="4"/>
    <x v="0"/>
    <n v="0.36"/>
    <n v="0.35"/>
    <n v="5"/>
    <n v="19.044585987261144"/>
    <n v="284.86097288285629"/>
  </r>
  <r>
    <x v="4"/>
    <x v="1"/>
    <n v="0.766138345"/>
    <n v="0.90500000000000003"/>
    <n v="6.5"/>
    <n v="8.598726114649681"/>
    <n v="58.070840715317019"/>
  </r>
  <r>
    <x v="4"/>
    <x v="21"/>
    <n v="0.39790071399999999"/>
    <n v="0.50565277799999997"/>
    <n v="8"/>
    <n v="11.942675159235668"/>
    <n v="112.01936866380598"/>
  </r>
  <r>
    <x v="4"/>
    <x v="21"/>
    <n v="0.39790071399999999"/>
    <n v="0.50565277799999997"/>
    <n v="5.5"/>
    <n v="7.6433121019108281"/>
    <n v="45.883133404694938"/>
  </r>
  <r>
    <x v="4"/>
    <x v="3"/>
    <n v="0.89361000000000002"/>
    <n v="0.61247410899999999"/>
    <n v="6"/>
    <n v="7.6433121019108281"/>
    <n v="45.883133404694938"/>
  </r>
  <r>
    <x v="4"/>
    <x v="3"/>
    <n v="0.89361000000000002"/>
    <n v="0.61247410899999999"/>
    <n v="2.7"/>
    <n v="3.6624203821656049"/>
    <n v="10.534799293005044"/>
  </r>
  <r>
    <x v="4"/>
    <x v="4"/>
    <n v="0.708787469"/>
    <n v="0.80167708299999996"/>
    <n v="8"/>
    <n v="8.598726114649681"/>
    <n v="58.070840715317019"/>
  </r>
  <r>
    <x v="4"/>
    <x v="24"/>
    <n v="0.56193137999999998"/>
    <n v="0.57808694400000005"/>
    <n v="5.5"/>
    <n v="14.490445859872612"/>
    <n v="164.91242522755155"/>
  </r>
  <r>
    <x v="4"/>
    <x v="15"/>
    <n v="0.372"/>
    <n v="0.73247777800000002"/>
    <n v="5.5"/>
    <n v="12.993630573248407"/>
    <n v="132.60225553956835"/>
  </r>
  <r>
    <x v="4"/>
    <x v="7"/>
    <n v="0.74387999999999999"/>
    <n v="0.59130000000000005"/>
    <n v="6.5"/>
    <n v="5.7324840764331206"/>
    <n v="25.809262540140899"/>
  </r>
  <r>
    <x v="4"/>
    <x v="23"/>
    <n v="0.590536375"/>
    <n v="0.61247410899999999"/>
    <n v="9"/>
    <n v="23.248407643312103"/>
    <n v="424.49864221114467"/>
  </r>
  <r>
    <x v="4"/>
    <x v="25"/>
    <n v="1187461538"/>
    <n v="0.95"/>
    <n v="2.5"/>
    <n v="3.9808917197452227"/>
    <n v="12.446596518200664"/>
  </r>
  <r>
    <x v="4"/>
    <x v="14"/>
    <n v="0.48464433800000001"/>
    <n v="0.62688577999999995"/>
    <n v="6"/>
    <n v="3.9808917197452227"/>
    <n v="12.446596518200664"/>
  </r>
  <r>
    <x v="4"/>
    <x v="8"/>
    <n v="0.66608171000000005"/>
    <n v="0.68661666700000001"/>
    <n v="6"/>
    <n v="11.464968152866241"/>
    <n v="103.2370501605636"/>
  </r>
  <r>
    <x v="4"/>
    <x v="10"/>
    <n v="0.76500000000000001"/>
    <n v="0.61247410899999999"/>
    <n v="10"/>
    <n v="33.757961783439491"/>
    <n v="895.03973426241714"/>
  </r>
  <r>
    <x v="5"/>
    <x v="26"/>
    <n v="0.54247040000000002"/>
    <n v="0.54247042099999998"/>
    <n v="4"/>
    <n v="2.5477707006369426"/>
    <n v="5.098125933854992"/>
  </r>
  <r>
    <x v="5"/>
    <x v="27"/>
    <n v="0.81991655299999999"/>
    <n v="0.72276027399999998"/>
    <n v="4"/>
    <n v="4.4585987261146496"/>
    <n v="15.613010672430914"/>
  </r>
  <r>
    <x v="5"/>
    <x v="3"/>
    <n v="0.89361000000000002"/>
    <n v="0.61247410899999999"/>
    <n v="6.5"/>
    <n v="8.7579617834394909"/>
    <n v="60.241527148091237"/>
  </r>
  <r>
    <x v="5"/>
    <x v="3"/>
    <n v="0.89361000000000002"/>
    <n v="0.61247410899999999"/>
    <n v="5"/>
    <n v="3.121019108280255"/>
    <n v="7.65037522949115"/>
  </r>
  <r>
    <x v="5"/>
    <x v="3"/>
    <n v="0.89361000000000002"/>
    <n v="0.61247410899999999"/>
    <n v="4.5"/>
    <n v="3.1847133757961781"/>
    <n v="7.9658217716484252"/>
  </r>
  <r>
    <x v="5"/>
    <x v="5"/>
    <n v="0.45255480399999998"/>
    <n v="0.57808694400000005"/>
    <n v="8"/>
    <n v="43.630573248407643"/>
    <n v="1495.1050883206933"/>
  </r>
  <r>
    <x v="5"/>
    <x v="5"/>
    <n v="0.45255480399999998"/>
    <n v="0.57808694400000005"/>
    <n v="8"/>
    <n v="28.980891719745223"/>
    <n v="659.64970091020621"/>
  </r>
  <r>
    <x v="5"/>
    <x v="7"/>
    <n v="0.74387999999999999"/>
    <n v="0.59130000000000005"/>
    <n v="5"/>
    <n v="8.7579617834394909"/>
    <n v="60.241527148091237"/>
  </r>
  <r>
    <x v="5"/>
    <x v="7"/>
    <n v="0.74387999999999999"/>
    <n v="0.59130000000000005"/>
    <n v="3.5"/>
    <n v="6.2101910828025479"/>
    <n v="30.290037286693146"/>
  </r>
  <r>
    <x v="5"/>
    <x v="28"/>
    <n v="1.1200000000000001"/>
    <n v="0.85527777800000004"/>
    <n v="5"/>
    <n v="9.3949044585987256"/>
    <n v="69.322563967770421"/>
  </r>
  <r>
    <x v="5"/>
    <x v="18"/>
    <n v="0.69835862100000001"/>
    <n v="0.69262500000000005"/>
    <n v="4.5"/>
    <n v="3.0254777070063694"/>
    <n v="7.1891541489127055"/>
  </r>
  <r>
    <x v="5"/>
    <x v="8"/>
    <n v="0.66608171000000005"/>
    <n v="0.68661666700000001"/>
    <n v="7"/>
    <n v="11.783439490445859"/>
    <n v="109.05210005386697"/>
  </r>
  <r>
    <x v="5"/>
    <x v="8"/>
    <n v="0.66608171000000005"/>
    <n v="0.68661666700000001"/>
    <n v="6"/>
    <n v="9.2356687898089174"/>
    <n v="66.992561099563275"/>
  </r>
  <r>
    <x v="5"/>
    <x v="9"/>
    <n v="0.43836446099999998"/>
    <n v="0.58666666700000003"/>
    <n v="8"/>
    <n v="43.248407643312106"/>
    <n v="1469.0281741690251"/>
  </r>
  <r>
    <x v="5"/>
    <x v="9"/>
    <n v="0.43836446099999998"/>
    <n v="0.58666666700000003"/>
    <n v="8"/>
    <n v="43.949044585987259"/>
    <n v="1517.0110981927262"/>
  </r>
  <r>
    <x v="5"/>
    <x v="9"/>
    <n v="0.43836446099999998"/>
    <n v="0.58666666700000003"/>
    <n v="8"/>
    <n v="32.675159235668787"/>
    <n v="838.54293992917769"/>
  </r>
  <r>
    <x v="5"/>
    <x v="9"/>
    <n v="0.43836446099999998"/>
    <n v="0.58666666700000003"/>
    <n v="6.5"/>
    <n v="14.968152866242038"/>
    <n v="175.96500293571373"/>
  </r>
  <r>
    <x v="5"/>
    <x v="29"/>
    <n v="0.40238543599999999"/>
    <n v="0.40883333300000002"/>
    <n v="12"/>
    <n v="16.242038216560509"/>
    <n v="207.19102428057556"/>
  </r>
  <r>
    <x v="5"/>
    <x v="10"/>
    <n v="0.76500000000000001"/>
    <n v="0.61247410899999999"/>
    <n v="9"/>
    <n v="18.312101910828027"/>
    <n v="263.3699823251261"/>
  </r>
  <r>
    <x v="5"/>
    <x v="11"/>
    <n v="0.41240947999999999"/>
    <n v="0.52705000000000002"/>
    <n v="7"/>
    <n v="10.031847133757962"/>
    <n v="79.040866529181514"/>
  </r>
  <r>
    <x v="5"/>
    <x v="11"/>
    <n v="0.41240947999999999"/>
    <n v="0.52705000000000002"/>
    <n v="6.5"/>
    <n v="8.1210191082802545"/>
    <n v="51.79775607014389"/>
  </r>
  <r>
    <x v="5"/>
    <x v="11"/>
    <n v="0.41240947999999999"/>
    <n v="0.52705000000000002"/>
    <n v="6"/>
    <n v="7.9617834394904454"/>
    <n v="49.786386072802657"/>
  </r>
  <r>
    <x v="5"/>
    <x v="11"/>
    <n v="0.41240947999999999"/>
    <n v="0.52705000000000002"/>
    <n v="4.5"/>
    <n v="4.2993630573248405"/>
    <n v="14.517710178829255"/>
  </r>
  <r>
    <x v="6"/>
    <x v="1"/>
    <n v="0.766138345"/>
    <n v="0.90500000000000003"/>
    <n v="5"/>
    <n v="3.5031847133757958"/>
    <n v="9.6386443436945939"/>
  </r>
  <r>
    <x v="6"/>
    <x v="1"/>
    <n v="0.766138345"/>
    <n v="0.90500000000000003"/>
    <n v="4"/>
    <n v="5.3184713375796173"/>
    <n v="22.215880338950296"/>
  </r>
  <r>
    <x v="6"/>
    <x v="26"/>
    <n v="0.54247040000000002"/>
    <n v="0.54247042099999998"/>
    <n v="3"/>
    <n v="4.7770700636942669"/>
    <n v="17.923098986208956"/>
  </r>
  <r>
    <x v="6"/>
    <x v="26"/>
    <n v="0.54247040000000002"/>
    <n v="0.54247042099999998"/>
    <n v="2.2999999999999998"/>
    <n v="3.9808917197452227"/>
    <n v="12.446596518200664"/>
  </r>
  <r>
    <x v="6"/>
    <x v="3"/>
    <n v="0.89361000000000002"/>
    <n v="0.61247410899999999"/>
    <n v="6"/>
    <n v="2.7070063694267517"/>
    <n v="5.7553062300159885"/>
  </r>
  <r>
    <x v="6"/>
    <x v="4"/>
    <n v="0.708787469"/>
    <n v="0.80167708299999996"/>
    <n v="5"/>
    <n v="3.5031847133757958"/>
    <n v="9.6386443436945939"/>
  </r>
  <r>
    <x v="6"/>
    <x v="4"/>
    <n v="0.708787469"/>
    <n v="0.80167708299999996"/>
    <n v="4"/>
    <n v="3.5031847133757958"/>
    <n v="9.6386443436945939"/>
  </r>
  <r>
    <x v="6"/>
    <x v="5"/>
    <n v="0.45255480399999998"/>
    <n v="0.57808694400000005"/>
    <n v="9"/>
    <n v="57.00636942675159"/>
    <n v="2552.3289538538725"/>
  </r>
  <r>
    <x v="6"/>
    <x v="5"/>
    <n v="0.45255480399999998"/>
    <n v="0.57808694400000005"/>
    <n v="9"/>
    <n v="25.796178343949045"/>
    <n v="522.63756643785325"/>
  </r>
  <r>
    <x v="6"/>
    <x v="5"/>
    <n v="0.45255480399999998"/>
    <n v="0.57808694400000005"/>
    <n v="8.5"/>
    <n v="19.585987261146496"/>
    <n v="301.2872939581726"/>
  </r>
  <r>
    <x v="6"/>
    <x v="5"/>
    <n v="0.45255480399999998"/>
    <n v="0.57808694400000005"/>
    <n v="8"/>
    <n v="48.726114649681527"/>
    <n v="1864.7192185251802"/>
  </r>
  <r>
    <x v="6"/>
    <x v="5"/>
    <n v="0.45255480399999998"/>
    <n v="0.57808694400000005"/>
    <n v="7"/>
    <n v="28.821656050955411"/>
    <n v="652.42071765243509"/>
  </r>
  <r>
    <x v="6"/>
    <x v="5"/>
    <n v="0.45255480399999998"/>
    <n v="0.57808694400000005"/>
    <n v="6"/>
    <n v="4.6178343949044587"/>
    <n v="16.748140274890819"/>
  </r>
  <r>
    <x v="6"/>
    <x v="5"/>
    <n v="0.45255480399999998"/>
    <n v="0.57808694400000005"/>
    <n v="6"/>
    <n v="33.375796178343947"/>
    <n v="874.88939150885528"/>
  </r>
  <r>
    <x v="6"/>
    <x v="5"/>
    <n v="0.45255480399999998"/>
    <n v="0.57808694400000005"/>
    <n v="5"/>
    <n v="15.923566878980891"/>
    <n v="199.14554429121063"/>
  </r>
  <r>
    <x v="6"/>
    <x v="15"/>
    <n v="0.372"/>
    <n v="0.73247777800000002"/>
    <n v="5"/>
    <n v="6.8471337579617835"/>
    <n v="36.822011139444854"/>
  </r>
  <r>
    <x v="6"/>
    <x v="15"/>
    <n v="0.372"/>
    <n v="0.73247777800000002"/>
    <n v="5"/>
    <n v="12.420382165605096"/>
    <n v="121.16014914677258"/>
  </r>
  <r>
    <x v="6"/>
    <x v="7"/>
    <n v="0.74387999999999999"/>
    <n v="0.59130000000000005"/>
    <n v="10"/>
    <n v="7.3248407643312099"/>
    <n v="42.139197172020175"/>
  </r>
  <r>
    <x v="6"/>
    <x v="7"/>
    <n v="0.74387999999999999"/>
    <n v="0.59130000000000005"/>
    <n v="8.5"/>
    <n v="5.4140127388535033"/>
    <n v="23.021224920063954"/>
  </r>
  <r>
    <x v="6"/>
    <x v="7"/>
    <n v="0.74387999999999999"/>
    <n v="0.59130000000000005"/>
    <n v="7"/>
    <n v="3.5668789808917194"/>
    <n v="9.9923268303557844"/>
  </r>
  <r>
    <x v="6"/>
    <x v="7"/>
    <n v="0.74387999999999999"/>
    <n v="0.59130000000000005"/>
    <n v="5"/>
    <n v="3.6624203821656049"/>
    <n v="10.534799293005044"/>
  </r>
  <r>
    <x v="6"/>
    <x v="13"/>
    <n v="0.50857142899999996"/>
    <n v="0.49666666700000001"/>
    <n v="10"/>
    <n v="10.668789808917197"/>
    <n v="89.396434832324445"/>
  </r>
  <r>
    <x v="6"/>
    <x v="13"/>
    <n v="0.50857142899999996"/>
    <n v="0.49666666700000001"/>
    <n v="9"/>
    <n v="13.375796178343949"/>
    <n v="140.51709605187824"/>
  </r>
  <r>
    <x v="6"/>
    <x v="9"/>
    <n v="0.43836446099999998"/>
    <n v="0.58666666700000003"/>
    <n v="7"/>
    <n v="12.579617834394904"/>
    <n v="124.28673419214456"/>
  </r>
  <r>
    <x v="6"/>
    <x v="9"/>
    <n v="0.43836446099999998"/>
    <n v="0.58666666700000003"/>
    <n v="6"/>
    <n v="14.808917197452228"/>
    <n v="172.24098125746809"/>
  </r>
  <r>
    <x v="6"/>
    <x v="9"/>
    <n v="0.43836446099999998"/>
    <n v="0.58666666700000003"/>
    <n v="6"/>
    <n v="12.929936305732484"/>
    <n v="131.30541975514402"/>
  </r>
  <r>
    <x v="6"/>
    <x v="9"/>
    <n v="0.43836446099999998"/>
    <n v="0.58666666700000003"/>
    <n v="5.5"/>
    <n v="3.121019108280255"/>
    <n v="7.65037522949115"/>
  </r>
  <r>
    <x v="6"/>
    <x v="9"/>
    <n v="0.43836446099999998"/>
    <n v="0.58666666700000003"/>
    <n v="4.5"/>
    <n v="8.2802547770700627"/>
    <n v="53.848955176343352"/>
  </r>
  <r>
    <x v="6"/>
    <x v="29"/>
    <n v="0.40238543599999999"/>
    <n v="0.40883333300000002"/>
    <n v="8"/>
    <n v="13.694267515923567"/>
    <n v="147.28804455777941"/>
  </r>
  <r>
    <x v="6"/>
    <x v="10"/>
    <n v="0.76500000000000001"/>
    <n v="0.61247410899999999"/>
    <n v="8"/>
    <n v="18.630573248407643"/>
    <n v="272.61033558023826"/>
  </r>
  <r>
    <x v="6"/>
    <x v="30"/>
    <n v="0.57917600000000002"/>
    <n v="0.60285714300000004"/>
    <n v="6"/>
    <n v="10.350318471337578"/>
    <n v="84.138992463036487"/>
  </r>
  <r>
    <x v="6"/>
    <x v="11"/>
    <n v="0.41240947999999999"/>
    <n v="0.52705000000000002"/>
    <n v="7"/>
    <n v="8.4394904458598727"/>
    <n v="55.939983391401071"/>
  </r>
  <r>
    <x v="6"/>
    <x v="11"/>
    <n v="0.41240947999999999"/>
    <n v="0.52705000000000002"/>
    <n v="6"/>
    <n v="4.6815286624203818"/>
    <n v="17.213344266355083"/>
  </r>
  <r>
    <x v="6"/>
    <x v="11"/>
    <n v="0.41240947999999999"/>
    <n v="0.52705000000000002"/>
    <n v="6"/>
    <n v="3.7898089171974521"/>
    <n v="11.280400210831337"/>
  </r>
  <r>
    <x v="6"/>
    <x v="11"/>
    <n v="0.41240947999999999"/>
    <n v="0.52705000000000002"/>
    <n v="5"/>
    <n v="4.936305732484076"/>
    <n v="19.137886806385342"/>
  </r>
  <r>
    <x v="7"/>
    <x v="31"/>
    <n v="0.40257753800000001"/>
    <n v="0.40843333300000001"/>
    <n v="7"/>
    <n v="14.490445859872612"/>
    <n v="164.91242522755155"/>
  </r>
  <r>
    <x v="7"/>
    <x v="31"/>
    <n v="0.40257753800000001"/>
    <n v="0.40843333300000001"/>
    <n v="7"/>
    <n v="8.7898089171974529"/>
    <n v="60.680443927709064"/>
  </r>
  <r>
    <x v="7"/>
    <x v="12"/>
    <n v="0.80908761900000004"/>
    <n v="0.87473809499999999"/>
    <n v="8"/>
    <n v="22.643312101910826"/>
    <n v="402.68901878254832"/>
  </r>
  <r>
    <x v="7"/>
    <x v="32"/>
    <n v="0.78445916699999996"/>
    <n v="0.87841666699999998"/>
    <n v="3.5"/>
    <n v="3.7579617834394905"/>
    <n v="11.091610234843269"/>
  </r>
  <r>
    <x v="7"/>
    <x v="33"/>
    <n v="0.63206279899999995"/>
    <n v="0.75690909100000003"/>
    <n v="3"/>
    <n v="3.7261146496815285"/>
    <n v="10.904413423209531"/>
  </r>
  <r>
    <x v="7"/>
    <x v="34"/>
    <n v="0.53"/>
    <n v="0.54764999999999997"/>
    <n v="5"/>
    <n v="24.331210191082803"/>
    <n v="464.96183048241005"/>
  </r>
  <r>
    <x v="7"/>
    <x v="35"/>
    <n v="0.52500000000000002"/>
    <n v="0.52500000000000002"/>
    <n v="5"/>
    <n v="14.108280254777069"/>
    <n v="156.32845568642318"/>
  </r>
  <r>
    <x v="7"/>
    <x v="35"/>
    <n v="0.52500000000000002"/>
    <n v="0.52500000000000002"/>
    <n v="5"/>
    <n v="42.834394904458598"/>
    <n v="1441.0370730456295"/>
  </r>
  <r>
    <x v="7"/>
    <x v="36"/>
    <n v="0.39984676499999999"/>
    <n v="0.450333333"/>
    <n v="7"/>
    <n v="17.070063694267517"/>
    <n v="228.85487317075069"/>
  </r>
  <r>
    <x v="7"/>
    <x v="37"/>
    <n v="0.61"/>
    <n v="0.84088888900000003"/>
    <n v="6.5"/>
    <n v="61.178343949044589"/>
    <n v="2939.5802100429664"/>
  </r>
  <r>
    <x v="7"/>
    <x v="7"/>
    <n v="0.74387999999999999"/>
    <n v="0.59130000000000005"/>
    <n v="8"/>
    <n v="9.936305732484076"/>
    <n v="77.542495453934436"/>
  </r>
  <r>
    <x v="7"/>
    <x v="38"/>
    <n v="0.371297506"/>
    <n v="0.35258402799999999"/>
    <n v="7"/>
    <n v="9.3312101910828016"/>
    <n v="68.385783327424562"/>
  </r>
  <r>
    <x v="7"/>
    <x v="38"/>
    <n v="0.371297506"/>
    <n v="0.35258402799999999"/>
    <n v="7"/>
    <n v="23.503184713375795"/>
    <n v="433.85370329976854"/>
  </r>
  <r>
    <x v="8"/>
    <x v="12"/>
    <n v="0.80908761900000004"/>
    <n v="0.87473809499999999"/>
    <n v="4.5"/>
    <n v="10.350318471337578"/>
    <n v="84.138992463036487"/>
  </r>
  <r>
    <x v="8"/>
    <x v="39"/>
    <n v="0.41"/>
    <n v="0.33983503399999998"/>
    <n v="5.5"/>
    <n v="16.97452229299363"/>
    <n v="226.30023412858299"/>
  </r>
  <r>
    <x v="8"/>
    <x v="40"/>
    <n v="0.9"/>
    <n v="0.61247410899999999"/>
    <n v="4"/>
    <n v="5.5732484076433115"/>
    <n v="24.395329175673304"/>
  </r>
  <r>
    <x v="8"/>
    <x v="40"/>
    <n v="0.9"/>
    <n v="0.61247410899999999"/>
    <n v="4"/>
    <n v="10.127388535031846"/>
    <n v="80.553576083617529"/>
  </r>
  <r>
    <x v="8"/>
    <x v="24"/>
    <n v="0.56193137999999998"/>
    <n v="0.57808694400000005"/>
    <n v="5"/>
    <n v="20.159235668789808"/>
    <n v="319.18171598600367"/>
  </r>
  <r>
    <x v="8"/>
    <x v="36"/>
    <n v="0.39984676499999999"/>
    <n v="0.450333333"/>
    <n v="7"/>
    <n v="13.439490445859873"/>
    <n v="141.85854043822386"/>
  </r>
  <r>
    <x v="8"/>
    <x v="22"/>
    <n v="1082380952"/>
    <n v="0.61247410899999999"/>
    <n v="6.5"/>
    <n v="23.885350318471335"/>
    <n v="448.07747465522391"/>
  </r>
  <r>
    <x v="8"/>
    <x v="37"/>
    <n v="0.61"/>
    <n v="0.84088888900000003"/>
    <n v="6"/>
    <n v="56.464968152866234"/>
    <n v="2504.0791748008201"/>
  </r>
  <r>
    <x v="8"/>
    <x v="9"/>
    <n v="0.43836446099999998"/>
    <n v="0.58666666700000003"/>
    <n v="4"/>
    <n v="58.630573248407636"/>
    <n v="2699.8408380034343"/>
  </r>
  <r>
    <x v="8"/>
    <x v="9"/>
    <n v="0.43836446099999998"/>
    <n v="0.58666666700000003"/>
    <n v="3.5"/>
    <n v="14.968152866242038"/>
    <n v="175.96500293571373"/>
  </r>
  <r>
    <x v="8"/>
    <x v="9"/>
    <n v="0.43836446099999998"/>
    <n v="0.58666666700000003"/>
    <n v="5"/>
    <n v="18.439490445859871"/>
    <n v="267.04700565491896"/>
  </r>
  <r>
    <x v="8"/>
    <x v="9"/>
    <n v="0.43836446099999998"/>
    <n v="0.58666666700000003"/>
    <n v="5.5"/>
    <n v="51.464968152866248"/>
    <n v="2080.2393060501918"/>
  </r>
  <r>
    <x v="8"/>
    <x v="38"/>
    <n v="0.371297506"/>
    <n v="0.35258402799999999"/>
    <n v="5"/>
    <n v="24.490445859872612"/>
    <n v="471.06763287037853"/>
  </r>
  <r>
    <x v="8"/>
    <x v="41"/>
    <n v="0.693333333"/>
    <n v="0.64166666699999997"/>
    <n v="6"/>
    <n v="10.286624203821654"/>
    <n v="83.106621961430847"/>
  </r>
  <r>
    <x v="8"/>
    <x v="41"/>
    <n v="0.693333333"/>
    <n v="0.64166666699999997"/>
    <n v="4.5"/>
    <n v="9.6496815286624198"/>
    <n v="73.13341310332703"/>
  </r>
  <r>
    <x v="9"/>
    <x v="12"/>
    <n v="0.80908761900000004"/>
    <n v="0.87473809499999999"/>
    <n v="4.5"/>
    <n v="8.7579617834394909"/>
    <n v="60.241527148091237"/>
  </r>
  <r>
    <x v="9"/>
    <x v="32"/>
    <n v="0.78445916699999996"/>
    <n v="0.87841666699999998"/>
    <n v="4"/>
    <n v="7.2929936305732479"/>
    <n v="41.773565952701503"/>
  </r>
  <r>
    <x v="9"/>
    <x v="42"/>
    <n v="0.66"/>
    <n v="0.75533333300000005"/>
    <n v="7"/>
    <n v="7.7388535031847123"/>
    <n v="47.037380979406777"/>
  </r>
  <r>
    <x v="9"/>
    <x v="26"/>
    <n v="0.54247040000000002"/>
    <n v="0.54247042099999998"/>
    <n v="3.5"/>
    <n v="16.019108280254777"/>
    <n v="201.54246006229965"/>
  </r>
  <r>
    <x v="9"/>
    <x v="35"/>
    <n v="0.52500000000000002"/>
    <n v="0.52500000000000002"/>
    <n v="5"/>
    <n v="7.2929936305732479"/>
    <n v="41.773565952701503"/>
  </r>
  <r>
    <x v="9"/>
    <x v="24"/>
    <n v="0.56193137999999998"/>
    <n v="0.57808694400000005"/>
    <n v="7"/>
    <n v="28.057324840764334"/>
    <n v="618.27601921044163"/>
  </r>
  <r>
    <x v="9"/>
    <x v="24"/>
    <n v="0.56193137999999998"/>
    <n v="0.57808694400000005"/>
    <n v="7"/>
    <n v="35.828025477707008"/>
    <n v="1008.1743179742541"/>
  </r>
  <r>
    <x v="9"/>
    <x v="36"/>
    <n v="0.39984676499999999"/>
    <n v="0.450333333"/>
    <n v="8"/>
    <n v="20.636942675159233"/>
    <n v="334.48804252022603"/>
  </r>
  <r>
    <x v="9"/>
    <x v="36"/>
    <n v="0.39984676499999999"/>
    <n v="0.450333333"/>
    <n v="9"/>
    <n v="42.866242038216569"/>
    <n v="1443.1806756843805"/>
  </r>
  <r>
    <x v="9"/>
    <x v="22"/>
    <n v="1082380952"/>
    <n v="0.61247410899999999"/>
    <n v="5.5"/>
    <n v="12.961783439490446"/>
    <n v="131.95304106517904"/>
  </r>
  <r>
    <x v="9"/>
    <x v="37"/>
    <n v="0.61"/>
    <n v="0.84088888900000003"/>
    <n v="6.5"/>
    <n v="51.27388535031848"/>
    <n v="2064.8206614289893"/>
  </r>
  <r>
    <x v="9"/>
    <x v="37"/>
    <n v="0.61"/>
    <n v="0.84088888900000003"/>
    <n v="8"/>
    <n v="49.777070063694261"/>
    <n v="1946.0255647662179"/>
  </r>
  <r>
    <x v="9"/>
    <x v="9"/>
    <n v="0.43836446099999998"/>
    <n v="0.58666666700000003"/>
    <n v="5"/>
    <n v="39.71337579617834"/>
    <n v="1238.6924547309247"/>
  </r>
  <r>
    <x v="9"/>
    <x v="9"/>
    <n v="0.43836446099999998"/>
    <n v="0.58666666700000003"/>
    <n v="6.5"/>
    <n v="22.611464968152866"/>
    <n v="401.5570755087972"/>
  </r>
  <r>
    <x v="9"/>
    <x v="38"/>
    <n v="0.371297506"/>
    <n v="0.35258402799999999"/>
    <n v="6"/>
    <n v="15.318471337579615"/>
    <n v="184.2980490910351"/>
  </r>
  <r>
    <x v="9"/>
    <x v="41"/>
    <n v="0.693333333"/>
    <n v="0.64166666699999997"/>
    <n v="5"/>
    <n v="9.4585987261146496"/>
    <n v="70.26571726553361"/>
  </r>
  <r>
    <x v="10"/>
    <x v="39"/>
    <n v="0.41"/>
    <n v="0.33983503399999998"/>
    <n v="6"/>
    <n v="12.707006369426752"/>
    <n v="126.81667918682014"/>
  </r>
  <r>
    <x v="10"/>
    <x v="26"/>
    <n v="0.54247040000000002"/>
    <n v="0.54247042099999998"/>
    <n v="2.8"/>
    <n v="10.127388535031846"/>
    <n v="80.553576083617529"/>
  </r>
  <r>
    <x v="10"/>
    <x v="33"/>
    <n v="0.63206279899999995"/>
    <n v="0.75690909100000003"/>
    <n v="3"/>
    <n v="2.4203821656050954"/>
    <n v="4.6010586553041311"/>
  </r>
  <r>
    <x v="10"/>
    <x v="40"/>
    <n v="0.9"/>
    <n v="0.61247410899999999"/>
    <n v="5"/>
    <n v="8.9808917197452232"/>
    <n v="63.347401056856945"/>
  </r>
  <r>
    <x v="10"/>
    <x v="35"/>
    <n v="0.52500000000000002"/>
    <n v="0.52500000000000002"/>
    <n v="8"/>
    <n v="4.5222929936305727"/>
    <n v="16.062283020351884"/>
  </r>
  <r>
    <x v="10"/>
    <x v="35"/>
    <n v="0.52500000000000002"/>
    <n v="0.52500000000000002"/>
    <n v="6"/>
    <n v="14.490445859872612"/>
    <n v="164.91242522755155"/>
  </r>
  <r>
    <x v="10"/>
    <x v="43"/>
    <n v="0.62643652800000005"/>
    <n v="0.57808694400000005"/>
    <n v="5.5"/>
    <n v="34.681528662420384"/>
    <n v="944.68353212550744"/>
  </r>
  <r>
    <x v="10"/>
    <x v="24"/>
    <n v="0.56193137999999998"/>
    <n v="0.57808694400000005"/>
    <n v="6.5"/>
    <n v="37.101910828025474"/>
    <n v="1081.1412454025535"/>
  </r>
  <r>
    <x v="10"/>
    <x v="24"/>
    <n v="0.56193137999999998"/>
    <n v="0.57808694400000005"/>
    <n v="4"/>
    <n v="11.242038216560509"/>
    <n v="99.261308514333876"/>
  </r>
  <r>
    <x v="10"/>
    <x v="36"/>
    <n v="0.39984676499999999"/>
    <n v="0.450333333"/>
    <n v="10"/>
    <n v="30.191082802547768"/>
    <n v="715.89158894675268"/>
  </r>
  <r>
    <x v="10"/>
    <x v="36"/>
    <n v="0.39984676499999999"/>
    <n v="0.450333333"/>
    <n v="9"/>
    <n v="15.19108280254777"/>
    <n v="181.24554618813946"/>
  </r>
  <r>
    <x v="10"/>
    <x v="36"/>
    <n v="0.39984676499999999"/>
    <n v="0.450333333"/>
    <n v="10"/>
    <n v="48.089171974522294"/>
    <n v="1816.2870221535579"/>
  </r>
  <r>
    <x v="10"/>
    <x v="22"/>
    <n v="1082380952"/>
    <n v="0.61247410899999999"/>
    <n v="4.5"/>
    <n v="11.337579617834395"/>
    <n v="100.9556388051635"/>
  </r>
  <r>
    <x v="10"/>
    <x v="22"/>
    <n v="1082380952"/>
    <n v="0.61247410899999999"/>
    <n v="4.5"/>
    <n v="9.936305732484076"/>
    <n v="77.542495453934436"/>
  </r>
  <r>
    <x v="10"/>
    <x v="37"/>
    <n v="0.61"/>
    <n v="0.84088888900000003"/>
    <n v="6"/>
    <n v="26.624203821656053"/>
    <n v="556.72809729179994"/>
  </r>
  <r>
    <x v="10"/>
    <x v="37"/>
    <n v="0.61"/>
    <n v="0.84088888900000003"/>
    <n v="8"/>
    <n v="67.70700636942675"/>
    <n v="3600.45266459512"/>
  </r>
  <r>
    <x v="10"/>
    <x v="37"/>
    <n v="0.61"/>
    <n v="0.84088888900000003"/>
    <n v="4"/>
    <n v="4.3949044585987265"/>
    <n v="15.170110981927266"/>
  </r>
  <r>
    <x v="10"/>
    <x v="9"/>
    <n v="0.43836446099999998"/>
    <n v="0.58666666700000003"/>
    <n v="6"/>
    <n v="31.050955414012737"/>
    <n v="757.25093216732841"/>
  </r>
  <r>
    <x v="10"/>
    <x v="38"/>
    <n v="0.371297506"/>
    <n v="0.35258402799999999"/>
    <n v="5"/>
    <n v="8.1847133757961785"/>
    <n v="52.613456219560696"/>
  </r>
  <r>
    <x v="10"/>
    <x v="38"/>
    <n v="0.371297506"/>
    <n v="0.35258402799999999"/>
    <n v="8"/>
    <n v="36.433121019108277"/>
    <n v="1042.5157722140075"/>
  </r>
  <r>
    <x v="10"/>
    <x v="38"/>
    <n v="0.371297506"/>
    <n v="0.35258402799999999"/>
    <n v="6.5"/>
    <n v="28.566878980891719"/>
    <n v="640.9371889864268"/>
  </r>
  <r>
    <x v="11"/>
    <x v="12"/>
    <n v="0.80908761900000004"/>
    <n v="0.87473809499999999"/>
    <n v="7"/>
    <n v="7.7388535031847132"/>
    <n v="47.037380979406791"/>
  </r>
  <r>
    <x v="11"/>
    <x v="44"/>
    <n v="0.77800000000000002"/>
    <n v="0.77386111099999999"/>
    <n v="3.5"/>
    <n v="3.6305732484076434"/>
    <n v="10.352381974434296"/>
  </r>
  <r>
    <x v="11"/>
    <x v="39"/>
    <n v="0.41"/>
    <n v="0.33983503399999998"/>
    <n v="6"/>
    <n v="10.477707006369428"/>
    <n v="86.22285143849976"/>
  </r>
  <r>
    <x v="11"/>
    <x v="45"/>
    <n v="0.31264018999999998"/>
    <n v="0.356821212"/>
    <n v="5"/>
    <n v="6.4968152866242033"/>
    <n v="33.150563884892087"/>
  </r>
  <r>
    <x v="11"/>
    <x v="46"/>
    <n v="0.55560299999999996"/>
    <n v="0.55961111100000005"/>
    <n v="3.5"/>
    <n v="17.802547770700635"/>
    <n v="248.91679530264716"/>
  </r>
  <r>
    <x v="11"/>
    <x v="40"/>
    <n v="0.9"/>
    <n v="0.61247410899999999"/>
    <n v="7"/>
    <n v="4.2356687898089174"/>
    <n v="14.090742131868904"/>
  </r>
  <r>
    <x v="11"/>
    <x v="40"/>
    <n v="0.9"/>
    <n v="0.61247410899999999"/>
    <n v="6"/>
    <n v="1.7834394904458597"/>
    <n v="2.4980817075889461"/>
  </r>
  <r>
    <x v="11"/>
    <x v="43"/>
    <n v="0.62643652800000005"/>
    <n v="0.57808694400000005"/>
    <n v="6"/>
    <n v="8.8216560509554132"/>
    <n v="61.120953871681195"/>
  </r>
  <r>
    <x v="11"/>
    <x v="36"/>
    <n v="0.39984676499999999"/>
    <n v="0.450333333"/>
    <n v="10"/>
    <n v="7.9617834394904454"/>
    <n v="49.786386072802657"/>
  </r>
  <r>
    <x v="11"/>
    <x v="36"/>
    <n v="0.39984676499999999"/>
    <n v="0.450333333"/>
    <n v="10"/>
    <n v="23.471337579617831"/>
    <n v="432.67874458845034"/>
  </r>
  <r>
    <x v="11"/>
    <x v="36"/>
    <n v="0.39984676499999999"/>
    <n v="0.450333333"/>
    <n v="9"/>
    <n v="20.541401273885349"/>
    <n v="331.39810025500361"/>
  </r>
  <r>
    <x v="11"/>
    <x v="36"/>
    <n v="0.39984676499999999"/>
    <n v="0.450333333"/>
    <n v="9"/>
    <n v="30.796178343949045"/>
    <n v="744.87523146289561"/>
  </r>
  <r>
    <x v="11"/>
    <x v="36"/>
    <n v="0.39984676499999999"/>
    <n v="0.450333333"/>
    <n v="8"/>
    <n v="15.063694267515922"/>
    <n v="178.21853391491305"/>
  </r>
  <r>
    <x v="11"/>
    <x v="36"/>
    <n v="0.39984676499999999"/>
    <n v="0.450333333"/>
    <n v="11"/>
    <n v="5.4458598726114653"/>
    <n v="23.29285944247717"/>
  </r>
  <r>
    <x v="11"/>
    <x v="36"/>
    <n v="0.39984676499999999"/>
    <n v="0.450333333"/>
    <n v="7"/>
    <n v="16.242038216560509"/>
    <n v="207.19102428057556"/>
  </r>
  <r>
    <x v="11"/>
    <x v="36"/>
    <n v="0.39984676499999999"/>
    <n v="0.450333333"/>
    <n v="7"/>
    <n v="48.121019108280251"/>
    <n v="1818.6934969107724"/>
  </r>
  <r>
    <x v="11"/>
    <x v="22"/>
    <n v="1082380952"/>
    <n v="0.61247410899999999"/>
    <n v="5"/>
    <n v="23.853503184713375"/>
    <n v="446.88339797165389"/>
  </r>
  <r>
    <x v="11"/>
    <x v="22"/>
    <n v="1082380952"/>
    <n v="0.61247410899999999"/>
    <n v="6"/>
    <n v="17.802547770700635"/>
    <n v="248.91679530264716"/>
  </r>
  <r>
    <x v="11"/>
    <x v="37"/>
    <n v="0.61"/>
    <n v="0.84088888900000003"/>
    <n v="8"/>
    <n v="34.681528662420384"/>
    <n v="944.68353212550744"/>
  </r>
  <r>
    <x v="11"/>
    <x v="9"/>
    <n v="0.43836446099999998"/>
    <n v="0.58666666700000003"/>
    <n v="7"/>
    <n v="32.484076433121025"/>
    <n v="828.76409712230259"/>
  </r>
  <r>
    <x v="11"/>
    <x v="9"/>
    <n v="0.43836446099999998"/>
    <n v="0.58666666700000003"/>
    <n v="6"/>
    <n v="22.101910828025478"/>
    <n v="383.66265348096618"/>
  </r>
  <r>
    <x v="12"/>
    <x v="47"/>
    <n v="0.43916666700000001"/>
    <n v="0.51877777800000002"/>
    <n v="6"/>
    <n v="10"/>
    <n v="78.539816339744831"/>
  </r>
  <r>
    <x v="12"/>
    <x v="39"/>
    <n v="0.41"/>
    <n v="0.33983503399999998"/>
    <n v="7"/>
    <n v="8.0891719745222925"/>
    <n v="51.39229574196699"/>
  </r>
  <r>
    <x v="12"/>
    <x v="33"/>
    <n v="0.63206279899999995"/>
    <n v="0.75690909100000003"/>
    <n v="5"/>
    <n v="6.1783439490445851"/>
    <n v="29.980166819776009"/>
  </r>
  <r>
    <x v="12"/>
    <x v="33"/>
    <n v="0.63206279899999995"/>
    <n v="0.75690909100000003"/>
    <n v="5.5"/>
    <n v="19.076433121019104"/>
    <n v="285.81448174892262"/>
  </r>
  <r>
    <x v="12"/>
    <x v="33"/>
    <n v="0.63206279899999995"/>
    <n v="0.75690909100000003"/>
    <n v="4.5"/>
    <n v="4.6178343949044587"/>
    <n v="16.748140274890819"/>
  </r>
  <r>
    <x v="12"/>
    <x v="40"/>
    <n v="0.9"/>
    <n v="0.61247410899999999"/>
    <n v="3"/>
    <n v="2.6433121019108281"/>
    <n v="5.4876546184886017"/>
  </r>
  <r>
    <x v="12"/>
    <x v="35"/>
    <n v="0.52500000000000002"/>
    <n v="0.52500000000000002"/>
    <n v="6"/>
    <n v="18.121019108280255"/>
    <n v="257.90224226106665"/>
  </r>
  <r>
    <x v="12"/>
    <x v="43"/>
    <n v="0.62643652800000005"/>
    <n v="0.57808694400000005"/>
    <n v="6"/>
    <n v="26.273885350318469"/>
    <n v="542.173744332821"/>
  </r>
  <r>
    <x v="12"/>
    <x v="43"/>
    <n v="0.62643652800000005"/>
    <n v="0.57808694400000005"/>
    <n v="6.5"/>
    <n v="34.522292993630572"/>
    <n v="936.02866677061127"/>
  </r>
  <r>
    <x v="12"/>
    <x v="43"/>
    <n v="0.62643652800000005"/>
    <n v="0.57808694400000005"/>
    <n v="7"/>
    <n v="40.636942675159233"/>
    <n v="1296.9759828875447"/>
  </r>
  <r>
    <x v="12"/>
    <x v="43"/>
    <n v="0.62643652800000005"/>
    <n v="0.57808694400000005"/>
    <n v="6"/>
    <n v="42.834394904458598"/>
    <n v="1441.0370730456295"/>
  </r>
  <r>
    <x v="12"/>
    <x v="43"/>
    <n v="0.62643652800000005"/>
    <n v="0.57808694400000005"/>
    <n v="6"/>
    <n v="80.636942675159233"/>
    <n v="5106.9074557760587"/>
  </r>
  <r>
    <x v="12"/>
    <x v="43"/>
    <n v="0.62643652800000005"/>
    <n v="0.57808694400000005"/>
    <n v="5.5"/>
    <n v="53.726114649681534"/>
    <n v="2267.0481821636504"/>
  </r>
  <r>
    <x v="12"/>
    <x v="43"/>
    <n v="0.62643652800000005"/>
    <n v="0.57808694400000005"/>
    <n v="6.5"/>
    <n v="68.439490445859875"/>
    <n v="3678.7766071648539"/>
  </r>
  <r>
    <x v="12"/>
    <x v="22"/>
    <n v="1082380952"/>
    <n v="0.61247410899999999"/>
    <n v="6"/>
    <n v="4.6496815286624198"/>
    <n v="16.979945688445781"/>
  </r>
  <r>
    <x v="12"/>
    <x v="48"/>
    <n v="0.39"/>
    <n v="0.28861111099999998"/>
    <n v="4.5"/>
    <n v="5.2547770700636942"/>
    <n v="21.68694977331284"/>
  </r>
  <r>
    <x v="12"/>
    <x v="9"/>
    <n v="0.43836446099999998"/>
    <n v="0.58666666700000003"/>
    <n v="6"/>
    <n v="19.777070063694268"/>
    <n v="307.1947473840271"/>
  </r>
  <r>
    <x v="12"/>
    <x v="9"/>
    <n v="0.43836446099999998"/>
    <n v="0.58666666700000003"/>
    <n v="5.5"/>
    <n v="24.076433121019104"/>
    <n v="455.27539120808535"/>
  </r>
  <r>
    <x v="12"/>
    <x v="29"/>
    <n v="0.40238543599999999"/>
    <n v="0.40883333300000002"/>
    <n v="12"/>
    <n v="17.00636942675159"/>
    <n v="227.1501873116178"/>
  </r>
  <r>
    <x v="12"/>
    <x v="29"/>
    <n v="0.40238543599999999"/>
    <n v="0.40883333300000002"/>
    <n v="12"/>
    <n v="22.452229299363058"/>
    <n v="395.92125660535595"/>
  </r>
  <r>
    <x v="12"/>
    <x v="41"/>
    <n v="0.693333333"/>
    <n v="0.64166666699999997"/>
    <n v="6"/>
    <n v="10.063694267515924"/>
    <n v="79.543509882972543"/>
  </r>
  <r>
    <x v="13"/>
    <x v="49"/>
    <n v="0.86"/>
    <n v="0.65666666699999998"/>
    <n v="7"/>
    <n v="42.70700636942675"/>
    <n v="1432.4785941341702"/>
  </r>
  <r>
    <x v="13"/>
    <x v="49"/>
    <n v="0.86"/>
    <n v="0.65666666699999998"/>
    <n v="7"/>
    <n v="10.031847133757962"/>
    <n v="79.040866529181514"/>
  </r>
  <r>
    <x v="13"/>
    <x v="39"/>
    <n v="0.41"/>
    <n v="0.33983503399999998"/>
    <n v="6"/>
    <n v="11.082802547770699"/>
    <n v="96.469287983371089"/>
  </r>
  <r>
    <x v="13"/>
    <x v="33"/>
    <n v="0.63206279899999995"/>
    <n v="0.75690909100000003"/>
    <n v="6"/>
    <n v="9.7133757961783438"/>
    <n v="74.102057030759482"/>
  </r>
  <r>
    <x v="13"/>
    <x v="43"/>
    <n v="0.62643652800000005"/>
    <n v="0.57808694400000005"/>
    <n v="7"/>
    <n v="24.777070063694271"/>
    <n v="482.1584465230448"/>
  </r>
  <r>
    <x v="13"/>
    <x v="43"/>
    <n v="0.62643652800000005"/>
    <n v="0.57808694400000005"/>
    <n v="7.5"/>
    <n v="37.356687898089163"/>
    <n v="1096.0405184442443"/>
  </r>
  <r>
    <x v="13"/>
    <x v="43"/>
    <n v="0.62643652800000005"/>
    <n v="0.57808694400000005"/>
    <n v="7"/>
    <n v="38.566878980891715"/>
    <n v="1168.204491037962"/>
  </r>
  <r>
    <x v="13"/>
    <x v="36"/>
    <n v="0.39984676499999999"/>
    <n v="0.450333333"/>
    <n v="9"/>
    <n v="26.815286624203821"/>
    <n v="564.74808665149556"/>
  </r>
  <r>
    <x v="13"/>
    <x v="22"/>
    <n v="1082380952"/>
    <n v="0.61247410899999999"/>
    <n v="5"/>
    <n v="5.1273885350318471"/>
    <n v="20.648206614289887"/>
  </r>
  <r>
    <x v="13"/>
    <x v="37"/>
    <n v="0.61"/>
    <n v="0.84088888900000003"/>
    <n v="6"/>
    <n v="3.8853503184713372"/>
    <n v="11.856329124921515"/>
  </r>
  <r>
    <x v="13"/>
    <x v="37"/>
    <n v="0.61"/>
    <n v="0.84088888900000003"/>
    <n v="5"/>
    <n v="12.770700636942674"/>
    <n v="128.09121067028386"/>
  </r>
  <r>
    <x v="13"/>
    <x v="37"/>
    <n v="0.61"/>
    <n v="0.84088888900000003"/>
    <n v="8"/>
    <n v="29.617834394904456"/>
    <n v="688.96392502987237"/>
  </r>
  <r>
    <x v="13"/>
    <x v="9"/>
    <n v="0.43836446099999998"/>
    <n v="0.58666666700000003"/>
    <n v="5"/>
    <n v="10.668789808917197"/>
    <n v="89.396434832324445"/>
  </r>
  <r>
    <x v="13"/>
    <x v="9"/>
    <n v="0.43836446099999998"/>
    <n v="0.58666666700000003"/>
    <n v="6.5"/>
    <n v="16.050955414012737"/>
    <n v="202.34461831470463"/>
  </r>
  <r>
    <x v="13"/>
    <x v="29"/>
    <n v="0.40238543599999999"/>
    <n v="0.40883333300000002"/>
    <n v="11"/>
    <n v="28.726114649681527"/>
    <n v="648.10244567002451"/>
  </r>
  <r>
    <x v="13"/>
    <x v="30"/>
    <n v="0.57917600000000002"/>
    <n v="0.60285714300000004"/>
    <n v="8"/>
    <n v="58.121019108280251"/>
    <n v="2653.1165138196538"/>
  </r>
  <r>
    <x v="14"/>
    <x v="12"/>
    <n v="0.80908761900000004"/>
    <n v="0.87473809499999999"/>
    <n v="12"/>
    <n v="25.668789808917193"/>
    <n v="517.48845924465957"/>
  </r>
  <r>
    <x v="14"/>
    <x v="12"/>
    <n v="0.80908761900000004"/>
    <n v="0.87473809499999999"/>
    <n v="12"/>
    <n v="26.815286624203821"/>
    <n v="564.74808665149556"/>
  </r>
  <r>
    <x v="14"/>
    <x v="45"/>
    <n v="0.31264018999999998"/>
    <n v="0.356821212"/>
    <n v="6"/>
    <n v="13.789808917197451"/>
    <n v="149.35039581445918"/>
  </r>
  <r>
    <x v="14"/>
    <x v="45"/>
    <n v="0.31264018999999998"/>
    <n v="0.356821212"/>
    <n v="5"/>
    <n v="7.7388535031847132"/>
    <n v="47.037380979406791"/>
  </r>
  <r>
    <x v="14"/>
    <x v="45"/>
    <n v="0.31264018999999998"/>
    <n v="0.356821212"/>
    <n v="4.5"/>
    <n v="7.388535031847133"/>
    <n v="42.875239103720482"/>
  </r>
  <r>
    <x v="14"/>
    <x v="35"/>
    <n v="0.52500000000000002"/>
    <n v="0.52500000000000002"/>
    <n v="6"/>
    <n v="6.5286624203821653"/>
    <n v="33.476365995352509"/>
  </r>
  <r>
    <x v="14"/>
    <x v="35"/>
    <n v="0.52500000000000002"/>
    <n v="0.52500000000000002"/>
    <n v="8"/>
    <n v="15.796178343949045"/>
    <n v="195.97196089738594"/>
  </r>
  <r>
    <x v="14"/>
    <x v="35"/>
    <n v="0.52500000000000002"/>
    <n v="0.52500000000000002"/>
    <n v="10"/>
    <n v="37.802547770700635"/>
    <n v="1122.359593577771"/>
  </r>
  <r>
    <x v="14"/>
    <x v="35"/>
    <n v="0.52500000000000002"/>
    <n v="0.52500000000000002"/>
    <n v="6.5"/>
    <n v="8.7261146496815272"/>
    <n v="59.804203532827714"/>
  </r>
  <r>
    <x v="14"/>
    <x v="35"/>
    <n v="0.52500000000000002"/>
    <n v="0.52500000000000002"/>
    <n v="5"/>
    <n v="8.7579617834394909"/>
    <n v="60.241527148091237"/>
  </r>
  <r>
    <x v="14"/>
    <x v="36"/>
    <n v="0.39984676499999999"/>
    <n v="0.450333333"/>
    <n v="7"/>
    <n v="18.375796178343951"/>
    <n v="265.20530766131395"/>
  </r>
  <r>
    <x v="14"/>
    <x v="36"/>
    <n v="0.39984676499999999"/>
    <n v="0.450333333"/>
    <n v="7"/>
    <n v="16.273885350318473"/>
    <n v="208.00433468346091"/>
  </r>
  <r>
    <x v="14"/>
    <x v="9"/>
    <n v="0.43836446099999998"/>
    <n v="0.58666666700000003"/>
    <n v="6"/>
    <n v="11.273885350318473"/>
    <n v="99.824492113589457"/>
  </r>
  <r>
    <x v="14"/>
    <x v="9"/>
    <n v="0.43836446099999998"/>
    <n v="0.58666666700000003"/>
    <n v="5.5"/>
    <n v="10.668789808917197"/>
    <n v="89.396434832324445"/>
  </r>
  <r>
    <x v="15"/>
    <x v="45"/>
    <n v="0.31264018999999998"/>
    <n v="0.356821212"/>
    <n v="3"/>
    <n v="6.8471337579617835"/>
    <n v="36.822011139444854"/>
  </r>
  <r>
    <x v="15"/>
    <x v="45"/>
    <n v="0.31264018999999998"/>
    <n v="0.356821212"/>
    <n v="4.5"/>
    <n v="8.4713375796178347"/>
    <n v="56.362968527475616"/>
  </r>
  <r>
    <x v="15"/>
    <x v="45"/>
    <n v="0.31264018999999998"/>
    <n v="0.356821212"/>
    <n v="4.5"/>
    <n v="11.273885350318471"/>
    <n v="99.824492113589415"/>
  </r>
  <r>
    <x v="15"/>
    <x v="45"/>
    <n v="0.31264018999999998"/>
    <n v="0.356821212"/>
    <n v="6"/>
    <n v="14.108280254777069"/>
    <n v="156.32845568642318"/>
  </r>
  <r>
    <x v="15"/>
    <x v="45"/>
    <n v="0.31264018999999998"/>
    <n v="0.356821212"/>
    <n v="3"/>
    <n v="7.388535031847133"/>
    <n v="42.875239103720482"/>
  </r>
  <r>
    <x v="15"/>
    <x v="45"/>
    <n v="0.31264018999999998"/>
    <n v="0.356821212"/>
    <n v="5"/>
    <n v="10.286624203821654"/>
    <n v="83.106621961430847"/>
  </r>
  <r>
    <x v="15"/>
    <x v="45"/>
    <n v="0.31264018999999998"/>
    <n v="0.356821212"/>
    <n v="5"/>
    <n v="5.8917197452229297"/>
    <n v="27.263025013466741"/>
  </r>
  <r>
    <x v="15"/>
    <x v="35"/>
    <n v="0.52500000000000002"/>
    <n v="0.52500000000000002"/>
    <n v="7"/>
    <n v="11.942675159235668"/>
    <n v="112.01936866380598"/>
  </r>
  <r>
    <x v="15"/>
    <x v="35"/>
    <n v="0.52500000000000002"/>
    <n v="0.52500000000000002"/>
    <n v="8"/>
    <n v="17.070063694267514"/>
    <n v="228.85487317075058"/>
  </r>
  <r>
    <x v="15"/>
    <x v="35"/>
    <n v="0.52500000000000002"/>
    <n v="0.52500000000000002"/>
    <n v="8"/>
    <n v="28.025477707006367"/>
    <n v="616.87323799645401"/>
  </r>
  <r>
    <x v="15"/>
    <x v="35"/>
    <n v="0.52500000000000002"/>
    <n v="0.52500000000000002"/>
    <n v="8"/>
    <n v="10.891719745222931"/>
    <n v="93.171437769908678"/>
  </r>
  <r>
    <x v="15"/>
    <x v="36"/>
    <n v="0.39984676499999999"/>
    <n v="0.450333333"/>
    <n v="8"/>
    <n v="14.490445859872612"/>
    <n v="164.91242522755155"/>
  </r>
  <r>
    <x v="15"/>
    <x v="36"/>
    <n v="0.39984676499999999"/>
    <n v="0.450333333"/>
    <n v="11"/>
    <n v="15.987261146496815"/>
    <n v="200.74189497424902"/>
  </r>
  <r>
    <x v="15"/>
    <x v="50"/>
    <n v="0.43538739399999998"/>
    <n v="0.568333333"/>
    <n v="6.5"/>
    <n v="10.095541401273884"/>
    <n v="80.047746401117848"/>
  </r>
  <r>
    <x v="15"/>
    <x v="17"/>
    <n v="0.65716857299999998"/>
    <n v="0.85527777800000004"/>
    <n v="6"/>
    <n v="6.2101910828025479"/>
    <n v="30.290037286693146"/>
  </r>
  <r>
    <x v="15"/>
    <x v="17"/>
    <n v="0.65716857299999998"/>
    <n v="0.85527777800000004"/>
    <n v="6"/>
    <n v="5.7961783439490437"/>
    <n v="26.385988036408239"/>
  </r>
  <r>
    <x v="15"/>
    <x v="17"/>
    <n v="0.65716857299999998"/>
    <n v="0.85527777800000004"/>
    <n v="8"/>
    <n v="12.611464968152864"/>
    <n v="124.91683069428193"/>
  </r>
  <r>
    <x v="15"/>
    <x v="9"/>
    <n v="0.43836446099999998"/>
    <n v="0.58666666700000003"/>
    <n v="6.5"/>
    <n v="18.598726114649679"/>
    <n v="271.6791310151325"/>
  </r>
  <r>
    <x v="15"/>
    <x v="9"/>
    <n v="0.43836446099999998"/>
    <n v="0.58666666700000003"/>
    <n v="7.5"/>
    <n v="29.840764331210195"/>
    <n v="699.37445750323991"/>
  </r>
  <r>
    <x v="15"/>
    <x v="29"/>
    <n v="0.40238543599999999"/>
    <n v="0.40883333300000002"/>
    <n v="11"/>
    <n v="20.828025477707008"/>
    <n v="340.71094248823789"/>
  </r>
  <r>
    <x v="15"/>
    <x v="29"/>
    <n v="0.40238543599999999"/>
    <n v="0.40883333300000002"/>
    <n v="12"/>
    <n v="21.082802547770701"/>
    <n v="349.09735964942934"/>
  </r>
  <r>
    <x v="16"/>
    <x v="12"/>
    <n v="0.80908761900000004"/>
    <n v="0.87473809499999999"/>
    <n v="14"/>
    <n v="30.668789808917197"/>
    <n v="738.72561705518297"/>
  </r>
  <r>
    <x v="16"/>
    <x v="12"/>
    <n v="0.80908761900000004"/>
    <n v="0.87473809499999999"/>
    <n v="11"/>
    <n v="75.859872611464965"/>
    <n v="4519.7467329878527"/>
  </r>
  <r>
    <x v="16"/>
    <x v="45"/>
    <n v="0.31264018999999998"/>
    <n v="0.356821212"/>
    <n v="5"/>
    <n v="9.968152866242038"/>
    <n v="78.040359314662467"/>
  </r>
  <r>
    <x v="16"/>
    <x v="35"/>
    <n v="0.52500000000000002"/>
    <n v="0.52500000000000002"/>
    <n v="7"/>
    <n v="16.719745222929937"/>
    <n v="219.55796258105977"/>
  </r>
  <r>
    <x v="16"/>
    <x v="35"/>
    <n v="0.52500000000000002"/>
    <n v="0.52500000000000002"/>
    <n v="6.5"/>
    <n v="8.6942675159235669"/>
    <n v="59.368473081918566"/>
  </r>
  <r>
    <x v="16"/>
    <x v="35"/>
    <n v="0.52500000000000002"/>
    <n v="0.52500000000000002"/>
    <n v="9"/>
    <n v="46.43312101910827"/>
    <n v="1693.3457152586438"/>
  </r>
  <r>
    <x v="16"/>
    <x v="36"/>
    <n v="0.39984676499999999"/>
    <n v="0.450333333"/>
    <n v="12"/>
    <n v="41.019108280254777"/>
    <n v="1321.4852233145527"/>
  </r>
  <r>
    <x v="16"/>
    <x v="36"/>
    <n v="0.39984676499999999"/>
    <n v="0.450333333"/>
    <n v="12"/>
    <n v="23.98089171974522"/>
    <n v="451.66926369206016"/>
  </r>
  <r>
    <x v="16"/>
    <x v="36"/>
    <n v="0.39984676499999999"/>
    <n v="0.450333333"/>
    <n v="13"/>
    <n v="41.401273885350314"/>
    <n v="1346.2238794085838"/>
  </r>
  <r>
    <x v="16"/>
    <x v="36"/>
    <n v="0.39984676499999999"/>
    <n v="0.450333333"/>
    <n v="12"/>
    <n v="38.471337579617831"/>
    <n v="1162.4236941782769"/>
  </r>
  <r>
    <x v="16"/>
    <x v="36"/>
    <n v="0.39984676499999999"/>
    <n v="0.450333333"/>
    <n v="12"/>
    <n v="18.885350318471335"/>
    <n v="280.11732601783973"/>
  </r>
  <r>
    <x v="16"/>
    <x v="36"/>
    <n v="0.39984676499999999"/>
    <n v="0.450333333"/>
    <n v="10"/>
    <n v="19.554140127388536"/>
    <n v="300.308294462437"/>
  </r>
  <r>
    <x v="16"/>
    <x v="51"/>
    <n v="0.54"/>
    <n v="0.61247410899999999"/>
    <n v="6"/>
    <n v="7.1019108280254777"/>
    <n v="39.613235088230461"/>
  </r>
  <r>
    <x v="16"/>
    <x v="9"/>
    <n v="0.43836446099999998"/>
    <n v="0.58666666700000003"/>
    <n v="6"/>
    <n v="17.261146496815286"/>
    <n v="234.00716669265282"/>
  </r>
  <r>
    <x v="16"/>
    <x v="29"/>
    <n v="0.40238543599999999"/>
    <n v="0.40883333300000002"/>
    <n v="11"/>
    <n v="15.445859872611464"/>
    <n v="187.37604262360011"/>
  </r>
  <r>
    <x v="16"/>
    <x v="29"/>
    <n v="0.40238543599999999"/>
    <n v="0.40883333300000002"/>
    <n v="8"/>
    <n v="15.19108280254777"/>
    <n v="181.24554618813946"/>
  </r>
  <r>
    <x v="16"/>
    <x v="29"/>
    <n v="0.40238543599999999"/>
    <n v="0.40883333300000002"/>
    <n v="8"/>
    <n v="16.433121019108281"/>
    <n v="212.09478416320235"/>
  </r>
  <r>
    <x v="16"/>
    <x v="41"/>
    <n v="0.693333333"/>
    <n v="0.64166666699999997"/>
    <n v="5"/>
    <n v="5.8280254777070066"/>
    <n v="26.676740531073417"/>
  </r>
  <r>
    <x v="16"/>
    <x v="41"/>
    <n v="0.693333333"/>
    <n v="0.64166666699999997"/>
    <n v="7"/>
    <n v="17.00636942675159"/>
    <n v="227.1501873116178"/>
  </r>
  <r>
    <x v="17"/>
    <x v="45"/>
    <n v="0.31264018999999998"/>
    <n v="0.356821212"/>
    <n v="2.7"/>
    <n v="2.3885350320000001"/>
    <n v="4.4807747471257793"/>
  </r>
  <r>
    <x v="17"/>
    <x v="2"/>
    <n v="0.47982689899999997"/>
    <n v="0.51"/>
    <n v="6"/>
    <n v="8.6624203820000005"/>
    <n v="58.93433579311035"/>
  </r>
  <r>
    <x v="17"/>
    <x v="2"/>
    <n v="0.47982689899999997"/>
    <n v="0.51"/>
    <n v="6"/>
    <n v="7.1019108280000003"/>
    <n v="39.613235087946244"/>
  </r>
  <r>
    <x v="17"/>
    <x v="43"/>
    <n v="0.62643652800000005"/>
    <n v="0.57808694400000005"/>
    <n v="6"/>
    <n v="43.184713379999998"/>
    <n v="1464.7043263965377"/>
  </r>
  <r>
    <x v="17"/>
    <x v="43"/>
    <n v="0.62643652800000005"/>
    <n v="0.57808694400000005"/>
    <n v="7"/>
    <n v="35.414012739999997"/>
    <n v="985.00891174390063"/>
  </r>
  <r>
    <x v="17"/>
    <x v="43"/>
    <n v="0.62643652800000005"/>
    <n v="0.57808694400000005"/>
    <n v="6"/>
    <n v="27.866242039999999"/>
    <n v="609.88322946989774"/>
  </r>
  <r>
    <x v="17"/>
    <x v="43"/>
    <n v="0.62643652800000005"/>
    <n v="0.57808694400000005"/>
    <n v="6"/>
    <n v="38.270700640000001"/>
    <n v="1150.3306927064905"/>
  </r>
  <r>
    <x v="17"/>
    <x v="36"/>
    <n v="0.39984676499999999"/>
    <n v="0.450333333"/>
    <n v="11"/>
    <n v="38.72611465"/>
    <n v="1177.8710157772305"/>
  </r>
  <r>
    <x v="17"/>
    <x v="29"/>
    <n v="0.40238543599999999"/>
    <n v="0.40883333300000002"/>
    <n v="6"/>
    <n v="15.95541401"/>
    <n v="199.94292298190959"/>
  </r>
  <r>
    <x v="17"/>
    <x v="29"/>
    <n v="0.40238543599999999"/>
    <n v="0.40883333300000002"/>
    <n v="8"/>
    <n v="14.076433120000001"/>
    <n v="155.62348043709864"/>
  </r>
  <r>
    <x v="17"/>
    <x v="29"/>
    <n v="0.40238543599999999"/>
    <n v="0.40883333300000002"/>
    <n v="7"/>
    <n v="12.61146497"/>
    <n v="124.91683073087377"/>
  </r>
  <r>
    <x v="17"/>
    <x v="29"/>
    <n v="0.40238543599999999"/>
    <n v="0.40883333300000002"/>
    <n v="7"/>
    <n v="11.33757962"/>
    <n v="100.95563884373082"/>
  </r>
  <r>
    <x v="17"/>
    <x v="29"/>
    <n v="0.40238543599999999"/>
    <n v="0.40883333300000002"/>
    <n v="7"/>
    <n v="13.853503180000001"/>
    <n v="150.73326237144946"/>
  </r>
  <r>
    <x v="17"/>
    <x v="29"/>
    <n v="0.40238543599999999"/>
    <n v="0.40883333300000002"/>
    <n v="7"/>
    <n v="14.10828025"/>
    <n v="156.32845558055743"/>
  </r>
  <r>
    <x v="17"/>
    <x v="29"/>
    <n v="0.40238543599999999"/>
    <n v="0.40883333300000002"/>
    <n v="8"/>
    <n v="12.229299360000001"/>
    <n v="117.46082145728865"/>
  </r>
  <r>
    <x v="17"/>
    <x v="29"/>
    <n v="0.40238543599999999"/>
    <n v="0.40883333300000002"/>
    <n v="8"/>
    <n v="13.15286624"/>
    <n v="135.87222533471953"/>
  </r>
  <r>
    <x v="17"/>
    <x v="29"/>
    <n v="0.40238543599999999"/>
    <n v="0.40883333300000002"/>
    <n v="8"/>
    <n v="14.076433120000001"/>
    <n v="155.62348043709864"/>
  </r>
  <r>
    <x v="17"/>
    <x v="52"/>
    <n v="0.46679999999999999"/>
    <n v="0.81159999999999999"/>
    <n v="8"/>
    <n v="17.006369429999999"/>
    <n v="227.15018739839431"/>
  </r>
  <r>
    <x v="17"/>
    <x v="52"/>
    <n v="0.46679999999999999"/>
    <n v="0.81159999999999999"/>
    <n v="5"/>
    <n v="14.58598726"/>
    <n v="167.09426378453796"/>
  </r>
  <r>
    <x v="17"/>
    <x v="52"/>
    <n v="0.46679999999999999"/>
    <n v="0.81159999999999999"/>
    <n v="6"/>
    <n v="4.9681528659999996"/>
    <n v="19.385623861594752"/>
  </r>
  <r>
    <x v="18"/>
    <x v="2"/>
    <n v="0.47982689899999997"/>
    <n v="0.51"/>
    <n v="8"/>
    <n v="10.350318471337578"/>
    <n v="84.138992463036487"/>
  </r>
  <r>
    <x v="18"/>
    <x v="2"/>
    <n v="0.47982689899999997"/>
    <n v="0.51"/>
    <n v="8"/>
    <n v="6.5605095541401273"/>
    <n v="33.803761270167257"/>
  </r>
  <r>
    <x v="18"/>
    <x v="2"/>
    <n v="0.47982689899999997"/>
    <n v="0.51"/>
    <n v="9"/>
    <n v="10.414012738853504"/>
    <n v="85.177735622059473"/>
  </r>
  <r>
    <x v="18"/>
    <x v="43"/>
    <n v="0.62643652800000005"/>
    <n v="0.57808694400000005"/>
    <n v="5"/>
    <n v="27.802547770700635"/>
    <n v="607.09837810046429"/>
  </r>
  <r>
    <x v="18"/>
    <x v="43"/>
    <n v="0.62643652800000005"/>
    <n v="0.57808694400000005"/>
    <n v="7"/>
    <n v="61.942675159235669"/>
    <n v="3013.4902907690289"/>
  </r>
  <r>
    <x v="18"/>
    <x v="43"/>
    <n v="0.62643652800000005"/>
    <n v="0.57808694400000005"/>
    <n v="7"/>
    <n v="59.203821656050955"/>
    <n v="2752.8932110026135"/>
  </r>
  <r>
    <x v="18"/>
    <x v="43"/>
    <n v="0.62643652800000005"/>
    <n v="0.57808694400000005"/>
    <n v="7"/>
    <n v="64.363057324840767"/>
    <n v="3253.5929042813473"/>
  </r>
  <r>
    <x v="18"/>
    <x v="43"/>
    <n v="0.62643652800000005"/>
    <n v="0.57808694400000005"/>
    <n v="7"/>
    <n v="34.617834394904456"/>
    <n v="941.21680649048585"/>
  </r>
  <r>
    <x v="18"/>
    <x v="43"/>
    <n v="0.62643652800000005"/>
    <n v="0.57808694400000005"/>
    <n v="7"/>
    <n v="58.535031847133759"/>
    <n v="2691.0489605140669"/>
  </r>
  <r>
    <x v="19"/>
    <x v="45"/>
    <n v="0.31264018999999998"/>
    <n v="0.356821212"/>
    <n v="5"/>
    <n v="9.7133757961783438"/>
    <n v="74.102057030759482"/>
  </r>
  <r>
    <x v="19"/>
    <x v="53"/>
    <n v="0.6"/>
    <n v="0.66674999999999995"/>
    <n v="8"/>
    <n v="10.031847133757962"/>
    <n v="79.040866529181514"/>
  </r>
  <r>
    <x v="19"/>
    <x v="2"/>
    <n v="0.47982689899999997"/>
    <n v="0.51"/>
    <n v="5"/>
    <n v="4.0127388535031843"/>
    <n v="12.64653864466904"/>
  </r>
  <r>
    <x v="19"/>
    <x v="2"/>
    <n v="0.47982689899999997"/>
    <n v="0.51"/>
    <n v="4"/>
    <n v="2.6751592356687897"/>
    <n v="5.6206838420751293"/>
  </r>
  <r>
    <x v="19"/>
    <x v="43"/>
    <n v="0.62643652800000005"/>
    <n v="0.57808694400000005"/>
    <n v="6"/>
    <n v="41.910828025477706"/>
    <n v="1379.5656230159957"/>
  </r>
  <r>
    <x v="19"/>
    <x v="43"/>
    <n v="0.62643652800000005"/>
    <n v="0.57808694400000005"/>
    <n v="6"/>
    <n v="45.859872611464965"/>
    <n v="1651.7928025690176"/>
  </r>
  <r>
    <x v="19"/>
    <x v="43"/>
    <n v="0.62643652800000005"/>
    <n v="0.57808694400000005"/>
    <n v="6"/>
    <n v="58.152866242038222"/>
    <n v="2656.0248353484835"/>
  </r>
  <r>
    <x v="19"/>
    <x v="43"/>
    <n v="0.62643652800000005"/>
    <n v="0.57808694400000005"/>
    <n v="7"/>
    <n v="52.133757961783431"/>
    <n v="2134.6562243188523"/>
  </r>
  <r>
    <x v="19"/>
    <x v="43"/>
    <n v="0.62643652800000005"/>
    <n v="0.57808694400000005"/>
    <n v="7"/>
    <n v="68.184713375796179"/>
    <n v="3651.4379068445564"/>
  </r>
  <r>
    <x v="19"/>
    <x v="43"/>
    <n v="0.62643652800000005"/>
    <n v="0.57808694400000005"/>
    <n v="6"/>
    <n v="48.089171974522294"/>
    <n v="1816.2870221535579"/>
  </r>
  <r>
    <x v="19"/>
    <x v="43"/>
    <n v="0.62643652800000005"/>
    <n v="0.57808694400000005"/>
    <n v="6"/>
    <n v="52.738853503184707"/>
    <n v="2184.4959813975256"/>
  </r>
  <r>
    <x v="19"/>
    <x v="43"/>
    <n v="0.62643652800000005"/>
    <n v="0.57808694400000005"/>
    <n v="6.5"/>
    <n v="38.726114649681527"/>
    <n v="1177.8710157578575"/>
  </r>
  <r>
    <x v="19"/>
    <x v="43"/>
    <n v="0.62643652800000005"/>
    <n v="0.57808694400000005"/>
    <n v="5"/>
    <n v="45.859872611464965"/>
    <n v="1651.7928025690176"/>
  </r>
  <r>
    <x v="19"/>
    <x v="36"/>
    <n v="0.39984676499999999"/>
    <n v="0.450333333"/>
    <n v="10"/>
    <n v="15.35031847133758"/>
    <n v="185.06515772764493"/>
  </r>
  <r>
    <x v="19"/>
    <x v="36"/>
    <n v="0.39984676499999999"/>
    <n v="0.450333333"/>
    <n v="10"/>
    <n v="50.222929936305725"/>
    <n v="1981.0433172743847"/>
  </r>
  <r>
    <x v="19"/>
    <x v="36"/>
    <n v="0.39984676499999999"/>
    <n v="0.450333333"/>
    <n v="12"/>
    <n v="24.044585987261147"/>
    <n v="454.07175553838948"/>
  </r>
  <r>
    <x v="19"/>
    <x v="50"/>
    <n v="0.43538739399999998"/>
    <n v="0.568333333"/>
    <n v="5"/>
    <n v="14.840764331210188"/>
    <n v="172.98259926440852"/>
  </r>
  <r>
    <x v="19"/>
    <x v="9"/>
    <n v="0.43836446099999998"/>
    <n v="0.58666666700000003"/>
    <n v="7"/>
    <n v="10.085987261146498"/>
    <n v="79.896308163417089"/>
  </r>
  <r>
    <x v="19"/>
    <x v="9"/>
    <n v="0.43836446099999998"/>
    <n v="0.58666666700000003"/>
    <n v="4"/>
    <n v="5.6050955414012744"/>
    <n v="24.674929519858171"/>
  </r>
  <r>
    <x v="19"/>
    <x v="29"/>
    <n v="0.40238543599999999"/>
    <n v="0.40883333300000002"/>
    <n v="9"/>
    <n v="10.031847133757962"/>
    <n v="79.040866529181514"/>
  </r>
  <r>
    <x v="19"/>
    <x v="29"/>
    <n v="0.40238543599999999"/>
    <n v="0.40883333300000002"/>
    <n v="8"/>
    <n v="4.9044585987261149"/>
    <n v="18.891742913641409"/>
  </r>
  <r>
    <x v="19"/>
    <x v="29"/>
    <n v="0.40238543599999999"/>
    <n v="0.40883333300000002"/>
    <n v="8.5"/>
    <n v="10.859872611464969"/>
    <n v="92.627372142905088"/>
  </r>
  <r>
    <x v="19"/>
    <x v="29"/>
    <n v="0.40238543599999999"/>
    <n v="0.40883333300000002"/>
    <n v="8"/>
    <n v="16.305732484076433"/>
    <n v="208.81923825070052"/>
  </r>
  <r>
    <x v="19"/>
    <x v="29"/>
    <n v="0.40238543599999999"/>
    <n v="0.40883333300000002"/>
    <n v="8"/>
    <n v="11.146496815286623"/>
    <n v="97.581316702693215"/>
  </r>
  <r>
    <x v="20"/>
    <x v="45"/>
    <n v="0.31264018999999998"/>
    <n v="0.356821212"/>
    <n v="6"/>
    <n v="12.898089171974522"/>
    <n v="130.65939160946331"/>
  </r>
  <r>
    <x v="20"/>
    <x v="45"/>
    <n v="0.31264018999999998"/>
    <n v="0.356821212"/>
    <n v="4.5"/>
    <n v="5.8917197452229297"/>
    <n v="27.263025013466741"/>
  </r>
  <r>
    <x v="20"/>
    <x v="45"/>
    <n v="0.31264018999999998"/>
    <n v="0.356821212"/>
    <n v="6"/>
    <n v="13.821656050955413"/>
    <n v="150.04103256206108"/>
  </r>
  <r>
    <x v="20"/>
    <x v="53"/>
    <n v="0.6"/>
    <n v="0.66674999999999995"/>
    <n v="6"/>
    <n v="9.7770700636942678"/>
    <n v="75.077073615609251"/>
  </r>
  <r>
    <x v="20"/>
    <x v="53"/>
    <n v="0.6"/>
    <n v="0.66674999999999995"/>
    <n v="5"/>
    <n v="23.662420382165603"/>
    <n v="439.75239432167416"/>
  </r>
  <r>
    <x v="20"/>
    <x v="54"/>
    <n v="0.59"/>
    <n v="0.59"/>
    <n v="6"/>
    <n v="12.738853503184712"/>
    <n v="127.4531483463748"/>
  </r>
  <r>
    <x v="20"/>
    <x v="2"/>
    <n v="0.47982689899999997"/>
    <n v="0.51"/>
    <n v="6"/>
    <n v="11.337579617834395"/>
    <n v="100.9556388051635"/>
  </r>
  <r>
    <x v="20"/>
    <x v="2"/>
    <n v="0.47982689899999997"/>
    <n v="0.51"/>
    <n v="8"/>
    <n v="15.254777070063692"/>
    <n v="182.76861131087861"/>
  </r>
  <r>
    <x v="20"/>
    <x v="35"/>
    <n v="0.52500000000000002"/>
    <n v="0.52500000000000002"/>
    <n v="8"/>
    <n v="18.089171974522291"/>
    <n v="256.99652832563015"/>
  </r>
  <r>
    <x v="20"/>
    <x v="35"/>
    <n v="0.52500000000000002"/>
    <n v="0.52500000000000002"/>
    <n v="8"/>
    <n v="16.337579617834393"/>
    <n v="209.63573498229442"/>
  </r>
  <r>
    <x v="20"/>
    <x v="22"/>
    <n v="1082380952"/>
    <n v="0.61247410899999999"/>
    <n v="6"/>
    <n v="20.764331210191077"/>
    <n v="338.63026984148308"/>
  </r>
  <r>
    <x v="20"/>
    <x v="50"/>
    <n v="0.43538739399999998"/>
    <n v="0.568333333"/>
    <n v="7"/>
    <n v="23.853503184713375"/>
    <n v="446.88339797165389"/>
  </r>
  <r>
    <x v="20"/>
    <x v="50"/>
    <n v="0.43538739399999998"/>
    <n v="0.568333333"/>
    <n v="8"/>
    <n v="29.267515923566879"/>
    <n v="672.76224012851674"/>
  </r>
  <r>
    <x v="20"/>
    <x v="48"/>
    <n v="0.39"/>
    <n v="0.28861111099999998"/>
    <n v="4"/>
    <n v="6.5286624203821653"/>
    <n v="33.476365995352509"/>
  </r>
  <r>
    <x v="20"/>
    <x v="48"/>
    <n v="0.39"/>
    <n v="0.28861111099999998"/>
    <n v="5.5"/>
    <n v="14.585987261146496"/>
    <n v="167.09426381080601"/>
  </r>
  <r>
    <x v="20"/>
    <x v="41"/>
    <n v="0.693333333"/>
    <n v="0.64166666699999997"/>
    <n v="7"/>
    <n v="18.757961783439491"/>
    <n v="276.35108548420442"/>
  </r>
  <r>
    <x v="20"/>
    <x v="41"/>
    <n v="0.693333333"/>
    <n v="0.64166666699999997"/>
    <n v="6"/>
    <n v="13.789808917197451"/>
    <n v="149.35039581445918"/>
  </r>
  <r>
    <x v="20"/>
    <x v="41"/>
    <n v="0.693333333"/>
    <n v="0.64166666699999997"/>
    <n v="8"/>
    <n v="23.917197452229296"/>
    <n v="449.27314450314827"/>
  </r>
  <r>
    <x v="20"/>
    <x v="55"/>
    <n v="0.77"/>
    <n v="0.77"/>
    <n v="3"/>
    <n v="4.2675159235668794"/>
    <n v="14.303429573171918"/>
  </r>
  <r>
    <x v="20"/>
    <x v="55"/>
    <n v="0.77"/>
    <n v="0.77"/>
    <n v="3.5"/>
    <n v="3.6624203821656049"/>
    <n v="10.534799293005044"/>
  </r>
  <r>
    <x v="21"/>
    <x v="12"/>
    <n v="0.80908761900000004"/>
    <n v="0.87473809499999999"/>
    <n v="11"/>
    <n v="27.261146496815282"/>
    <n v="583.68443816705803"/>
  </r>
  <r>
    <x v="21"/>
    <x v="12"/>
    <n v="0.80908761900000004"/>
    <n v="0.87473809499999999"/>
    <n v="5"/>
    <n v="5.5732484076433115"/>
    <n v="24.395329175673304"/>
  </r>
  <r>
    <x v="21"/>
    <x v="12"/>
    <n v="0.80908761900000004"/>
    <n v="0.87473809499999999"/>
    <n v="8"/>
    <n v="31.210191082802545"/>
    <n v="765.03752294911476"/>
  </r>
  <r>
    <x v="21"/>
    <x v="12"/>
    <n v="0.80908761900000004"/>
    <n v="0.87473809499999999"/>
    <n v="7"/>
    <n v="16.019108280254777"/>
    <n v="201.54246006229965"/>
  </r>
  <r>
    <x v="21"/>
    <x v="56"/>
    <n v="0.37226847299999999"/>
    <n v="0.42234285700000002"/>
    <n v="3"/>
    <n v="3.9171974522292996"/>
    <n v="12.051491758326906"/>
  </r>
  <r>
    <x v="21"/>
    <x v="53"/>
    <n v="0.6"/>
    <n v="0.66674999999999995"/>
    <n v="6.5"/>
    <n v="4.6178343949044587"/>
    <n v="16.748140274890819"/>
  </r>
  <r>
    <x v="21"/>
    <x v="53"/>
    <n v="0.6"/>
    <n v="0.66674999999999995"/>
    <n v="6"/>
    <n v="6.2101910828025479"/>
    <n v="30.290037286693146"/>
  </r>
  <r>
    <x v="21"/>
    <x v="40"/>
    <n v="0.9"/>
    <n v="0.61247410899999999"/>
    <n v="4"/>
    <n v="2.6114649681528661"/>
    <n v="5.3562185592564013"/>
  </r>
  <r>
    <x v="21"/>
    <x v="43"/>
    <n v="0.62643652800000005"/>
    <n v="0.57808694400000005"/>
    <n v="8"/>
    <n v="82.738853503184714"/>
    <n v="5376.6142493205307"/>
  </r>
  <r>
    <x v="21"/>
    <x v="43"/>
    <n v="0.62643652800000005"/>
    <n v="0.57808694400000005"/>
    <n v="7"/>
    <n v="69.522292993630572"/>
    <n v="3796.1036028751091"/>
  </r>
  <r>
    <x v="21"/>
    <x v="48"/>
    <n v="0.39"/>
    <n v="0.28861111099999998"/>
    <n v="4"/>
    <n v="11.019108280254777"/>
    <n v="95.363631921466293"/>
  </r>
  <r>
    <x v="21"/>
    <x v="48"/>
    <n v="0.39"/>
    <n v="0.28861111099999998"/>
    <n v="4"/>
    <n v="8.6942675159235669"/>
    <n v="59.368473081918566"/>
  </r>
  <r>
    <x v="21"/>
    <x v="41"/>
    <n v="0.693333333"/>
    <n v="0.64166666699999997"/>
    <n v="7"/>
    <n v="27.452229299363058"/>
    <n v="591.89560724927344"/>
  </r>
  <r>
    <x v="21"/>
    <x v="41"/>
    <n v="0.693333333"/>
    <n v="0.64166666699999997"/>
    <n v="7"/>
    <n v="11.878980891719744"/>
    <n v="110.82768172676738"/>
  </r>
  <r>
    <x v="21"/>
    <x v="41"/>
    <n v="0.693333333"/>
    <n v="0.64166666699999997"/>
    <n v="7"/>
    <n v="11.592356687898087"/>
    <n v="105.54395214563296"/>
  </r>
  <r>
    <x v="21"/>
    <x v="41"/>
    <n v="0.693333333"/>
    <n v="0.64166666699999997"/>
    <n v="8"/>
    <n v="24.012738853503187"/>
    <n v="452.86971303304773"/>
  </r>
  <r>
    <x v="21"/>
    <x v="41"/>
    <n v="0.693333333"/>
    <n v="0.64166666699999997"/>
    <n v="6"/>
    <n v="6.7515923566878975"/>
    <n v="35.801589370496679"/>
  </r>
  <r>
    <x v="21"/>
    <x v="41"/>
    <n v="0.693333333"/>
    <n v="0.64166666699999997"/>
    <n v="8"/>
    <n v="24.7452229299363"/>
    <n v="480.91976123755313"/>
  </r>
  <r>
    <x v="21"/>
    <x v="41"/>
    <n v="0.693333333"/>
    <n v="0.64166666699999997"/>
    <n v="7"/>
    <n v="25.03184713375796"/>
    <n v="492.12528272373112"/>
  </r>
  <r>
    <x v="21"/>
    <x v="41"/>
    <n v="0.693333333"/>
    <n v="0.64166666699999997"/>
    <n v="8"/>
    <n v="28.885350318471332"/>
    <n v="655.30753146248037"/>
  </r>
  <r>
    <x v="21"/>
    <x v="41"/>
    <n v="0.693333333"/>
    <n v="0.64166666699999997"/>
    <n v="7"/>
    <n v="14.61783439490446"/>
    <n v="167.82472966726624"/>
  </r>
  <r>
    <x v="22"/>
    <x v="49"/>
    <n v="0.86"/>
    <n v="0.65666666699999998"/>
    <n v="5"/>
    <n v="4.6178343949044587"/>
    <n v="16.748140274890819"/>
  </r>
  <r>
    <x v="22"/>
    <x v="31"/>
    <n v="0.40257753800000001"/>
    <n v="0.40843333300000001"/>
    <n v="4"/>
    <n v="10.477707006369426"/>
    <n v="86.222851438499731"/>
  </r>
  <r>
    <x v="22"/>
    <x v="57"/>
    <n v="0.80803492399999999"/>
    <n v="0.87275320499999998"/>
    <n v="7"/>
    <n v="14.076433121019109"/>
    <n v="155.62348045963233"/>
  </r>
  <r>
    <x v="22"/>
    <x v="57"/>
    <n v="0.80803492399999999"/>
    <n v="0.87275320499999998"/>
    <n v="7"/>
    <n v="28.726114649681524"/>
    <n v="648.10244567002451"/>
  </r>
  <r>
    <x v="22"/>
    <x v="39"/>
    <n v="0.41"/>
    <n v="0.33983503399999998"/>
    <n v="9"/>
    <n v="20.127388535031844"/>
    <n v="318.17403953189"/>
  </r>
  <r>
    <x v="22"/>
    <x v="39"/>
    <n v="0.41"/>
    <n v="0.33983503399999998"/>
    <n v="9"/>
    <n v="8.4076433121019107"/>
    <n v="55.518591419680874"/>
  </r>
  <r>
    <x v="22"/>
    <x v="39"/>
    <n v="0.41"/>
    <n v="0.33983503399999998"/>
    <n v="7"/>
    <n v="7.1019108280254777"/>
    <n v="39.613235088230461"/>
  </r>
  <r>
    <x v="22"/>
    <x v="56"/>
    <n v="0.37226847299999999"/>
    <n v="0.42234285700000002"/>
    <n v="6"/>
    <n v="6.2101910828025479"/>
    <n v="30.290037286693146"/>
  </r>
  <r>
    <x v="22"/>
    <x v="56"/>
    <n v="0.37226847299999999"/>
    <n v="0.42234285700000002"/>
    <n v="3.5"/>
    <n v="11.815286624203821"/>
    <n v="109.64236744714611"/>
  </r>
  <r>
    <x v="22"/>
    <x v="35"/>
    <n v="0.52500000000000002"/>
    <n v="0.52500000000000002"/>
    <n v="7"/>
    <n v="15.668789808917198"/>
    <n v="192.82386813323049"/>
  </r>
  <r>
    <x v="22"/>
    <x v="35"/>
    <n v="0.52500000000000002"/>
    <n v="0.52500000000000002"/>
    <n v="7"/>
    <n v="12.643312101910828"/>
    <n v="125.54852036077369"/>
  </r>
  <r>
    <x v="22"/>
    <x v="58"/>
    <n v="0.85449533600000005"/>
    <n v="0.81482857099999995"/>
    <n v="5"/>
    <n v="9.4904458598726116"/>
    <n v="70.739683660946696"/>
  </r>
  <r>
    <x v="22"/>
    <x v="50"/>
    <n v="0.43538739399999998"/>
    <n v="0.568333333"/>
    <n v="8"/>
    <n v="20.318471337579616"/>
    <n v="324.24399572188617"/>
  </r>
  <r>
    <x v="22"/>
    <x v="29"/>
    <n v="0.40238543599999999"/>
    <n v="0.40883333300000002"/>
    <n v="9"/>
    <n v="18.312101910828027"/>
    <n v="263.3699823251261"/>
  </r>
  <r>
    <x v="22"/>
    <x v="29"/>
    <n v="0.40238543599999999"/>
    <n v="0.40883333300000002"/>
    <n v="9"/>
    <n v="18.312101910828027"/>
    <n v="263.3699823251261"/>
  </r>
  <r>
    <x v="22"/>
    <x v="29"/>
    <n v="0.40238543599999999"/>
    <n v="0.40883333300000002"/>
    <n v="8"/>
    <n v="17.35668789808917"/>
    <n v="236.60482117238735"/>
  </r>
  <r>
    <x v="22"/>
    <x v="29"/>
    <n v="0.40238543599999999"/>
    <n v="0.40883333300000002"/>
    <n v="7"/>
    <n v="17.00636942675159"/>
    <n v="227.1501873116178"/>
  </r>
  <r>
    <x v="22"/>
    <x v="59"/>
    <n v="0.28577490700000002"/>
    <n v="0.3422"/>
    <n v="5"/>
    <n v="29.968152866242036"/>
    <n v="705.35838281810197"/>
  </r>
  <r>
    <x v="22"/>
    <x v="59"/>
    <n v="0.28577490700000002"/>
    <n v="0.3422"/>
    <n v="6.5"/>
    <n v="20.859872611464969"/>
    <n v="341.75366855814667"/>
  </r>
  <r>
    <x v="23"/>
    <x v="31"/>
    <n v="0.40257753800000001"/>
    <n v="0.40843333300000001"/>
    <n v="3.5"/>
    <n v="12.579617834394904"/>
    <n v="124.28673419214456"/>
  </r>
  <r>
    <x v="23"/>
    <x v="31"/>
    <n v="0.40257753800000001"/>
    <n v="0.40843333300000001"/>
    <n v="7"/>
    <n v="11.942675159235668"/>
    <n v="112.01936866380598"/>
  </r>
  <r>
    <x v="23"/>
    <x v="57"/>
    <n v="0.80803492399999999"/>
    <n v="0.87275320499999998"/>
    <n v="7"/>
    <n v="6.5286624203821653"/>
    <n v="33.476365995352509"/>
  </r>
  <r>
    <x v="23"/>
    <x v="57"/>
    <n v="0.80803492399999999"/>
    <n v="0.87275320499999998"/>
    <n v="8"/>
    <n v="23.789808917197448"/>
    <n v="444.50002409757656"/>
  </r>
  <r>
    <x v="23"/>
    <x v="57"/>
    <n v="0.80803492399999999"/>
    <n v="0.87275320499999998"/>
    <n v="8.5"/>
    <n v="15.764331210191083"/>
    <n v="195.18254795981557"/>
  </r>
  <r>
    <x v="23"/>
    <x v="57"/>
    <n v="0.80803492399999999"/>
    <n v="0.87275320499999998"/>
    <n v="8"/>
    <n v="11.210191082802549"/>
    <n v="98.699718079432685"/>
  </r>
  <r>
    <x v="23"/>
    <x v="39"/>
    <n v="0.41"/>
    <n v="0.33983503399999998"/>
    <n v="7"/>
    <n v="6.4968152866242033"/>
    <n v="33.150563884892087"/>
  </r>
  <r>
    <x v="23"/>
    <x v="39"/>
    <n v="0.41"/>
    <n v="0.33983503399999998"/>
    <n v="5"/>
    <n v="6.4649681528662422"/>
    <n v="32.826354938786004"/>
  </r>
  <r>
    <x v="23"/>
    <x v="45"/>
    <n v="0.31264018999999998"/>
    <n v="0.356821212"/>
    <n v="3.5"/>
    <n v="5.8917197452229297"/>
    <n v="27.263025013466741"/>
  </r>
  <r>
    <x v="23"/>
    <x v="53"/>
    <n v="0.6"/>
    <n v="0.66674999999999995"/>
    <n v="4.5"/>
    <n v="5.2229299363057322"/>
    <n v="21.424874237025605"/>
  </r>
  <r>
    <x v="23"/>
    <x v="60"/>
    <n v="0.60413333300000005"/>
    <n v="0.60831666699999998"/>
    <n v="8"/>
    <n v="13.757961783439491"/>
    <n v="148.66135223121162"/>
  </r>
  <r>
    <x v="23"/>
    <x v="35"/>
    <n v="0.52500000000000002"/>
    <n v="0.52500000000000002"/>
    <n v="3.5"/>
    <n v="2.9617834394904459"/>
    <n v="6.8896392502987247"/>
  </r>
  <r>
    <x v="23"/>
    <x v="36"/>
    <n v="0.39984676499999999"/>
    <n v="0.450333333"/>
    <n v="8"/>
    <n v="28.025477707006367"/>
    <n v="616.87323799645401"/>
  </r>
  <r>
    <x v="23"/>
    <x v="29"/>
    <n v="0.40238543599999999"/>
    <n v="0.40883333300000002"/>
    <n v="6"/>
    <n v="19.872611464968152"/>
    <n v="310.16998181573774"/>
  </r>
  <r>
    <x v="23"/>
    <x v="30"/>
    <n v="0.57917600000000002"/>
    <n v="0.60285714300000004"/>
    <n v="9"/>
    <n v="42.611464968152866"/>
    <n v="1426.0764631762966"/>
  </r>
  <r>
    <x v="23"/>
    <x v="30"/>
    <n v="0.57917600000000002"/>
    <n v="0.60285714300000004"/>
    <n v="8"/>
    <n v="48.312101910828027"/>
    <n v="1833.1658019055037"/>
  </r>
  <r>
    <x v="23"/>
    <x v="59"/>
    <n v="0.28577490700000002"/>
    <n v="0.3422"/>
    <n v="7"/>
    <n v="9.6178343949044578"/>
    <n v="72.651480886142309"/>
  </r>
  <r>
    <x v="24"/>
    <x v="2"/>
    <n v="0.47982689899999997"/>
    <n v="0.51"/>
    <n v="2"/>
    <n v="2.9617834394904459"/>
    <n v="6.8896392502987247"/>
  </r>
  <r>
    <x v="24"/>
    <x v="2"/>
    <n v="0.47982689899999997"/>
    <n v="0.51"/>
    <n v="6"/>
    <n v="5.1910828025477711"/>
    <n v="21.164391865092711"/>
  </r>
  <r>
    <x v="24"/>
    <x v="2"/>
    <n v="0.47982689899999997"/>
    <n v="0.51"/>
    <n v="3"/>
    <n v="5.4140127388535033"/>
    <n v="23.021224920063954"/>
  </r>
  <r>
    <x v="24"/>
    <x v="2"/>
    <n v="0.47982689899999997"/>
    <n v="0.51"/>
    <n v="5"/>
    <n v="3.6942675159235665"/>
    <n v="10.71880977593012"/>
  </r>
  <r>
    <x v="24"/>
    <x v="2"/>
    <n v="0.47982689899999997"/>
    <n v="0.51"/>
    <n v="3"/>
    <n v="6.3057324840764331"/>
    <n v="31.229207673570492"/>
  </r>
  <r>
    <x v="24"/>
    <x v="35"/>
    <n v="0.52500000000000002"/>
    <n v="0.52500000000000002"/>
    <n v="7.5"/>
    <n v="10.636942675159235"/>
    <n v="88.863521355801183"/>
  </r>
  <r>
    <x v="24"/>
    <x v="30"/>
    <n v="0.57917600000000002"/>
    <n v="0.60285714300000004"/>
    <n v="7"/>
    <n v="13.439490445859873"/>
    <n v="141.85854043822386"/>
  </r>
  <r>
    <x v="24"/>
    <x v="30"/>
    <n v="0.57917600000000002"/>
    <n v="0.60285714300000004"/>
    <n v="5.5"/>
    <n v="9.0127388535031852"/>
    <n v="63.797469986955093"/>
  </r>
  <r>
    <x v="24"/>
    <x v="30"/>
    <n v="0.57917600000000002"/>
    <n v="0.60285714300000004"/>
    <n v="7"/>
    <n v="13.789808917197451"/>
    <n v="149.35039581445918"/>
  </r>
  <r>
    <x v="24"/>
    <x v="30"/>
    <n v="0.57917600000000002"/>
    <n v="0.60285714300000004"/>
    <n v="6.5"/>
    <n v="10.286624203821654"/>
    <n v="83.106621961430847"/>
  </r>
  <r>
    <x v="24"/>
    <x v="55"/>
    <n v="0.77"/>
    <n v="0.77"/>
    <n v="6"/>
    <n v="8.7579617834394909"/>
    <n v="60.241527148091237"/>
  </r>
  <r>
    <x v="24"/>
    <x v="55"/>
    <n v="0.77"/>
    <n v="0.77"/>
    <n v="5.5"/>
    <n v="9.6178343949044578"/>
    <n v="72.651480886142309"/>
  </r>
  <r>
    <x v="24"/>
    <x v="55"/>
    <n v="0.77"/>
    <n v="0.77"/>
    <n v="7"/>
    <n v="10.828025477707007"/>
    <n v="92.084899680255816"/>
  </r>
  <r>
    <x v="25"/>
    <x v="57"/>
    <n v="0.80803492399999999"/>
    <n v="0.87275320499999998"/>
    <n v="8"/>
    <n v="11.656050955414013"/>
    <n v="106.70696212429367"/>
  </r>
  <r>
    <x v="25"/>
    <x v="61"/>
    <n v="0.60064078700000001"/>
    <n v="0.66733333299999997"/>
    <n v="6.8"/>
    <n v="3.5987261146496814"/>
    <n v="10.171557820217876"/>
  </r>
  <r>
    <x v="25"/>
    <x v="35"/>
    <n v="0.52500000000000002"/>
    <n v="0.52500000000000002"/>
    <n v="7"/>
    <n v="7.4203821656050959"/>
    <n v="43.245649816102144"/>
  </r>
  <r>
    <x v="25"/>
    <x v="35"/>
    <n v="0.52500000000000002"/>
    <n v="0.52500000000000002"/>
    <n v="3.2"/>
    <n v="6.2738853503184719"/>
    <n v="30.914557713590387"/>
  </r>
  <r>
    <x v="25"/>
    <x v="35"/>
    <n v="0.52500000000000002"/>
    <n v="0.52500000000000002"/>
    <n v="6"/>
    <n v="8.4713375796178347"/>
    <n v="56.362968527475616"/>
  </r>
  <r>
    <x v="25"/>
    <x v="24"/>
    <n v="0.56193137999999998"/>
    <n v="0.57808694400000005"/>
    <n v="3.5"/>
    <n v="8.9171974522292992"/>
    <n v="62.452042689723655"/>
  </r>
  <r>
    <x v="25"/>
    <x v="24"/>
    <n v="0.56193137999999998"/>
    <n v="0.57808694400000005"/>
    <n v="6"/>
    <n v="28.757961783439487"/>
    <n v="649.54027649980708"/>
  </r>
  <r>
    <x v="25"/>
    <x v="24"/>
    <n v="0.56193137999999998"/>
    <n v="0.57808694400000005"/>
    <n v="5"/>
    <n v="18.121019108280255"/>
    <n v="257.90224226106665"/>
  </r>
  <r>
    <x v="25"/>
    <x v="24"/>
    <n v="0.56193137999999998"/>
    <n v="0.57808694400000005"/>
    <n v="6"/>
    <n v="19.554140127388536"/>
    <n v="300.308294462437"/>
  </r>
  <r>
    <x v="25"/>
    <x v="36"/>
    <n v="0.39984676499999999"/>
    <n v="0.450333333"/>
    <n v="8"/>
    <n v="14.426751592356686"/>
    <n v="163.46583199382016"/>
  </r>
  <r>
    <x v="25"/>
    <x v="36"/>
    <n v="0.39984676499999999"/>
    <n v="0.450333333"/>
    <n v="7"/>
    <n v="27.452229299363054"/>
    <n v="591.89560724927321"/>
  </r>
  <r>
    <x v="25"/>
    <x v="36"/>
    <n v="0.39984676499999999"/>
    <n v="0.450333333"/>
    <n v="7.5"/>
    <n v="20.859872611464969"/>
    <n v="341.75366855814667"/>
  </r>
  <r>
    <x v="25"/>
    <x v="30"/>
    <n v="0.57917600000000002"/>
    <n v="0.60285714300000004"/>
    <n v="5"/>
    <n v="10.095541401273884"/>
    <n v="80.047746401117848"/>
  </r>
  <r>
    <x v="25"/>
    <x v="30"/>
    <n v="0.57917600000000002"/>
    <n v="0.60285714300000004"/>
    <n v="7"/>
    <n v="16.878980891719745"/>
    <n v="223.75993356560429"/>
  </r>
  <r>
    <x v="25"/>
    <x v="30"/>
    <n v="0.57917600000000002"/>
    <n v="0.60285714300000004"/>
    <n v="7"/>
    <n v="11.242038216560509"/>
    <n v="99.261308514333876"/>
  </r>
  <r>
    <x v="26"/>
    <x v="53"/>
    <n v="0.6"/>
    <n v="0.66674999999999995"/>
    <n v="7"/>
    <n v="15.891719745222929"/>
    <n v="198.34975869622295"/>
  </r>
  <r>
    <x v="26"/>
    <x v="35"/>
    <n v="0.52500000000000002"/>
    <n v="0.52500000000000002"/>
    <n v="7"/>
    <n v="22.579617834394906"/>
    <n v="400.42672539940037"/>
  </r>
  <r>
    <x v="26"/>
    <x v="35"/>
    <n v="0.52500000000000002"/>
    <n v="0.52500000000000002"/>
    <n v="8"/>
    <n v="13.789808917197451"/>
    <n v="149.35039581445918"/>
  </r>
  <r>
    <x v="26"/>
    <x v="24"/>
    <n v="0.56193137999999998"/>
    <n v="0.57808694400000005"/>
    <n v="8"/>
    <n v="13.917197452229299"/>
    <n v="152.12250179099283"/>
  </r>
  <r>
    <x v="26"/>
    <x v="24"/>
    <n v="0.56193137999999998"/>
    <n v="0.57808694400000005"/>
    <n v="3.5"/>
    <n v="6.401273885350319"/>
    <n v="32.182716539636814"/>
  </r>
  <r>
    <x v="26"/>
    <x v="36"/>
    <n v="0.39984676499999999"/>
    <n v="0.450333333"/>
    <n v="15"/>
    <n v="37.420382165605091"/>
    <n v="1099.7812683482107"/>
  </r>
  <r>
    <x v="26"/>
    <x v="36"/>
    <n v="0.39984676499999999"/>
    <n v="0.450333333"/>
    <n v="12"/>
    <n v="36.337579617834393"/>
    <n v="1037.0552013895424"/>
  </r>
  <r>
    <x v="26"/>
    <x v="36"/>
    <n v="0.39984676499999999"/>
    <n v="0.450333333"/>
    <n v="10"/>
    <n v="16.433121019108281"/>
    <n v="212.09478416320235"/>
  </r>
  <r>
    <x v="26"/>
    <x v="36"/>
    <n v="0.39984676499999999"/>
    <n v="0.450333333"/>
    <n v="11"/>
    <n v="21.464968152866241"/>
    <n v="361.86816511373604"/>
  </r>
  <r>
    <x v="26"/>
    <x v="50"/>
    <n v="0.43538739399999998"/>
    <n v="0.568333333"/>
    <n v="7.5"/>
    <n v="10.382165605095542"/>
    <n v="84.657567460370842"/>
  </r>
  <r>
    <x v="26"/>
    <x v="30"/>
    <n v="0.57917600000000002"/>
    <n v="0.60285714300000004"/>
    <n v="10"/>
    <n v="46.146496815286625"/>
    <n v="1672.5047357574811"/>
  </r>
  <r>
    <x v="26"/>
    <x v="30"/>
    <n v="0.57917600000000002"/>
    <n v="0.60285714300000004"/>
    <n v="6"/>
    <n v="11.305732484076433"/>
    <n v="100.3892688771993"/>
  </r>
  <r>
    <x v="26"/>
    <x v="30"/>
    <n v="0.57917600000000002"/>
    <n v="0.60285714300000004"/>
    <n v="6"/>
    <n v="24.363057324840764"/>
    <n v="466.17980463129504"/>
  </r>
  <r>
    <x v="26"/>
    <x v="30"/>
    <n v="0.57917600000000002"/>
    <n v="0.60285714300000004"/>
    <n v="8.4"/>
    <n v="11.942675159235668"/>
    <n v="112.01936866380598"/>
  </r>
  <r>
    <x v="27"/>
    <x v="31"/>
    <n v="0.40257753800000001"/>
    <n v="0.40843333300000001"/>
    <n v="5"/>
    <n v="5.5095541401273884"/>
    <n v="23.840907980366573"/>
  </r>
  <r>
    <x v="27"/>
    <x v="57"/>
    <n v="0.80803492399999999"/>
    <n v="0.87275320499999998"/>
    <n v="7"/>
    <n v="23.343949044585987"/>
    <n v="427.99484138672113"/>
  </r>
  <r>
    <x v="27"/>
    <x v="53"/>
    <n v="0.6"/>
    <n v="0.66674999999999995"/>
    <n v="5"/>
    <n v="4.2993630573248405"/>
    <n v="14.517710178829255"/>
  </r>
  <r>
    <x v="27"/>
    <x v="34"/>
    <n v="0.53"/>
    <n v="0.54764999999999997"/>
    <n v="5"/>
    <n v="5.4777070063694264"/>
    <n v="23.566087129244703"/>
  </r>
  <r>
    <x v="27"/>
    <x v="35"/>
    <n v="0.52500000000000002"/>
    <n v="0.52500000000000002"/>
    <n v="7"/>
    <n v="12.898089171974522"/>
    <n v="130.65939160946331"/>
  </r>
  <r>
    <x v="27"/>
    <x v="24"/>
    <n v="0.56193137999999998"/>
    <n v="0.57808694400000005"/>
    <n v="7"/>
    <n v="38.757961783439491"/>
    <n v="1179.8091001948997"/>
  </r>
  <r>
    <x v="27"/>
    <x v="36"/>
    <n v="0.39984676499999999"/>
    <n v="0.450333333"/>
    <n v="9"/>
    <n v="42.29299363057325"/>
    <n v="1404.839582333082"/>
  </r>
  <r>
    <x v="27"/>
    <x v="51"/>
    <n v="0.54"/>
    <n v="0.61247410899999999"/>
    <n v="8"/>
    <n v="22.356687898089174"/>
    <n v="392.55888323554319"/>
  </r>
  <r>
    <x v="27"/>
    <x v="51"/>
    <n v="0.54"/>
    <n v="0.61247410899999999"/>
    <n v="7"/>
    <n v="16.464968152866241"/>
    <n v="212.91765355221364"/>
  </r>
  <r>
    <x v="27"/>
    <x v="51"/>
    <n v="0.54"/>
    <n v="0.61247410899999999"/>
    <n v="7"/>
    <n v="11.656050955414013"/>
    <n v="106.70696212429367"/>
  </r>
  <r>
    <x v="27"/>
    <x v="9"/>
    <n v="0.43836446099999998"/>
    <n v="0.58666666700000003"/>
    <n v="6"/>
    <n v="7.5796178343949041"/>
    <n v="45.121600843325346"/>
  </r>
  <r>
    <x v="27"/>
    <x v="52"/>
    <n v="0.46679999999999999"/>
    <n v="0.81159999999999999"/>
    <n v="7.5"/>
    <n v="19.713375796178344"/>
    <n v="305.21922358465827"/>
  </r>
  <r>
    <x v="27"/>
    <x v="55"/>
    <n v="0.77"/>
    <n v="0.77"/>
    <n v="3.5"/>
    <n v="4.8726114649681529"/>
    <n v="18.647192185251804"/>
  </r>
  <r>
    <x v="28"/>
    <x v="57"/>
    <n v="0.80803492399999999"/>
    <n v="0.87275320499999998"/>
    <n v="9"/>
    <n v="25.159235668789808"/>
    <n v="497.14693676857826"/>
  </r>
  <r>
    <x v="28"/>
    <x v="57"/>
    <n v="0.80803492399999999"/>
    <n v="0.87275320499999998"/>
    <n v="8"/>
    <n v="27.133757961783438"/>
    <n v="578.24218873266784"/>
  </r>
  <r>
    <x v="28"/>
    <x v="39"/>
    <n v="0.41"/>
    <n v="0.33983503399999998"/>
    <n v="8"/>
    <n v="8.1210191082802545"/>
    <n v="51.79775607014389"/>
  </r>
  <r>
    <x v="28"/>
    <x v="35"/>
    <n v="0.52500000000000002"/>
    <n v="0.52500000000000002"/>
    <n v="8"/>
    <n v="21.369426751592353"/>
    <n v="358.65395602887583"/>
  </r>
  <r>
    <x v="28"/>
    <x v="24"/>
    <n v="0.56193137999999998"/>
    <n v="0.57808694400000005"/>
    <n v="6"/>
    <n v="42.834394904458598"/>
    <n v="1441.0370730456295"/>
  </r>
  <r>
    <x v="28"/>
    <x v="24"/>
    <n v="0.56193137999999998"/>
    <n v="0.57808694400000005"/>
    <n v="6.5"/>
    <n v="50.541401273885342"/>
    <n v="2006.2471773598797"/>
  </r>
  <r>
    <x v="28"/>
    <x v="24"/>
    <n v="0.56193137999999998"/>
    <n v="0.57808694400000005"/>
    <n v="6.5"/>
    <n v="62.229299363057322"/>
    <n v="3041.4431559479203"/>
  </r>
  <r>
    <x v="28"/>
    <x v="24"/>
    <n v="0.56193137999999998"/>
    <n v="0.57808694400000005"/>
    <n v="7"/>
    <n v="42.834394904458598"/>
    <n v="1441.0370730456295"/>
  </r>
  <r>
    <x v="28"/>
    <x v="24"/>
    <n v="0.56193137999999998"/>
    <n v="0.57808694400000005"/>
    <n v="6"/>
    <n v="28.152866242038218"/>
    <n v="622.49392183852933"/>
  </r>
  <r>
    <x v="28"/>
    <x v="36"/>
    <n v="0.39984676499999999"/>
    <n v="0.450333333"/>
    <n v="9"/>
    <n v="20.445859872611464"/>
    <n v="328.3224964689702"/>
  </r>
  <r>
    <x v="28"/>
    <x v="36"/>
    <n v="0.39984676499999999"/>
    <n v="0.450333333"/>
    <n v="9"/>
    <n v="30.668789808917197"/>
    <n v="738.72561705518297"/>
  </r>
  <r>
    <x v="28"/>
    <x v="9"/>
    <n v="0.43836446099999998"/>
    <n v="0.58666666700000003"/>
    <n v="5"/>
    <n v="7.2292993630573257"/>
    <n v="41.047083007127192"/>
  </r>
  <r>
    <x v="28"/>
    <x v="9"/>
    <n v="0.43836446099999998"/>
    <n v="0.58666666700000003"/>
    <n v="3"/>
    <n v="6.401273885350319"/>
    <n v="32.182716539636814"/>
  </r>
  <r>
    <x v="28"/>
    <x v="9"/>
    <n v="0.43836446099999998"/>
    <n v="0.58666666700000003"/>
    <n v="6.5"/>
    <n v="2.9617834394904459"/>
    <n v="6.8896392502987247"/>
  </r>
  <r>
    <x v="28"/>
    <x v="30"/>
    <n v="0.57917600000000002"/>
    <n v="0.60285714300000004"/>
    <n v="8"/>
    <n v="43.121019108280258"/>
    <n v="1460.3868507111408"/>
  </r>
  <r>
    <x v="28"/>
    <x v="55"/>
    <n v="0.77"/>
    <n v="0.77"/>
    <n v="6"/>
    <n v="5.2547770700636942"/>
    <n v="21.68694977331284"/>
  </r>
  <r>
    <x v="28"/>
    <x v="55"/>
    <n v="0.77"/>
    <n v="0.77"/>
    <n v="3.8"/>
    <n v="4.6178343949044587"/>
    <n v="16.748140274890819"/>
  </r>
  <r>
    <x v="28"/>
    <x v="55"/>
    <n v="0.77"/>
    <n v="0.77"/>
    <n v="5.5"/>
    <n v="10.859872611464969"/>
    <n v="92.627372142905088"/>
  </r>
  <r>
    <x v="29"/>
    <x v="49"/>
    <n v="0.86"/>
    <n v="0.65666666699999998"/>
    <n v="5"/>
    <n v="12.547770700636942"/>
    <n v="123.65823085436149"/>
  </r>
  <r>
    <x v="29"/>
    <x v="12"/>
    <n v="0.80908761900000004"/>
    <n v="0.87473809499999999"/>
    <n v="7"/>
    <n v="42.547770700636939"/>
    <n v="1421.8163416928189"/>
  </r>
  <r>
    <x v="29"/>
    <x v="12"/>
    <n v="0.80908761900000004"/>
    <n v="0.87473809499999999"/>
    <n v="8"/>
    <n v="30.031847133757964"/>
    <n v="708.35990446165931"/>
  </r>
  <r>
    <x v="29"/>
    <x v="12"/>
    <n v="0.80908761900000004"/>
    <n v="0.87473809499999999"/>
    <n v="4.5"/>
    <n v="12.006369426751593"/>
    <n v="113.21742825826193"/>
  </r>
  <r>
    <x v="29"/>
    <x v="44"/>
    <n v="0.77800000000000002"/>
    <n v="0.77386111099999999"/>
    <n v="6"/>
    <n v="8.8216560509554132"/>
    <n v="61.120953871681195"/>
  </r>
  <r>
    <x v="29"/>
    <x v="57"/>
    <n v="0.80803492399999999"/>
    <n v="0.87275320499999998"/>
    <n v="5"/>
    <n v="8.4713375796178347"/>
    <n v="56.362968527475616"/>
  </r>
  <r>
    <x v="29"/>
    <x v="39"/>
    <n v="0.41"/>
    <n v="0.33983503399999998"/>
    <n v="8"/>
    <n v="7.7388535031847132"/>
    <n v="47.037380979406791"/>
  </r>
  <r>
    <x v="29"/>
    <x v="34"/>
    <n v="0.53"/>
    <n v="0.54764999999999997"/>
    <n v="5"/>
    <n v="8.0573248407643305"/>
    <n v="50.988428578144408"/>
  </r>
  <r>
    <x v="29"/>
    <x v="35"/>
    <n v="0.52500000000000002"/>
    <n v="0.52500000000000002"/>
    <n v="6.5"/>
    <n v="24.458598726114648"/>
    <n v="469.84328606407604"/>
  </r>
  <r>
    <x v="29"/>
    <x v="36"/>
    <n v="0.39984676499999999"/>
    <n v="0.450333333"/>
    <n v="11"/>
    <n v="21.656050955414013"/>
    <n v="368.33959872102326"/>
  </r>
  <r>
    <x v="29"/>
    <x v="36"/>
    <n v="0.39984676499999999"/>
    <n v="0.450333333"/>
    <n v="11"/>
    <n v="28.949044585987263"/>
    <n v="658.20071792994338"/>
  </r>
  <r>
    <x v="29"/>
    <x v="36"/>
    <n v="0.39984676499999999"/>
    <n v="0.450333333"/>
    <n v="7"/>
    <n v="40.955414012738856"/>
    <n v="1317.3844182665084"/>
  </r>
  <r>
    <x v="29"/>
    <x v="23"/>
    <n v="0.590536375"/>
    <n v="0.61247410899999999"/>
    <n v="6"/>
    <n v="26.146496815286621"/>
    <n v="536.92904727836765"/>
  </r>
  <r>
    <x v="29"/>
    <x v="30"/>
    <n v="0.57917600000000002"/>
    <n v="0.60285714300000004"/>
    <n v="4"/>
    <n v="5.5732484076433115"/>
    <n v="24.395329175673304"/>
  </r>
  <r>
    <x v="29"/>
    <x v="55"/>
    <n v="0.77"/>
    <n v="0.77"/>
    <n v="3.5"/>
    <n v="5.4777070063694264"/>
    <n v="23.566087129244703"/>
  </r>
  <r>
    <x v="30"/>
    <x v="49"/>
    <n v="0.86"/>
    <n v="0.65666666699999998"/>
    <n v="6.5"/>
    <n v="24.394904458598724"/>
    <n v="467.39937194453432"/>
  </r>
  <r>
    <x v="30"/>
    <x v="49"/>
    <n v="0.86"/>
    <n v="0.65666666699999998"/>
    <n v="7"/>
    <n v="11.687898089171975"/>
    <n v="107.29085686015551"/>
  </r>
  <r>
    <x v="30"/>
    <x v="12"/>
    <n v="0.80908761900000004"/>
    <n v="0.87473809499999999"/>
    <n v="4.5"/>
    <n v="18.02547770700637"/>
    <n v="255.18987994782037"/>
  </r>
  <r>
    <x v="30"/>
    <x v="12"/>
    <n v="0.80908761900000004"/>
    <n v="0.87473809499999999"/>
    <n v="8"/>
    <n v="14.840764331210192"/>
    <n v="172.98259926440858"/>
  </r>
  <r>
    <x v="30"/>
    <x v="12"/>
    <n v="0.80908761900000004"/>
    <n v="0.87473809499999999"/>
    <n v="7"/>
    <n v="17.929936305732483"/>
    <n v="252.49185611376296"/>
  </r>
  <r>
    <x v="30"/>
    <x v="12"/>
    <n v="0.80908761900000004"/>
    <n v="0.87473809499999999"/>
    <n v="8"/>
    <n v="17.101910828025478"/>
    <n v="229.70960584684852"/>
  </r>
  <r>
    <x v="30"/>
    <x v="57"/>
    <n v="0.80803492399999999"/>
    <n v="0.87275320499999998"/>
    <n v="9"/>
    <n v="15.477707006369426"/>
    <n v="188.14952391762716"/>
  </r>
  <r>
    <x v="30"/>
    <x v="53"/>
    <n v="0.6"/>
    <n v="0.66674999999999995"/>
    <n v="5.5"/>
    <n v="5.5414012738853495"/>
    <n v="24.117321995842772"/>
  </r>
  <r>
    <x v="30"/>
    <x v="2"/>
    <n v="0.47982689899999997"/>
    <n v="0.51"/>
    <n v="3"/>
    <n v="7.9617834394904454"/>
    <n v="49.786386072802657"/>
  </r>
  <r>
    <x v="30"/>
    <x v="2"/>
    <n v="0.47982689899999997"/>
    <n v="0.51"/>
    <n v="5"/>
    <n v="6.4649681528662422"/>
    <n v="32.826354938786004"/>
  </r>
  <r>
    <x v="30"/>
    <x v="34"/>
    <n v="0.53"/>
    <n v="0.54764999999999997"/>
    <n v="5.5"/>
    <n v="6.1464968152866239"/>
    <n v="29.67188951721322"/>
  </r>
  <r>
    <x v="30"/>
    <x v="34"/>
    <n v="0.53"/>
    <n v="0.54764999999999997"/>
    <n v="4.5"/>
    <n v="8.2165605095541405"/>
    <n v="53.023696040800587"/>
  </r>
  <r>
    <x v="30"/>
    <x v="36"/>
    <n v="0.39984676499999999"/>
    <n v="0.450333333"/>
    <n v="8"/>
    <n v="14.745222929936304"/>
    <n v="170.76252473665011"/>
  </r>
  <r>
    <x v="30"/>
    <x v="9"/>
    <n v="0.43836446099999998"/>
    <n v="0.58666666700000003"/>
    <n v="5"/>
    <n v="10.445859872611464"/>
    <n v="85.699496948102421"/>
  </r>
  <r>
    <x v="30"/>
    <x v="30"/>
    <n v="0.57917600000000002"/>
    <n v="0.60285714300000004"/>
    <n v="6"/>
    <n v="10.286624203821654"/>
    <n v="83.106621961430847"/>
  </r>
  <r>
    <x v="30"/>
    <x v="30"/>
    <n v="0.57917600000000002"/>
    <n v="0.60285714300000004"/>
    <n v="5"/>
    <n v="9.3949044585987256"/>
    <n v="69.322563967770421"/>
  </r>
  <r>
    <x v="30"/>
    <x v="30"/>
    <n v="0.57917600000000002"/>
    <n v="0.60285714300000004"/>
    <n v="6.5"/>
    <n v="4.8726114649681529"/>
    <n v="18.647192185251804"/>
  </r>
  <r>
    <x v="30"/>
    <x v="30"/>
    <n v="0.57917600000000002"/>
    <n v="0.60285714300000004"/>
    <n v="5"/>
    <n v="7.4203821656050959"/>
    <n v="43.245649816102144"/>
  </r>
  <r>
    <x v="30"/>
    <x v="30"/>
    <n v="0.57917600000000002"/>
    <n v="0.60285714300000004"/>
    <n v="7"/>
    <n v="14.745222929936304"/>
    <n v="170.76252473665011"/>
  </r>
  <r>
    <x v="31"/>
    <x v="49"/>
    <n v="0.86"/>
    <n v="0.65666666699999998"/>
    <n v="6"/>
    <n v="8.3757961783439487"/>
    <n v="55.098792612315002"/>
  </r>
  <r>
    <x v="31"/>
    <x v="49"/>
    <n v="0.86"/>
    <n v="0.65666666699999998"/>
    <n v="6.5"/>
    <n v="7.1656050955414008"/>
    <n v="40.326972718970154"/>
  </r>
  <r>
    <x v="31"/>
    <x v="39"/>
    <n v="0.41"/>
    <n v="0.33983503399999998"/>
    <n v="6"/>
    <n v="5.2547770700636942"/>
    <n v="21.68694977331284"/>
  </r>
  <r>
    <x v="31"/>
    <x v="60"/>
    <n v="0.60413333300000005"/>
    <n v="0.60831666699999998"/>
    <n v="10"/>
    <n v="21.146496815286625"/>
    <n v="351.20989558327051"/>
  </r>
  <r>
    <x v="31"/>
    <x v="46"/>
    <n v="0.55560299999999996"/>
    <n v="0.55961111100000005"/>
    <n v="3"/>
    <n v="6.1783439490445851"/>
    <n v="29.980166819776009"/>
  </r>
  <r>
    <x v="31"/>
    <x v="46"/>
    <n v="0.55560299999999996"/>
    <n v="0.55961111100000005"/>
    <n v="4"/>
    <n v="8.1210191082802545"/>
    <n v="51.79775607014389"/>
  </r>
  <r>
    <x v="31"/>
    <x v="36"/>
    <n v="0.39984676499999999"/>
    <n v="0.450333333"/>
    <n v="11"/>
    <n v="27.898089171974519"/>
    <n v="611.27804478404812"/>
  </r>
  <r>
    <x v="31"/>
    <x v="36"/>
    <n v="0.39984676499999999"/>
    <n v="0.450333333"/>
    <n v="7"/>
    <n v="11.656050955414013"/>
    <n v="106.70696212429367"/>
  </r>
  <r>
    <x v="31"/>
    <x v="36"/>
    <n v="0.39984676499999999"/>
    <n v="0.450333333"/>
    <n v="8"/>
    <n v="23.216560509554142"/>
    <n v="423.33642881466125"/>
  </r>
  <r>
    <x v="31"/>
    <x v="36"/>
    <n v="0.39984676499999999"/>
    <n v="0.450333333"/>
    <n v="7.5"/>
    <n v="45.06369426751592"/>
    <n v="1594.9367496738769"/>
  </r>
  <r>
    <x v="31"/>
    <x v="36"/>
    <n v="0.39984676499999999"/>
    <n v="0.450333333"/>
    <n v="7.5"/>
    <n v="27.229299363057322"/>
    <n v="582.32148606192902"/>
  </r>
  <r>
    <x v="31"/>
    <x v="36"/>
    <n v="0.39984676499999999"/>
    <n v="0.450333333"/>
    <n v="8"/>
    <n v="20"/>
    <n v="314.15926535897933"/>
  </r>
  <r>
    <x v="31"/>
    <x v="36"/>
    <n v="0.39984676499999999"/>
    <n v="0.450333333"/>
    <n v="7.5"/>
    <n v="14.108280254777069"/>
    <n v="156.32845568642318"/>
  </r>
  <r>
    <x v="31"/>
    <x v="9"/>
    <n v="0.43836446099999998"/>
    <n v="0.58666666700000003"/>
    <n v="4"/>
    <n v="3.9171974522292996"/>
    <n v="12.051491758326906"/>
  </r>
  <r>
    <x v="31"/>
    <x v="41"/>
    <n v="0.693333333"/>
    <n v="0.64166666699999997"/>
    <n v="6"/>
    <n v="6.8789808917197455"/>
    <n v="37.165338057802906"/>
  </r>
  <r>
    <x v="31"/>
    <x v="55"/>
    <n v="0.77"/>
    <n v="0.77"/>
    <n v="6"/>
    <n v="8.0573248407643305"/>
    <n v="50.988428578144408"/>
  </r>
  <r>
    <x v="32"/>
    <x v="12"/>
    <n v="0.80908761900000004"/>
    <n v="0.87473809499999999"/>
    <n v="12"/>
    <n v="82.22993630573248"/>
    <n v="5310.6757898029991"/>
  </r>
  <r>
    <x v="32"/>
    <x v="23"/>
    <n v="0.590536375"/>
    <n v="0.61247410899999999"/>
    <n v="7"/>
    <n v="10.605095541401273"/>
    <n v="88.33220104363221"/>
  </r>
  <r>
    <x v="32"/>
    <x v="23"/>
    <n v="0.590536375"/>
    <n v="0.61247410899999999"/>
    <n v="8"/>
    <n v="11.656050955414013"/>
    <n v="106.70696212429367"/>
  </r>
  <r>
    <x v="32"/>
    <x v="23"/>
    <n v="0.590536375"/>
    <n v="0.61247410899999999"/>
    <n v="11"/>
    <n v="16.65605095541401"/>
    <n v="217.88832633772219"/>
  </r>
  <r>
    <x v="32"/>
    <x v="23"/>
    <n v="0.590536375"/>
    <n v="0.61247410899999999"/>
    <n v="11"/>
    <n v="17.32484076433121"/>
    <n v="235.73734318145486"/>
  </r>
  <r>
    <x v="32"/>
    <x v="23"/>
    <n v="0.590536375"/>
    <n v="0.61247410899999999"/>
    <n v="10"/>
    <n v="19.904458598726112"/>
    <n v="311.16491295501663"/>
  </r>
  <r>
    <x v="32"/>
    <x v="23"/>
    <n v="0.590536375"/>
    <n v="0.61247410899999999"/>
    <n v="7"/>
    <n v="36.136942675159233"/>
    <n v="1025.634674407926"/>
  </r>
  <r>
    <x v="32"/>
    <x v="23"/>
    <n v="0.590536375"/>
    <n v="0.61247410899999999"/>
    <n v="8"/>
    <n v="43.436305732484072"/>
    <n v="1481.820654634372"/>
  </r>
  <r>
    <x v="32"/>
    <x v="23"/>
    <n v="0.590536375"/>
    <n v="0.61247410899999999"/>
    <n v="8"/>
    <n v="49.803184713375792"/>
    <n v="1948.0679954144443"/>
  </r>
  <r>
    <x v="32"/>
    <x v="62"/>
    <n v="0.53168696000000004"/>
    <n v="0.61247410899999999"/>
    <n v="9"/>
    <n v="17.101910828025478"/>
    <n v="229.70960584684852"/>
  </r>
  <r>
    <x v="32"/>
    <x v="62"/>
    <n v="0.53168696000000004"/>
    <n v="0.61247410899999999"/>
    <n v="13"/>
    <n v="32.00636942675159"/>
    <n v="804.56791349092009"/>
  </r>
  <r>
    <x v="33"/>
    <x v="12"/>
    <n v="0.80908761900000004"/>
    <n v="0.87473809499999999"/>
    <n v="11"/>
    <n v="21.178343949044585"/>
    <n v="352.26855329672253"/>
  </r>
  <r>
    <x v="33"/>
    <x v="43"/>
    <n v="0.62643652800000005"/>
    <n v="0.57808694400000005"/>
    <n v="4"/>
    <n v="4.2038216560509554"/>
    <n v="13.879647854920218"/>
  </r>
  <r>
    <x v="33"/>
    <x v="43"/>
    <n v="0.62643652800000005"/>
    <n v="0.57808694400000005"/>
    <n v="4.5"/>
    <n v="16.898089171974522"/>
    <n v="224.26684659986489"/>
  </r>
  <r>
    <x v="33"/>
    <x v="43"/>
    <n v="0.62643652800000005"/>
    <n v="0.57808694400000005"/>
    <n v="5.5"/>
    <n v="28.283439490445858"/>
    <n v="628.28157727075984"/>
  </r>
  <r>
    <x v="33"/>
    <x v="23"/>
    <n v="0.590536375"/>
    <n v="0.61247410899999999"/>
    <n v="7"/>
    <n v="19.108280254777068"/>
    <n v="286.76958377934329"/>
  </r>
  <r>
    <x v="33"/>
    <x v="23"/>
    <n v="0.590536375"/>
    <n v="0.61247410899999999"/>
    <n v="11"/>
    <n v="26.656050955414013"/>
    <n v="558.06077927419665"/>
  </r>
  <r>
    <x v="33"/>
    <x v="23"/>
    <n v="0.590536375"/>
    <n v="0.61247410899999999"/>
    <n v="8"/>
    <n v="37.680254777070061"/>
    <n v="1115.1095690797395"/>
  </r>
  <r>
    <x v="33"/>
    <x v="23"/>
    <n v="0.590536375"/>
    <n v="0.61247410899999999"/>
    <n v="9"/>
    <n v="51.072611464968155"/>
    <n v="2048.6417128947664"/>
  </r>
  <r>
    <x v="33"/>
    <x v="48"/>
    <n v="0.39"/>
    <n v="0.28861111099999998"/>
    <n v="5"/>
    <n v="8.1210191082802545"/>
    <n v="51.79775607014389"/>
  </r>
  <r>
    <x v="33"/>
    <x v="48"/>
    <n v="0.39"/>
    <n v="0.28861111099999998"/>
    <n v="6"/>
    <n v="8.4713375796178347"/>
    <n v="56.362968527475616"/>
  </r>
  <r>
    <x v="33"/>
    <x v="48"/>
    <n v="0.39"/>
    <n v="0.28861111099999998"/>
    <n v="4"/>
    <n v="8.6942675159235669"/>
    <n v="59.368473081918566"/>
  </r>
  <r>
    <x v="33"/>
    <x v="48"/>
    <n v="0.39"/>
    <n v="0.28861111099999998"/>
    <n v="6"/>
    <n v="8.7579617834394909"/>
    <n v="60.241527148091237"/>
  </r>
  <r>
    <x v="33"/>
    <x v="48"/>
    <n v="0.39"/>
    <n v="0.28861111099999998"/>
    <n v="5"/>
    <n v="9.2356687898089174"/>
    <n v="66.992561099563275"/>
  </r>
  <r>
    <x v="33"/>
    <x v="48"/>
    <n v="0.39"/>
    <n v="0.28861111099999998"/>
    <n v="3"/>
    <n v="10.414012738853504"/>
    <n v="85.177735622059473"/>
  </r>
  <r>
    <x v="33"/>
    <x v="48"/>
    <n v="0.39"/>
    <n v="0.28861111099999998"/>
    <n v="4.5"/>
    <n v="10.923566878980891"/>
    <n v="93.717096561266558"/>
  </r>
  <r>
    <x v="33"/>
    <x v="48"/>
    <n v="0.39"/>
    <n v="0.28861111099999998"/>
    <n v="5"/>
    <n v="28.938853503184713"/>
    <n v="657.73737985257094"/>
  </r>
  <r>
    <x v="33"/>
    <x v="48"/>
    <n v="0.39"/>
    <n v="0.28861111099999998"/>
    <n v="4.8"/>
    <n v="30.788535031847132"/>
    <n v="744.50553576267612"/>
  </r>
  <r>
    <x v="33"/>
    <x v="63"/>
    <n v="0.470857311"/>
    <n v="0.375"/>
    <n v="7"/>
    <n v="6.7515923566878975"/>
    <n v="35.801589370496679"/>
  </r>
  <r>
    <x v="34"/>
    <x v="12"/>
    <n v="0.80908761900000004"/>
    <n v="0.87473809499999999"/>
    <n v="8"/>
    <n v="6.7515923566878975"/>
    <n v="35.801589370496679"/>
  </r>
  <r>
    <x v="34"/>
    <x v="12"/>
    <n v="0.80908761900000004"/>
    <n v="0.87473809499999999"/>
    <n v="9"/>
    <n v="12.802547770700638"/>
    <n v="128.73086615854726"/>
  </r>
  <r>
    <x v="34"/>
    <x v="12"/>
    <n v="0.80908761900000004"/>
    <n v="0.87473809499999999"/>
    <n v="10"/>
    <n v="15.987261146496815"/>
    <n v="200.74189497424902"/>
  </r>
  <r>
    <x v="34"/>
    <x v="12"/>
    <n v="0.80908761900000004"/>
    <n v="0.87473809499999999"/>
    <n v="11"/>
    <n v="24.076433121019104"/>
    <n v="455.27539120808535"/>
  </r>
  <r>
    <x v="34"/>
    <x v="12"/>
    <n v="0.80908761900000004"/>
    <n v="0.87473809499999999"/>
    <n v="12"/>
    <n v="77.064331210191085"/>
    <n v="4664.4099057647009"/>
  </r>
  <r>
    <x v="34"/>
    <x v="12"/>
    <n v="0.80908761900000004"/>
    <n v="0.87473809499999999"/>
    <n v="12"/>
    <n v="77.108917197452229"/>
    <n v="4669.8087064208203"/>
  </r>
  <r>
    <x v="34"/>
    <x v="53"/>
    <n v="0.6"/>
    <n v="0.66674999999999995"/>
    <n v="8"/>
    <n v="8.4394904458598727"/>
    <n v="55.939983391401071"/>
  </r>
  <r>
    <x v="34"/>
    <x v="36"/>
    <n v="0.39984676499999999"/>
    <n v="0.450333333"/>
    <n v="6"/>
    <n v="7.7707006369426743"/>
    <n v="47.425316499686062"/>
  </r>
  <r>
    <x v="34"/>
    <x v="36"/>
    <n v="0.39984676499999999"/>
    <n v="0.450333333"/>
    <n v="7"/>
    <n v="9.7133757961783438"/>
    <n v="74.102057030759482"/>
  </r>
  <r>
    <x v="34"/>
    <x v="36"/>
    <n v="0.39984676499999999"/>
    <n v="0.450333333"/>
    <n v="7"/>
    <n v="13.439490445859873"/>
    <n v="141.85854043822386"/>
  </r>
  <r>
    <x v="34"/>
    <x v="36"/>
    <n v="0.39984676499999999"/>
    <n v="0.450333333"/>
    <n v="7"/>
    <n v="35.994904458598725"/>
    <n v="1017.5878940778152"/>
  </r>
  <r>
    <x v="34"/>
    <x v="36"/>
    <n v="0.39984676499999999"/>
    <n v="0.450333333"/>
    <n v="8"/>
    <n v="54.08407643312102"/>
    <n v="2297.3582117511933"/>
  </r>
  <r>
    <x v="34"/>
    <x v="36"/>
    <n v="0.39984676499999999"/>
    <n v="0.450333333"/>
    <n v="10"/>
    <n v="66.27006369426752"/>
    <n v="3449.2498761933789"/>
  </r>
  <r>
    <x v="34"/>
    <x v="23"/>
    <n v="0.590536375"/>
    <n v="0.61247410899999999"/>
    <n v="8"/>
    <n v="16.114649681528661"/>
    <n v="203.95371431257763"/>
  </r>
  <r>
    <x v="34"/>
    <x v="23"/>
    <n v="0.590536375"/>
    <n v="0.61247410899999999"/>
    <n v="11"/>
    <n v="75.277070063694268"/>
    <n v="4450.5665102893199"/>
  </r>
  <r>
    <x v="34"/>
    <x v="62"/>
    <n v="0.53168696000000004"/>
    <n v="0.61247410899999999"/>
    <n v="8"/>
    <n v="10.923566878980891"/>
    <n v="93.717096561266558"/>
  </r>
  <r>
    <x v="34"/>
    <x v="48"/>
    <n v="0.39"/>
    <n v="0.28861111099999998"/>
    <n v="2.8"/>
    <n v="4.6496815286624198"/>
    <n v="16.979945688445781"/>
  </r>
  <r>
    <x v="34"/>
    <x v="48"/>
    <n v="0.39"/>
    <n v="0.28861111099999998"/>
    <n v="4.8"/>
    <n v="7.8343949044585992"/>
    <n v="48.205967033307623"/>
  </r>
  <r>
    <x v="34"/>
    <x v="48"/>
    <n v="0.39"/>
    <n v="0.28861111099999998"/>
    <n v="4.5"/>
    <n v="7.8343949044585992"/>
    <n v="48.205967033307623"/>
  </r>
  <r>
    <x v="34"/>
    <x v="48"/>
    <n v="0.39"/>
    <n v="0.28861111099999998"/>
    <n v="2"/>
    <n v="8.3439490445859867"/>
    <n v="54.680586969303455"/>
  </r>
  <r>
    <x v="34"/>
    <x v="48"/>
    <n v="0.39"/>
    <n v="0.28861111099999998"/>
    <n v="6"/>
    <n v="8.4713375796178347"/>
    <n v="56.362968527475616"/>
  </r>
  <r>
    <x v="35"/>
    <x v="56"/>
    <n v="0.37226847299999999"/>
    <n v="0.42234285700000002"/>
    <n v="6"/>
    <n v="7.7388535031847132"/>
    <n v="47.037380979406791"/>
  </r>
  <r>
    <x v="35"/>
    <x v="43"/>
    <n v="0.62643652800000005"/>
    <n v="0.57808694400000005"/>
    <n v="5"/>
    <n v="4.8726114649681529"/>
    <n v="18.647192185251804"/>
  </r>
  <r>
    <x v="35"/>
    <x v="43"/>
    <n v="0.62643652800000005"/>
    <n v="0.57808694400000005"/>
    <n v="4"/>
    <n v="13.933121019108281"/>
    <n v="152.47080734795819"/>
  </r>
  <r>
    <x v="35"/>
    <x v="43"/>
    <n v="0.62643652800000005"/>
    <n v="0.57808694400000005"/>
    <n v="5"/>
    <n v="17.86687898089172"/>
    <n v="250.71901500218488"/>
  </r>
  <r>
    <x v="35"/>
    <x v="36"/>
    <n v="0.39984676499999999"/>
    <n v="0.450333333"/>
    <n v="9"/>
    <n v="14.840764331210192"/>
    <n v="172.98259926440858"/>
  </r>
  <r>
    <x v="35"/>
    <x v="36"/>
    <n v="0.39984676499999999"/>
    <n v="0.450333333"/>
    <n v="10"/>
    <n v="19.267515923566879"/>
    <n v="291.56899139676153"/>
  </r>
  <r>
    <x v="35"/>
    <x v="36"/>
    <n v="0.39984676499999999"/>
    <n v="0.450333333"/>
    <n v="8"/>
    <n v="45.317834394904459"/>
    <n v="1612.9770102853365"/>
  </r>
  <r>
    <x v="35"/>
    <x v="23"/>
    <n v="0.590536375"/>
    <n v="0.61247410899999999"/>
    <n v="6"/>
    <n v="7.1019108280254777"/>
    <n v="39.613235088230461"/>
  </r>
  <r>
    <x v="35"/>
    <x v="23"/>
    <n v="0.590536375"/>
    <n v="0.61247410899999999"/>
    <n v="8"/>
    <n v="13.280254777070065"/>
    <n v="138.51687820501735"/>
  </r>
  <r>
    <x v="35"/>
    <x v="23"/>
    <n v="0.590536375"/>
    <n v="0.61247410899999999"/>
    <n v="9"/>
    <n v="17.611464968152866"/>
    <n v="243.6019990166034"/>
  </r>
  <r>
    <x v="35"/>
    <x v="23"/>
    <n v="0.590536375"/>
    <n v="0.61247410899999999"/>
    <n v="6"/>
    <n v="29.822292993630573"/>
    <n v="698.50890437348005"/>
  </r>
  <r>
    <x v="35"/>
    <x v="23"/>
    <n v="0.590536375"/>
    <n v="0.61247410899999999"/>
    <n v="8"/>
    <n v="37.867515923566884"/>
    <n v="1126.2207242548823"/>
  </r>
  <r>
    <x v="35"/>
    <x v="23"/>
    <n v="0.590536375"/>
    <n v="0.61247410899999999"/>
    <n v="8"/>
    <n v="52.650318471337577"/>
    <n v="2177.1677188284834"/>
  </r>
  <r>
    <x v="35"/>
    <x v="23"/>
    <n v="0.590536375"/>
    <n v="0.61247410899999999"/>
    <n v="9"/>
    <n v="60.147133757961782"/>
    <n v="2841.31742079267"/>
  </r>
  <r>
    <x v="35"/>
    <x v="23"/>
    <n v="0.590536375"/>
    <n v="0.61247410899999999"/>
    <n v="12"/>
    <n v="63.994267515923568"/>
    <n v="3216.414610929648"/>
  </r>
  <r>
    <x v="35"/>
    <x v="29"/>
    <n v="0.40238543599999999"/>
    <n v="0.40883333300000002"/>
    <n v="7"/>
    <n v="10.636942675159235"/>
    <n v="88.863521355801183"/>
  </r>
  <r>
    <x v="36"/>
    <x v="45"/>
    <n v="0.31264018999999998"/>
    <n v="0.356821212"/>
    <n v="5"/>
    <n v="14.171974522292993"/>
    <n v="157.74318563306795"/>
  </r>
  <r>
    <x v="36"/>
    <x v="45"/>
    <n v="0.31264018999999998"/>
    <n v="0.356821212"/>
    <n v="9"/>
    <n v="27.515923566878982"/>
    <n v="594.64540892484649"/>
  </r>
  <r>
    <x v="36"/>
    <x v="53"/>
    <n v="0.6"/>
    <n v="0.66674999999999995"/>
    <n v="7"/>
    <n v="10.891719745222931"/>
    <n v="93.171437769908678"/>
  </r>
  <r>
    <x v="36"/>
    <x v="53"/>
    <n v="0.6"/>
    <n v="0.66674999999999995"/>
    <n v="6.5"/>
    <n v="12.32484076433121"/>
    <n v="119.30331609180131"/>
  </r>
  <r>
    <x v="36"/>
    <x v="64"/>
    <n v="0.6"/>
    <n v="0.51040266700000003"/>
    <n v="8"/>
    <n v="72.045222929936301"/>
    <n v="4076.6202781612951"/>
  </r>
  <r>
    <x v="36"/>
    <x v="64"/>
    <n v="0.6"/>
    <n v="0.51040266700000003"/>
    <n v="9"/>
    <n v="10.350318471337578"/>
    <n v="84.138992463036487"/>
  </r>
  <r>
    <x v="36"/>
    <x v="64"/>
    <n v="0.6"/>
    <n v="0.51040266700000003"/>
    <n v="11"/>
    <n v="29.005732484076432"/>
    <n v="660.78101360950598"/>
  </r>
  <r>
    <x v="36"/>
    <x v="43"/>
    <n v="0.62643652800000005"/>
    <n v="0.57808694400000005"/>
    <n v="5"/>
    <n v="6.5286624203821653"/>
    <n v="33.476365995352509"/>
  </r>
  <r>
    <x v="36"/>
    <x v="43"/>
    <n v="0.62643652800000005"/>
    <n v="0.57808694400000005"/>
    <n v="5"/>
    <n v="6.6242038216560513"/>
    <n v="34.463331312859758"/>
  </r>
  <r>
    <x v="36"/>
    <x v="43"/>
    <n v="0.62643652800000005"/>
    <n v="0.57808694400000005"/>
    <n v="4"/>
    <n v="16.376433121019108"/>
    <n v="210.63401845800774"/>
  </r>
  <r>
    <x v="36"/>
    <x v="43"/>
    <n v="0.62643652800000005"/>
    <n v="0.57808694400000005"/>
    <n v="5.5"/>
    <n v="16.448407643312102"/>
    <n v="212.48956264301634"/>
  </r>
  <r>
    <x v="36"/>
    <x v="43"/>
    <n v="0.62643652800000005"/>
    <n v="0.57808694400000005"/>
    <n v="6"/>
    <n v="21.91783439490446"/>
    <n v="377.29857397916408"/>
  </r>
  <r>
    <x v="36"/>
    <x v="36"/>
    <n v="0.39984676499999999"/>
    <n v="0.450333333"/>
    <n v="13"/>
    <n v="17.261146496815286"/>
    <n v="234.00716669265282"/>
  </r>
  <r>
    <x v="36"/>
    <x v="23"/>
    <n v="0.590536375"/>
    <n v="0.61247410899999999"/>
    <n v="9"/>
    <n v="41.731210191082802"/>
    <n v="1367.7661137791385"/>
  </r>
  <r>
    <x v="36"/>
    <x v="23"/>
    <n v="0.590536375"/>
    <n v="0.61247410899999999"/>
    <n v="10"/>
    <n v="66.91783439490446"/>
    <n v="3517.0102740056614"/>
  </r>
  <r>
    <x v="36"/>
    <x v="23"/>
    <n v="0.590536375"/>
    <n v="0.61247410899999999"/>
    <n v="11"/>
    <n v="101.86369426751592"/>
    <n v="8149.4580126194851"/>
  </r>
  <r>
    <x v="36"/>
    <x v="48"/>
    <n v="0.39"/>
    <n v="0.28861111099999998"/>
    <n v="4.5"/>
    <n v="29.359235668789808"/>
    <n v="676.98550725961843"/>
  </r>
  <r>
    <x v="37"/>
    <x v="47"/>
    <n v="0.43916666700000001"/>
    <n v="0.51877777800000002"/>
    <n v="4"/>
    <n v="5.1910828025477711"/>
    <n v="21.164391865092711"/>
  </r>
  <r>
    <x v="37"/>
    <x v="65"/>
    <n v="0.56572270000000002"/>
    <n v="0.61247410899999999"/>
    <n v="6"/>
    <n v="28.115286624203822"/>
    <n v="620.83316939826443"/>
  </r>
  <r>
    <x v="37"/>
    <x v="66"/>
    <n v="0.46921933300000002"/>
    <n v="0.46713991199999999"/>
    <n v="5"/>
    <n v="21.777707006369425"/>
    <n v="372.48962649359208"/>
  </r>
  <r>
    <x v="37"/>
    <x v="5"/>
    <n v="0.45255480399999998"/>
    <n v="0.57808694400000005"/>
    <n v="8"/>
    <n v="44.621019108280251"/>
    <n v="1563.7555042131935"/>
  </r>
  <r>
    <x v="37"/>
    <x v="36"/>
    <n v="0.39984676499999999"/>
    <n v="0.450333333"/>
    <n v="7"/>
    <n v="61.585350318471342"/>
    <n v="2978.8231048366797"/>
  </r>
  <r>
    <x v="37"/>
    <x v="67"/>
    <n v="0.56572270000000002"/>
    <n v="0.61247410899999999"/>
    <n v="6"/>
    <n v="27.028025477707004"/>
    <n v="573.74448056082633"/>
  </r>
  <r>
    <x v="37"/>
    <x v="68"/>
    <n v="0.56023871300000005"/>
    <n v="0.74103703700000001"/>
    <n v="6"/>
    <n v="12.611464968152866"/>
    <n v="124.91683069428197"/>
  </r>
  <r>
    <x v="37"/>
    <x v="62"/>
    <n v="0.53168696000000004"/>
    <n v="0.61247410899999999"/>
    <n v="9"/>
    <n v="10.318471337579616"/>
    <n v="83.622010630056508"/>
  </r>
  <r>
    <x v="37"/>
    <x v="62"/>
    <n v="0.53168696000000004"/>
    <n v="0.61247410899999999"/>
    <n v="6"/>
    <n v="35.389808917197456"/>
    <n v="983.66295672685794"/>
  </r>
  <r>
    <x v="37"/>
    <x v="69"/>
    <n v="0.432770245"/>
    <n v="0.61247410899999999"/>
    <n v="5"/>
    <n v="60.509554140127392"/>
    <n v="2875.6616595650826"/>
  </r>
  <r>
    <x v="37"/>
    <x v="70"/>
    <n v="0.98708677300000003"/>
    <n v="0.60285714300000004"/>
    <n v="7"/>
    <n v="32.536305732484081"/>
    <n v="831.43128494164887"/>
  </r>
  <r>
    <x v="37"/>
    <x v="70"/>
    <n v="0.98708677300000003"/>
    <n v="0.60285714300000004"/>
    <n v="6"/>
    <n v="58.191719745222926"/>
    <n v="2659.5751450768225"/>
  </r>
  <r>
    <x v="37"/>
    <x v="70"/>
    <n v="0.98708677300000003"/>
    <n v="0.60285714300000004"/>
    <n v="9"/>
    <n v="71.001910828025487"/>
    <n v="3959.4052525909265"/>
  </r>
  <r>
    <x v="37"/>
    <x v="41"/>
    <n v="0.693333333"/>
    <n v="0.64166666699999997"/>
    <n v="6.8"/>
    <n v="20.563057324840763"/>
    <n v="332.09723048041138"/>
  </r>
  <r>
    <x v="37"/>
    <x v="41"/>
    <n v="0.693333333"/>
    <n v="0.64166666699999997"/>
    <n v="6"/>
    <n v="8.1847133757961785"/>
    <n v="52.613456219560696"/>
  </r>
  <r>
    <x v="38"/>
    <x v="49"/>
    <n v="0.86"/>
    <n v="0.65666666699999998"/>
    <n v="7"/>
    <n v="8.4394904458598727"/>
    <n v="55.939983391401071"/>
  </r>
  <r>
    <x v="38"/>
    <x v="31"/>
    <n v="0.40257753800000001"/>
    <n v="0.40843333300000001"/>
    <n v="6"/>
    <n v="23.346496815286624"/>
    <n v="428.08826964258498"/>
  </r>
  <r>
    <x v="38"/>
    <x v="12"/>
    <n v="0.80908761900000004"/>
    <n v="0.87473809499999999"/>
    <n v="8"/>
    <n v="22.738853503184714"/>
    <n v="406.0944075899281"/>
  </r>
  <r>
    <x v="38"/>
    <x v="53"/>
    <n v="0.6"/>
    <n v="0.66674999999999995"/>
    <n v="5"/>
    <n v="6.114649681528662"/>
    <n v="29.365205379004752"/>
  </r>
  <r>
    <x v="38"/>
    <x v="5"/>
    <n v="0.45255480399999998"/>
    <n v="0.57808694400000005"/>
    <n v="6"/>
    <n v="35.421656050955413"/>
    <n v="985.43414126614016"/>
  </r>
  <r>
    <x v="38"/>
    <x v="5"/>
    <n v="0.45255480399999998"/>
    <n v="0.57808694400000005"/>
    <n v="5"/>
    <n v="11.369426751592357"/>
    <n v="101.52360189748202"/>
  </r>
  <r>
    <x v="38"/>
    <x v="5"/>
    <n v="0.45255480399999998"/>
    <n v="0.57808694400000005"/>
    <n v="5.5"/>
    <n v="21.56751592356688"/>
    <n v="365.33403713129644"/>
  </r>
  <r>
    <x v="38"/>
    <x v="5"/>
    <n v="0.45255480399999998"/>
    <n v="0.57808694400000005"/>
    <n v="5"/>
    <n v="21.140764331210192"/>
    <n v="351.01950638890355"/>
  </r>
  <r>
    <x v="38"/>
    <x v="5"/>
    <n v="0.45255480399999998"/>
    <n v="0.57808694400000005"/>
    <n v="6"/>
    <n v="25.640127388535031"/>
    <n v="516.33342305359247"/>
  </r>
  <r>
    <x v="38"/>
    <x v="36"/>
    <n v="0.39984676499999999"/>
    <n v="0.450333333"/>
    <n v="8"/>
    <n v="44.068789808917195"/>
    <n v="1525.28897115466"/>
  </r>
  <r>
    <x v="38"/>
    <x v="36"/>
    <n v="0.39984676499999999"/>
    <n v="0.450333333"/>
    <n v="9"/>
    <n v="54.057961783439488"/>
    <n v="2295.140175517909"/>
  </r>
  <r>
    <x v="38"/>
    <x v="71"/>
    <n v="0.85750000000000004"/>
    <n v="0.61247410899999999"/>
    <n v="7"/>
    <n v="78.634394904458588"/>
    <n v="4856.4059194976544"/>
  </r>
  <r>
    <x v="38"/>
    <x v="69"/>
    <n v="0.432770245"/>
    <n v="0.61247410899999999"/>
    <n v="5"/>
    <n v="9.7133757961783438"/>
    <n v="74.102057030759482"/>
  </r>
  <r>
    <x v="38"/>
    <x v="48"/>
    <n v="0.39"/>
    <n v="0.28861111099999998"/>
    <n v="6"/>
    <n v="18.754140127388535"/>
    <n v="276.23849209842371"/>
  </r>
  <r>
    <x v="38"/>
    <x v="14"/>
    <n v="0.48464433800000001"/>
    <n v="0.62688577999999995"/>
    <n v="5"/>
    <n v="67.557961783439495"/>
    <n v="3584.6186361436112"/>
  </r>
  <r>
    <x v="38"/>
    <x v="70"/>
    <n v="0.98708677300000003"/>
    <n v="0.60285714300000004"/>
    <n v="7"/>
    <n v="5.5414012738853495"/>
    <n v="24.117321995842772"/>
  </r>
  <r>
    <x v="38"/>
    <x v="63"/>
    <n v="0.470857311"/>
    <n v="0.375"/>
    <n v="5"/>
    <n v="61.340764331210188"/>
    <n v="2955.2093196411975"/>
  </r>
  <r>
    <x v="38"/>
    <x v="59"/>
    <n v="0.28577490700000002"/>
    <n v="0.3422"/>
    <n v="6"/>
    <n v="6.8471337579617835"/>
    <n v="36.822011139444854"/>
  </r>
  <r>
    <x v="39"/>
    <x v="49"/>
    <n v="0.86"/>
    <n v="0.65666666699999998"/>
    <n v="8"/>
    <n v="13.535031847133757"/>
    <n v="143.88265575039969"/>
  </r>
  <r>
    <x v="39"/>
    <x v="39"/>
    <n v="0.41"/>
    <n v="0.33983503399999998"/>
    <n v="7"/>
    <n v="5.1910828025477711"/>
    <n v="21.164391865092711"/>
  </r>
  <r>
    <x v="39"/>
    <x v="72"/>
    <n v="0.64800000000000002"/>
    <n v="0.66733333299999997"/>
    <n v="7"/>
    <n v="8.6942675159235669"/>
    <n v="59.368473081918566"/>
  </r>
  <r>
    <x v="39"/>
    <x v="53"/>
    <n v="0.6"/>
    <n v="0.66674999999999995"/>
    <n v="6"/>
    <n v="8.1847133757961785"/>
    <n v="52.613456219560696"/>
  </r>
  <r>
    <x v="39"/>
    <x v="64"/>
    <n v="0.6"/>
    <n v="0.51040266700000003"/>
    <n v="8"/>
    <n v="37.028662420382162"/>
    <n v="1076.8765754348442"/>
  </r>
  <r>
    <x v="39"/>
    <x v="73"/>
    <n v="0.51642601200000005"/>
    <n v="0.60835714299999999"/>
    <n v="4"/>
    <n v="3.9808917197452227"/>
    <n v="12.446596518200664"/>
  </r>
  <r>
    <x v="39"/>
    <x v="74"/>
    <n v="0.490852183"/>
    <n v="0.607288889"/>
    <n v="4"/>
    <n v="3.9490445859872612"/>
    <n v="12.248247556086621"/>
  </r>
  <r>
    <x v="39"/>
    <x v="74"/>
    <n v="0.490852183"/>
    <n v="0.607288889"/>
    <n v="5"/>
    <n v="4.6178343949044587"/>
    <n v="16.748140274890819"/>
  </r>
  <r>
    <x v="39"/>
    <x v="5"/>
    <n v="0.45255480399999998"/>
    <n v="0.57808694400000005"/>
    <n v="9"/>
    <n v="103.62165605095541"/>
    <n v="8433.1716267702959"/>
  </r>
  <r>
    <x v="39"/>
    <x v="5"/>
    <n v="0.45255480399999998"/>
    <n v="0.57808694400000005"/>
    <n v="10"/>
    <n v="114.11210191082803"/>
    <n v="10227.118578237156"/>
  </r>
  <r>
    <x v="39"/>
    <x v="36"/>
    <n v="0.39984676499999999"/>
    <n v="0.450333333"/>
    <n v="9"/>
    <n v="20.445859872611464"/>
    <n v="328.3224964689702"/>
  </r>
  <r>
    <x v="39"/>
    <x v="23"/>
    <n v="0.590536375"/>
    <n v="0.61247410899999999"/>
    <n v="7"/>
    <n v="52.821019108280254"/>
    <n v="2191.3080466077167"/>
  </r>
  <r>
    <x v="39"/>
    <x v="14"/>
    <n v="0.48464433800000001"/>
    <n v="0.62688577999999995"/>
    <n v="7"/>
    <n v="10"/>
    <n v="78.539816339744831"/>
  </r>
  <r>
    <x v="39"/>
    <x v="29"/>
    <n v="0.40238543599999999"/>
    <n v="0.40883333300000002"/>
    <n v="6"/>
    <n v="10.318471337579616"/>
    <n v="83.622010630056508"/>
  </r>
  <r>
    <x v="39"/>
    <x v="29"/>
    <n v="0.40238543599999999"/>
    <n v="0.40883333300000002"/>
    <n v="8"/>
    <n v="11.687898089171975"/>
    <n v="107.29085686015551"/>
  </r>
  <r>
    <x v="39"/>
    <x v="29"/>
    <n v="0.40238543599999999"/>
    <n v="0.40883333300000002"/>
    <n v="7"/>
    <n v="12.579617834394904"/>
    <n v="124.28673419214456"/>
  </r>
  <r>
    <x v="40"/>
    <x v="31"/>
    <n v="0.40257753800000001"/>
    <n v="0.40843333300000001"/>
    <n v="8"/>
    <n v="11.942675159235668"/>
    <n v="112.01936866380598"/>
  </r>
  <r>
    <x v="40"/>
    <x v="45"/>
    <n v="0.31264018999999998"/>
    <n v="0.356821212"/>
    <n v="4.5"/>
    <n v="12.834394904458597"/>
    <n v="129.37211481116489"/>
  </r>
  <r>
    <x v="40"/>
    <x v="72"/>
    <n v="0.64800000000000002"/>
    <n v="0.66733333299999997"/>
    <n v="7"/>
    <n v="9.1082802547770694"/>
    <n v="65.157235763375468"/>
  </r>
  <r>
    <x v="40"/>
    <x v="65"/>
    <n v="0.56572270000000002"/>
    <n v="0.61247410899999999"/>
    <n v="8"/>
    <n v="31.370063694267515"/>
    <n v="772.89532849617251"/>
  </r>
  <r>
    <x v="40"/>
    <x v="64"/>
    <n v="0.6"/>
    <n v="0.51040266700000003"/>
    <n v="6"/>
    <n v="80.32101910828024"/>
    <n v="5066.9696344804015"/>
  </r>
  <r>
    <x v="40"/>
    <x v="74"/>
    <n v="0.490852183"/>
    <n v="0.607288889"/>
    <n v="6"/>
    <n v="6.7515923566878975"/>
    <n v="35.801589370496679"/>
  </r>
  <r>
    <x v="40"/>
    <x v="5"/>
    <n v="0.45255480399999998"/>
    <n v="0.57808694400000005"/>
    <n v="6"/>
    <n v="19.962420382165604"/>
    <n v="312.97977600687028"/>
  </r>
  <r>
    <x v="40"/>
    <x v="5"/>
    <n v="0.45255480399999998"/>
    <n v="0.57808694400000005"/>
    <n v="7"/>
    <n v="29.359872611464969"/>
    <n v="677.01488170535072"/>
  </r>
  <r>
    <x v="40"/>
    <x v="36"/>
    <n v="0.39984676499999999"/>
    <n v="0.450333333"/>
    <n v="8"/>
    <n v="19.840764331210188"/>
    <n v="309.17664384081314"/>
  </r>
  <r>
    <x v="40"/>
    <x v="68"/>
    <n v="0.56023871300000005"/>
    <n v="0.74103703700000001"/>
    <n v="6"/>
    <n v="7.484076433121019"/>
    <n v="43.991250733928432"/>
  </r>
  <r>
    <x v="40"/>
    <x v="13"/>
    <n v="0.50857142899999996"/>
    <n v="0.49666666700000001"/>
    <n v="6"/>
    <n v="8.503184713375795"/>
    <n v="56.78754682790445"/>
  </r>
  <r>
    <x v="40"/>
    <x v="13"/>
    <n v="0.50857142899999996"/>
    <n v="0.49666666700000001"/>
    <n v="8"/>
    <n v="60.440127388535032"/>
    <n v="2869.0665584865874"/>
  </r>
  <r>
    <x v="40"/>
    <x v="48"/>
    <n v="0.39"/>
    <n v="0.28861111099999998"/>
    <n v="6"/>
    <n v="12.802547770700638"/>
    <n v="128.73086615854726"/>
  </r>
  <r>
    <x v="40"/>
    <x v="17"/>
    <n v="0.65716857299999998"/>
    <n v="0.85527777800000004"/>
    <n v="5"/>
    <n v="7.484076433121019"/>
    <n v="43.991250733928432"/>
  </r>
  <r>
    <x v="40"/>
    <x v="75"/>
    <n v="0.84850681500000003"/>
    <n v="0.85527777800000004"/>
    <n v="10"/>
    <n v="14.840764331210192"/>
    <n v="172.98259926440858"/>
  </r>
  <r>
    <x v="40"/>
    <x v="29"/>
    <n v="0.40238543599999999"/>
    <n v="0.40883333300000002"/>
    <n v="8"/>
    <n v="11.847133757961783"/>
    <n v="110.2342280047796"/>
  </r>
  <r>
    <x v="40"/>
    <x v="29"/>
    <n v="0.40238543599999999"/>
    <n v="0.40883333300000002"/>
    <n v="8"/>
    <n v="14.203821656050955"/>
    <n v="158.45294035292184"/>
  </r>
  <r>
    <x v="40"/>
    <x v="29"/>
    <n v="0.40238543599999999"/>
    <n v="0.40883333300000002"/>
    <n v="8"/>
    <n v="14.808917197452228"/>
    <n v="172.24098125746809"/>
  </r>
  <r>
    <x v="40"/>
    <x v="70"/>
    <n v="0.98708677300000003"/>
    <n v="0.60285714300000004"/>
    <n v="7"/>
    <n v="44.022292993630572"/>
    <n v="1522.0720157730859"/>
  </r>
  <r>
    <x v="41"/>
    <x v="12"/>
    <n v="0.80908761900000004"/>
    <n v="0.87473809499999999"/>
    <n v="6"/>
    <n v="7.1019108280254777"/>
    <n v="39.613235088230461"/>
  </r>
  <r>
    <x v="41"/>
    <x v="12"/>
    <n v="0.80908761900000004"/>
    <n v="0.87473809499999999"/>
    <n v="8"/>
    <n v="6.5605095541401273"/>
    <n v="33.803761270167257"/>
  </r>
  <r>
    <x v="41"/>
    <x v="12"/>
    <n v="0.80908761900000004"/>
    <n v="0.87473809499999999"/>
    <n v="7"/>
    <n v="8.4713375796178347"/>
    <n v="56.362968527475616"/>
  </r>
  <r>
    <x v="41"/>
    <x v="12"/>
    <n v="0.80908761900000004"/>
    <n v="0.87473809499999999"/>
    <n v="8"/>
    <n v="11.273885350318471"/>
    <n v="99.824492113589415"/>
  </r>
  <r>
    <x v="41"/>
    <x v="12"/>
    <n v="0.80908761900000004"/>
    <n v="0.87473809499999999"/>
    <n v="8"/>
    <n v="13.471337579617833"/>
    <n v="142.53165237792811"/>
  </r>
  <r>
    <x v="41"/>
    <x v="12"/>
    <n v="0.80908761900000004"/>
    <n v="0.87473809499999999"/>
    <n v="8"/>
    <n v="14.458598726114648"/>
    <n v="164.18833202850868"/>
  </r>
  <r>
    <x v="41"/>
    <x v="53"/>
    <n v="0.6"/>
    <n v="0.66674999999999995"/>
    <n v="6.5"/>
    <n v="4.8726114649681529"/>
    <n v="18.647192185251804"/>
  </r>
  <r>
    <x v="41"/>
    <x v="5"/>
    <n v="0.45255480399999998"/>
    <n v="0.57808694400000005"/>
    <n v="3"/>
    <n v="4.2675159235668794"/>
    <n v="14.303429573171918"/>
  </r>
  <r>
    <x v="41"/>
    <x v="50"/>
    <n v="0.43538739399999998"/>
    <n v="0.568333333"/>
    <n v="2"/>
    <n v="4.2038216560509554"/>
    <n v="13.879647854920218"/>
  </r>
  <r>
    <x v="41"/>
    <x v="67"/>
    <n v="0.56572270000000002"/>
    <n v="0.61247410899999999"/>
    <n v="4.5"/>
    <n v="5.8280254777070066"/>
    <n v="26.676740531073417"/>
  </r>
  <r>
    <x v="41"/>
    <x v="71"/>
    <n v="0.85750000000000004"/>
    <n v="0.61247410899999999"/>
    <n v="5"/>
    <n v="5.5732484076433115"/>
    <n v="24.395329175673304"/>
  </r>
  <r>
    <x v="41"/>
    <x v="29"/>
    <n v="0.40238543599999999"/>
    <n v="0.40883333300000002"/>
    <n v="7"/>
    <n v="12.32484076433121"/>
    <n v="119.30331609180131"/>
  </r>
  <r>
    <x v="41"/>
    <x v="70"/>
    <n v="0.98708677300000003"/>
    <n v="0.60285714300000004"/>
    <n v="9"/>
    <n v="17.67515923566879"/>
    <n v="245.36722512120065"/>
  </r>
  <r>
    <x v="41"/>
    <x v="70"/>
    <n v="0.98708677300000003"/>
    <n v="0.60285714300000004"/>
    <n v="8"/>
    <n v="46.465605095541399"/>
    <n v="1695.7158343239264"/>
  </r>
  <r>
    <x v="41"/>
    <x v="70"/>
    <n v="0.98708677300000003"/>
    <n v="0.60285714300000004"/>
    <n v="10"/>
    <n v="88.566242038216558"/>
    <n v="6160.646880005228"/>
  </r>
  <r>
    <x v="42"/>
    <x v="53"/>
    <n v="0.6"/>
    <n v="0.66674999999999995"/>
    <n v="3"/>
    <n v="4.4585987261146496"/>
    <n v="15.613010672430914"/>
  </r>
  <r>
    <x v="42"/>
    <x v="21"/>
    <n v="0.39790071399999999"/>
    <n v="0.50565277799999997"/>
    <n v="4.5"/>
    <n v="7.0063694267515917"/>
    <n v="38.554577374778376"/>
  </r>
  <r>
    <x v="42"/>
    <x v="43"/>
    <n v="0.62643652800000005"/>
    <n v="0.57808694400000005"/>
    <n v="5"/>
    <n v="4.2356687898089174"/>
    <n v="14.090742131868904"/>
  </r>
  <r>
    <x v="42"/>
    <x v="24"/>
    <n v="0.56193137999999998"/>
    <n v="0.57808694400000005"/>
    <n v="4.5"/>
    <n v="20.859872611464969"/>
    <n v="341.75366855814667"/>
  </r>
  <r>
    <x v="42"/>
    <x v="24"/>
    <n v="0.56193137999999998"/>
    <n v="0.57808694400000005"/>
    <n v="7"/>
    <n v="24.522292993630572"/>
    <n v="472.2935728410352"/>
  </r>
  <r>
    <x v="42"/>
    <x v="24"/>
    <n v="0.56193137999999998"/>
    <n v="0.57808694400000005"/>
    <n v="8"/>
    <n v="21.656050955414013"/>
    <n v="368.33959872102326"/>
  </r>
  <r>
    <x v="42"/>
    <x v="24"/>
    <n v="0.56193137999999998"/>
    <n v="0.57808694400000005"/>
    <n v="8"/>
    <n v="17.515923566878982"/>
    <n v="240.96610859236495"/>
  </r>
  <r>
    <x v="42"/>
    <x v="24"/>
    <n v="0.56193137999999998"/>
    <n v="0.57808694400000005"/>
    <n v="6"/>
    <n v="8.9171974522292992"/>
    <n v="62.452042689723655"/>
  </r>
  <r>
    <x v="42"/>
    <x v="24"/>
    <n v="0.56193137999999998"/>
    <n v="0.57808694400000005"/>
    <n v="7.5"/>
    <n v="31.050955414012737"/>
    <n v="757.25093216732841"/>
  </r>
  <r>
    <x v="42"/>
    <x v="71"/>
    <n v="0.85750000000000004"/>
    <n v="0.61247410899999999"/>
    <n v="2.7"/>
    <n v="4.1401273885350314"/>
    <n v="13.462238794085838"/>
  </r>
  <r>
    <x v="42"/>
    <x v="71"/>
    <n v="0.85750000000000004"/>
    <n v="0.61247410899999999"/>
    <n v="2"/>
    <n v="5.0955414012738851"/>
    <n v="20.392503735419968"/>
  </r>
  <r>
    <x v="42"/>
    <x v="71"/>
    <n v="0.85750000000000004"/>
    <n v="0.61247410899999999"/>
    <n v="4.5"/>
    <n v="11.624203821656051"/>
    <n v="106.12466055278617"/>
  </r>
  <r>
    <x v="42"/>
    <x v="71"/>
    <n v="0.85750000000000004"/>
    <n v="0.61247410899999999"/>
    <n v="6.5"/>
    <n v="11.942675159235668"/>
    <n v="112.01936866380598"/>
  </r>
  <r>
    <x v="42"/>
    <x v="71"/>
    <n v="0.85750000000000004"/>
    <n v="0.61247410899999999"/>
    <n v="4.5"/>
    <n v="6.6878980891719744"/>
    <n v="35.12927401296956"/>
  </r>
  <r>
    <x v="42"/>
    <x v="71"/>
    <n v="0.85750000000000004"/>
    <n v="0.61247410899999999"/>
    <n v="3.5"/>
    <n v="6.6878980891719744"/>
    <n v="35.12927401296956"/>
  </r>
  <r>
    <x v="42"/>
    <x v="71"/>
    <n v="0.85750000000000004"/>
    <n v="0.61247410899999999"/>
    <n v="5.5"/>
    <n v="3.6624203821656049"/>
    <n v="10.534799293005044"/>
  </r>
  <r>
    <x v="42"/>
    <x v="71"/>
    <n v="0.85750000000000004"/>
    <n v="0.61247410899999999"/>
    <n v="6.5"/>
    <n v="19.331210191082803"/>
    <n v="293.49990659420916"/>
  </r>
  <r>
    <x v="42"/>
    <x v="71"/>
    <n v="0.85750000000000004"/>
    <n v="0.61247410899999999"/>
    <n v="7"/>
    <n v="8.7579617834394909"/>
    <n v="60.241527148091237"/>
  </r>
  <r>
    <x v="42"/>
    <x v="71"/>
    <n v="0.85750000000000004"/>
    <n v="0.61247410899999999"/>
    <n v="8"/>
    <n v="51.910828025477706"/>
    <n v="2116.4391865092707"/>
  </r>
  <r>
    <x v="42"/>
    <x v="17"/>
    <n v="0.65716857299999998"/>
    <n v="0.85527777800000004"/>
    <n v="1.9"/>
    <n v="6.5286624203821653"/>
    <n v="33.476365995352509"/>
  </r>
  <r>
    <x v="42"/>
    <x v="17"/>
    <n v="0.65716857299999998"/>
    <n v="0.85527777800000004"/>
    <n v="1.5"/>
    <n v="1.2738853503184713"/>
    <n v="1.274531483463748"/>
  </r>
  <r>
    <x v="42"/>
    <x v="76"/>
    <n v="0.52520999999999995"/>
    <n v="0.58666666700000003"/>
    <n v="7"/>
    <n v="4.6178343949044587"/>
    <n v="16.748140274890819"/>
  </r>
  <r>
    <x v="42"/>
    <x v="10"/>
    <n v="0.76500000000000001"/>
    <n v="0.61247410899999999"/>
    <n v="7"/>
    <n v="23.726114649681527"/>
    <n v="442.12302288091672"/>
  </r>
  <r>
    <x v="42"/>
    <x v="77"/>
    <n v="0.68500000000000005"/>
    <n v="0.54"/>
    <n v="2.5"/>
    <n v="5.7324840764331206"/>
    <n v="25.809262540140899"/>
  </r>
  <r>
    <x v="42"/>
    <x v="77"/>
    <n v="0.68500000000000005"/>
    <n v="0.54"/>
    <n v="4.5"/>
    <n v="2.5477707006369426"/>
    <n v="5.098125933854992"/>
  </r>
  <r>
    <x v="42"/>
    <x v="78"/>
    <n v="0.50016547600000005"/>
    <n v="0.61774072899999999"/>
    <n v="2"/>
    <n v="1.592356687898089"/>
    <n v="1.9914554429121063"/>
  </r>
  <r>
    <x v="43"/>
    <x v="40"/>
    <n v="0.9"/>
    <n v="0.61247410899999999"/>
    <n v="4"/>
    <n v="2.5477707006369426"/>
    <n v="5.098125933854992"/>
  </r>
  <r>
    <x v="43"/>
    <x v="24"/>
    <n v="0.56193137999999998"/>
    <n v="0.57808694400000005"/>
    <n v="5"/>
    <n v="9.0764331210191074"/>
    <n v="64.702387340214344"/>
  </r>
  <r>
    <x v="43"/>
    <x v="24"/>
    <n v="0.56193137999999998"/>
    <n v="0.57808694400000005"/>
    <n v="6"/>
    <n v="6.6878980891719744"/>
    <n v="35.12927401296956"/>
  </r>
  <r>
    <x v="43"/>
    <x v="24"/>
    <n v="0.56193137999999998"/>
    <n v="0.57808694400000005"/>
    <n v="6"/>
    <n v="5.2547770700636942"/>
    <n v="21.68694977331284"/>
  </r>
  <r>
    <x v="43"/>
    <x v="24"/>
    <n v="0.56193137999999998"/>
    <n v="0.57808694400000005"/>
    <n v="6"/>
    <n v="9.5541401273885338"/>
    <n v="71.692395944835823"/>
  </r>
  <r>
    <x v="43"/>
    <x v="24"/>
    <n v="0.56193137999999998"/>
    <n v="0.57808694400000005"/>
    <n v="5.7"/>
    <n v="25.159235668789808"/>
    <n v="497.14693676857826"/>
  </r>
  <r>
    <x v="43"/>
    <x v="24"/>
    <n v="0.56193137999999998"/>
    <n v="0.57808694400000005"/>
    <n v="6.3"/>
    <n v="13.694267515923567"/>
    <n v="147.28804455777941"/>
  </r>
  <r>
    <x v="43"/>
    <x v="79"/>
    <n v="0.84088890000000005"/>
    <n v="0.84088888900000003"/>
    <n v="9"/>
    <n v="25.477707006369425"/>
    <n v="509.81259338549921"/>
  </r>
  <r>
    <x v="43"/>
    <x v="71"/>
    <n v="0.85750000000000004"/>
    <n v="0.61247410899999999"/>
    <n v="2.5"/>
    <n v="1.910828025477707"/>
    <n v="2.8676958377934336"/>
  </r>
  <r>
    <x v="43"/>
    <x v="71"/>
    <n v="0.85750000000000004"/>
    <n v="0.61247410899999999"/>
    <n v="4"/>
    <n v="3.6624203821656049"/>
    <n v="10.534799293005044"/>
  </r>
  <r>
    <x v="43"/>
    <x v="71"/>
    <n v="0.85750000000000004"/>
    <n v="0.61247410899999999"/>
    <n v="7.5"/>
    <n v="12.261146496815286"/>
    <n v="118.0733932102588"/>
  </r>
  <r>
    <x v="43"/>
    <x v="71"/>
    <n v="0.85750000000000004"/>
    <n v="0.61247410899999999"/>
    <n v="3"/>
    <n v="4.1401273885350314"/>
    <n v="13.462238794085838"/>
  </r>
  <r>
    <x v="43"/>
    <x v="71"/>
    <n v="0.85750000000000004"/>
    <n v="0.61247410899999999"/>
    <n v="6.5"/>
    <n v="3.3439490445859872"/>
    <n v="8.7823185032423901"/>
  </r>
  <r>
    <x v="43"/>
    <x v="71"/>
    <n v="0.85750000000000004"/>
    <n v="0.61247410899999999"/>
    <n v="6"/>
    <n v="6.2101910828025479"/>
    <n v="30.290037286693146"/>
  </r>
  <r>
    <x v="43"/>
    <x v="7"/>
    <n v="0.74387999999999999"/>
    <n v="0.59130000000000005"/>
    <n v="3.7"/>
    <n v="5.0955414012738851"/>
    <n v="20.392503735419968"/>
  </r>
  <r>
    <x v="43"/>
    <x v="17"/>
    <n v="0.65716857299999998"/>
    <n v="0.85527777800000004"/>
    <n v="2"/>
    <n v="2.5477707006369426"/>
    <n v="5.098125933854992"/>
  </r>
  <r>
    <x v="43"/>
    <x v="17"/>
    <n v="0.65716857299999998"/>
    <n v="0.85527777800000004"/>
    <n v="2.5"/>
    <n v="2.7070063694267517"/>
    <n v="5.7553062300159885"/>
  </r>
  <r>
    <x v="43"/>
    <x v="76"/>
    <n v="0.52520999999999995"/>
    <n v="0.58666666700000003"/>
    <n v="5.5"/>
    <n v="7.1656050955414008"/>
    <n v="40.326972718970154"/>
  </r>
  <r>
    <x v="43"/>
    <x v="76"/>
    <n v="0.52520999999999995"/>
    <n v="0.58666666700000003"/>
    <n v="5.2"/>
    <n v="9.5541401273885338"/>
    <n v="71.692395944835823"/>
  </r>
  <r>
    <x v="43"/>
    <x v="10"/>
    <n v="0.76500000000000001"/>
    <n v="0.61247410899999999"/>
    <n v="9.5"/>
    <n v="26.273885350318469"/>
    <n v="542.173744332821"/>
  </r>
  <r>
    <x v="43"/>
    <x v="10"/>
    <n v="0.76500000000000001"/>
    <n v="0.61247410899999999"/>
    <n v="9.5"/>
    <n v="18.789808917197451"/>
    <n v="277.29025587108168"/>
  </r>
  <r>
    <x v="44"/>
    <x v="12"/>
    <n v="0.80908761900000004"/>
    <n v="0.87473809499999999"/>
    <n v="5.5"/>
    <n v="27.70700636942675"/>
    <n v="602.93304989606929"/>
  </r>
  <r>
    <x v="44"/>
    <x v="53"/>
    <n v="0.6"/>
    <n v="0.66674999999999995"/>
    <n v="6.5"/>
    <n v="3.5031847133757958"/>
    <n v="9.6386443436945939"/>
  </r>
  <r>
    <x v="44"/>
    <x v="54"/>
    <n v="0.59"/>
    <n v="0.59"/>
    <n v="2"/>
    <n v="12.579617834394904"/>
    <n v="124.28673419214456"/>
  </r>
  <r>
    <x v="44"/>
    <x v="21"/>
    <n v="0.39790071399999999"/>
    <n v="0.50565277799999997"/>
    <n v="8.5"/>
    <n v="15.031847133757962"/>
    <n v="177.46576375749231"/>
  </r>
  <r>
    <x v="44"/>
    <x v="46"/>
    <n v="0.55560299999999996"/>
    <n v="0.55961111100000005"/>
    <n v="10"/>
    <n v="21.496815286624201"/>
    <n v="362.94275447073136"/>
  </r>
  <r>
    <x v="44"/>
    <x v="71"/>
    <n v="0.85750000000000004"/>
    <n v="0.61247410899999999"/>
    <n v="8.5"/>
    <n v="45.70063694267516"/>
    <n v="1640.341933772273"/>
  </r>
  <r>
    <x v="44"/>
    <x v="7"/>
    <n v="0.74387999999999999"/>
    <n v="0.59130000000000005"/>
    <n v="5"/>
    <n v="17.292993630573246"/>
    <n v="234.87145835487661"/>
  </r>
  <r>
    <x v="44"/>
    <x v="76"/>
    <n v="0.52520999999999995"/>
    <n v="0.58666666700000003"/>
    <n v="6"/>
    <n v="23.407643312101911"/>
    <n v="430.33360665887716"/>
  </r>
  <r>
    <x v="44"/>
    <x v="76"/>
    <n v="0.52520999999999995"/>
    <n v="0.58666666700000003"/>
    <n v="5"/>
    <n v="15.509554140127388"/>
    <n v="188.92459837600856"/>
  </r>
  <r>
    <x v="45"/>
    <x v="21"/>
    <n v="0.39790071399999999"/>
    <n v="0.50565277799999997"/>
    <n v="4.5"/>
    <n v="10.828025477707007"/>
    <n v="92.084899680255816"/>
  </r>
  <r>
    <x v="45"/>
    <x v="27"/>
    <n v="0.81991655299999999"/>
    <n v="0.72276027399999998"/>
    <n v="2"/>
    <n v="2.8662420382165603"/>
    <n v="6.4523156350352249"/>
  </r>
  <r>
    <x v="45"/>
    <x v="24"/>
    <n v="0.56193137999999998"/>
    <n v="0.57808694400000005"/>
    <n v="6"/>
    <n v="30.414012738853501"/>
    <n v="726.50286012876552"/>
  </r>
  <r>
    <x v="45"/>
    <x v="79"/>
    <n v="0.84088890000000005"/>
    <n v="0.84088888900000003"/>
    <n v="10"/>
    <n v="20.38216560509554"/>
    <n v="326.28005976671949"/>
  </r>
  <r>
    <x v="45"/>
    <x v="79"/>
    <n v="0.84088890000000005"/>
    <n v="0.84088888900000003"/>
    <n v="9"/>
    <n v="17.834394904458598"/>
    <n v="249.80817075889462"/>
  </r>
  <r>
    <x v="45"/>
    <x v="79"/>
    <n v="0.84088890000000005"/>
    <n v="0.84088888900000003"/>
    <n v="8.5"/>
    <n v="32.324840764331206"/>
    <n v="820.65887346964985"/>
  </r>
  <r>
    <x v="45"/>
    <x v="71"/>
    <n v="0.85750000000000004"/>
    <n v="0.61247410899999999"/>
    <n v="5"/>
    <n v="14.012738853503183"/>
    <n v="154.2183094991135"/>
  </r>
  <r>
    <x v="45"/>
    <x v="69"/>
    <n v="0.432770245"/>
    <n v="0.61247410899999999"/>
    <n v="3"/>
    <n v="2.8662420382165603"/>
    <n v="6.4523156350352249"/>
  </r>
  <r>
    <x v="46"/>
    <x v="12"/>
    <n v="0.80908761900000004"/>
    <n v="0.87473809499999999"/>
    <n v="9.5"/>
    <n v="10.19108280254777"/>
    <n v="81.570014941679872"/>
  </r>
  <r>
    <x v="46"/>
    <x v="12"/>
    <n v="0.80908761900000004"/>
    <n v="0.87473809499999999"/>
    <n v="9.5"/>
    <n v="7.9617834394904454"/>
    <n v="49.786386072802657"/>
  </r>
  <r>
    <x v="46"/>
    <x v="53"/>
    <n v="0.6"/>
    <n v="0.66674999999999995"/>
    <n v="7"/>
    <n v="6.3694267515923562"/>
    <n v="31.863287086593701"/>
  </r>
  <r>
    <x v="46"/>
    <x v="53"/>
    <n v="0.6"/>
    <n v="0.66674999999999995"/>
    <n v="7.3"/>
    <n v="9.5541401273885338"/>
    <n v="71.692395944835823"/>
  </r>
  <r>
    <x v="46"/>
    <x v="53"/>
    <n v="0.6"/>
    <n v="0.66674999999999995"/>
    <n v="7.5"/>
    <n v="5.7324840764331206"/>
    <n v="25.809262540140899"/>
  </r>
  <r>
    <x v="46"/>
    <x v="21"/>
    <n v="0.39790071399999999"/>
    <n v="0.50565277799999997"/>
    <n v="6.5"/>
    <n v="7.3248407643312099"/>
    <n v="42.139197172020175"/>
  </r>
  <r>
    <x v="46"/>
    <x v="5"/>
    <n v="0.45255480399999998"/>
    <n v="0.57808694400000005"/>
    <n v="3.5"/>
    <n v="6.0509554140127388"/>
    <n v="28.756616595650822"/>
  </r>
  <r>
    <x v="46"/>
    <x v="5"/>
    <n v="0.45255480399999998"/>
    <n v="0.57808694400000005"/>
    <n v="6"/>
    <n v="24.840764331210192"/>
    <n v="484.64059658709033"/>
  </r>
  <r>
    <x v="46"/>
    <x v="43"/>
    <n v="0.62643652800000005"/>
    <n v="0.57808694400000005"/>
    <n v="4.5"/>
    <n v="15.286624203821656"/>
    <n v="183.53253361877975"/>
  </r>
  <r>
    <x v="46"/>
    <x v="43"/>
    <n v="0.62643652800000005"/>
    <n v="0.57808694400000005"/>
    <n v="4"/>
    <n v="9.2356687898089174"/>
    <n v="66.992561099563275"/>
  </r>
  <r>
    <x v="46"/>
    <x v="43"/>
    <n v="0.62643652800000005"/>
    <n v="0.57808694400000005"/>
    <n v="3.5"/>
    <n v="5.0955414012738851"/>
    <n v="20.392503735419968"/>
  </r>
  <r>
    <x v="46"/>
    <x v="43"/>
    <n v="0.62643652800000005"/>
    <n v="0.57808694400000005"/>
    <n v="5"/>
    <n v="6.0509554140127388"/>
    <n v="28.756616595650822"/>
  </r>
  <r>
    <x v="46"/>
    <x v="24"/>
    <n v="0.56193137999999998"/>
    <n v="0.57808694400000005"/>
    <n v="6"/>
    <n v="31.210191082802545"/>
    <n v="765.03752294911476"/>
  </r>
  <r>
    <x v="46"/>
    <x v="71"/>
    <n v="0.85750000000000004"/>
    <n v="0.61247410899999999"/>
    <n v="3.5"/>
    <n v="9.5541401273885338"/>
    <n v="71.692395944835823"/>
  </r>
  <r>
    <x v="46"/>
    <x v="71"/>
    <n v="0.85750000000000004"/>
    <n v="0.61247410899999999"/>
    <n v="6"/>
    <n v="6.6878980891719744"/>
    <n v="35.12927401296956"/>
  </r>
  <r>
    <x v="46"/>
    <x v="71"/>
    <n v="0.85750000000000004"/>
    <n v="0.61247410899999999"/>
    <n v="7"/>
    <n v="39.171974522292992"/>
    <n v="1205.1491758326904"/>
  </r>
  <r>
    <x v="46"/>
    <x v="71"/>
    <n v="0.85750000000000004"/>
    <n v="0.61247410899999999"/>
    <n v="2.5"/>
    <n v="13.375796178343949"/>
    <n v="140.51709605187824"/>
  </r>
  <r>
    <x v="46"/>
    <x v="7"/>
    <n v="0.74387999999999999"/>
    <n v="0.59130000000000005"/>
    <n v="7"/>
    <n v="11.464968152866241"/>
    <n v="103.2370501605636"/>
  </r>
  <r>
    <x v="46"/>
    <x v="10"/>
    <n v="0.76500000000000001"/>
    <n v="0.61247410899999999"/>
    <n v="10"/>
    <n v="42.993630573248403"/>
    <n v="1451.7710178829254"/>
  </r>
  <r>
    <x v="46"/>
    <x v="10"/>
    <n v="0.76500000000000001"/>
    <n v="0.61247410899999999"/>
    <n v="4.5"/>
    <n v="5.0955414012738851"/>
    <n v="20.392503735419968"/>
  </r>
  <r>
    <x v="46"/>
    <x v="10"/>
    <n v="0.76500000000000001"/>
    <n v="0.61247410899999999"/>
    <n v="8.5"/>
    <n v="29.936305732484076"/>
    <n v="703.86001174285491"/>
  </r>
  <r>
    <x v="46"/>
    <x v="10"/>
    <n v="0.76500000000000001"/>
    <n v="0.61247410899999999"/>
    <n v="8.5"/>
    <n v="25.159235668789808"/>
    <n v="497.14693676857826"/>
  </r>
  <r>
    <x v="46"/>
    <x v="10"/>
    <n v="0.76500000000000001"/>
    <n v="0.61247410899999999"/>
    <n v="10"/>
    <n v="23.885350318471335"/>
    <n v="448.07747465522391"/>
  </r>
  <r>
    <x v="46"/>
    <x v="78"/>
    <n v="0.50016547600000005"/>
    <n v="0.61774072899999999"/>
    <n v="5"/>
    <n v="5.0955414012738851"/>
    <n v="20.392503735419968"/>
  </r>
  <r>
    <x v="46"/>
    <x v="78"/>
    <n v="0.50016547600000005"/>
    <n v="0.61774072899999999"/>
    <n v="8"/>
    <n v="9.872611464968152"/>
    <n v="76.55154722554137"/>
  </r>
  <r>
    <x v="47"/>
    <x v="12"/>
    <n v="0.80908761900000004"/>
    <n v="0.87473809499999999"/>
    <n v="10"/>
    <n v="14.012738853503183"/>
    <n v="154.2183094991135"/>
  </r>
  <r>
    <x v="47"/>
    <x v="12"/>
    <n v="0.80908761900000004"/>
    <n v="0.87473809499999999"/>
    <n v="10"/>
    <n v="14.968152866242038"/>
    <n v="175.96500293571373"/>
  </r>
  <r>
    <x v="47"/>
    <x v="53"/>
    <n v="0.6"/>
    <n v="0.66674999999999995"/>
    <n v="6"/>
    <n v="6.0509554140127388"/>
    <n v="28.756616595650822"/>
  </r>
  <r>
    <x v="47"/>
    <x v="53"/>
    <n v="0.6"/>
    <n v="0.66674999999999995"/>
    <n v="7"/>
    <n v="8.2802547770700627"/>
    <n v="53.848955176343352"/>
  </r>
  <r>
    <x v="47"/>
    <x v="5"/>
    <n v="0.45255480399999998"/>
    <n v="0.57808694400000005"/>
    <n v="5"/>
    <n v="11.464968152866241"/>
    <n v="103.2370501605636"/>
  </r>
  <r>
    <x v="47"/>
    <x v="5"/>
    <n v="0.45255480399999998"/>
    <n v="0.57808694400000005"/>
    <n v="5"/>
    <n v="3.1847133757961781"/>
    <n v="7.9658217716484252"/>
  </r>
  <r>
    <x v="47"/>
    <x v="5"/>
    <n v="0.45255480399999998"/>
    <n v="0.57808694400000005"/>
    <n v="4"/>
    <n v="6.3694267515923562"/>
    <n v="31.863287086593701"/>
  </r>
  <r>
    <x v="47"/>
    <x v="71"/>
    <n v="0.85750000000000004"/>
    <n v="0.61247410899999999"/>
    <n v="9"/>
    <n v="17.834394904458598"/>
    <n v="249.80817075889462"/>
  </r>
  <r>
    <x v="47"/>
    <x v="71"/>
    <n v="0.85750000000000004"/>
    <n v="0.61247410899999999"/>
    <n v="8.5"/>
    <n v="15.923566878980891"/>
    <n v="199.14554429121063"/>
  </r>
  <r>
    <x v="47"/>
    <x v="71"/>
    <n v="0.85750000000000004"/>
    <n v="0.61247410899999999"/>
    <n v="8.5"/>
    <n v="36.942675159235669"/>
    <n v="1071.8809775930124"/>
  </r>
  <r>
    <x v="47"/>
    <x v="71"/>
    <n v="0.85750000000000004"/>
    <n v="0.61247410899999999"/>
    <n v="9.5"/>
    <n v="28.025477707006367"/>
    <n v="616.87323799645401"/>
  </r>
  <r>
    <x v="47"/>
    <x v="71"/>
    <n v="0.85750000000000004"/>
    <n v="0.61247410899999999"/>
    <n v="9"/>
    <n v="29.936305732484076"/>
    <n v="703.86001174285491"/>
  </r>
  <r>
    <x v="47"/>
    <x v="71"/>
    <n v="0.85750000000000004"/>
    <n v="0.61247410899999999"/>
    <n v="9"/>
    <n v="14.012738853503183"/>
    <n v="154.2183094991135"/>
  </r>
  <r>
    <x v="47"/>
    <x v="71"/>
    <n v="0.85750000000000004"/>
    <n v="0.61247410899999999"/>
    <n v="8"/>
    <n v="24.840764331210192"/>
    <n v="484.64059658709033"/>
  </r>
  <r>
    <x v="47"/>
    <x v="71"/>
    <n v="0.85750000000000004"/>
    <n v="0.61247410899999999"/>
    <n v="8"/>
    <n v="11.464968152866241"/>
    <n v="103.2370501605636"/>
  </r>
  <r>
    <x v="47"/>
    <x v="7"/>
    <n v="0.74387999999999999"/>
    <n v="0.59130000000000005"/>
    <n v="2.5"/>
    <n v="4.1401273885350314"/>
    <n v="13.462238794085838"/>
  </r>
  <r>
    <x v="48"/>
    <x v="32"/>
    <n v="0.78445916699999996"/>
    <n v="0.87841666699999998"/>
    <n v="3"/>
    <n v="4.1401273885350314"/>
    <n v="13.462238794085838"/>
  </r>
  <r>
    <x v="48"/>
    <x v="72"/>
    <n v="0.64800000000000002"/>
    <n v="0.66733333299999997"/>
    <n v="4.5"/>
    <n v="4.7770700636942669"/>
    <n v="17.923098986208956"/>
  </r>
  <r>
    <x v="48"/>
    <x v="53"/>
    <n v="0.6"/>
    <n v="0.66674999999999995"/>
    <n v="3"/>
    <n v="9.872611464968152"/>
    <n v="76.55154722554137"/>
  </r>
  <r>
    <x v="48"/>
    <x v="53"/>
    <n v="0.6"/>
    <n v="0.66674999999999995"/>
    <n v="7"/>
    <n v="13.694267515923567"/>
    <n v="147.28804455777941"/>
  </r>
  <r>
    <x v="48"/>
    <x v="80"/>
    <n v="0.83069230800000005"/>
    <n v="0.78683697699999999"/>
    <n v="5.5"/>
    <n v="13.375796178343949"/>
    <n v="140.51709605187824"/>
  </r>
  <r>
    <x v="48"/>
    <x v="80"/>
    <n v="0.83069230800000005"/>
    <n v="0.78683697699999999"/>
    <n v="5.5"/>
    <n v="11.146496815286623"/>
    <n v="97.581316702693215"/>
  </r>
  <r>
    <x v="48"/>
    <x v="21"/>
    <n v="0.39790071399999999"/>
    <n v="0.50565277799999997"/>
    <n v="8"/>
    <n v="21.97452229299363"/>
    <n v="379.25277454818155"/>
  </r>
  <r>
    <x v="48"/>
    <x v="40"/>
    <n v="0.9"/>
    <n v="0.61247410899999999"/>
    <n v="3"/>
    <n v="3.1847133757961781"/>
    <n v="7.9658217716484252"/>
  </r>
  <r>
    <x v="48"/>
    <x v="3"/>
    <n v="0.89361000000000002"/>
    <n v="0.61247410899999999"/>
    <n v="5.5"/>
    <n v="8.9171974522292992"/>
    <n v="62.452042689723655"/>
  </r>
  <r>
    <x v="48"/>
    <x v="3"/>
    <n v="0.89361000000000002"/>
    <n v="0.61247410899999999"/>
    <n v="4.5"/>
    <n v="9.872611464968152"/>
    <n v="76.55154722554137"/>
  </r>
  <r>
    <x v="48"/>
    <x v="3"/>
    <n v="0.89361000000000002"/>
    <n v="0.61247410899999999"/>
    <n v="5"/>
    <n v="6.6878980891719744"/>
    <n v="35.12927401296956"/>
  </r>
  <r>
    <x v="48"/>
    <x v="3"/>
    <n v="0.89361000000000002"/>
    <n v="0.61247410899999999"/>
    <n v="4.5"/>
    <n v="7.3248407643312099"/>
    <n v="42.139197172020175"/>
  </r>
  <r>
    <x v="48"/>
    <x v="5"/>
    <n v="0.45255480399999998"/>
    <n v="0.57808694400000005"/>
    <n v="5.5"/>
    <n v="14.331210191082802"/>
    <n v="161.30789087588062"/>
  </r>
  <r>
    <x v="48"/>
    <x v="43"/>
    <n v="0.62643652800000005"/>
    <n v="0.57808694400000005"/>
    <n v="6.5"/>
    <n v="12.420382165605096"/>
    <n v="121.16014914677258"/>
  </r>
  <r>
    <x v="48"/>
    <x v="23"/>
    <n v="0.590536375"/>
    <n v="0.61247410899999999"/>
    <n v="9"/>
    <n v="15.286624203821656"/>
    <n v="183.53253361877975"/>
  </r>
  <r>
    <x v="48"/>
    <x v="69"/>
    <n v="0.432770245"/>
    <n v="0.61247410899999999"/>
    <n v="6.5"/>
    <n v="21.019108280254777"/>
    <n v="346.99119637300544"/>
  </r>
  <r>
    <x v="48"/>
    <x v="9"/>
    <n v="0.43836446099999998"/>
    <n v="0.58666666700000003"/>
    <n v="5.5"/>
    <n v="18.471337579617835"/>
    <n v="267.9702443982531"/>
  </r>
  <r>
    <x v="48"/>
    <x v="9"/>
    <n v="0.43836446099999998"/>
    <n v="0.58666666700000003"/>
    <n v="5"/>
    <n v="21.97452229299363"/>
    <n v="379.25277454818155"/>
  </r>
  <r>
    <x v="49"/>
    <x v="12"/>
    <n v="0.80908761900000004"/>
    <n v="0.87473809499999999"/>
    <n v="15"/>
    <n v="34.394904458598724"/>
    <n v="929.1334514450723"/>
  </r>
  <r>
    <x v="49"/>
    <x v="39"/>
    <n v="0.41"/>
    <n v="0.33983503399999998"/>
    <n v="6"/>
    <n v="24.68152866242038"/>
    <n v="478.44717015963357"/>
  </r>
  <r>
    <x v="49"/>
    <x v="45"/>
    <n v="0.31264018999999998"/>
    <n v="0.356821212"/>
    <n v="15"/>
    <n v="6.6878980891719744"/>
    <n v="35.12927401296956"/>
  </r>
  <r>
    <x v="49"/>
    <x v="1"/>
    <n v="0.766138345"/>
    <n v="0.90500000000000003"/>
    <n v="11"/>
    <n v="25.477707006369425"/>
    <n v="509.81259338549921"/>
  </r>
  <r>
    <x v="49"/>
    <x v="53"/>
    <n v="0.6"/>
    <n v="0.66674999999999995"/>
    <n v="5.5"/>
    <n v="8.4394904458598727"/>
    <n v="55.939983391401071"/>
  </r>
  <r>
    <x v="49"/>
    <x v="53"/>
    <n v="0.6"/>
    <n v="0.66674999999999995"/>
    <n v="3.5"/>
    <n v="8.598726114649681"/>
    <n v="58.070840715317019"/>
  </r>
  <r>
    <x v="49"/>
    <x v="53"/>
    <n v="0.6"/>
    <n v="0.66674999999999995"/>
    <n v="2.5"/>
    <n v="4.936305732484076"/>
    <n v="19.137886806385342"/>
  </r>
  <r>
    <x v="49"/>
    <x v="33"/>
    <n v="0.63206279899999995"/>
    <n v="0.75690909100000003"/>
    <n v="2.5"/>
    <n v="2.8662420382165603"/>
    <n v="6.4523156350352249"/>
  </r>
  <r>
    <x v="49"/>
    <x v="33"/>
    <n v="0.63206279899999995"/>
    <n v="0.75690909100000003"/>
    <n v="4.5"/>
    <n v="6.8471337579617835"/>
    <n v="36.822011139444854"/>
  </r>
  <r>
    <x v="49"/>
    <x v="33"/>
    <n v="0.63206279899999995"/>
    <n v="0.75690909100000003"/>
    <n v="2.5"/>
    <n v="4.1401273885350314"/>
    <n v="13.462238794085838"/>
  </r>
  <r>
    <x v="49"/>
    <x v="3"/>
    <n v="0.89361000000000002"/>
    <n v="0.61247410899999999"/>
    <n v="7"/>
    <n v="15.605095541401273"/>
    <n v="191.25938073727869"/>
  </r>
  <r>
    <x v="49"/>
    <x v="3"/>
    <n v="0.89361000000000002"/>
    <n v="0.61247410899999999"/>
    <n v="4.5"/>
    <n v="6.5286624203821653"/>
    <n v="33.476365995352509"/>
  </r>
  <r>
    <x v="49"/>
    <x v="4"/>
    <n v="0.708787469"/>
    <n v="0.80167708299999996"/>
    <n v="4"/>
    <n v="8.2802547770700627"/>
    <n v="53.848955176343352"/>
  </r>
  <r>
    <x v="49"/>
    <x v="4"/>
    <n v="0.708787469"/>
    <n v="0.80167708299999996"/>
    <n v="4"/>
    <n v="4.7770700636942669"/>
    <n v="17.923098986208956"/>
  </r>
  <r>
    <x v="49"/>
    <x v="43"/>
    <n v="0.62643652800000005"/>
    <n v="0.57808694400000005"/>
    <n v="10"/>
    <n v="15.127388535031846"/>
    <n v="179.7288537228176"/>
  </r>
  <r>
    <x v="49"/>
    <x v="43"/>
    <n v="0.62643652800000005"/>
    <n v="0.57808694400000005"/>
    <n v="3"/>
    <n v="9.872611464968152"/>
    <n v="76.55154722554137"/>
  </r>
  <r>
    <x v="49"/>
    <x v="16"/>
    <n v="0.63400000000000001"/>
    <n v="0.73247777800000002"/>
    <n v="9"/>
    <n v="11.146496815286623"/>
    <n v="97.581316702693215"/>
  </r>
  <r>
    <x v="49"/>
    <x v="48"/>
    <n v="0.39"/>
    <n v="0.28861111099999998"/>
    <n v="12"/>
    <n v="15.923566878980891"/>
    <n v="199.14554429121063"/>
  </r>
  <r>
    <x v="49"/>
    <x v="81"/>
    <n v="0.56000000000000005"/>
    <n v="0.53945833300000001"/>
    <n v="6"/>
    <n v="10.031847133757962"/>
    <n v="79.040866529181514"/>
  </r>
  <r>
    <x v="49"/>
    <x v="29"/>
    <n v="0.40238543599999999"/>
    <n v="0.40883333300000002"/>
    <n v="10"/>
    <n v="15.445859872611464"/>
    <n v="187.37604262360011"/>
  </r>
  <r>
    <x v="49"/>
    <x v="29"/>
    <n v="0.40238543599999999"/>
    <n v="0.40883333300000002"/>
    <n v="11"/>
    <n v="12.579617834394904"/>
    <n v="124.28673419214456"/>
  </r>
  <r>
    <x v="50"/>
    <x v="45"/>
    <n v="0.31264018999999998"/>
    <n v="0.356821212"/>
    <n v="11"/>
    <n v="25.477707006369425"/>
    <n v="509.81259338549921"/>
  </r>
  <r>
    <x v="50"/>
    <x v="1"/>
    <n v="0.766138345"/>
    <n v="0.90500000000000003"/>
    <n v="6"/>
    <n v="11.146496815286623"/>
    <n v="97.581316702693215"/>
  </r>
  <r>
    <x v="50"/>
    <x v="1"/>
    <n v="0.766138345"/>
    <n v="0.90500000000000003"/>
    <n v="7"/>
    <n v="7.6433121019108281"/>
    <n v="45.883133404694938"/>
  </r>
  <r>
    <x v="50"/>
    <x v="53"/>
    <n v="0.6"/>
    <n v="0.66674999999999995"/>
    <n v="3.5"/>
    <n v="5.0955414012738851"/>
    <n v="20.392503735419968"/>
  </r>
  <r>
    <x v="50"/>
    <x v="53"/>
    <n v="0.6"/>
    <n v="0.66674999999999995"/>
    <n v="8"/>
    <n v="13.057324840764331"/>
    <n v="133.90546398141004"/>
  </r>
  <r>
    <x v="50"/>
    <x v="53"/>
    <n v="0.6"/>
    <n v="0.66674999999999995"/>
    <n v="3"/>
    <n v="5.4140127388535033"/>
    <n v="23.021224920063954"/>
  </r>
  <r>
    <x v="50"/>
    <x v="3"/>
    <n v="0.89361000000000002"/>
    <n v="0.61247410899999999"/>
    <n v="6.5"/>
    <n v="7.0063694267515917"/>
    <n v="38.554577374778376"/>
  </r>
  <r>
    <x v="50"/>
    <x v="4"/>
    <n v="0.708787469"/>
    <n v="0.80167708299999996"/>
    <n v="6.5"/>
    <n v="6.0509554140127388"/>
    <n v="28.756616595650822"/>
  </r>
  <r>
    <x v="50"/>
    <x v="43"/>
    <n v="0.62643652800000005"/>
    <n v="0.57808694400000005"/>
    <n v="8"/>
    <n v="20.700636942675157"/>
    <n v="336.55596985214595"/>
  </r>
  <r>
    <x v="50"/>
    <x v="7"/>
    <n v="0.74387999999999999"/>
    <n v="0.59130000000000005"/>
    <n v="12"/>
    <n v="14.012738853503183"/>
    <n v="154.2183094991135"/>
  </r>
  <r>
    <x v="50"/>
    <x v="69"/>
    <n v="0.432770245"/>
    <n v="0.61247410899999999"/>
    <n v="5"/>
    <n v="18.949044585987259"/>
    <n v="282.01000527078338"/>
  </r>
  <r>
    <x v="50"/>
    <x v="81"/>
    <n v="0.56000000000000005"/>
    <n v="0.53945833300000001"/>
    <n v="5.5"/>
    <n v="5.7324840764331206"/>
    <n v="25.809262540140899"/>
  </r>
  <r>
    <x v="50"/>
    <x v="9"/>
    <n v="0.43836446099999998"/>
    <n v="0.58666666700000003"/>
    <n v="3.5"/>
    <n v="5.0955414012738851"/>
    <n v="20.392503735419968"/>
  </r>
  <r>
    <x v="51"/>
    <x v="49"/>
    <n v="0.86"/>
    <n v="0.65666666699999998"/>
    <n v="9"/>
    <n v="6.6878980891719744"/>
    <n v="35.12927401296956"/>
  </r>
  <r>
    <x v="51"/>
    <x v="49"/>
    <n v="0.86"/>
    <n v="0.65666666699999998"/>
    <n v="11"/>
    <n v="34.235668789808919"/>
    <n v="920.55027848612133"/>
  </r>
  <r>
    <x v="51"/>
    <x v="49"/>
    <n v="0.86"/>
    <n v="0.65666666699999998"/>
    <n v="7"/>
    <n v="5.7324840764331206"/>
    <n v="25.809262540140899"/>
  </r>
  <r>
    <x v="51"/>
    <x v="49"/>
    <n v="0.86"/>
    <n v="0.65666666699999998"/>
    <n v="11"/>
    <n v="7.3248407643312099"/>
    <n v="42.139197172020175"/>
  </r>
  <r>
    <x v="51"/>
    <x v="49"/>
    <n v="0.86"/>
    <n v="0.65666666699999998"/>
    <n v="10"/>
    <n v="5.7324840764331206"/>
    <n v="25.809262540140899"/>
  </r>
  <r>
    <x v="51"/>
    <x v="45"/>
    <n v="0.31264018999999998"/>
    <n v="0.356821212"/>
    <n v="13"/>
    <n v="16.878980891719745"/>
    <n v="223.75993356560429"/>
  </r>
  <r>
    <x v="51"/>
    <x v="45"/>
    <n v="0.31264018999999998"/>
    <n v="0.356821212"/>
    <n v="15"/>
    <n v="24.840764331210192"/>
    <n v="484.64059658709033"/>
  </r>
  <r>
    <x v="51"/>
    <x v="45"/>
    <n v="0.31264018999999998"/>
    <n v="0.356821212"/>
    <n v="15.5"/>
    <n v="27.070063694267514"/>
    <n v="575.53062300159877"/>
  </r>
  <r>
    <x v="51"/>
    <x v="45"/>
    <n v="0.31264018999999998"/>
    <n v="0.356821212"/>
    <n v="15.5"/>
    <n v="31.847133757961782"/>
    <n v="796.58217716484251"/>
  </r>
  <r>
    <x v="51"/>
    <x v="1"/>
    <n v="0.766138345"/>
    <n v="0.90500000000000003"/>
    <n v="12"/>
    <n v="32.165605095541402"/>
    <n v="812.59347892585606"/>
  </r>
  <r>
    <x v="51"/>
    <x v="53"/>
    <n v="0.6"/>
    <n v="0.66674999999999995"/>
    <n v="10"/>
    <n v="8.9171974522292992"/>
    <n v="62.452042689723655"/>
  </r>
  <r>
    <x v="51"/>
    <x v="80"/>
    <n v="0.83069230800000005"/>
    <n v="0.78683697699999999"/>
    <n v="8"/>
    <n v="7.6433121019108281"/>
    <n v="45.883133404694938"/>
  </r>
  <r>
    <x v="51"/>
    <x v="3"/>
    <n v="0.89361000000000002"/>
    <n v="0.61247410899999999"/>
    <n v="3"/>
    <n v="3.1847133757961781"/>
    <n v="7.9658217716484252"/>
  </r>
  <r>
    <x v="51"/>
    <x v="43"/>
    <n v="0.62643652800000005"/>
    <n v="0.57808694400000005"/>
    <n v="11"/>
    <n v="15.923566878980891"/>
    <n v="199.14554429121063"/>
  </r>
  <r>
    <x v="51"/>
    <x v="43"/>
    <n v="0.62643652800000005"/>
    <n v="0.57808694400000005"/>
    <n v="4"/>
    <n v="5.7324840764331206"/>
    <n v="25.809262540140899"/>
  </r>
  <r>
    <x v="51"/>
    <x v="68"/>
    <n v="0.56023871300000005"/>
    <n v="0.74103703700000001"/>
    <n v="11"/>
    <n v="9.0764331210191074"/>
    <n v="64.702387340214344"/>
  </r>
  <r>
    <x v="51"/>
    <x v="69"/>
    <n v="0.432770245"/>
    <n v="0.61247410899999999"/>
    <n v="10"/>
    <n v="21.337579617834393"/>
    <n v="357.58573932929778"/>
  </r>
  <r>
    <x v="51"/>
    <x v="9"/>
    <n v="0.43836446099999998"/>
    <n v="0.58666666700000003"/>
    <n v="4"/>
    <n v="9.2356687898089174"/>
    <n v="66.992561099563275"/>
  </r>
  <r>
    <x v="52"/>
    <x v="45"/>
    <n v="0.31264018999999998"/>
    <n v="0.356821212"/>
    <n v="14"/>
    <n v="25.477707006369425"/>
    <n v="509.81259338549921"/>
  </r>
  <r>
    <x v="52"/>
    <x v="45"/>
    <n v="0.31264018999999998"/>
    <n v="0.356821212"/>
    <n v="13"/>
    <n v="21.97452229299363"/>
    <n v="379.25277454818155"/>
  </r>
  <r>
    <x v="52"/>
    <x v="45"/>
    <n v="0.31264018999999998"/>
    <n v="0.356821212"/>
    <n v="13"/>
    <n v="28.662420382165603"/>
    <n v="645.23156350352247"/>
  </r>
  <r>
    <x v="52"/>
    <x v="1"/>
    <n v="0.766138345"/>
    <n v="0.90500000000000003"/>
    <n v="9"/>
    <n v="21.656050955414013"/>
    <n v="368.33959872102326"/>
  </r>
  <r>
    <x v="52"/>
    <x v="1"/>
    <n v="0.766138345"/>
    <n v="0.90500000000000003"/>
    <n v="11"/>
    <n v="15.605095541401273"/>
    <n v="191.25938073727869"/>
  </r>
  <r>
    <x v="52"/>
    <x v="1"/>
    <n v="0.766138345"/>
    <n v="0.90500000000000003"/>
    <n v="6.5"/>
    <n v="9.872611464968152"/>
    <n v="76.55154722554137"/>
  </r>
  <r>
    <x v="52"/>
    <x v="21"/>
    <n v="0.39790071399999999"/>
    <n v="0.50565277799999997"/>
    <n v="13"/>
    <n v="9.0764331210191074"/>
    <n v="64.702387340214344"/>
  </r>
  <r>
    <x v="52"/>
    <x v="43"/>
    <n v="0.62643652800000005"/>
    <n v="0.57808694400000005"/>
    <n v="13"/>
    <n v="15.923566878980891"/>
    <n v="199.14554429121063"/>
  </r>
  <r>
    <x v="52"/>
    <x v="43"/>
    <n v="0.62643652800000005"/>
    <n v="0.57808694400000005"/>
    <n v="5"/>
    <n v="5.7324840764331206"/>
    <n v="25.809262540140899"/>
  </r>
  <r>
    <x v="52"/>
    <x v="43"/>
    <n v="0.62643652800000005"/>
    <n v="0.57808694400000005"/>
    <n v="12"/>
    <n v="19.745222929936304"/>
    <n v="306.20618890216548"/>
  </r>
  <r>
    <x v="52"/>
    <x v="43"/>
    <n v="0.62643652800000005"/>
    <n v="0.57808694400000005"/>
    <n v="6"/>
    <n v="13.694267515923567"/>
    <n v="147.28804455777941"/>
  </r>
  <r>
    <x v="52"/>
    <x v="43"/>
    <n v="0.62643652800000005"/>
    <n v="0.57808694400000005"/>
    <n v="4.5"/>
    <n v="13.694267515923567"/>
    <n v="147.28804455777941"/>
  </r>
  <r>
    <x v="52"/>
    <x v="16"/>
    <n v="0.63400000000000001"/>
    <n v="0.73247777800000002"/>
    <n v="10"/>
    <n v="14.808917197452228"/>
    <n v="172.24098125746809"/>
  </r>
  <r>
    <x v="52"/>
    <x v="69"/>
    <n v="0.432770245"/>
    <n v="0.61247410899999999"/>
    <n v="13"/>
    <n v="29.29936305732484"/>
    <n v="674.2271547523228"/>
  </r>
  <r>
    <x v="52"/>
    <x v="69"/>
    <n v="0.432770245"/>
    <n v="0.61247410899999999"/>
    <n v="12"/>
    <n v="27.388535031847134"/>
    <n v="589.15217823111766"/>
  </r>
  <r>
    <x v="52"/>
    <x v="69"/>
    <n v="0.432770245"/>
    <n v="0.61247410899999999"/>
    <n v="11"/>
    <n v="21.019108280254777"/>
    <n v="346.99119637300544"/>
  </r>
  <r>
    <x v="52"/>
    <x v="69"/>
    <n v="0.432770245"/>
    <n v="0.61247410899999999"/>
    <n v="8"/>
    <n v="16.560509554140125"/>
    <n v="215.39582070537341"/>
  </r>
  <r>
    <x v="52"/>
    <x v="9"/>
    <n v="0.43836446099999998"/>
    <n v="0.58666666700000003"/>
    <n v="6"/>
    <n v="12.420382165605096"/>
    <n v="121.16014914677258"/>
  </r>
  <r>
    <x v="53"/>
    <x v="12"/>
    <n v="0.80908761900000004"/>
    <n v="0.87473809499999999"/>
    <n v="7"/>
    <n v="15.286624203821656"/>
    <n v="183.53253361877975"/>
  </r>
  <r>
    <x v="53"/>
    <x v="39"/>
    <n v="0.41"/>
    <n v="0.33983503399999998"/>
    <n v="7"/>
    <n v="9.872611464968152"/>
    <n v="76.55154722554137"/>
  </r>
  <r>
    <x v="53"/>
    <x v="1"/>
    <n v="0.766138345"/>
    <n v="0.90500000000000003"/>
    <n v="4"/>
    <n v="5.8917197452229297"/>
    <n v="27.263025013466741"/>
  </r>
  <r>
    <x v="53"/>
    <x v="53"/>
    <n v="0.6"/>
    <n v="0.66674999999999995"/>
    <n v="8"/>
    <n v="21.019108280254777"/>
    <n v="346.99119637300544"/>
  </r>
  <r>
    <x v="53"/>
    <x v="53"/>
    <n v="0.6"/>
    <n v="0.66674999999999995"/>
    <n v="8"/>
    <n v="10.987261146496815"/>
    <n v="94.813193637045387"/>
  </r>
  <r>
    <x v="53"/>
    <x v="53"/>
    <n v="0.6"/>
    <n v="0.66674999999999995"/>
    <n v="6.5"/>
    <n v="8.2802547770700627"/>
    <n v="53.848955176343352"/>
  </r>
  <r>
    <x v="53"/>
    <x v="2"/>
    <n v="0.47982689899999997"/>
    <n v="0.51"/>
    <n v="1.2"/>
    <n v="2.0700636942675157"/>
    <n v="3.3655596985214595"/>
  </r>
  <r>
    <x v="53"/>
    <x v="74"/>
    <n v="0.490852183"/>
    <n v="0.607288889"/>
    <n v="6.5"/>
    <n v="20.541401273885349"/>
    <n v="331.39810025500361"/>
  </r>
  <r>
    <x v="53"/>
    <x v="3"/>
    <n v="0.89361000000000002"/>
    <n v="0.61247410899999999"/>
    <n v="5"/>
    <n v="4.2993630573248405"/>
    <n v="14.517710178829255"/>
  </r>
  <r>
    <x v="53"/>
    <x v="22"/>
    <n v="1082380952"/>
    <n v="0.61247410899999999"/>
    <n v="3"/>
    <n v="1.910828025477707"/>
    <n v="2.8676958377934336"/>
  </r>
  <r>
    <x v="53"/>
    <x v="71"/>
    <n v="0.85750000000000004"/>
    <n v="0.61247410899999999"/>
    <n v="8.6999999999999993"/>
    <n v="17.67515923566879"/>
    <n v="245.36722512120065"/>
  </r>
  <r>
    <x v="53"/>
    <x v="71"/>
    <n v="0.85750000000000004"/>
    <n v="0.61247410899999999"/>
    <n v="6"/>
    <n v="5.4140127388535033"/>
    <n v="23.021224920063954"/>
  </r>
  <r>
    <x v="53"/>
    <x v="71"/>
    <n v="0.85750000000000004"/>
    <n v="0.61247410899999999"/>
    <n v="6"/>
    <n v="4.4585987261146496"/>
    <n v="15.613010672430914"/>
  </r>
  <r>
    <x v="53"/>
    <x v="71"/>
    <n v="0.85750000000000004"/>
    <n v="0.61247410899999999"/>
    <n v="5.7"/>
    <n v="7.3248407643312099"/>
    <n v="42.139197172020175"/>
  </r>
  <r>
    <x v="53"/>
    <x v="71"/>
    <n v="0.85750000000000004"/>
    <n v="0.61247410899999999"/>
    <n v="5.5"/>
    <n v="5.4140127388535033"/>
    <n v="23.021224920063954"/>
  </r>
  <r>
    <x v="53"/>
    <x v="82"/>
    <n v="0.93384615400000004"/>
    <n v="0.61247410899999999"/>
    <n v="2"/>
    <n v="3.5031847133757958"/>
    <n v="9.6386443436945939"/>
  </r>
  <r>
    <x v="53"/>
    <x v="23"/>
    <n v="0.590536375"/>
    <n v="0.61247410899999999"/>
    <n v="8"/>
    <n v="18.789808917197451"/>
    <n v="277.29025587108168"/>
  </r>
  <r>
    <x v="53"/>
    <x v="13"/>
    <n v="0.50857142899999996"/>
    <n v="0.49666666700000001"/>
    <n v="10"/>
    <n v="47.452229299363054"/>
    <n v="1768.4920915236669"/>
  </r>
  <r>
    <x v="53"/>
    <x v="48"/>
    <n v="0.39"/>
    <n v="0.28861111099999998"/>
    <n v="8"/>
    <n v="20.859872611464969"/>
    <n v="341.75366855814667"/>
  </r>
  <r>
    <x v="53"/>
    <x v="28"/>
    <n v="1.1200000000000001"/>
    <n v="0.85527777800000004"/>
    <n v="2.5"/>
    <n v="1.910828025477707"/>
    <n v="2.8676958377934336"/>
  </r>
  <r>
    <x v="53"/>
    <x v="8"/>
    <n v="0.66608171000000005"/>
    <n v="0.68661666700000001"/>
    <n v="6.5"/>
    <n v="4.4585987261146496"/>
    <n v="15.613010672430914"/>
  </r>
  <r>
    <x v="53"/>
    <x v="30"/>
    <n v="0.57917600000000002"/>
    <n v="0.60285714300000004"/>
    <n v="10"/>
    <n v="35.031847133757964"/>
    <n v="963.86443436945979"/>
  </r>
  <r>
    <x v="53"/>
    <x v="83"/>
    <n v="0.41185709999999998"/>
    <n v="0.41185714299999998"/>
    <n v="2.8"/>
    <n v="2.7070063694267517"/>
    <n v="5.7553062300159885"/>
  </r>
  <r>
    <x v="54"/>
    <x v="53"/>
    <n v="0.6"/>
    <n v="0.66674999999999995"/>
    <n v="4"/>
    <n v="6.3694267515923562"/>
    <n v="31.863287086593701"/>
  </r>
  <r>
    <x v="54"/>
    <x v="74"/>
    <n v="0.490852183"/>
    <n v="0.607288889"/>
    <n v="2.5"/>
    <n v="5.2547770700636942"/>
    <n v="21.68694977331284"/>
  </r>
  <r>
    <x v="54"/>
    <x v="3"/>
    <n v="0.89361000000000002"/>
    <n v="0.61247410899999999"/>
    <n v="2.1"/>
    <n v="3.8216560509554141"/>
    <n v="11.470783351173734"/>
  </r>
  <r>
    <x v="54"/>
    <x v="4"/>
    <n v="0.708787469"/>
    <n v="0.80167708299999996"/>
    <n v="3.7"/>
    <n v="11.783439490445859"/>
    <n v="109.05210005386697"/>
  </r>
  <r>
    <x v="54"/>
    <x v="4"/>
    <n v="0.708787469"/>
    <n v="0.80167708299999996"/>
    <n v="2.2000000000000002"/>
    <n v="4.2993630573248405"/>
    <n v="14.517710178829255"/>
  </r>
  <r>
    <x v="54"/>
    <x v="84"/>
    <n v="0.13069240100000001"/>
    <n v="0.26500000000000001"/>
    <n v="6"/>
    <n v="12.738853503184712"/>
    <n v="127.4531483463748"/>
  </r>
  <r>
    <x v="54"/>
    <x v="84"/>
    <n v="0.13069240100000001"/>
    <n v="0.26500000000000001"/>
    <n v="4.5"/>
    <n v="12.101910828025478"/>
    <n v="115.02646638260329"/>
  </r>
  <r>
    <x v="54"/>
    <x v="84"/>
    <n v="0.13069240100000001"/>
    <n v="0.26500000000000001"/>
    <n v="4.5"/>
    <n v="9.5541401273885338"/>
    <n v="71.692395944835823"/>
  </r>
  <r>
    <x v="54"/>
    <x v="71"/>
    <n v="0.85750000000000004"/>
    <n v="0.61247410899999999"/>
    <n v="3.5"/>
    <n v="9.7133757961783438"/>
    <n v="74.102057030759482"/>
  </r>
  <r>
    <x v="54"/>
    <x v="68"/>
    <n v="0.56023871300000005"/>
    <n v="0.74103703700000001"/>
    <n v="6"/>
    <n v="7.9617834394904454"/>
    <n v="49.786386072802657"/>
  </r>
  <r>
    <x v="54"/>
    <x v="68"/>
    <n v="0.56023871300000005"/>
    <n v="0.74103703700000001"/>
    <n v="4.2"/>
    <n v="7.484076433121019"/>
    <n v="43.991250733928432"/>
  </r>
  <r>
    <x v="54"/>
    <x v="18"/>
    <n v="0.69835862100000001"/>
    <n v="0.69262500000000005"/>
    <n v="8.9"/>
    <n v="7.6433121019108281"/>
    <n v="45.883133404694938"/>
  </r>
  <r>
    <x v="54"/>
    <x v="18"/>
    <n v="0.69835862100000001"/>
    <n v="0.69262500000000005"/>
    <n v="7.2"/>
    <n v="4.936305732484076"/>
    <n v="19.137886806385342"/>
  </r>
  <r>
    <x v="54"/>
    <x v="9"/>
    <n v="0.43836446099999998"/>
    <n v="0.58666666700000003"/>
    <n v="2.7"/>
    <n v="10.668789808917197"/>
    <n v="89.396434832324445"/>
  </r>
  <r>
    <x v="54"/>
    <x v="9"/>
    <n v="0.43836446099999998"/>
    <n v="0.58666666700000003"/>
    <n v="1.9"/>
    <n v="6.3694267515923562"/>
    <n v="31.863287086593701"/>
  </r>
  <r>
    <x v="54"/>
    <x v="30"/>
    <n v="0.57917600000000002"/>
    <n v="0.60285714300000004"/>
    <n v="8"/>
    <n v="30.254777070063692"/>
    <n v="718.91541489127042"/>
  </r>
  <r>
    <x v="54"/>
    <x v="59"/>
    <n v="0.28577490700000002"/>
    <n v="0.3422"/>
    <n v="8"/>
    <n v="31.369426751592357"/>
    <n v="772.86394283975949"/>
  </r>
  <r>
    <x v="55"/>
    <x v="12"/>
    <n v="0.80908761900000004"/>
    <n v="0.87473809499999999"/>
    <n v="7"/>
    <n v="13.216560509554139"/>
    <n v="137.191365462215"/>
  </r>
  <r>
    <x v="55"/>
    <x v="85"/>
    <n v="0.57550000000000001"/>
    <n v="0.57550000000000001"/>
    <n v="3"/>
    <n v="2.3885350318471334"/>
    <n v="4.480774746552239"/>
  </r>
  <r>
    <x v="55"/>
    <x v="53"/>
    <n v="0.6"/>
    <n v="0.66674999999999995"/>
    <n v="8"/>
    <n v="15.445859872611464"/>
    <n v="187.37604262360011"/>
  </r>
  <r>
    <x v="55"/>
    <x v="27"/>
    <n v="0.81991655299999999"/>
    <n v="0.72276027399999998"/>
    <n v="2.2999999999999998"/>
    <n v="6.2101910828025479"/>
    <n v="30.290037286693146"/>
  </r>
  <r>
    <x v="55"/>
    <x v="2"/>
    <n v="0.47982689899999997"/>
    <n v="0.51"/>
    <n v="3.5"/>
    <n v="9.5541401273885338"/>
    <n v="71.692395944835823"/>
  </r>
  <r>
    <x v="55"/>
    <x v="2"/>
    <n v="0.47982689899999997"/>
    <n v="0.51"/>
    <n v="2.7"/>
    <n v="6.8471337579617835"/>
    <n v="36.822011139444854"/>
  </r>
  <r>
    <x v="55"/>
    <x v="74"/>
    <n v="0.490852183"/>
    <n v="0.607288889"/>
    <n v="4.7"/>
    <n v="7.0063694267515917"/>
    <n v="38.554577374778376"/>
  </r>
  <r>
    <x v="55"/>
    <x v="74"/>
    <n v="0.490852183"/>
    <n v="0.607288889"/>
    <n v="4.5"/>
    <n v="8.9171974522292992"/>
    <n v="62.452042689723655"/>
  </r>
  <r>
    <x v="55"/>
    <x v="5"/>
    <n v="0.45255480399999998"/>
    <n v="0.57808694400000005"/>
    <n v="5.7"/>
    <n v="12.420382165605096"/>
    <n v="121.16014914677258"/>
  </r>
  <r>
    <x v="55"/>
    <x v="84"/>
    <n v="0.13069240100000001"/>
    <n v="0.26500000000000001"/>
    <n v="7"/>
    <n v="27.547770700636942"/>
    <n v="596.02269950916434"/>
  </r>
  <r>
    <x v="55"/>
    <x v="22"/>
    <n v="1082380952"/>
    <n v="0.61247410899999999"/>
    <n v="3.7"/>
    <n v="5.4140127388535033"/>
    <n v="23.021224920063954"/>
  </r>
  <r>
    <x v="55"/>
    <x v="71"/>
    <n v="0.85750000000000004"/>
    <n v="0.61247410899999999"/>
    <n v="6"/>
    <n v="9.3949044585987256"/>
    <n v="69.322563967770421"/>
  </r>
  <r>
    <x v="55"/>
    <x v="71"/>
    <n v="0.85750000000000004"/>
    <n v="0.61247410899999999"/>
    <n v="3.5"/>
    <n v="4.7770700636942669"/>
    <n v="17.923098986208956"/>
  </r>
  <r>
    <x v="55"/>
    <x v="23"/>
    <n v="0.590536375"/>
    <n v="0.61247410899999999"/>
    <n v="10"/>
    <n v="42.834394904458598"/>
    <n v="1441.0370730456295"/>
  </r>
  <r>
    <x v="55"/>
    <x v="48"/>
    <n v="0.39"/>
    <n v="0.28861111099999998"/>
    <n v="7.5"/>
    <n v="16.401273885350317"/>
    <n v="211.27350793854535"/>
  </r>
  <r>
    <x v="55"/>
    <x v="29"/>
    <n v="0.40238543599999999"/>
    <n v="0.40883333300000002"/>
    <n v="9"/>
    <n v="16.082802547770701"/>
    <n v="203.14836973146402"/>
  </r>
  <r>
    <x v="55"/>
    <x v="59"/>
    <n v="0.28577490700000002"/>
    <n v="0.3422"/>
    <n v="8.5"/>
    <n v="27.70700636942675"/>
    <n v="602.93304989606929"/>
  </r>
  <r>
    <x v="56"/>
    <x v="12"/>
    <n v="0.80908761900000004"/>
    <n v="0.87473809499999999"/>
    <n v="4.5"/>
    <n v="12.738853503184712"/>
    <n v="127.4531483463748"/>
  </r>
  <r>
    <x v="56"/>
    <x v="12"/>
    <n v="0.80908761900000004"/>
    <n v="0.87473809499999999"/>
    <n v="3.7"/>
    <n v="6.0509554140127388"/>
    <n v="28.756616595650822"/>
  </r>
  <r>
    <x v="56"/>
    <x v="45"/>
    <n v="0.31264018999999998"/>
    <n v="0.356821212"/>
    <n v="5.7"/>
    <n v="49.681528662420384"/>
    <n v="1938.5623863483613"/>
  </r>
  <r>
    <x v="56"/>
    <x v="53"/>
    <n v="0.6"/>
    <n v="0.66674999999999995"/>
    <n v="7.5"/>
    <n v="15.764331210191083"/>
    <n v="195.18254795981557"/>
  </r>
  <r>
    <x v="56"/>
    <x v="80"/>
    <n v="0.83069230800000005"/>
    <n v="0.78683697699999999"/>
    <n v="5.7"/>
    <n v="17.834394904458598"/>
    <n v="249.80817075889462"/>
  </r>
  <r>
    <x v="56"/>
    <x v="27"/>
    <n v="0.81991655299999999"/>
    <n v="0.72276027399999998"/>
    <n v="1.7"/>
    <n v="2.2292993630573248"/>
    <n v="3.9032526681077284"/>
  </r>
  <r>
    <x v="56"/>
    <x v="27"/>
    <n v="0.81991655299999999"/>
    <n v="0.72276027399999998"/>
    <n v="1.7"/>
    <n v="5.0955414012738851"/>
    <n v="20.392503735419968"/>
  </r>
  <r>
    <x v="56"/>
    <x v="27"/>
    <n v="0.81991655299999999"/>
    <n v="0.72276027399999998"/>
    <n v="1.6"/>
    <n v="1.592356687898089"/>
    <n v="1.9914554429121063"/>
  </r>
  <r>
    <x v="56"/>
    <x v="3"/>
    <n v="0.89361000000000002"/>
    <n v="0.61247410899999999"/>
    <n v="3"/>
    <n v="3.9808917197452227"/>
    <n v="12.446596518200664"/>
  </r>
  <r>
    <x v="56"/>
    <x v="58"/>
    <n v="0.85449533600000005"/>
    <n v="0.81482857099999995"/>
    <n v="1.7"/>
    <n v="1.910828025477707"/>
    <n v="2.8676958377934336"/>
  </r>
  <r>
    <x v="56"/>
    <x v="71"/>
    <n v="0.85750000000000004"/>
    <n v="0.61247410899999999"/>
    <n v="6.8"/>
    <n v="20.700636942675157"/>
    <n v="336.55596985214595"/>
  </r>
  <r>
    <x v="56"/>
    <x v="71"/>
    <n v="0.85750000000000004"/>
    <n v="0.61247410899999999"/>
    <n v="2.2000000000000002"/>
    <n v="5.5732484076433115"/>
    <n v="24.395329175673304"/>
  </r>
  <r>
    <x v="56"/>
    <x v="68"/>
    <n v="0.56023871300000005"/>
    <n v="0.74103703700000001"/>
    <n v="6"/>
    <n v="8.4394904458598727"/>
    <n v="55.939983391401071"/>
  </r>
  <r>
    <x v="56"/>
    <x v="69"/>
    <n v="0.432770245"/>
    <n v="0.61247410899999999"/>
    <n v="5.5"/>
    <n v="18.789808917197451"/>
    <n v="277.29025587108168"/>
  </r>
  <r>
    <x v="56"/>
    <x v="29"/>
    <n v="0.40238543599999999"/>
    <n v="0.40883333300000002"/>
    <n v="9.5"/>
    <n v="15.445859872611464"/>
    <n v="187.37604262360011"/>
  </r>
  <r>
    <x v="56"/>
    <x v="55"/>
    <n v="0.77"/>
    <n v="0.77"/>
    <n v="5"/>
    <n v="5.5732484076433115"/>
    <n v="24.395329175673304"/>
  </r>
  <r>
    <x v="57"/>
    <x v="45"/>
    <n v="0.31264018999999998"/>
    <n v="0.356821212"/>
    <n v="5"/>
    <n v="17.834394904458598"/>
    <n v="249.80817075889462"/>
  </r>
  <r>
    <x v="57"/>
    <x v="53"/>
    <n v="0.6"/>
    <n v="0.66674999999999995"/>
    <n v="5.5"/>
    <n v="6.5286624203821653"/>
    <n v="33.476365995352509"/>
  </r>
  <r>
    <x v="57"/>
    <x v="53"/>
    <n v="0.6"/>
    <n v="0.66674999999999995"/>
    <n v="5"/>
    <n v="13.375796178343949"/>
    <n v="140.51709605187824"/>
  </r>
  <r>
    <x v="57"/>
    <x v="26"/>
    <n v="0.54247040000000002"/>
    <n v="0.54247042099999998"/>
    <n v="2.7"/>
    <n v="11.305732484076433"/>
    <n v="100.3892688771993"/>
  </r>
  <r>
    <x v="57"/>
    <x v="74"/>
    <n v="0.490852183"/>
    <n v="0.607288889"/>
    <n v="2.7"/>
    <n v="4.7770700636942669"/>
    <n v="17.923098986208956"/>
  </r>
  <r>
    <x v="57"/>
    <x v="71"/>
    <n v="0.85750000000000004"/>
    <n v="0.61247410899999999"/>
    <n v="6"/>
    <n v="17.993630573248407"/>
    <n v="254.28894550544686"/>
  </r>
  <r>
    <x v="57"/>
    <x v="71"/>
    <n v="0.85750000000000004"/>
    <n v="0.61247410899999999"/>
    <n v="5"/>
    <n v="18.949044585987259"/>
    <n v="282.01000527078338"/>
  </r>
  <r>
    <x v="57"/>
    <x v="48"/>
    <n v="0.39"/>
    <n v="0.28861111099999998"/>
    <n v="6"/>
    <n v="10.19108280254777"/>
    <n v="81.570014941679872"/>
  </r>
  <r>
    <x v="57"/>
    <x v="48"/>
    <n v="0.39"/>
    <n v="0.28861111099999998"/>
    <n v="6"/>
    <n v="17.834394904458598"/>
    <n v="249.80817075889462"/>
  </r>
  <r>
    <x v="57"/>
    <x v="48"/>
    <n v="0.39"/>
    <n v="0.28861111099999998"/>
    <n v="5.5"/>
    <n v="7.9617834394904454"/>
    <n v="49.786386072802657"/>
  </r>
  <r>
    <x v="57"/>
    <x v="9"/>
    <n v="0.43836446099999998"/>
    <n v="0.58666666700000003"/>
    <n v="5"/>
    <n v="11.146496815286623"/>
    <n v="97.581316702693215"/>
  </r>
  <r>
    <x v="57"/>
    <x v="9"/>
    <n v="0.43836446099999998"/>
    <n v="0.58666666700000003"/>
    <n v="4"/>
    <n v="11.305732484076433"/>
    <n v="100.3892688771993"/>
  </r>
  <r>
    <x v="57"/>
    <x v="9"/>
    <n v="0.43836446099999998"/>
    <n v="0.58666666700000003"/>
    <n v="3.9"/>
    <n v="11.146496815286623"/>
    <n v="97.581316702693215"/>
  </r>
  <r>
    <x v="57"/>
    <x v="9"/>
    <n v="0.43836446099999998"/>
    <n v="0.58666666700000003"/>
    <n v="2.5"/>
    <n v="11.783439490445859"/>
    <n v="109.05210005386697"/>
  </r>
  <r>
    <x v="57"/>
    <x v="30"/>
    <n v="0.57917600000000002"/>
    <n v="0.60285714300000004"/>
    <n v="7"/>
    <n v="14.490445859872612"/>
    <n v="164.91242522755155"/>
  </r>
  <r>
    <x v="57"/>
    <x v="55"/>
    <n v="0.77"/>
    <n v="0.77"/>
    <n v="2"/>
    <n v="13.057324840764331"/>
    <n v="133.90546398141004"/>
  </r>
  <r>
    <x v="58"/>
    <x v="39"/>
    <n v="0.41"/>
    <n v="0.33983503399999998"/>
    <n v="6"/>
    <n v="5.7324840764331206"/>
    <n v="25.809262540140899"/>
  </r>
  <r>
    <x v="58"/>
    <x v="21"/>
    <n v="0.39790071399999999"/>
    <n v="0.50565277799999997"/>
    <n v="4.5"/>
    <n v="7.8025477707006363"/>
    <n v="47.814845184319672"/>
  </r>
  <r>
    <x v="58"/>
    <x v="21"/>
    <n v="0.39790071399999999"/>
    <n v="0.50565277799999997"/>
    <n v="2.5"/>
    <n v="3.3439490445859872"/>
    <n v="8.7823185032423901"/>
  </r>
  <r>
    <x v="58"/>
    <x v="2"/>
    <n v="0.47982689899999997"/>
    <n v="0.51"/>
    <n v="1.8"/>
    <n v="3.8216560509554141"/>
    <n v="11.470783351173734"/>
  </r>
  <r>
    <x v="58"/>
    <x v="3"/>
    <n v="0.89361000000000002"/>
    <n v="0.61247410899999999"/>
    <n v="2.2000000000000002"/>
    <n v="2.3885350318471334"/>
    <n v="4.480774746552239"/>
  </r>
  <r>
    <x v="58"/>
    <x v="5"/>
    <n v="0.45255480399999998"/>
    <n v="0.57808694400000005"/>
    <n v="1.9"/>
    <n v="4.1401273885350314"/>
    <n v="13.462238794085838"/>
  </r>
  <r>
    <x v="58"/>
    <x v="43"/>
    <n v="0.62643652800000005"/>
    <n v="0.57808694400000005"/>
    <n v="5.3"/>
    <n v="20.541401273885349"/>
    <n v="331.39810025500361"/>
  </r>
  <r>
    <x v="58"/>
    <x v="43"/>
    <n v="0.62643652800000005"/>
    <n v="0.57808694400000005"/>
    <n v="4.9000000000000004"/>
    <n v="18.471337579617835"/>
    <n v="267.9702443982531"/>
  </r>
  <r>
    <x v="58"/>
    <x v="43"/>
    <n v="0.62643652800000005"/>
    <n v="0.57808694400000005"/>
    <n v="4.7"/>
    <n v="15.127388535031846"/>
    <n v="179.7288537228176"/>
  </r>
  <r>
    <x v="58"/>
    <x v="43"/>
    <n v="0.62643652800000005"/>
    <n v="0.57808694400000005"/>
    <n v="3.9"/>
    <n v="8.2802547770700627"/>
    <n v="53.848955176343352"/>
  </r>
  <r>
    <x v="58"/>
    <x v="84"/>
    <n v="0.13069240100000001"/>
    <n v="0.26500000000000001"/>
    <n v="3.5"/>
    <n v="8.7579617834394909"/>
    <n v="60.241527148091237"/>
  </r>
  <r>
    <x v="58"/>
    <x v="86"/>
    <n v="0.63"/>
    <n v="0.629222222"/>
    <n v="2.8"/>
    <n v="6.8471337579617835"/>
    <n v="36.822011139444854"/>
  </r>
  <r>
    <x v="58"/>
    <x v="71"/>
    <n v="0.85750000000000004"/>
    <n v="0.61247410899999999"/>
    <n v="7"/>
    <n v="14.64968152866242"/>
    <n v="168.5567886880807"/>
  </r>
  <r>
    <x v="58"/>
    <x v="71"/>
    <n v="0.85750000000000004"/>
    <n v="0.61247410899999999"/>
    <n v="5.7"/>
    <n v="10.509554140127388"/>
    <n v="86.747799093251359"/>
  </r>
  <r>
    <x v="58"/>
    <x v="48"/>
    <n v="0.39"/>
    <n v="0.28861111099999998"/>
    <n v="5"/>
    <n v="11.464968152866241"/>
    <n v="103.2370501605636"/>
  </r>
  <r>
    <x v="58"/>
    <x v="9"/>
    <n v="0.43836446099999998"/>
    <n v="0.58666666700000003"/>
    <n v="4"/>
    <n v="16.560509554140125"/>
    <n v="215.39582070537341"/>
  </r>
  <r>
    <x v="58"/>
    <x v="59"/>
    <n v="0.28577490700000002"/>
    <n v="0.3422"/>
    <n v="6.5"/>
    <n v="8.1210191082802545"/>
    <n v="51.79775607014389"/>
  </r>
  <r>
    <x v="58"/>
    <x v="59"/>
    <n v="0.28577490700000002"/>
    <n v="0.3422"/>
    <n v="5"/>
    <n v="9.872611464968152"/>
    <n v="76.55154722554137"/>
  </r>
  <r>
    <x v="58"/>
    <x v="59"/>
    <n v="0.28577490700000002"/>
    <n v="0.3422"/>
    <n v="4.5"/>
    <n v="12.101910828025478"/>
    <n v="115.02646638260329"/>
  </r>
  <r>
    <x v="59"/>
    <x v="39"/>
    <n v="0.41"/>
    <n v="0.33983503399999998"/>
    <n v="8"/>
    <n v="9.7133757961783438"/>
    <n v="74.102057030759482"/>
  </r>
  <r>
    <x v="59"/>
    <x v="39"/>
    <n v="0.41"/>
    <n v="0.33983503399999998"/>
    <n v="7"/>
    <n v="7.0063694267515917"/>
    <n v="38.554577374778376"/>
  </r>
  <r>
    <x v="59"/>
    <x v="39"/>
    <n v="0.41"/>
    <n v="0.33983503399999998"/>
    <n v="7"/>
    <n v="10.031847133757962"/>
    <n v="79.040866529181514"/>
  </r>
  <r>
    <x v="59"/>
    <x v="74"/>
    <n v="0.490852183"/>
    <n v="0.607288889"/>
    <n v="5.5"/>
    <n v="4.1401273885350314"/>
    <n v="13.462238794085838"/>
  </r>
  <r>
    <x v="59"/>
    <x v="43"/>
    <n v="0.62643652800000005"/>
    <n v="0.57808694400000005"/>
    <n v="6"/>
    <n v="20.222929936305732"/>
    <n v="321.20184838729369"/>
  </r>
  <r>
    <x v="59"/>
    <x v="43"/>
    <n v="0.62643652800000005"/>
    <n v="0.57808694400000005"/>
    <n v="5"/>
    <n v="16.401273885350317"/>
    <n v="211.27350793854535"/>
  </r>
  <r>
    <x v="59"/>
    <x v="43"/>
    <n v="0.62643652800000005"/>
    <n v="0.57808694400000005"/>
    <n v="4.5"/>
    <n v="4.936305732484076"/>
    <n v="19.137886806385342"/>
  </r>
  <r>
    <x v="59"/>
    <x v="71"/>
    <n v="0.85750000000000004"/>
    <n v="0.61247410899999999"/>
    <n v="6.5"/>
    <n v="15.764331210191083"/>
    <n v="195.18254795981557"/>
  </r>
  <r>
    <x v="59"/>
    <x v="71"/>
    <n v="0.85750000000000004"/>
    <n v="0.61247410899999999"/>
    <n v="6.5"/>
    <n v="7.9617834394904454"/>
    <n v="49.786386072802657"/>
  </r>
  <r>
    <x v="59"/>
    <x v="71"/>
    <n v="0.85750000000000004"/>
    <n v="0.61247410899999999"/>
    <n v="5.7"/>
    <n v="9.3949044585987256"/>
    <n v="69.322563967770421"/>
  </r>
  <r>
    <x v="59"/>
    <x v="71"/>
    <n v="0.85750000000000004"/>
    <n v="0.61247410899999999"/>
    <n v="5.6"/>
    <n v="9.5541401273885338"/>
    <n v="71.692395944835823"/>
  </r>
  <r>
    <x v="59"/>
    <x v="71"/>
    <n v="0.85750000000000004"/>
    <n v="0.61247410899999999"/>
    <n v="5.5"/>
    <n v="9.5541401273885338"/>
    <n v="71.692395944835823"/>
  </r>
  <r>
    <x v="59"/>
    <x v="71"/>
    <n v="0.85750000000000004"/>
    <n v="0.61247410899999999"/>
    <n v="5.5"/>
    <n v="7.3248407643312099"/>
    <n v="42.139197172020175"/>
  </r>
  <r>
    <x v="59"/>
    <x v="71"/>
    <n v="0.85750000000000004"/>
    <n v="0.61247410899999999"/>
    <n v="4.5"/>
    <n v="15.286624203821656"/>
    <n v="183.53253361877975"/>
  </r>
  <r>
    <x v="59"/>
    <x v="71"/>
    <n v="0.85750000000000004"/>
    <n v="0.61247410899999999"/>
    <n v="3"/>
    <n v="12.101910828025478"/>
    <n v="115.02646638260329"/>
  </r>
  <r>
    <x v="59"/>
    <x v="48"/>
    <n v="0.39"/>
    <n v="0.28861111099999998"/>
    <n v="6.5"/>
    <n v="10.350318471337578"/>
    <n v="84.138992463036487"/>
  </r>
  <r>
    <x v="59"/>
    <x v="28"/>
    <n v="1.1200000000000001"/>
    <n v="0.85527777800000004"/>
    <n v="1.8"/>
    <n v="3.9808917197452227"/>
    <n v="12.446596518200664"/>
  </r>
  <r>
    <x v="59"/>
    <x v="9"/>
    <n v="0.43836446099999998"/>
    <n v="0.58666666700000003"/>
    <n v="4"/>
    <n v="13.694267515923567"/>
    <n v="147.28804455777941"/>
  </r>
  <r>
    <x v="59"/>
    <x v="9"/>
    <n v="0.43836446099999998"/>
    <n v="0.58666666700000003"/>
    <n v="3.8"/>
    <n v="12.261146496815286"/>
    <n v="118.0733932102588"/>
  </r>
  <r>
    <x v="59"/>
    <x v="9"/>
    <n v="0.43836446099999998"/>
    <n v="0.58666666700000003"/>
    <n v="3"/>
    <n v="14.331210191082802"/>
    <n v="161.30789087588062"/>
  </r>
  <r>
    <x v="59"/>
    <x v="9"/>
    <n v="0.43836446099999998"/>
    <n v="0.58666666700000003"/>
    <n v="2.1"/>
    <n v="1.910828025477707"/>
    <n v="2.8676958377934336"/>
  </r>
  <r>
    <x v="60"/>
    <x v="39"/>
    <n v="0.41"/>
    <n v="0.33983503399999998"/>
    <n v="7.5"/>
    <n v="7.1656050955414008"/>
    <n v="40.326972718970154"/>
  </r>
  <r>
    <x v="60"/>
    <x v="53"/>
    <n v="0.6"/>
    <n v="0.66674999999999995"/>
    <n v="5.5"/>
    <n v="8.598726114649681"/>
    <n v="58.070840715317019"/>
  </r>
  <r>
    <x v="60"/>
    <x v="71"/>
    <n v="0.85750000000000004"/>
    <n v="0.61247410899999999"/>
    <n v="6"/>
    <n v="7.3248407643312099"/>
    <n v="42.139197172020175"/>
  </r>
  <r>
    <x v="60"/>
    <x v="71"/>
    <n v="0.85750000000000004"/>
    <n v="0.61247410899999999"/>
    <n v="6"/>
    <n v="22.165605095541398"/>
    <n v="385.87715193348436"/>
  </r>
  <r>
    <x v="60"/>
    <x v="71"/>
    <n v="0.85750000000000004"/>
    <n v="0.61247410899999999"/>
    <n v="6"/>
    <n v="10.509554140127388"/>
    <n v="86.747799093251359"/>
  </r>
  <r>
    <x v="60"/>
    <x v="71"/>
    <n v="0.85750000000000004"/>
    <n v="0.61247410899999999"/>
    <n v="5.5"/>
    <n v="24.363057324840764"/>
    <n v="466.17980463129504"/>
  </r>
  <r>
    <x v="60"/>
    <x v="71"/>
    <n v="0.85750000000000004"/>
    <n v="0.61247410899999999"/>
    <n v="4.5"/>
    <n v="13.694267515923567"/>
    <n v="147.28804455777941"/>
  </r>
  <r>
    <x v="60"/>
    <x v="68"/>
    <n v="0.56023871300000005"/>
    <n v="0.74103703700000001"/>
    <n v="6"/>
    <n v="7.484076433121019"/>
    <n v="43.991250733928432"/>
  </r>
  <r>
    <x v="60"/>
    <x v="28"/>
    <n v="1.1200000000000001"/>
    <n v="0.85527777800000004"/>
    <n v="5"/>
    <n v="13.375796178343949"/>
    <n v="140.51709605187824"/>
  </r>
  <r>
    <x v="60"/>
    <x v="28"/>
    <n v="1.1200000000000001"/>
    <n v="0.85527777800000004"/>
    <n v="2.5"/>
    <n v="6.6878980891719744"/>
    <n v="35.12927401296956"/>
  </r>
  <r>
    <x v="60"/>
    <x v="28"/>
    <n v="1.1200000000000001"/>
    <n v="0.85527777800000004"/>
    <n v="2.2999999999999998"/>
    <n v="2.8662420382165603"/>
    <n v="6.4523156350352249"/>
  </r>
  <r>
    <x v="60"/>
    <x v="87"/>
    <n v="0.53"/>
    <n v="0.41185714299999998"/>
    <n v="5.5"/>
    <n v="5.7324840764331206"/>
    <n v="25.809262540140899"/>
  </r>
  <r>
    <x v="60"/>
    <x v="87"/>
    <n v="0.53"/>
    <n v="0.41185714299999998"/>
    <n v="5"/>
    <n v="5.8917197452229297"/>
    <n v="27.263025013466741"/>
  </r>
  <r>
    <x v="60"/>
    <x v="87"/>
    <n v="0.53"/>
    <n v="0.41185714299999998"/>
    <n v="2.5"/>
    <n v="3.5031847133757958"/>
    <n v="9.6386443436945939"/>
  </r>
  <r>
    <x v="60"/>
    <x v="38"/>
    <n v="0.371297506"/>
    <n v="0.35258402799999999"/>
    <n v="4.5"/>
    <n v="4.2993630573248405"/>
    <n v="14.517710178829255"/>
  </r>
  <r>
    <x v="60"/>
    <x v="38"/>
    <n v="0.371297506"/>
    <n v="0.35258402799999999"/>
    <n v="4"/>
    <n v="3.3439490445859872"/>
    <n v="8.7823185032423901"/>
  </r>
  <r>
    <x v="61"/>
    <x v="49"/>
    <n v="0.86"/>
    <n v="0.65666666699999998"/>
    <n v="9"/>
    <n v="17.32484076433121"/>
    <n v="235.73734318145486"/>
  </r>
  <r>
    <x v="61"/>
    <x v="49"/>
    <n v="0.86"/>
    <n v="0.65666666699999998"/>
    <n v="7"/>
    <n v="10.063694267515924"/>
    <n v="79.543509882972543"/>
  </r>
  <r>
    <x v="61"/>
    <x v="39"/>
    <n v="0.41"/>
    <n v="0.33983503399999998"/>
    <n v="9"/>
    <n v="10.828025477707007"/>
    <n v="92.084899680255816"/>
  </r>
  <r>
    <x v="61"/>
    <x v="39"/>
    <n v="0.41"/>
    <n v="0.33983503399999998"/>
    <n v="6.8"/>
    <n v="13.566878980891719"/>
    <n v="144.56054718316696"/>
  </r>
  <r>
    <x v="61"/>
    <x v="39"/>
    <n v="0.41"/>
    <n v="0.33983503399999998"/>
    <n v="6"/>
    <n v="4.4267515923566876"/>
    <n v="15.390764245001924"/>
  </r>
  <r>
    <x v="61"/>
    <x v="45"/>
    <n v="0.31264018999999998"/>
    <n v="0.356821212"/>
    <n v="3"/>
    <n v="17.515923566878982"/>
    <n v="240.96610859236495"/>
  </r>
  <r>
    <x v="61"/>
    <x v="88"/>
    <n v="0.52800000000000002"/>
    <n v="0.51040266700000003"/>
    <n v="5"/>
    <n v="3.6624203821656049"/>
    <n v="10.534799293005044"/>
  </r>
  <r>
    <x v="61"/>
    <x v="27"/>
    <n v="0.81991655299999999"/>
    <n v="0.72276027399999998"/>
    <n v="4.5"/>
    <n v="11.146496815286623"/>
    <n v="97.581316702693215"/>
  </r>
  <r>
    <x v="61"/>
    <x v="24"/>
    <n v="0.56193137999999998"/>
    <n v="0.57808694400000005"/>
    <n v="8"/>
    <n v="28.280254777070063"/>
    <n v="628.14009631027375"/>
  </r>
  <r>
    <x v="61"/>
    <x v="24"/>
    <n v="0.56193137999999998"/>
    <n v="0.57808694400000005"/>
    <n v="8"/>
    <n v="25.445859872611464"/>
    <n v="508.53885848421271"/>
  </r>
  <r>
    <x v="61"/>
    <x v="86"/>
    <n v="0.63"/>
    <n v="0.629222222"/>
    <n v="2.5"/>
    <n v="4.6815286624203818"/>
    <n v="17.213344266355083"/>
  </r>
  <r>
    <x v="61"/>
    <x v="7"/>
    <n v="0.74387999999999999"/>
    <n v="0.59130000000000005"/>
    <n v="6.5"/>
    <n v="5.1592356687898082"/>
    <n v="20.905502657514127"/>
  </r>
  <r>
    <x v="61"/>
    <x v="7"/>
    <n v="0.74387999999999999"/>
    <n v="0.59130000000000005"/>
    <n v="6.5"/>
    <n v="8.3121019108280247"/>
    <n v="54.263974490646241"/>
  </r>
  <r>
    <x v="61"/>
    <x v="89"/>
    <n v="0.65"/>
    <n v="0.65"/>
    <n v="8"/>
    <n v="18.694267515923567"/>
    <n v="274.47752420351264"/>
  </r>
  <r>
    <x v="61"/>
    <x v="89"/>
    <n v="0.65"/>
    <n v="0.65"/>
    <n v="7.1"/>
    <n v="12.86624203821656"/>
    <n v="130.01495662813696"/>
  </r>
  <r>
    <x v="61"/>
    <x v="89"/>
    <n v="0.65"/>
    <n v="0.65"/>
    <n v="7"/>
    <n v="23.917197452229296"/>
    <n v="449.27314450314827"/>
  </r>
  <r>
    <x v="61"/>
    <x v="89"/>
    <n v="0.65"/>
    <n v="0.65"/>
    <n v="7"/>
    <n v="12.579617834394904"/>
    <n v="124.28673419214456"/>
  </r>
  <r>
    <x v="61"/>
    <x v="9"/>
    <n v="0.43836446099999998"/>
    <n v="0.58666666700000003"/>
    <n v="4.7"/>
    <n v="12.547770700636942"/>
    <n v="123.65823085436149"/>
  </r>
  <r>
    <x v="61"/>
    <x v="9"/>
    <n v="0.43836446099999998"/>
    <n v="0.58666666700000003"/>
    <n v="2"/>
    <n v="5.8280254777070066"/>
    <n v="26.676740531073417"/>
  </r>
  <r>
    <x v="61"/>
    <x v="10"/>
    <n v="0.76500000000000001"/>
    <n v="0.61247410899999999"/>
    <n v="7"/>
    <n v="15.35031847133758"/>
    <n v="185.06515772764493"/>
  </r>
  <r>
    <x v="62"/>
    <x v="49"/>
    <n v="0.86"/>
    <n v="0.65666666699999998"/>
    <n v="5.5"/>
    <n v="5.1910828025477711"/>
    <n v="21.164391865092711"/>
  </r>
  <r>
    <x v="62"/>
    <x v="12"/>
    <n v="0.80908761900000004"/>
    <n v="0.87473809499999999"/>
    <n v="5.7"/>
    <n v="8.9171974522292992"/>
    <n v="62.452042689723655"/>
  </r>
  <r>
    <x v="62"/>
    <x v="39"/>
    <n v="0.41"/>
    <n v="0.33983503399999998"/>
    <n v="6.5"/>
    <n v="6.3694267515923562"/>
    <n v="31.863287086593701"/>
  </r>
  <r>
    <x v="62"/>
    <x v="3"/>
    <n v="0.89361000000000002"/>
    <n v="0.61247410899999999"/>
    <n v="3.5"/>
    <n v="6.5286624203821653"/>
    <n v="33.476365995352509"/>
  </r>
  <r>
    <x v="62"/>
    <x v="5"/>
    <n v="0.45255480399999998"/>
    <n v="0.57808694400000005"/>
    <n v="6"/>
    <n v="2.5796178343949041"/>
    <n v="5.2263756643785317"/>
  </r>
  <r>
    <x v="62"/>
    <x v="16"/>
    <n v="0.63400000000000001"/>
    <n v="0.73247777800000002"/>
    <n v="3.7"/>
    <n v="14.076433121019109"/>
    <n v="155.62348045963233"/>
  </r>
  <r>
    <x v="62"/>
    <x v="6"/>
    <n v="0.374"/>
    <n v="0.47945833300000001"/>
    <n v="4"/>
    <n v="6.2101910828025479"/>
    <n v="30.290037286693146"/>
  </r>
  <r>
    <x v="62"/>
    <x v="7"/>
    <n v="0.74387999999999999"/>
    <n v="0.59130000000000005"/>
    <n v="6"/>
    <n v="8.2165605095541405"/>
    <n v="53.023696040800587"/>
  </r>
  <r>
    <x v="62"/>
    <x v="89"/>
    <n v="0.65"/>
    <n v="0.65"/>
    <n v="8.5"/>
    <n v="14.904458598726114"/>
    <n v="174.4706147713525"/>
  </r>
  <r>
    <x v="62"/>
    <x v="89"/>
    <n v="0.65"/>
    <n v="0.65"/>
    <n v="8"/>
    <n v="8.2802547770700627"/>
    <n v="53.848955176343352"/>
  </r>
  <r>
    <x v="62"/>
    <x v="10"/>
    <n v="0.76500000000000001"/>
    <n v="0.61247410899999999"/>
    <n v="8"/>
    <n v="12.13375796178344"/>
    <n v="115.63266541942573"/>
  </r>
  <r>
    <x v="62"/>
    <x v="10"/>
    <n v="0.76500000000000001"/>
    <n v="0.61247410899999999"/>
    <n v="7"/>
    <n v="28.057324840764327"/>
    <n v="618.27601921044129"/>
  </r>
  <r>
    <x v="63"/>
    <x v="49"/>
    <n v="0.86"/>
    <n v="0.65666666699999998"/>
    <n v="7"/>
    <n v="7.0063694267515917"/>
    <n v="38.554577374778376"/>
  </r>
  <r>
    <x v="63"/>
    <x v="31"/>
    <n v="0.40257753800000001"/>
    <n v="0.40843333300000001"/>
    <n v="7"/>
    <n v="10.19108280254777"/>
    <n v="81.570014941679872"/>
  </r>
  <r>
    <x v="63"/>
    <x v="39"/>
    <n v="0.41"/>
    <n v="0.33983503399999998"/>
    <n v="6"/>
    <n v="4.7770700636942669"/>
    <n v="17.923098986208956"/>
  </r>
  <r>
    <x v="63"/>
    <x v="88"/>
    <n v="0.52800000000000002"/>
    <n v="0.51040266700000003"/>
    <n v="8"/>
    <n v="3.9808917197452227"/>
    <n v="12.446596518200664"/>
  </r>
  <r>
    <x v="63"/>
    <x v="90"/>
    <n v="0.28905069999999999"/>
    <n v="0.28905072500000001"/>
    <n v="4"/>
    <n v="3.6624203821656049"/>
    <n v="10.534799293005044"/>
  </r>
  <r>
    <x v="63"/>
    <x v="46"/>
    <n v="0.55560299999999996"/>
    <n v="0.55961111100000005"/>
    <n v="2.7"/>
    <n v="4.1401273885350314"/>
    <n v="13.462238794085838"/>
  </r>
  <r>
    <x v="63"/>
    <x v="24"/>
    <n v="0.56193137999999998"/>
    <n v="0.57808694400000005"/>
    <n v="6.5"/>
    <n v="14.012738853503183"/>
    <n v="154.2183094991135"/>
  </r>
  <r>
    <x v="63"/>
    <x v="37"/>
    <n v="0.61"/>
    <n v="0.84088888900000003"/>
    <n v="6.5"/>
    <n v="26.751592356687897"/>
    <n v="562.06838420751296"/>
  </r>
  <r>
    <x v="63"/>
    <x v="79"/>
    <n v="0.84088890000000005"/>
    <n v="0.84088888900000003"/>
    <n v="6.5"/>
    <n v="26.114649681528661"/>
    <n v="535.62185592564015"/>
  </r>
  <r>
    <x v="63"/>
    <x v="17"/>
    <n v="0.65716857299999998"/>
    <n v="0.85527777800000004"/>
    <n v="4.5"/>
    <n v="10.477707006369426"/>
    <n v="86.222851438499731"/>
  </r>
  <r>
    <x v="63"/>
    <x v="9"/>
    <n v="0.43836446099999998"/>
    <n v="0.58666666700000003"/>
    <n v="5"/>
    <n v="12.579617834394904"/>
    <n v="124.28673419214456"/>
  </r>
  <r>
    <x v="63"/>
    <x v="9"/>
    <n v="0.43836446099999998"/>
    <n v="0.58666666700000003"/>
    <n v="4.5"/>
    <n v="1.910828025477707"/>
    <n v="2.8676958377934336"/>
  </r>
  <r>
    <x v="63"/>
    <x v="91"/>
    <n v="0.52607139999999997"/>
    <n v="0.52607142900000003"/>
    <n v="4.5999999999999996"/>
    <n v="3.8216560509554141"/>
    <n v="11.470783351173734"/>
  </r>
  <r>
    <x v="63"/>
    <x v="91"/>
    <n v="0.52607139999999997"/>
    <n v="0.52607142900000003"/>
    <n v="4.5999999999999996"/>
    <n v="7.8025477707006363"/>
    <n v="47.814845184319672"/>
  </r>
  <r>
    <x v="63"/>
    <x v="91"/>
    <n v="0.52607139999999997"/>
    <n v="0.52607142900000003"/>
    <n v="2.2000000000000002"/>
    <n v="6.3694267515923562"/>
    <n v="31.863287086593701"/>
  </r>
  <r>
    <x v="63"/>
    <x v="77"/>
    <n v="0.68500000000000005"/>
    <n v="0.54"/>
    <n v="4"/>
    <n v="3.3439490445859872"/>
    <n v="8.7823185032423901"/>
  </r>
  <r>
    <x v="63"/>
    <x v="77"/>
    <n v="0.68500000000000005"/>
    <n v="0.54"/>
    <n v="4"/>
    <n v="2.5477707006369426"/>
    <n v="5.098125933854992"/>
  </r>
  <r>
    <x v="63"/>
    <x v="77"/>
    <n v="0.68500000000000005"/>
    <n v="0.54"/>
    <n v="3"/>
    <n v="2.8662420382165603"/>
    <n v="6.4523156350352249"/>
  </r>
  <r>
    <x v="64"/>
    <x v="49"/>
    <n v="0.86"/>
    <n v="0.65666666699999998"/>
    <n v="6"/>
    <n v="20.541401273885349"/>
    <n v="331.39810025500361"/>
  </r>
  <r>
    <x v="64"/>
    <x v="49"/>
    <n v="0.86"/>
    <n v="0.65666666699999998"/>
    <n v="4.5"/>
    <n v="5.7324840764331206"/>
    <n v="25.809262540140899"/>
  </r>
  <r>
    <x v="64"/>
    <x v="49"/>
    <n v="0.86"/>
    <n v="0.65666666699999998"/>
    <n v="3"/>
    <n v="2.8662420382165603"/>
    <n v="6.4523156350352249"/>
  </r>
  <r>
    <x v="64"/>
    <x v="37"/>
    <n v="0.61"/>
    <n v="0.84088888900000003"/>
    <n v="5"/>
    <n v="32.484076433121018"/>
    <n v="828.76409712230225"/>
  </r>
  <r>
    <x v="64"/>
    <x v="79"/>
    <n v="0.84088890000000005"/>
    <n v="0.84088888900000003"/>
    <n v="8"/>
    <n v="10.19108280254777"/>
    <n v="81.570014941679872"/>
  </r>
  <r>
    <x v="64"/>
    <x v="10"/>
    <n v="0.76500000000000001"/>
    <n v="0.61247410899999999"/>
    <n v="8.5"/>
    <n v="16.401273885350317"/>
    <n v="211.27350793854535"/>
  </r>
  <r>
    <x v="64"/>
    <x v="10"/>
    <n v="0.76500000000000001"/>
    <n v="0.61247410899999999"/>
    <n v="7"/>
    <n v="26.273885350318469"/>
    <n v="542.173744332821"/>
  </r>
  <r>
    <x v="64"/>
    <x v="10"/>
    <n v="0.76500000000000001"/>
    <n v="0.61247410899999999"/>
    <n v="6"/>
    <n v="14.968152866242038"/>
    <n v="175.96500293571373"/>
  </r>
  <r>
    <x v="65"/>
    <x v="49"/>
    <n v="0.86"/>
    <n v="0.65666666699999998"/>
    <n v="3.5"/>
    <n v="6.0509554140127388"/>
    <n v="28.756616595650822"/>
  </r>
  <r>
    <x v="65"/>
    <x v="31"/>
    <n v="0.40257753800000001"/>
    <n v="0.40843333300000001"/>
    <n v="12"/>
    <n v="30.095541401273884"/>
    <n v="711.36779876263358"/>
  </r>
  <r>
    <x v="65"/>
    <x v="39"/>
    <n v="0.41"/>
    <n v="0.33983503399999998"/>
    <n v="6.5"/>
    <n v="10.828025477707007"/>
    <n v="92.084899680255816"/>
  </r>
  <r>
    <x v="65"/>
    <x v="39"/>
    <n v="0.41"/>
    <n v="0.33983503399999998"/>
    <n v="12"/>
    <n v="9.872611464968152"/>
    <n v="76.55154722554137"/>
  </r>
  <r>
    <x v="65"/>
    <x v="24"/>
    <n v="0.56193137999999998"/>
    <n v="0.57808694400000005"/>
    <n v="4.5"/>
    <n v="10.19108280254777"/>
    <n v="81.570014941679872"/>
  </r>
  <r>
    <x v="65"/>
    <x v="89"/>
    <n v="0.65"/>
    <n v="0.65"/>
    <n v="7"/>
    <n v="3.0254777070063694"/>
    <n v="7.1891541489127055"/>
  </r>
  <r>
    <x v="65"/>
    <x v="17"/>
    <n v="0.65716857299999998"/>
    <n v="0.85527777800000004"/>
    <n v="3.5"/>
    <n v="5.8917197452229297"/>
    <n v="27.263025013466741"/>
  </r>
  <r>
    <x v="65"/>
    <x v="29"/>
    <n v="0.40238543599999999"/>
    <n v="0.40883333300000002"/>
    <n v="16"/>
    <n v="17.834394904458598"/>
    <n v="249.80817075889462"/>
  </r>
  <r>
    <x v="65"/>
    <x v="30"/>
    <n v="0.57917600000000002"/>
    <n v="0.60285714300000004"/>
    <n v="6"/>
    <n v="25.318471337579616"/>
    <n v="503.45985052260966"/>
  </r>
  <r>
    <x v="65"/>
    <x v="91"/>
    <n v="0.52607139999999997"/>
    <n v="0.52607142900000003"/>
    <n v="5"/>
    <n v="9.872611464968152"/>
    <n v="76.55154722554137"/>
  </r>
  <r>
    <x v="66"/>
    <x v="39"/>
    <n v="0.41"/>
    <n v="0.33983503399999998"/>
    <n v="8"/>
    <n v="7.7070063694267512"/>
    <n v="46.651038623481838"/>
  </r>
  <r>
    <x v="66"/>
    <x v="39"/>
    <n v="0.41"/>
    <n v="0.33983503399999998"/>
    <n v="7"/>
    <n v="4.7770700636942669"/>
    <n v="17.923098986208956"/>
  </r>
  <r>
    <x v="66"/>
    <x v="39"/>
    <n v="0.41"/>
    <n v="0.33983503399999998"/>
    <n v="7"/>
    <n v="7.3248407643312099"/>
    <n v="42.139197172020175"/>
  </r>
  <r>
    <x v="66"/>
    <x v="39"/>
    <n v="0.41"/>
    <n v="0.33983503399999998"/>
    <n v="7"/>
    <n v="5.8917197452229297"/>
    <n v="27.263025013466741"/>
  </r>
  <r>
    <x v="66"/>
    <x v="39"/>
    <n v="0.41"/>
    <n v="0.33983503399999998"/>
    <n v="5"/>
    <n v="2.5477707006369426"/>
    <n v="5.098125933854992"/>
  </r>
  <r>
    <x v="66"/>
    <x v="39"/>
    <n v="0.41"/>
    <n v="0.33983503399999998"/>
    <n v="5"/>
    <n v="2.2292993630573248"/>
    <n v="3.9032526681077284"/>
  </r>
  <r>
    <x v="66"/>
    <x v="39"/>
    <n v="0.41"/>
    <n v="0.33983503399999998"/>
    <n v="4.5"/>
    <n v="2.2292993630573248"/>
    <n v="3.9032526681077284"/>
  </r>
  <r>
    <x v="66"/>
    <x v="39"/>
    <n v="0.41"/>
    <n v="0.33983503399999998"/>
    <n v="4"/>
    <n v="2.7070063694267517"/>
    <n v="5.7553062300159885"/>
  </r>
  <r>
    <x v="66"/>
    <x v="92"/>
    <n v="0.6671667"/>
    <n v="0.66716666700000005"/>
    <n v="3.5"/>
    <n v="2.2611464968152863"/>
    <n v="4.0155707550879711"/>
  </r>
  <r>
    <x v="66"/>
    <x v="80"/>
    <n v="0.83069230800000005"/>
    <n v="0.78683697699999999"/>
    <n v="6"/>
    <n v="8.2802547770700627"/>
    <n v="53.848955176343352"/>
  </r>
  <r>
    <x v="66"/>
    <x v="36"/>
    <n v="0.39984676499999999"/>
    <n v="0.450333333"/>
    <n v="7"/>
    <n v="9.872611464968152"/>
    <n v="76.55154722554137"/>
  </r>
  <r>
    <x v="66"/>
    <x v="86"/>
    <n v="0.63"/>
    <n v="0.629222222"/>
    <n v="4.5"/>
    <n v="2.6751592356687897"/>
    <n v="5.6206838420751293"/>
  </r>
  <r>
    <x v="66"/>
    <x v="86"/>
    <n v="0.63"/>
    <n v="0.629222222"/>
    <n v="4.5"/>
    <n v="1.910828025477707"/>
    <n v="2.8676958377934336"/>
  </r>
  <r>
    <x v="66"/>
    <x v="86"/>
    <n v="0.63"/>
    <n v="0.629222222"/>
    <n v="3"/>
    <n v="1.910828025477707"/>
    <n v="2.8676958377934336"/>
  </r>
  <r>
    <x v="66"/>
    <x v="86"/>
    <n v="0.63"/>
    <n v="0.629222222"/>
    <n v="2.2000000000000002"/>
    <n v="1.2738853503184713"/>
    <n v="1.274531483463748"/>
  </r>
  <r>
    <x v="66"/>
    <x v="93"/>
    <n v="0.62922219999999995"/>
    <n v="0.629222222"/>
    <n v="1.6"/>
    <n v="1.2738853503184713"/>
    <n v="1.274531483463748"/>
  </r>
  <r>
    <x v="66"/>
    <x v="93"/>
    <n v="0.62922219999999995"/>
    <n v="0.629222222"/>
    <n v="1.5"/>
    <n v="1.592356687898089"/>
    <n v="1.9914554429121063"/>
  </r>
  <r>
    <x v="66"/>
    <x v="79"/>
    <n v="0.84088890000000005"/>
    <n v="0.84088888900000003"/>
    <n v="10"/>
    <n v="10.764331210191081"/>
    <n v="91.004734248020256"/>
  </r>
  <r>
    <x v="66"/>
    <x v="79"/>
    <n v="0.84088890000000005"/>
    <n v="0.84088888900000003"/>
    <n v="10"/>
    <n v="16.560509554140125"/>
    <n v="215.39582070537341"/>
  </r>
  <r>
    <x v="66"/>
    <x v="89"/>
    <n v="0.65"/>
    <n v="0.65"/>
    <n v="10"/>
    <n v="6.7515923566878975"/>
    <n v="35.801589370496679"/>
  </r>
  <r>
    <x v="66"/>
    <x v="89"/>
    <n v="0.65"/>
    <n v="0.65"/>
    <n v="9"/>
    <n v="6.114649681528662"/>
    <n v="29.365205379004752"/>
  </r>
  <r>
    <x v="66"/>
    <x v="89"/>
    <n v="0.65"/>
    <n v="0.65"/>
    <n v="8"/>
    <n v="10.254777070063694"/>
    <n v="82.592826457159546"/>
  </r>
  <r>
    <x v="66"/>
    <x v="89"/>
    <n v="0.65"/>
    <n v="0.65"/>
    <n v="8"/>
    <n v="14.840764331210192"/>
    <n v="172.98259926440858"/>
  </r>
  <r>
    <x v="66"/>
    <x v="89"/>
    <n v="0.65"/>
    <n v="0.65"/>
    <n v="7.5"/>
    <n v="20.700636942675157"/>
    <n v="336.55596985214595"/>
  </r>
  <r>
    <x v="66"/>
    <x v="89"/>
    <n v="0.65"/>
    <n v="0.65"/>
    <n v="7"/>
    <n v="16.082802547770701"/>
    <n v="203.14836973146402"/>
  </r>
  <r>
    <x v="66"/>
    <x v="89"/>
    <n v="0.65"/>
    <n v="0.65"/>
    <n v="7"/>
    <n v="5.2547770700636942"/>
    <n v="21.68694977331284"/>
  </r>
  <r>
    <x v="66"/>
    <x v="89"/>
    <n v="0.65"/>
    <n v="0.65"/>
    <n v="7"/>
    <n v="7.0063694267515917"/>
    <n v="38.554577374778376"/>
  </r>
  <r>
    <x v="66"/>
    <x v="89"/>
    <n v="0.65"/>
    <n v="0.65"/>
    <n v="7"/>
    <n v="11.783439490445859"/>
    <n v="109.05210005386697"/>
  </r>
  <r>
    <x v="66"/>
    <x v="89"/>
    <n v="0.65"/>
    <n v="0.65"/>
    <n v="5.5"/>
    <n v="3.1847133757961781"/>
    <n v="7.9658217716484252"/>
  </r>
  <r>
    <x v="66"/>
    <x v="89"/>
    <n v="0.65"/>
    <n v="0.65"/>
    <n v="5"/>
    <n v="4.2993630573248405"/>
    <n v="14.517710178829255"/>
  </r>
  <r>
    <x v="66"/>
    <x v="89"/>
    <n v="0.65"/>
    <n v="0.65"/>
    <n v="4"/>
    <n v="2.2292993630573248"/>
    <n v="3.9032526681077284"/>
  </r>
  <r>
    <x v="66"/>
    <x v="94"/>
    <n v="0.56572270000000002"/>
    <n v="0.61247410899999999"/>
    <n v="3"/>
    <n v="1.910828025477707"/>
    <n v="2.8676958377934336"/>
  </r>
  <r>
    <x v="66"/>
    <x v="9"/>
    <n v="0.43836446099999998"/>
    <n v="0.58666666700000003"/>
    <n v="4.5"/>
    <n v="3.2484076433121016"/>
    <n v="8.2876409712230217"/>
  </r>
  <r>
    <x v="66"/>
    <x v="9"/>
    <n v="0.43836446099999998"/>
    <n v="0.58666666700000003"/>
    <n v="4.5"/>
    <n v="2.7070063694267517"/>
    <n v="5.7553062300159885"/>
  </r>
  <r>
    <x v="66"/>
    <x v="9"/>
    <n v="0.43836446099999998"/>
    <n v="0.58666666700000003"/>
    <n v="3.6"/>
    <n v="1.7834394904458597"/>
    <n v="2.4980817075889461"/>
  </r>
  <r>
    <x v="66"/>
    <x v="9"/>
    <n v="0.43836446099999998"/>
    <n v="0.58666666700000003"/>
    <n v="3.4"/>
    <n v="3.4713375796178343"/>
    <n v="9.4641928468954948"/>
  </r>
  <r>
    <x v="67"/>
    <x v="39"/>
    <n v="0.41"/>
    <n v="0.33983503399999998"/>
    <n v="8"/>
    <n v="7.6751592356687901"/>
    <n v="46.266289431911233"/>
  </r>
  <r>
    <x v="67"/>
    <x v="64"/>
    <n v="0.6"/>
    <n v="0.51040266700000003"/>
    <n v="7.5"/>
    <n v="23.089171974522291"/>
    <n v="418.70350687227034"/>
  </r>
  <r>
    <x v="67"/>
    <x v="21"/>
    <n v="0.39790071399999999"/>
    <n v="0.50565277799999997"/>
    <n v="6.3"/>
    <n v="9.3949044585987256"/>
    <n v="69.322563967770421"/>
  </r>
  <r>
    <x v="67"/>
    <x v="21"/>
    <n v="0.39790071399999999"/>
    <n v="0.50565277799999997"/>
    <n v="5.5"/>
    <n v="8.4713375796178347"/>
    <n v="56.362968527475616"/>
  </r>
  <r>
    <x v="67"/>
    <x v="46"/>
    <n v="0.55560299999999996"/>
    <n v="0.55961111100000005"/>
    <n v="6.5"/>
    <n v="9.0764331210191074"/>
    <n v="64.702387340214344"/>
  </r>
  <r>
    <x v="67"/>
    <x v="46"/>
    <n v="0.55560299999999996"/>
    <n v="0.55961111100000005"/>
    <n v="3.5"/>
    <n v="4.936305732484076"/>
    <n v="19.137886806385342"/>
  </r>
  <r>
    <x v="67"/>
    <x v="24"/>
    <n v="0.56193137999999998"/>
    <n v="0.57808694400000005"/>
    <n v="6"/>
    <n v="3.9490445859872612"/>
    <n v="12.248247556086621"/>
  </r>
  <r>
    <x v="67"/>
    <x v="24"/>
    <n v="0.56193137999999998"/>
    <n v="0.57808694400000005"/>
    <n v="5.5"/>
    <n v="21.496815286624201"/>
    <n v="362.94275447073136"/>
  </r>
  <r>
    <x v="67"/>
    <x v="86"/>
    <n v="0.63"/>
    <n v="0.629222222"/>
    <n v="2.2000000000000002"/>
    <n v="4.5859872611464967"/>
    <n v="16.517928025690178"/>
  </r>
  <r>
    <x v="67"/>
    <x v="86"/>
    <n v="0.63"/>
    <n v="0.629222222"/>
    <n v="1.3"/>
    <n v="1.1146496815286624"/>
    <n v="0.9758131670269321"/>
  </r>
  <r>
    <x v="67"/>
    <x v="37"/>
    <n v="0.61"/>
    <n v="0.84088888900000003"/>
    <n v="6.5"/>
    <n v="53.025477707006367"/>
    <n v="2208.3050260908058"/>
  </r>
  <r>
    <x v="67"/>
    <x v="79"/>
    <n v="0.84088890000000005"/>
    <n v="0.84088888900000003"/>
    <n v="10"/>
    <n v="33.312101910828019"/>
    <n v="871.55330535088876"/>
  </r>
  <r>
    <x v="67"/>
    <x v="79"/>
    <n v="0.84088890000000005"/>
    <n v="0.84088888900000003"/>
    <n v="9"/>
    <n v="5.5732484076433115"/>
    <n v="24.395329175673304"/>
  </r>
  <r>
    <x v="67"/>
    <x v="79"/>
    <n v="0.84088890000000005"/>
    <n v="0.84088888900000003"/>
    <n v="9"/>
    <n v="13.248407643312103"/>
    <n v="137.85332525143903"/>
  </r>
  <r>
    <x v="67"/>
    <x v="95"/>
    <n v="0.78713326400000005"/>
    <n v="0.8155"/>
    <n v="3.5"/>
    <n v="6.6878980891719744"/>
    <n v="35.12927401296956"/>
  </r>
  <r>
    <x v="67"/>
    <x v="68"/>
    <n v="0.56023871300000005"/>
    <n v="0.74103703700000001"/>
    <n v="7"/>
    <n v="14.29936305732484"/>
    <n v="160.59176349860942"/>
  </r>
  <r>
    <x v="68"/>
    <x v="49"/>
    <n v="0.86"/>
    <n v="0.65666666699999998"/>
    <n v="7"/>
    <n v="9.2356687898089174"/>
    <n v="66.992561099563275"/>
  </r>
  <r>
    <x v="68"/>
    <x v="49"/>
    <n v="0.86"/>
    <n v="0.65666666699999998"/>
    <n v="6"/>
    <n v="6.8471337579617835"/>
    <n v="36.822011139444854"/>
  </r>
  <r>
    <x v="68"/>
    <x v="49"/>
    <n v="0.86"/>
    <n v="0.65666666699999998"/>
    <n v="5"/>
    <n v="7.1656050955414008"/>
    <n v="40.326972718970154"/>
  </r>
  <r>
    <x v="68"/>
    <x v="49"/>
    <n v="0.86"/>
    <n v="0.65666666699999998"/>
    <n v="4.5"/>
    <n v="9.2356687898089174"/>
    <n v="66.992561099563275"/>
  </r>
  <r>
    <x v="68"/>
    <x v="12"/>
    <n v="0.80908761900000004"/>
    <n v="0.87473809499999999"/>
    <n v="8"/>
    <n v="16.560509554140125"/>
    <n v="215.39582070537341"/>
  </r>
  <r>
    <x v="68"/>
    <x v="39"/>
    <n v="0.41"/>
    <n v="0.33983503399999998"/>
    <n v="8"/>
    <n v="15.286624203821656"/>
    <n v="183.53253361877975"/>
  </r>
  <r>
    <x v="68"/>
    <x v="4"/>
    <n v="0.708787469"/>
    <n v="0.80167708299999996"/>
    <n v="2"/>
    <n v="4.0999999999999996"/>
    <n v="13.202543126711104"/>
  </r>
  <r>
    <x v="68"/>
    <x v="86"/>
    <n v="0.63"/>
    <n v="0.629222222"/>
    <n v="2.6"/>
    <n v="2.3885350318471334"/>
    <n v="4.480774746552239"/>
  </r>
  <r>
    <x v="68"/>
    <x v="86"/>
    <n v="0.63"/>
    <n v="0.629222222"/>
    <n v="2.2000000000000002"/>
    <n v="1.910828025477707"/>
    <n v="2.8676958377934336"/>
  </r>
  <r>
    <x v="68"/>
    <x v="86"/>
    <n v="0.63"/>
    <n v="0.629222222"/>
    <n v="1.45"/>
    <n v="0.46178343949044581"/>
    <n v="0.16748140274890813"/>
  </r>
  <r>
    <x v="68"/>
    <x v="86"/>
    <n v="0.63"/>
    <n v="0.629222222"/>
    <n v="2.2000000000000002"/>
    <n v="1.592356687898089"/>
    <n v="1.9914554429121063"/>
  </r>
  <r>
    <x v="68"/>
    <x v="23"/>
    <n v="0.590536375"/>
    <n v="0.61247410899999999"/>
    <n v="9"/>
    <n v="43.630573248407643"/>
    <n v="1495.1050883206933"/>
  </r>
  <r>
    <x v="68"/>
    <x v="9"/>
    <n v="0.43836446099999998"/>
    <n v="0.58666666700000003"/>
    <n v="4.5"/>
    <n v="3.5031847133757958"/>
    <n v="9.6386443436945939"/>
  </r>
  <r>
    <x v="68"/>
    <x v="9"/>
    <n v="0.43836446099999998"/>
    <n v="0.58666666700000003"/>
    <n v="1.8"/>
    <n v="1.1146496815286624"/>
    <n v="0.9758131670269321"/>
  </r>
  <r>
    <x v="68"/>
    <x v="83"/>
    <n v="0.41185709999999998"/>
    <n v="0.41185714299999998"/>
    <n v="6"/>
    <n v="37.484076433121011"/>
    <n v="1103.528390909594"/>
  </r>
  <r>
    <x v="69"/>
    <x v="49"/>
    <n v="0.86"/>
    <n v="0.65666666699999998"/>
    <n v="7"/>
    <n v="10.445859872611464"/>
    <n v="85.699496948102421"/>
  </r>
  <r>
    <x v="69"/>
    <x v="85"/>
    <n v="0.57550000000000001"/>
    <n v="0.57550000000000001"/>
    <n v="1.9"/>
    <n v="1.8789808917197452"/>
    <n v="2.7729025587108174"/>
  </r>
  <r>
    <x v="69"/>
    <x v="85"/>
    <n v="0.57550000000000001"/>
    <n v="0.57550000000000001"/>
    <n v="1.8"/>
    <n v="1.4649681528662419"/>
    <n v="1.6855678868808071"/>
  </r>
  <r>
    <x v="69"/>
    <x v="85"/>
    <n v="0.57550000000000001"/>
    <n v="0.57550000000000001"/>
    <n v="2.5"/>
    <n v="1.910828025477707"/>
    <n v="2.8676958377934336"/>
  </r>
  <r>
    <x v="69"/>
    <x v="39"/>
    <n v="0.41"/>
    <n v="0.33983503399999998"/>
    <n v="7"/>
    <n v="12.929936305732484"/>
    <n v="131.30541975514402"/>
  </r>
  <r>
    <x v="69"/>
    <x v="39"/>
    <n v="0.41"/>
    <n v="0.33983503399999998"/>
    <n v="2"/>
    <n v="2.0382165605095541"/>
    <n v="3.2628005976671957"/>
  </r>
  <r>
    <x v="69"/>
    <x v="39"/>
    <n v="0.41"/>
    <n v="0.33983503399999998"/>
    <n v="7"/>
    <n v="6.0509554140127388"/>
    <n v="28.756616595650822"/>
  </r>
  <r>
    <x v="69"/>
    <x v="39"/>
    <n v="0.41"/>
    <n v="0.33983503399999998"/>
    <n v="5.5"/>
    <n v="2.8025477707006372"/>
    <n v="6.1687323799645428"/>
  </r>
  <r>
    <x v="69"/>
    <x v="1"/>
    <n v="0.766138345"/>
    <n v="0.90500000000000003"/>
    <n v="2.7"/>
    <n v="12.197452229299362"/>
    <n v="116.84984298613358"/>
  </r>
  <r>
    <x v="69"/>
    <x v="92"/>
    <n v="0.6671667"/>
    <n v="0.66716666700000005"/>
    <n v="1.75"/>
    <n v="3.9808917197452227"/>
    <n v="12.446596518200664"/>
  </r>
  <r>
    <x v="69"/>
    <x v="80"/>
    <n v="0.83069230800000005"/>
    <n v="0.78683697699999999"/>
    <n v="4.7"/>
    <n v="4.7133757961783438"/>
    <n v="17.448336008618714"/>
  </r>
  <r>
    <x v="69"/>
    <x v="46"/>
    <n v="0.55560299999999996"/>
    <n v="0.55961111100000005"/>
    <n v="2"/>
    <n v="3.2165605095541401"/>
    <n v="8.1259347892585598"/>
  </r>
  <r>
    <x v="69"/>
    <x v="24"/>
    <n v="0.56193137999999998"/>
    <n v="0.57808694400000005"/>
    <n v="7.5"/>
    <n v="10.796178343949043"/>
    <n v="91.544020381960863"/>
  </r>
  <r>
    <x v="69"/>
    <x v="24"/>
    <n v="0.56193137999999998"/>
    <n v="0.57808694400000005"/>
    <n v="6.8"/>
    <n v="9.7452229299363058"/>
    <n v="74.588768741007215"/>
  </r>
  <r>
    <x v="69"/>
    <x v="24"/>
    <n v="0.56193137999999998"/>
    <n v="0.57808694400000005"/>
    <n v="2.8"/>
    <n v="4.4585987261146496"/>
    <n v="15.613010672430914"/>
  </r>
  <r>
    <x v="69"/>
    <x v="24"/>
    <n v="0.56193137999999998"/>
    <n v="0.57808694400000005"/>
    <n v="2.5"/>
    <n v="2.2292993630573248"/>
    <n v="3.9032526681077284"/>
  </r>
  <r>
    <x v="69"/>
    <x v="86"/>
    <n v="0.63"/>
    <n v="0.629222222"/>
    <n v="1.8"/>
    <n v="1.2738853503184713"/>
    <n v="1.274531483463748"/>
  </r>
  <r>
    <x v="69"/>
    <x v="86"/>
    <n v="0.63"/>
    <n v="0.629222222"/>
    <n v="1.6"/>
    <n v="1.2738853503184713"/>
    <n v="1.274531483463748"/>
  </r>
  <r>
    <x v="69"/>
    <x v="93"/>
    <n v="0.62922219999999995"/>
    <n v="0.629222222"/>
    <n v="1.5"/>
    <n v="1.592356687898089"/>
    <n v="1.9914554429121063"/>
  </r>
  <r>
    <x v="69"/>
    <x v="93"/>
    <n v="0.62922219999999995"/>
    <n v="0.629222222"/>
    <n v="1.4"/>
    <n v="1.1146496815286624"/>
    <n v="0.9758131670269321"/>
  </r>
  <r>
    <x v="69"/>
    <x v="93"/>
    <n v="0.62922219999999995"/>
    <n v="0.629222222"/>
    <n v="1.4"/>
    <n v="1.2738853503184713"/>
    <n v="1.274531483463748"/>
  </r>
  <r>
    <x v="69"/>
    <x v="93"/>
    <n v="0.62922219999999995"/>
    <n v="0.629222222"/>
    <n v="1.6"/>
    <n v="1.8471337579617833"/>
    <n v="2.6797024439825301"/>
  </r>
  <r>
    <x v="69"/>
    <x v="93"/>
    <n v="0.62922219999999995"/>
    <n v="0.629222222"/>
    <n v="1.5"/>
    <n v="1.592356687898089"/>
    <n v="1.9914554429121063"/>
  </r>
  <r>
    <x v="69"/>
    <x v="79"/>
    <n v="0.84088890000000005"/>
    <n v="0.84088888900000003"/>
    <n v="9.5"/>
    <n v="14.012738853503183"/>
    <n v="154.2183094991135"/>
  </r>
  <r>
    <x v="69"/>
    <x v="79"/>
    <n v="0.84088890000000005"/>
    <n v="0.84088888900000003"/>
    <n v="9"/>
    <n v="22.547770700636946"/>
    <n v="399.29796845435783"/>
  </r>
  <r>
    <x v="69"/>
    <x v="96"/>
    <n v="0.685322871"/>
    <n v="0.8155"/>
    <n v="6.5"/>
    <n v="3.3439490445859872"/>
    <n v="8.7823185032423901"/>
  </r>
  <r>
    <x v="69"/>
    <x v="96"/>
    <n v="0.685322871"/>
    <n v="0.8155"/>
    <n v="1.5"/>
    <n v="9.6815286624203818"/>
    <n v="73.616938484866097"/>
  </r>
  <r>
    <x v="69"/>
    <x v="96"/>
    <n v="0.685322871"/>
    <n v="0.8155"/>
    <n v="4"/>
    <n v="1.2738853503184713"/>
    <n v="1.274531483463748"/>
  </r>
  <r>
    <x v="69"/>
    <x v="68"/>
    <n v="0.56023871300000005"/>
    <n v="0.74103703700000001"/>
    <n v="6.5"/>
    <n v="0.95541401273885351"/>
    <n v="0.71692395944835841"/>
  </r>
  <r>
    <x v="69"/>
    <x v="68"/>
    <n v="0.56023871300000005"/>
    <n v="0.74103703700000001"/>
    <n v="3"/>
    <n v="13.726114649681529"/>
    <n v="147.97390181231836"/>
  </r>
  <r>
    <x v="69"/>
    <x v="97"/>
    <n v="0.56572270000000002"/>
    <n v="0.61247410899999999"/>
    <n v="0.77"/>
    <n v="2.6751592356687897"/>
    <n v="5.6206838420751293"/>
  </r>
  <r>
    <x v="69"/>
    <x v="69"/>
    <n v="0.432770245"/>
    <n v="0.61247410899999999"/>
    <n v="7"/>
    <n v="4.6178343949044587"/>
    <n v="16.748140274890819"/>
  </r>
  <r>
    <x v="69"/>
    <x v="28"/>
    <n v="1.1200000000000001"/>
    <n v="0.85527777800000004"/>
    <n v="2.9"/>
    <n v="2.1974522292993632"/>
    <n v="3.7925277454818165"/>
  </r>
  <r>
    <x v="69"/>
    <x v="29"/>
    <n v="0.40238543599999999"/>
    <n v="0.40883333300000002"/>
    <n v="11"/>
    <n v="17.866242038216559"/>
    <n v="250.7011393794964"/>
  </r>
  <r>
    <x v="69"/>
    <x v="10"/>
    <n v="0.76500000000000001"/>
    <n v="0.61247410899999999"/>
    <n v="8"/>
    <n v="6.8471337579617835"/>
    <n v="36.822011139444854"/>
  </r>
  <r>
    <x v="70"/>
    <x v="49"/>
    <n v="0.86"/>
    <n v="0.65666666699999998"/>
    <n v="6"/>
    <n v="6.3694267515923562"/>
    <n v="31.863287086593701"/>
  </r>
  <r>
    <x v="70"/>
    <x v="85"/>
    <n v="0.57550000000000001"/>
    <n v="0.57550000000000001"/>
    <n v="4"/>
    <n v="1.4331210191082802"/>
    <n v="1.6130789087588062"/>
  </r>
  <r>
    <x v="70"/>
    <x v="39"/>
    <n v="0.41"/>
    <n v="0.33983503399999998"/>
    <n v="7"/>
    <n v="7.8025477707006363"/>
    <n v="47.814845184319672"/>
  </r>
  <r>
    <x v="70"/>
    <x v="39"/>
    <n v="0.41"/>
    <n v="0.33983503399999998"/>
    <n v="6"/>
    <n v="4.4585987261146496"/>
    <n v="15.613010672430914"/>
  </r>
  <r>
    <x v="70"/>
    <x v="45"/>
    <n v="0.31264018999999998"/>
    <n v="0.356821212"/>
    <n v="4.5"/>
    <n v="3.8216560509554141"/>
    <n v="11.470783351173734"/>
  </r>
  <r>
    <x v="70"/>
    <x v="46"/>
    <n v="0.55560299999999996"/>
    <n v="0.55961111100000005"/>
    <n v="4"/>
    <n v="3.0254777070063694"/>
    <n v="7.1891541489127055"/>
  </r>
  <r>
    <x v="70"/>
    <x v="37"/>
    <n v="0.61"/>
    <n v="0.84088888900000003"/>
    <n v="7"/>
    <n v="54.140127388535028"/>
    <n v="2302.1224920063951"/>
  </r>
  <r>
    <x v="70"/>
    <x v="79"/>
    <n v="0.84088890000000005"/>
    <n v="0.84088888900000003"/>
    <n v="10"/>
    <n v="22.770700636942674"/>
    <n v="407.23272352109666"/>
  </r>
  <r>
    <x v="70"/>
    <x v="79"/>
    <n v="0.84088890000000005"/>
    <n v="0.84088888900000003"/>
    <n v="9"/>
    <n v="17.515923566878982"/>
    <n v="240.96610859236495"/>
  </r>
  <r>
    <x v="70"/>
    <x v="29"/>
    <n v="0.40238543599999999"/>
    <n v="0.40883333300000002"/>
    <n v="8"/>
    <n v="14.171974522292993"/>
    <n v="157.74318563306795"/>
  </r>
  <r>
    <x v="70"/>
    <x v="30"/>
    <n v="0.57917600000000002"/>
    <n v="0.60285714300000004"/>
    <n v="10"/>
    <n v="60.35031847133758"/>
    <n v="2860.5465127533794"/>
  </r>
  <r>
    <x v="70"/>
    <x v="83"/>
    <n v="0.41185709999999998"/>
    <n v="0.41185714299999998"/>
    <n v="3.5"/>
    <n v="5.7324840764331206"/>
    <n v="25.809262540140899"/>
  </r>
  <r>
    <x v="71"/>
    <x v="85"/>
    <n v="0.57550000000000001"/>
    <n v="0.57550000000000001"/>
    <n v="2.6"/>
    <n v="3.6624203821656049"/>
    <n v="10.534799293005044"/>
  </r>
  <r>
    <x v="71"/>
    <x v="39"/>
    <n v="0.41"/>
    <n v="0.33983503399999998"/>
    <n v="9.5"/>
    <n v="5.5732484076433115"/>
    <n v="24.395329175673304"/>
  </r>
  <r>
    <x v="71"/>
    <x v="88"/>
    <n v="0.52800000000000002"/>
    <n v="0.51040266700000003"/>
    <n v="10"/>
    <n v="26.624203821656049"/>
    <n v="556.72809729179983"/>
  </r>
  <r>
    <x v="71"/>
    <x v="46"/>
    <n v="0.55560299999999996"/>
    <n v="0.55961111100000005"/>
    <n v="7"/>
    <n v="7.484076433121019"/>
    <n v="43.991250733928432"/>
  </r>
  <r>
    <x v="71"/>
    <x v="46"/>
    <n v="0.55560299999999996"/>
    <n v="0.55961111100000005"/>
    <n v="7.5"/>
    <n v="18.789808917197451"/>
    <n v="277.29025587108168"/>
  </r>
  <r>
    <x v="71"/>
    <x v="36"/>
    <n v="0.39984676499999999"/>
    <n v="0.450333333"/>
    <n v="4.5"/>
    <n v="13.057324840764331"/>
    <n v="133.90546398141004"/>
  </r>
  <r>
    <x v="71"/>
    <x v="50"/>
    <n v="0.43538739399999998"/>
    <n v="0.568333333"/>
    <n v="6.5"/>
    <n v="9.5541401273885338"/>
    <n v="71.692395944835823"/>
  </r>
  <r>
    <x v="71"/>
    <x v="16"/>
    <n v="0.63400000000000001"/>
    <n v="0.73247777800000002"/>
    <n v="8"/>
    <n v="16.401273885350317"/>
    <n v="211.27350793854535"/>
  </r>
  <r>
    <x v="71"/>
    <x v="37"/>
    <n v="0.61"/>
    <n v="0.84088888900000003"/>
    <n v="5"/>
    <n v="35.031847133757964"/>
    <n v="963.86443436945979"/>
  </r>
  <r>
    <x v="71"/>
    <x v="95"/>
    <n v="0.78713326400000005"/>
    <n v="0.8155"/>
    <n v="4.5"/>
    <n v="2.6114649681528661"/>
    <n v="5.3562185592564013"/>
  </r>
  <r>
    <x v="71"/>
    <x v="95"/>
    <n v="0.78713326400000005"/>
    <n v="0.8155"/>
    <n v="3.5"/>
    <n v="3.0254777070063694"/>
    <n v="7.1891541489127055"/>
  </r>
  <r>
    <x v="71"/>
    <x v="68"/>
    <n v="0.56023871300000005"/>
    <n v="0.74103703700000001"/>
    <n v="2.7"/>
    <n v="2.3885350318471334"/>
    <n v="4.480774746552239"/>
  </r>
  <r>
    <x v="71"/>
    <x v="28"/>
    <n v="1.1200000000000001"/>
    <n v="0.85527777800000004"/>
    <n v="2.2000000000000002"/>
    <n v="2.0700636942675157"/>
    <n v="3.3655596985214595"/>
  </r>
  <r>
    <x v="71"/>
    <x v="9"/>
    <n v="0.43836446099999998"/>
    <n v="0.58666666700000003"/>
    <n v="5.5"/>
    <n v="9.4585987261146496"/>
    <n v="70.26571726553361"/>
  </r>
  <r>
    <x v="71"/>
    <x v="29"/>
    <n v="0.40238543599999999"/>
    <n v="0.40883333300000002"/>
    <n v="7"/>
    <n v="15.38216560509554"/>
    <n v="185.83385952860897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4">
  <r>
    <x v="0"/>
    <x v="0"/>
    <n v="0.36"/>
    <n v="0.35"/>
    <n v="4"/>
    <n v="3.9808917197452227"/>
  </r>
  <r>
    <x v="0"/>
    <x v="0"/>
    <n v="0.36"/>
    <n v="0.35"/>
    <n v="4"/>
    <n v="3.6624203821656049"/>
  </r>
  <r>
    <x v="0"/>
    <x v="0"/>
    <n v="0.36"/>
    <n v="0.35"/>
    <n v="4"/>
    <n v="3.9808917197452227"/>
  </r>
  <r>
    <x v="0"/>
    <x v="0"/>
    <n v="0.36"/>
    <n v="0.35"/>
    <n v="2.5"/>
    <n v="2.2292993630573248"/>
  </r>
  <r>
    <x v="0"/>
    <x v="1"/>
    <n v="0.766138345"/>
    <n v="0.90500000000000003"/>
    <n v="7"/>
    <n v="5.5732484076433115"/>
  </r>
  <r>
    <x v="0"/>
    <x v="1"/>
    <n v="0.766138345"/>
    <n v="0.90500000000000003"/>
    <n v="6"/>
    <n v="11.942675159235668"/>
  </r>
  <r>
    <x v="0"/>
    <x v="2"/>
    <n v="0.47982689899999997"/>
    <n v="0.51"/>
    <n v="4"/>
    <n v="1.910828025477707"/>
  </r>
  <r>
    <x v="0"/>
    <x v="2"/>
    <n v="0.47982689899999997"/>
    <n v="0.51"/>
    <n v="3"/>
    <n v="1.7515923566878979"/>
  </r>
  <r>
    <x v="0"/>
    <x v="3"/>
    <n v="0.89361000000000002"/>
    <n v="0.61247410899999999"/>
    <n v="4"/>
    <n v="4.4585987261146496"/>
  </r>
  <r>
    <x v="0"/>
    <x v="4"/>
    <n v="0.708787469"/>
    <n v="0.80167708299999996"/>
    <n v="9"/>
    <n v="9.3949044585987256"/>
  </r>
  <r>
    <x v="0"/>
    <x v="4"/>
    <n v="0.708787469"/>
    <n v="0.80167708299999996"/>
    <n v="9"/>
    <n v="12.898089171974522"/>
  </r>
  <r>
    <x v="0"/>
    <x v="4"/>
    <n v="0.708787469"/>
    <n v="0.80167708299999996"/>
    <n v="8"/>
    <n v="4.2993630573248405"/>
  </r>
  <r>
    <x v="0"/>
    <x v="4"/>
    <n v="0.708787469"/>
    <n v="0.80167708299999996"/>
    <n v="7"/>
    <n v="4.7770700636942669"/>
  </r>
  <r>
    <x v="0"/>
    <x v="5"/>
    <n v="0.45255480399999998"/>
    <n v="0.57808694400000005"/>
    <n v="9"/>
    <n v="23.544585987261144"/>
  </r>
  <r>
    <x v="0"/>
    <x v="5"/>
    <n v="0.45255480399999998"/>
    <n v="0.57808694400000005"/>
    <n v="9"/>
    <n v="47.611464968152866"/>
  </r>
  <r>
    <x v="0"/>
    <x v="5"/>
    <n v="0.45255480399999998"/>
    <n v="0.57808694400000005"/>
    <n v="8"/>
    <n v="13.535031847133757"/>
  </r>
  <r>
    <x v="0"/>
    <x v="5"/>
    <n v="0.45255480399999998"/>
    <n v="0.57808694400000005"/>
    <n v="8"/>
    <n v="49.044585987261144"/>
  </r>
  <r>
    <x v="0"/>
    <x v="6"/>
    <n v="0.374"/>
    <n v="0.47945833300000001"/>
    <n v="6"/>
    <n v="4.936305732484076"/>
  </r>
  <r>
    <x v="0"/>
    <x v="6"/>
    <n v="0.374"/>
    <n v="0.47945833300000001"/>
    <n v="5"/>
    <n v="3.6624203821656049"/>
  </r>
  <r>
    <x v="0"/>
    <x v="7"/>
    <n v="0.74387999999999999"/>
    <n v="0.59130000000000005"/>
    <n v="6"/>
    <n v="3.8216560509554141"/>
  </r>
  <r>
    <x v="0"/>
    <x v="7"/>
    <n v="0.74387999999999999"/>
    <n v="0.59130000000000005"/>
    <n v="10.1"/>
    <n v="18.312101910828027"/>
  </r>
  <r>
    <x v="0"/>
    <x v="8"/>
    <n v="0.66608171000000005"/>
    <n v="0.68661666700000001"/>
    <n v="5"/>
    <n v="2.7070063694267517"/>
  </r>
  <r>
    <x v="0"/>
    <x v="8"/>
    <n v="0.66608171000000005"/>
    <n v="0.68661666700000001"/>
    <n v="5"/>
    <n v="3.5031847133757958"/>
  </r>
  <r>
    <x v="0"/>
    <x v="8"/>
    <n v="0.66608171000000005"/>
    <n v="0.68661666700000001"/>
    <n v="5"/>
    <n v="6.2101910828025479"/>
  </r>
  <r>
    <x v="0"/>
    <x v="8"/>
    <n v="0.66608171000000005"/>
    <n v="0.68661666700000001"/>
    <n v="4"/>
    <n v="3.3439490445859872"/>
  </r>
  <r>
    <x v="0"/>
    <x v="9"/>
    <n v="0.43836446099999998"/>
    <n v="0.58666666700000003"/>
    <n v="7"/>
    <n v="19.936305732484072"/>
  </r>
  <r>
    <x v="0"/>
    <x v="9"/>
    <n v="0.43836446099999998"/>
    <n v="0.58666666700000003"/>
    <n v="7"/>
    <n v="6.5286624203821653"/>
  </r>
  <r>
    <x v="0"/>
    <x v="9"/>
    <n v="0.43836446099999998"/>
    <n v="0.58666666700000003"/>
    <n v="4"/>
    <n v="10.764331210191081"/>
  </r>
  <r>
    <x v="0"/>
    <x v="10"/>
    <n v="0.76500000000000001"/>
    <n v="0.61247410899999999"/>
    <n v="10"/>
    <n v="21.815286624203821"/>
  </r>
  <r>
    <x v="0"/>
    <x v="10"/>
    <n v="0.76500000000000001"/>
    <n v="0.61247410899999999"/>
    <n v="10"/>
    <n v="21.592356687898086"/>
  </r>
  <r>
    <x v="0"/>
    <x v="10"/>
    <n v="0.76500000000000001"/>
    <n v="0.61247410899999999"/>
    <n v="10"/>
    <n v="27.133757961783438"/>
  </r>
  <r>
    <x v="0"/>
    <x v="11"/>
    <n v="0.41240947999999999"/>
    <n v="0.52705000000000002"/>
    <n v="9"/>
    <n v="6.2101910828025479"/>
  </r>
  <r>
    <x v="0"/>
    <x v="11"/>
    <n v="0.41240947999999999"/>
    <n v="0.52705000000000002"/>
    <n v="8.5"/>
    <n v="7.484076433121019"/>
  </r>
  <r>
    <x v="0"/>
    <x v="11"/>
    <n v="0.41240947999999999"/>
    <n v="0.52705000000000002"/>
    <n v="8.5"/>
    <n v="5.5732484076433115"/>
  </r>
  <r>
    <x v="0"/>
    <x v="11"/>
    <n v="0.41240947999999999"/>
    <n v="0.52705000000000002"/>
    <n v="4"/>
    <n v="5.8917197452229297"/>
  </r>
  <r>
    <x v="0"/>
    <x v="11"/>
    <n v="0.41240947999999999"/>
    <n v="0.52705000000000002"/>
    <n v="2.7"/>
    <n v="2.0700636942675157"/>
  </r>
  <r>
    <x v="1"/>
    <x v="12"/>
    <n v="0.80908761900000004"/>
    <n v="0.87473809499999999"/>
    <n v="7"/>
    <n v="5.8917197452229297"/>
  </r>
  <r>
    <x v="1"/>
    <x v="0"/>
    <n v="0.36"/>
    <n v="0.35"/>
    <n v="5"/>
    <n v="5.5095541401273884"/>
  </r>
  <r>
    <x v="1"/>
    <x v="0"/>
    <n v="0.36"/>
    <n v="0.35"/>
    <n v="2.2999999999999998"/>
    <n v="4.4585987261146496"/>
  </r>
  <r>
    <x v="1"/>
    <x v="1"/>
    <n v="0.766138345"/>
    <n v="0.90500000000000003"/>
    <n v="7"/>
    <n v="9.0764331210191074"/>
  </r>
  <r>
    <x v="1"/>
    <x v="1"/>
    <n v="0.766138345"/>
    <n v="0.90500000000000003"/>
    <n v="5.5"/>
    <n v="8.7579617834394909"/>
  </r>
  <r>
    <x v="1"/>
    <x v="1"/>
    <n v="0.766138345"/>
    <n v="0.90500000000000003"/>
    <n v="5"/>
    <n v="4.936305732484076"/>
  </r>
  <r>
    <x v="1"/>
    <x v="5"/>
    <n v="0.45255480399999998"/>
    <n v="0.57808694400000005"/>
    <n v="9"/>
    <n v="44.904458598726116"/>
  </r>
  <r>
    <x v="1"/>
    <x v="5"/>
    <n v="0.45255480399999998"/>
    <n v="0.57808694400000005"/>
    <n v="8"/>
    <n v="26.273885350318469"/>
  </r>
  <r>
    <x v="1"/>
    <x v="5"/>
    <n v="0.45255480399999998"/>
    <n v="0.57808694400000005"/>
    <n v="7"/>
    <n v="47.133757961783438"/>
  </r>
  <r>
    <x v="1"/>
    <x v="7"/>
    <n v="0.74387999999999999"/>
    <n v="0.59130000000000005"/>
    <n v="7"/>
    <n v="6.3694267515923562"/>
  </r>
  <r>
    <x v="1"/>
    <x v="7"/>
    <n v="0.74387999999999999"/>
    <n v="0.59130000000000005"/>
    <n v="6"/>
    <n v="3.8216560509554141"/>
  </r>
  <r>
    <x v="1"/>
    <x v="7"/>
    <n v="0.74387999999999999"/>
    <n v="0.59130000000000005"/>
    <n v="5"/>
    <n v="5.0955414012738851"/>
  </r>
  <r>
    <x v="1"/>
    <x v="7"/>
    <n v="0.74387999999999999"/>
    <n v="0.59130000000000005"/>
    <n v="5"/>
    <n v="3.3757961783439487"/>
  </r>
  <r>
    <x v="1"/>
    <x v="13"/>
    <n v="0.50857142899999996"/>
    <n v="0.49666666700000001"/>
    <n v="10"/>
    <n v="6.5286624203821653"/>
  </r>
  <r>
    <x v="1"/>
    <x v="13"/>
    <n v="0.50857142899999996"/>
    <n v="0.49666666700000001"/>
    <n v="9"/>
    <n v="8.9171974522292992"/>
  </r>
  <r>
    <x v="1"/>
    <x v="13"/>
    <n v="0.50857142899999996"/>
    <n v="0.49666666700000001"/>
    <n v="9"/>
    <n v="7.1656050955414008"/>
  </r>
  <r>
    <x v="1"/>
    <x v="14"/>
    <n v="0.48464433800000001"/>
    <n v="0.62688577999999995"/>
    <n v="5"/>
    <n v="2.5477707006369426"/>
  </r>
  <r>
    <x v="1"/>
    <x v="8"/>
    <n v="0.66608171000000005"/>
    <n v="0.68661666700000001"/>
    <n v="5"/>
    <n v="4.2993630573248405"/>
  </r>
  <r>
    <x v="1"/>
    <x v="8"/>
    <n v="0.66608171000000005"/>
    <n v="0.68661666700000001"/>
    <n v="3.5"/>
    <n v="2.8025477707006372"/>
  </r>
  <r>
    <x v="1"/>
    <x v="9"/>
    <n v="0.43836446099999998"/>
    <n v="0.58666666700000003"/>
    <n v="8"/>
    <n v="3.5031847133757958"/>
  </r>
  <r>
    <x v="1"/>
    <x v="9"/>
    <n v="0.43836446099999998"/>
    <n v="0.58666666700000003"/>
    <n v="7"/>
    <n v="14.936305732484076"/>
  </r>
  <r>
    <x v="1"/>
    <x v="9"/>
    <n v="0.43836446099999998"/>
    <n v="0.58666666700000003"/>
    <n v="6.5"/>
    <n v="15.445859872611464"/>
  </r>
  <r>
    <x v="1"/>
    <x v="10"/>
    <n v="0.76500000000000001"/>
    <n v="0.61247410899999999"/>
    <n v="8"/>
    <n v="10.19108280254777"/>
  </r>
  <r>
    <x v="1"/>
    <x v="11"/>
    <n v="0.41240947999999999"/>
    <n v="0.52705000000000002"/>
    <n v="6.5"/>
    <n v="4.7770700636942669"/>
  </r>
  <r>
    <x v="1"/>
    <x v="11"/>
    <n v="0.41240947999999999"/>
    <n v="0.52705000000000002"/>
    <n v="6"/>
    <n v="4.0764331210191083"/>
  </r>
  <r>
    <x v="1"/>
    <x v="11"/>
    <n v="0.41240947999999999"/>
    <n v="0.52705000000000002"/>
    <n v="4.5"/>
    <n v="4.3949044585987265"/>
  </r>
  <r>
    <x v="2"/>
    <x v="0"/>
    <n v="0.36"/>
    <n v="0.35"/>
    <n v="4"/>
    <n v="3.1847133757961781"/>
  </r>
  <r>
    <x v="2"/>
    <x v="1"/>
    <n v="0.766138345"/>
    <n v="0.90500000000000003"/>
    <n v="6"/>
    <n v="6.7515923566878975"/>
  </r>
  <r>
    <x v="2"/>
    <x v="4"/>
    <n v="0.708787469"/>
    <n v="0.80167708299999996"/>
    <n v="7"/>
    <n v="8.9171974522292992"/>
  </r>
  <r>
    <x v="2"/>
    <x v="5"/>
    <n v="0.45255480399999998"/>
    <n v="0.57808694400000005"/>
    <n v="8"/>
    <n v="30.573248407643312"/>
  </r>
  <r>
    <x v="2"/>
    <x v="5"/>
    <n v="0.45255480399999998"/>
    <n v="0.57808694400000005"/>
    <n v="7"/>
    <n v="25.796178343949045"/>
  </r>
  <r>
    <x v="2"/>
    <x v="5"/>
    <n v="0.45255480399999998"/>
    <n v="0.57808694400000005"/>
    <n v="5"/>
    <n v="5.7324840764331206"/>
  </r>
  <r>
    <x v="2"/>
    <x v="15"/>
    <n v="0.372"/>
    <n v="0.73247777800000002"/>
    <n v="6"/>
    <n v="4.0445859872611463"/>
  </r>
  <r>
    <x v="2"/>
    <x v="16"/>
    <n v="0.63400000000000001"/>
    <n v="0.73247777800000002"/>
    <n v="6"/>
    <n v="4.3949044585987265"/>
  </r>
  <r>
    <x v="2"/>
    <x v="16"/>
    <n v="0.63400000000000001"/>
    <n v="0.73247777800000002"/>
    <n v="5"/>
    <n v="5.8280254777070066"/>
  </r>
  <r>
    <x v="2"/>
    <x v="7"/>
    <n v="0.74387999999999999"/>
    <n v="0.59130000000000005"/>
    <n v="9"/>
    <n v="9.872611464968152"/>
  </r>
  <r>
    <x v="2"/>
    <x v="7"/>
    <n v="0.74387999999999999"/>
    <n v="0.59130000000000005"/>
    <n v="8"/>
    <n v="5.7324840764331206"/>
  </r>
  <r>
    <x v="2"/>
    <x v="7"/>
    <n v="0.74387999999999999"/>
    <n v="0.59130000000000005"/>
    <n v="6"/>
    <n v="9.5541401273885338"/>
  </r>
  <r>
    <x v="2"/>
    <x v="17"/>
    <n v="0.65716857299999998"/>
    <n v="0.85527777800000004"/>
    <n v="6"/>
    <n v="12.961783439490446"/>
  </r>
  <r>
    <x v="2"/>
    <x v="14"/>
    <n v="0.48464433800000001"/>
    <n v="0.62688577999999995"/>
    <n v="3.5"/>
    <n v="2.2292993630573248"/>
  </r>
  <r>
    <x v="2"/>
    <x v="18"/>
    <n v="0.69835862100000001"/>
    <n v="0.69262500000000005"/>
    <n v="8"/>
    <n v="8.4394904458598727"/>
  </r>
  <r>
    <x v="2"/>
    <x v="19"/>
    <n v="0.54326798300000001"/>
    <n v="0.61247410899999999"/>
    <n v="8"/>
    <n v="14.968152866242038"/>
  </r>
  <r>
    <x v="2"/>
    <x v="19"/>
    <n v="0.54326798300000001"/>
    <n v="0.61247410899999999"/>
    <n v="5.5"/>
    <n v="5.2547770700636942"/>
  </r>
  <r>
    <x v="2"/>
    <x v="9"/>
    <n v="0.43836446099999998"/>
    <n v="0.58666666700000003"/>
    <n v="9"/>
    <n v="10.828025477707007"/>
  </r>
  <r>
    <x v="2"/>
    <x v="9"/>
    <n v="0.43836446099999998"/>
    <n v="0.58666666700000003"/>
    <n v="8"/>
    <n v="13.152866242038215"/>
  </r>
  <r>
    <x v="2"/>
    <x v="9"/>
    <n v="0.43836446099999998"/>
    <n v="0.58666666700000003"/>
    <n v="8"/>
    <n v="13.343949044585989"/>
  </r>
  <r>
    <x v="2"/>
    <x v="9"/>
    <n v="0.43836446099999998"/>
    <n v="0.58666666700000003"/>
    <n v="6.5"/>
    <n v="39.36305732484076"/>
  </r>
  <r>
    <x v="2"/>
    <x v="9"/>
    <n v="0.43836446099999998"/>
    <n v="0.58666666700000003"/>
    <n v="6"/>
    <n v="10.987261146496815"/>
  </r>
  <r>
    <x v="2"/>
    <x v="10"/>
    <n v="0.76500000000000001"/>
    <n v="0.61247410899999999"/>
    <n v="9"/>
    <n v="28.980891719745223"/>
  </r>
  <r>
    <x v="2"/>
    <x v="10"/>
    <n v="0.76500000000000001"/>
    <n v="0.61247410899999999"/>
    <n v="10.4"/>
    <n v="13.503184713375795"/>
  </r>
  <r>
    <x v="2"/>
    <x v="10"/>
    <n v="0.76500000000000001"/>
    <n v="0.61247410899999999"/>
    <n v="9.1"/>
    <n v="14.872611464968154"/>
  </r>
  <r>
    <x v="2"/>
    <x v="11"/>
    <n v="0.41240947999999999"/>
    <n v="0.52705000000000002"/>
    <n v="6"/>
    <n v="4.3949044585987265"/>
  </r>
  <r>
    <x v="3"/>
    <x v="0"/>
    <n v="0.36"/>
    <n v="0.35"/>
    <n v="4.5"/>
    <n v="16.464968152866241"/>
  </r>
  <r>
    <x v="3"/>
    <x v="0"/>
    <n v="0.36"/>
    <n v="0.35"/>
    <n v="4"/>
    <n v="4.4585987261146496"/>
  </r>
  <r>
    <x v="3"/>
    <x v="0"/>
    <n v="0.36"/>
    <n v="0.35"/>
    <n v="3.2"/>
    <n v="5.4140127388535033"/>
  </r>
  <r>
    <x v="3"/>
    <x v="20"/>
    <n v="0.86599999999999999"/>
    <n v="0.73582777799999999"/>
    <n v="9"/>
    <n v="17.038216560509554"/>
  </r>
  <r>
    <x v="3"/>
    <x v="21"/>
    <n v="0.39790071399999999"/>
    <n v="0.50565277799999997"/>
    <n v="7"/>
    <n v="11.305732484076433"/>
  </r>
  <r>
    <x v="3"/>
    <x v="5"/>
    <n v="0.45255480399999998"/>
    <n v="0.57808694400000005"/>
    <n v="8"/>
    <n v="36.783439490445858"/>
  </r>
  <r>
    <x v="3"/>
    <x v="5"/>
    <n v="0.45255480399999998"/>
    <n v="0.57808694400000005"/>
    <n v="6.1"/>
    <n v="48.152866242038208"/>
  </r>
  <r>
    <x v="3"/>
    <x v="22"/>
    <n v="1082380952"/>
    <n v="0.61247410899999999"/>
    <n v="8"/>
    <n v="15.764331210191083"/>
  </r>
  <r>
    <x v="3"/>
    <x v="15"/>
    <n v="0.372"/>
    <n v="0.73247777800000002"/>
    <n v="6"/>
    <n v="9.3949044585987256"/>
  </r>
  <r>
    <x v="3"/>
    <x v="15"/>
    <n v="0.372"/>
    <n v="0.73247777800000002"/>
    <n v="5.5"/>
    <n v="10.668789808917197"/>
  </r>
  <r>
    <x v="3"/>
    <x v="6"/>
    <n v="0.374"/>
    <n v="0.47945833300000001"/>
    <n v="5"/>
    <n v="4.1401273885350314"/>
  </r>
  <r>
    <x v="3"/>
    <x v="7"/>
    <n v="0.74387999999999999"/>
    <n v="0.59130000000000005"/>
    <n v="12"/>
    <n v="16.242038216560509"/>
  </r>
  <r>
    <x v="3"/>
    <x v="7"/>
    <n v="0.74387999999999999"/>
    <n v="0.59130000000000005"/>
    <n v="9"/>
    <n v="9.4585987261146496"/>
  </r>
  <r>
    <x v="3"/>
    <x v="7"/>
    <n v="0.74387999999999999"/>
    <n v="0.59130000000000005"/>
    <n v="7"/>
    <n v="10.350318471337578"/>
  </r>
  <r>
    <x v="3"/>
    <x v="23"/>
    <n v="0.590536375"/>
    <n v="0.61247410899999999"/>
    <n v="9"/>
    <n v="27.866242038216559"/>
  </r>
  <r>
    <x v="3"/>
    <x v="23"/>
    <n v="0.590536375"/>
    <n v="0.61247410899999999"/>
    <n v="8.5"/>
    <n v="56.050955414012734"/>
  </r>
  <r>
    <x v="3"/>
    <x v="9"/>
    <n v="0.43836446099999998"/>
    <n v="0.58666666700000003"/>
    <n v="6.5"/>
    <n v="29.29936305732484"/>
  </r>
  <r>
    <x v="3"/>
    <x v="11"/>
    <n v="0.41240947999999999"/>
    <n v="0.52705000000000002"/>
    <n v="8"/>
    <n v="10.987261146496815"/>
  </r>
  <r>
    <x v="3"/>
    <x v="11"/>
    <n v="0.41240947999999999"/>
    <n v="0.52705000000000002"/>
    <n v="6"/>
    <n v="8.9171974522292992"/>
  </r>
  <r>
    <x v="4"/>
    <x v="12"/>
    <n v="0.80908761900000004"/>
    <n v="0.87473809499999999"/>
    <n v="10.199999999999999"/>
    <n v="20.063694267515924"/>
  </r>
  <r>
    <x v="4"/>
    <x v="12"/>
    <n v="0.80908761900000004"/>
    <n v="0.87473809499999999"/>
    <n v="8.6"/>
    <n v="29.490445859872608"/>
  </r>
  <r>
    <x v="4"/>
    <x v="12"/>
    <n v="0.80908761900000004"/>
    <n v="0.87473809499999999"/>
    <n v="8.1"/>
    <n v="23.789808917197451"/>
  </r>
  <r>
    <x v="4"/>
    <x v="0"/>
    <n v="0.36"/>
    <n v="0.35"/>
    <n v="5"/>
    <n v="19.044585987261144"/>
  </r>
  <r>
    <x v="4"/>
    <x v="1"/>
    <n v="0.766138345"/>
    <n v="0.90500000000000003"/>
    <n v="6.5"/>
    <n v="8.598726114649681"/>
  </r>
  <r>
    <x v="4"/>
    <x v="21"/>
    <n v="0.39790071399999999"/>
    <n v="0.50565277799999997"/>
    <n v="8"/>
    <n v="11.942675159235668"/>
  </r>
  <r>
    <x v="4"/>
    <x v="21"/>
    <n v="0.39790071399999999"/>
    <n v="0.50565277799999997"/>
    <n v="5.5"/>
    <n v="7.6433121019108281"/>
  </r>
  <r>
    <x v="4"/>
    <x v="3"/>
    <n v="0.89361000000000002"/>
    <n v="0.61247410899999999"/>
    <n v="6"/>
    <n v="7.6433121019108281"/>
  </r>
  <r>
    <x v="4"/>
    <x v="3"/>
    <n v="0.89361000000000002"/>
    <n v="0.61247410899999999"/>
    <n v="2.7"/>
    <n v="3.6624203821656049"/>
  </r>
  <r>
    <x v="4"/>
    <x v="4"/>
    <n v="0.708787469"/>
    <n v="0.80167708299999996"/>
    <n v="8"/>
    <n v="8.598726114649681"/>
  </r>
  <r>
    <x v="4"/>
    <x v="24"/>
    <n v="0.56193137999999998"/>
    <n v="0.57808694400000005"/>
    <n v="5.5"/>
    <n v="14.490445859872612"/>
  </r>
  <r>
    <x v="4"/>
    <x v="15"/>
    <n v="0.372"/>
    <n v="0.73247777800000002"/>
    <n v="5.5"/>
    <n v="12.993630573248407"/>
  </r>
  <r>
    <x v="4"/>
    <x v="7"/>
    <n v="0.74387999999999999"/>
    <n v="0.59130000000000005"/>
    <n v="6.5"/>
    <n v="5.7324840764331206"/>
  </r>
  <r>
    <x v="4"/>
    <x v="23"/>
    <n v="0.590536375"/>
    <n v="0.61247410899999999"/>
    <n v="9"/>
    <n v="23.248407643312103"/>
  </r>
  <r>
    <x v="4"/>
    <x v="25"/>
    <n v="1187461538"/>
    <n v="0.95"/>
    <n v="2.5"/>
    <n v="3.9808917197452227"/>
  </r>
  <r>
    <x v="4"/>
    <x v="14"/>
    <n v="0.48464433800000001"/>
    <n v="0.62688577999999995"/>
    <n v="6"/>
    <n v="3.9808917197452227"/>
  </r>
  <r>
    <x v="4"/>
    <x v="8"/>
    <n v="0.66608171000000005"/>
    <n v="0.68661666700000001"/>
    <n v="6"/>
    <n v="11.464968152866241"/>
  </r>
  <r>
    <x v="4"/>
    <x v="10"/>
    <n v="0.76500000000000001"/>
    <n v="0.61247410899999999"/>
    <n v="10"/>
    <n v="33.757961783439491"/>
  </r>
  <r>
    <x v="5"/>
    <x v="26"/>
    <n v="0.54247040000000002"/>
    <n v="0.54247042099999998"/>
    <n v="4"/>
    <n v="2.5477707006369426"/>
  </r>
  <r>
    <x v="5"/>
    <x v="27"/>
    <n v="0.81991655299999999"/>
    <n v="0.72276027399999998"/>
    <n v="4"/>
    <n v="4.4585987261146496"/>
  </r>
  <r>
    <x v="5"/>
    <x v="3"/>
    <n v="0.89361000000000002"/>
    <n v="0.61247410899999999"/>
    <n v="6.5"/>
    <n v="8.7579617834394909"/>
  </r>
  <r>
    <x v="5"/>
    <x v="3"/>
    <n v="0.89361000000000002"/>
    <n v="0.61247410899999999"/>
    <n v="5"/>
    <n v="3.121019108280255"/>
  </r>
  <r>
    <x v="5"/>
    <x v="3"/>
    <n v="0.89361000000000002"/>
    <n v="0.61247410899999999"/>
    <n v="4.5"/>
    <n v="3.1847133757961781"/>
  </r>
  <r>
    <x v="5"/>
    <x v="5"/>
    <n v="0.45255480399999998"/>
    <n v="0.57808694400000005"/>
    <n v="8"/>
    <n v="43.630573248407643"/>
  </r>
  <r>
    <x v="5"/>
    <x v="5"/>
    <n v="0.45255480399999998"/>
    <n v="0.57808694400000005"/>
    <n v="8"/>
    <n v="28.980891719745223"/>
  </r>
  <r>
    <x v="5"/>
    <x v="7"/>
    <n v="0.74387999999999999"/>
    <n v="0.59130000000000005"/>
    <n v="5"/>
    <n v="8.7579617834394909"/>
  </r>
  <r>
    <x v="5"/>
    <x v="7"/>
    <n v="0.74387999999999999"/>
    <n v="0.59130000000000005"/>
    <n v="3.5"/>
    <n v="6.2101910828025479"/>
  </r>
  <r>
    <x v="5"/>
    <x v="28"/>
    <n v="1.1200000000000001"/>
    <n v="0.85527777800000004"/>
    <n v="5"/>
    <n v="9.3949044585987256"/>
  </r>
  <r>
    <x v="5"/>
    <x v="18"/>
    <n v="0.69835862100000001"/>
    <n v="0.69262500000000005"/>
    <n v="4.5"/>
    <n v="3.0254777070063694"/>
  </r>
  <r>
    <x v="5"/>
    <x v="8"/>
    <n v="0.66608171000000005"/>
    <n v="0.68661666700000001"/>
    <n v="7"/>
    <n v="11.783439490445859"/>
  </r>
  <r>
    <x v="5"/>
    <x v="8"/>
    <n v="0.66608171000000005"/>
    <n v="0.68661666700000001"/>
    <n v="6"/>
    <n v="9.2356687898089174"/>
  </r>
  <r>
    <x v="5"/>
    <x v="9"/>
    <n v="0.43836446099999998"/>
    <n v="0.58666666700000003"/>
    <n v="8"/>
    <n v="43.248407643312106"/>
  </r>
  <r>
    <x v="5"/>
    <x v="9"/>
    <n v="0.43836446099999998"/>
    <n v="0.58666666700000003"/>
    <n v="8"/>
    <n v="43.949044585987259"/>
  </r>
  <r>
    <x v="5"/>
    <x v="9"/>
    <n v="0.43836446099999998"/>
    <n v="0.58666666700000003"/>
    <n v="8"/>
    <n v="32.675159235668787"/>
  </r>
  <r>
    <x v="5"/>
    <x v="9"/>
    <n v="0.43836446099999998"/>
    <n v="0.58666666700000003"/>
    <n v="6.5"/>
    <n v="14.968152866242038"/>
  </r>
  <r>
    <x v="5"/>
    <x v="29"/>
    <n v="0.40238543599999999"/>
    <n v="0.40883333300000002"/>
    <n v="12"/>
    <n v="16.242038216560509"/>
  </r>
  <r>
    <x v="5"/>
    <x v="10"/>
    <n v="0.76500000000000001"/>
    <n v="0.61247410899999999"/>
    <n v="9"/>
    <n v="18.312101910828027"/>
  </r>
  <r>
    <x v="5"/>
    <x v="11"/>
    <n v="0.41240947999999999"/>
    <n v="0.52705000000000002"/>
    <n v="7"/>
    <n v="10.031847133757962"/>
  </r>
  <r>
    <x v="5"/>
    <x v="11"/>
    <n v="0.41240947999999999"/>
    <n v="0.52705000000000002"/>
    <n v="6.5"/>
    <n v="8.1210191082802545"/>
  </r>
  <r>
    <x v="5"/>
    <x v="11"/>
    <n v="0.41240947999999999"/>
    <n v="0.52705000000000002"/>
    <n v="6"/>
    <n v="7.9617834394904454"/>
  </r>
  <r>
    <x v="5"/>
    <x v="11"/>
    <n v="0.41240947999999999"/>
    <n v="0.52705000000000002"/>
    <n v="4.5"/>
    <n v="4.2993630573248405"/>
  </r>
  <r>
    <x v="6"/>
    <x v="1"/>
    <n v="0.766138345"/>
    <n v="0.90500000000000003"/>
    <n v="5"/>
    <n v="3.5031847133757958"/>
  </r>
  <r>
    <x v="6"/>
    <x v="1"/>
    <n v="0.766138345"/>
    <n v="0.90500000000000003"/>
    <n v="4"/>
    <n v="5.3184713375796173"/>
  </r>
  <r>
    <x v="6"/>
    <x v="26"/>
    <n v="0.54247040000000002"/>
    <n v="0.54247042099999998"/>
    <n v="3"/>
    <n v="4.7770700636942669"/>
  </r>
  <r>
    <x v="6"/>
    <x v="26"/>
    <n v="0.54247040000000002"/>
    <n v="0.54247042099999998"/>
    <n v="2.2999999999999998"/>
    <n v="3.9808917197452227"/>
  </r>
  <r>
    <x v="6"/>
    <x v="3"/>
    <n v="0.89361000000000002"/>
    <n v="0.61247410899999999"/>
    <n v="6"/>
    <n v="2.7070063694267517"/>
  </r>
  <r>
    <x v="6"/>
    <x v="4"/>
    <n v="0.708787469"/>
    <n v="0.80167708299999996"/>
    <n v="5"/>
    <n v="3.5031847133757958"/>
  </r>
  <r>
    <x v="6"/>
    <x v="4"/>
    <n v="0.708787469"/>
    <n v="0.80167708299999996"/>
    <n v="4"/>
    <n v="3.5031847133757958"/>
  </r>
  <r>
    <x v="6"/>
    <x v="5"/>
    <n v="0.45255480399999998"/>
    <n v="0.57808694400000005"/>
    <n v="9"/>
    <n v="57.00636942675159"/>
  </r>
  <r>
    <x v="6"/>
    <x v="5"/>
    <n v="0.45255480399999998"/>
    <n v="0.57808694400000005"/>
    <n v="9"/>
    <n v="25.796178343949045"/>
  </r>
  <r>
    <x v="6"/>
    <x v="5"/>
    <n v="0.45255480399999998"/>
    <n v="0.57808694400000005"/>
    <n v="8.5"/>
    <n v="19.585987261146496"/>
  </r>
  <r>
    <x v="6"/>
    <x v="5"/>
    <n v="0.45255480399999998"/>
    <n v="0.57808694400000005"/>
    <n v="8"/>
    <n v="48.726114649681527"/>
  </r>
  <r>
    <x v="6"/>
    <x v="5"/>
    <n v="0.45255480399999998"/>
    <n v="0.57808694400000005"/>
    <n v="7"/>
    <n v="28.821656050955411"/>
  </r>
  <r>
    <x v="6"/>
    <x v="5"/>
    <n v="0.45255480399999998"/>
    <n v="0.57808694400000005"/>
    <n v="6"/>
    <n v="4.6178343949044587"/>
  </r>
  <r>
    <x v="6"/>
    <x v="5"/>
    <n v="0.45255480399999998"/>
    <n v="0.57808694400000005"/>
    <n v="6"/>
    <n v="33.375796178343947"/>
  </r>
  <r>
    <x v="6"/>
    <x v="5"/>
    <n v="0.45255480399999998"/>
    <n v="0.57808694400000005"/>
    <n v="5"/>
    <n v="15.923566878980891"/>
  </r>
  <r>
    <x v="6"/>
    <x v="15"/>
    <n v="0.372"/>
    <n v="0.73247777800000002"/>
    <n v="5"/>
    <n v="6.8471337579617835"/>
  </r>
  <r>
    <x v="6"/>
    <x v="15"/>
    <n v="0.372"/>
    <n v="0.73247777800000002"/>
    <n v="5"/>
    <n v="12.420382165605096"/>
  </r>
  <r>
    <x v="6"/>
    <x v="7"/>
    <n v="0.74387999999999999"/>
    <n v="0.59130000000000005"/>
    <n v="10"/>
    <n v="7.3248407643312099"/>
  </r>
  <r>
    <x v="6"/>
    <x v="7"/>
    <n v="0.74387999999999999"/>
    <n v="0.59130000000000005"/>
    <n v="8.5"/>
    <n v="5.4140127388535033"/>
  </r>
  <r>
    <x v="6"/>
    <x v="7"/>
    <n v="0.74387999999999999"/>
    <n v="0.59130000000000005"/>
    <n v="7"/>
    <n v="3.5668789808917194"/>
  </r>
  <r>
    <x v="6"/>
    <x v="7"/>
    <n v="0.74387999999999999"/>
    <n v="0.59130000000000005"/>
    <n v="5"/>
    <n v="3.6624203821656049"/>
  </r>
  <r>
    <x v="6"/>
    <x v="13"/>
    <n v="0.50857142899999996"/>
    <n v="0.49666666700000001"/>
    <n v="10"/>
    <n v="10.668789808917197"/>
  </r>
  <r>
    <x v="6"/>
    <x v="13"/>
    <n v="0.50857142899999996"/>
    <n v="0.49666666700000001"/>
    <n v="9"/>
    <n v="13.375796178343949"/>
  </r>
  <r>
    <x v="6"/>
    <x v="9"/>
    <n v="0.43836446099999998"/>
    <n v="0.58666666700000003"/>
    <n v="7"/>
    <n v="12.579617834394904"/>
  </r>
  <r>
    <x v="6"/>
    <x v="9"/>
    <n v="0.43836446099999998"/>
    <n v="0.58666666700000003"/>
    <n v="6"/>
    <n v="14.808917197452228"/>
  </r>
  <r>
    <x v="6"/>
    <x v="9"/>
    <n v="0.43836446099999998"/>
    <n v="0.58666666700000003"/>
    <n v="6"/>
    <n v="12.929936305732484"/>
  </r>
  <r>
    <x v="6"/>
    <x v="9"/>
    <n v="0.43836446099999998"/>
    <n v="0.58666666700000003"/>
    <n v="5.5"/>
    <n v="3.121019108280255"/>
  </r>
  <r>
    <x v="6"/>
    <x v="9"/>
    <n v="0.43836446099999998"/>
    <n v="0.58666666700000003"/>
    <n v="4.5"/>
    <n v="8.2802547770700627"/>
  </r>
  <r>
    <x v="6"/>
    <x v="29"/>
    <n v="0.40238543599999999"/>
    <n v="0.40883333300000002"/>
    <n v="8"/>
    <n v="13.694267515923567"/>
  </r>
  <r>
    <x v="6"/>
    <x v="10"/>
    <n v="0.76500000000000001"/>
    <n v="0.61247410899999999"/>
    <n v="8"/>
    <n v="18.630573248407643"/>
  </r>
  <r>
    <x v="6"/>
    <x v="30"/>
    <n v="0.57917600000000002"/>
    <n v="0.60285714300000004"/>
    <n v="6"/>
    <n v="10.350318471337578"/>
  </r>
  <r>
    <x v="6"/>
    <x v="11"/>
    <n v="0.41240947999999999"/>
    <n v="0.52705000000000002"/>
    <n v="7"/>
    <n v="8.4394904458598727"/>
  </r>
  <r>
    <x v="6"/>
    <x v="11"/>
    <n v="0.41240947999999999"/>
    <n v="0.52705000000000002"/>
    <n v="6"/>
    <n v="4.6815286624203818"/>
  </r>
  <r>
    <x v="6"/>
    <x v="11"/>
    <n v="0.41240947999999999"/>
    <n v="0.52705000000000002"/>
    <n v="6"/>
    <n v="3.7898089171974521"/>
  </r>
  <r>
    <x v="6"/>
    <x v="11"/>
    <n v="0.41240947999999999"/>
    <n v="0.52705000000000002"/>
    <n v="5"/>
    <n v="4.936305732484076"/>
  </r>
  <r>
    <x v="7"/>
    <x v="31"/>
    <n v="0.40257753800000001"/>
    <n v="0.40843333300000001"/>
    <n v="7"/>
    <n v="14.490445859872612"/>
  </r>
  <r>
    <x v="7"/>
    <x v="31"/>
    <n v="0.40257753800000001"/>
    <n v="0.40843333300000001"/>
    <n v="7"/>
    <n v="8.7898089171974529"/>
  </r>
  <r>
    <x v="7"/>
    <x v="12"/>
    <n v="0.80908761900000004"/>
    <n v="0.87473809499999999"/>
    <n v="8"/>
    <n v="22.643312101910826"/>
  </r>
  <r>
    <x v="7"/>
    <x v="32"/>
    <n v="0.78445916699999996"/>
    <n v="0.87841666699999998"/>
    <n v="3.5"/>
    <n v="3.7579617834394905"/>
  </r>
  <r>
    <x v="7"/>
    <x v="33"/>
    <n v="0.63206279899999995"/>
    <n v="0.75690909100000003"/>
    <n v="3"/>
    <n v="3.7261146496815285"/>
  </r>
  <r>
    <x v="7"/>
    <x v="34"/>
    <n v="0.53"/>
    <n v="0.54764999999999997"/>
    <n v="5"/>
    <n v="24.331210191082803"/>
  </r>
  <r>
    <x v="7"/>
    <x v="35"/>
    <n v="0.52500000000000002"/>
    <n v="0.52500000000000002"/>
    <n v="5"/>
    <n v="14.108280254777069"/>
  </r>
  <r>
    <x v="7"/>
    <x v="35"/>
    <n v="0.52500000000000002"/>
    <n v="0.52500000000000002"/>
    <n v="5"/>
    <n v="42.834394904458598"/>
  </r>
  <r>
    <x v="7"/>
    <x v="36"/>
    <n v="0.39984676499999999"/>
    <n v="0.450333333"/>
    <n v="7"/>
    <n v="17.070063694267517"/>
  </r>
  <r>
    <x v="7"/>
    <x v="37"/>
    <n v="0.61"/>
    <n v="0.84088888900000003"/>
    <n v="6.5"/>
    <n v="61.178343949044589"/>
  </r>
  <r>
    <x v="7"/>
    <x v="7"/>
    <n v="0.74387999999999999"/>
    <n v="0.59130000000000005"/>
    <n v="8"/>
    <n v="9.936305732484076"/>
  </r>
  <r>
    <x v="7"/>
    <x v="38"/>
    <n v="0.371297506"/>
    <n v="0.35258402799999999"/>
    <n v="7"/>
    <n v="9.3312101910828016"/>
  </r>
  <r>
    <x v="7"/>
    <x v="38"/>
    <n v="0.371297506"/>
    <n v="0.35258402799999999"/>
    <n v="7"/>
    <n v="23.503184713375795"/>
  </r>
  <r>
    <x v="8"/>
    <x v="12"/>
    <n v="0.80908761900000004"/>
    <n v="0.87473809499999999"/>
    <n v="4.5"/>
    <n v="10.350318471337578"/>
  </r>
  <r>
    <x v="8"/>
    <x v="39"/>
    <n v="0.41"/>
    <n v="0.33983503399999998"/>
    <n v="5.5"/>
    <n v="16.97452229299363"/>
  </r>
  <r>
    <x v="8"/>
    <x v="40"/>
    <n v="0.9"/>
    <n v="0.61247410899999999"/>
    <n v="4"/>
    <n v="5.5732484076433115"/>
  </r>
  <r>
    <x v="8"/>
    <x v="40"/>
    <n v="0.9"/>
    <n v="0.61247410899999999"/>
    <n v="4"/>
    <n v="10.127388535031846"/>
  </r>
  <r>
    <x v="8"/>
    <x v="24"/>
    <n v="0.56193137999999998"/>
    <n v="0.57808694400000005"/>
    <n v="5"/>
    <n v="20.159235668789808"/>
  </r>
  <r>
    <x v="8"/>
    <x v="36"/>
    <n v="0.39984676499999999"/>
    <n v="0.450333333"/>
    <n v="7"/>
    <n v="13.439490445859873"/>
  </r>
  <r>
    <x v="8"/>
    <x v="22"/>
    <n v="1082380952"/>
    <n v="0.61247410899999999"/>
    <n v="6.5"/>
    <n v="23.885350318471335"/>
  </r>
  <r>
    <x v="8"/>
    <x v="37"/>
    <n v="0.61"/>
    <n v="0.84088888900000003"/>
    <n v="6"/>
    <n v="56.464968152866234"/>
  </r>
  <r>
    <x v="8"/>
    <x v="9"/>
    <n v="0.43836446099999998"/>
    <n v="0.58666666700000003"/>
    <n v="4"/>
    <n v="58.630573248407636"/>
  </r>
  <r>
    <x v="8"/>
    <x v="9"/>
    <n v="0.43836446099999998"/>
    <n v="0.58666666700000003"/>
    <n v="3.5"/>
    <n v="14.968152866242038"/>
  </r>
  <r>
    <x v="8"/>
    <x v="9"/>
    <n v="0.43836446099999998"/>
    <n v="0.58666666700000003"/>
    <n v="5"/>
    <n v="18.439490445859871"/>
  </r>
  <r>
    <x v="8"/>
    <x v="9"/>
    <n v="0.43836446099999998"/>
    <n v="0.58666666700000003"/>
    <n v="5.5"/>
    <n v="51.464968152866248"/>
  </r>
  <r>
    <x v="8"/>
    <x v="38"/>
    <n v="0.371297506"/>
    <n v="0.35258402799999999"/>
    <n v="5"/>
    <n v="24.490445859872612"/>
  </r>
  <r>
    <x v="8"/>
    <x v="41"/>
    <n v="0.693333333"/>
    <n v="0.64166666699999997"/>
    <n v="6"/>
    <n v="10.286624203821654"/>
  </r>
  <r>
    <x v="8"/>
    <x v="41"/>
    <n v="0.693333333"/>
    <n v="0.64166666699999997"/>
    <n v="4.5"/>
    <n v="9.6496815286624198"/>
  </r>
  <r>
    <x v="9"/>
    <x v="12"/>
    <n v="0.80908761900000004"/>
    <n v="0.87473809499999999"/>
    <n v="4.5"/>
    <n v="8.7579617834394909"/>
  </r>
  <r>
    <x v="9"/>
    <x v="32"/>
    <n v="0.78445916699999996"/>
    <n v="0.87841666699999998"/>
    <n v="4"/>
    <n v="7.2929936305732479"/>
  </r>
  <r>
    <x v="9"/>
    <x v="42"/>
    <n v="0.66"/>
    <n v="0.75533333300000005"/>
    <n v="7"/>
    <n v="7.7388535031847123"/>
  </r>
  <r>
    <x v="9"/>
    <x v="26"/>
    <n v="0.54247040000000002"/>
    <n v="0.54247042099999998"/>
    <n v="3.5"/>
    <n v="16.019108280254777"/>
  </r>
  <r>
    <x v="9"/>
    <x v="35"/>
    <n v="0.52500000000000002"/>
    <n v="0.52500000000000002"/>
    <n v="5"/>
    <n v="7.2929936305732479"/>
  </r>
  <r>
    <x v="9"/>
    <x v="24"/>
    <n v="0.56193137999999998"/>
    <n v="0.57808694400000005"/>
    <n v="7"/>
    <n v="28.057324840764334"/>
  </r>
  <r>
    <x v="9"/>
    <x v="24"/>
    <n v="0.56193137999999998"/>
    <n v="0.57808694400000005"/>
    <n v="7"/>
    <n v="35.828025477707008"/>
  </r>
  <r>
    <x v="9"/>
    <x v="36"/>
    <n v="0.39984676499999999"/>
    <n v="0.450333333"/>
    <n v="8"/>
    <n v="20.636942675159233"/>
  </r>
  <r>
    <x v="9"/>
    <x v="36"/>
    <n v="0.39984676499999999"/>
    <n v="0.450333333"/>
    <n v="9"/>
    <n v="42.866242038216569"/>
  </r>
  <r>
    <x v="9"/>
    <x v="22"/>
    <n v="1082380952"/>
    <n v="0.61247410899999999"/>
    <n v="5.5"/>
    <n v="12.961783439490446"/>
  </r>
  <r>
    <x v="9"/>
    <x v="37"/>
    <n v="0.61"/>
    <n v="0.84088888900000003"/>
    <n v="6.5"/>
    <n v="51.27388535031848"/>
  </r>
  <r>
    <x v="9"/>
    <x v="37"/>
    <n v="0.61"/>
    <n v="0.84088888900000003"/>
    <n v="8"/>
    <n v="49.777070063694261"/>
  </r>
  <r>
    <x v="9"/>
    <x v="9"/>
    <n v="0.43836446099999998"/>
    <n v="0.58666666700000003"/>
    <n v="5"/>
    <n v="39.71337579617834"/>
  </r>
  <r>
    <x v="9"/>
    <x v="9"/>
    <n v="0.43836446099999998"/>
    <n v="0.58666666700000003"/>
    <n v="6.5"/>
    <n v="22.611464968152866"/>
  </r>
  <r>
    <x v="9"/>
    <x v="38"/>
    <n v="0.371297506"/>
    <n v="0.35258402799999999"/>
    <n v="6"/>
    <n v="15.318471337579615"/>
  </r>
  <r>
    <x v="9"/>
    <x v="41"/>
    <n v="0.693333333"/>
    <n v="0.64166666699999997"/>
    <n v="5"/>
    <n v="9.4585987261146496"/>
  </r>
  <r>
    <x v="10"/>
    <x v="39"/>
    <n v="0.41"/>
    <n v="0.33983503399999998"/>
    <n v="6"/>
    <n v="12.707006369426752"/>
  </r>
  <r>
    <x v="10"/>
    <x v="26"/>
    <n v="0.54247040000000002"/>
    <n v="0.54247042099999998"/>
    <n v="2.8"/>
    <n v="10.127388535031846"/>
  </r>
  <r>
    <x v="10"/>
    <x v="33"/>
    <n v="0.63206279899999995"/>
    <n v="0.75690909100000003"/>
    <n v="3"/>
    <n v="2.4203821656050954"/>
  </r>
  <r>
    <x v="10"/>
    <x v="40"/>
    <n v="0.9"/>
    <n v="0.61247410899999999"/>
    <n v="5"/>
    <n v="8.9808917197452232"/>
  </r>
  <r>
    <x v="10"/>
    <x v="35"/>
    <n v="0.52500000000000002"/>
    <n v="0.52500000000000002"/>
    <n v="8"/>
    <n v="4.5222929936305727"/>
  </r>
  <r>
    <x v="10"/>
    <x v="35"/>
    <n v="0.52500000000000002"/>
    <n v="0.52500000000000002"/>
    <n v="6"/>
    <n v="14.490445859872612"/>
  </r>
  <r>
    <x v="10"/>
    <x v="43"/>
    <n v="0.62643652800000005"/>
    <n v="0.57808694400000005"/>
    <n v="5.5"/>
    <n v="34.681528662420384"/>
  </r>
  <r>
    <x v="10"/>
    <x v="24"/>
    <n v="0.56193137999999998"/>
    <n v="0.57808694400000005"/>
    <n v="6.5"/>
    <n v="37.101910828025474"/>
  </r>
  <r>
    <x v="10"/>
    <x v="24"/>
    <n v="0.56193137999999998"/>
    <n v="0.57808694400000005"/>
    <n v="4"/>
    <n v="11.242038216560509"/>
  </r>
  <r>
    <x v="10"/>
    <x v="36"/>
    <n v="0.39984676499999999"/>
    <n v="0.450333333"/>
    <n v="10"/>
    <n v="30.191082802547768"/>
  </r>
  <r>
    <x v="10"/>
    <x v="36"/>
    <n v="0.39984676499999999"/>
    <n v="0.450333333"/>
    <n v="9"/>
    <n v="15.19108280254777"/>
  </r>
  <r>
    <x v="10"/>
    <x v="36"/>
    <n v="0.39984676499999999"/>
    <n v="0.450333333"/>
    <n v="10"/>
    <n v="48.089171974522294"/>
  </r>
  <r>
    <x v="10"/>
    <x v="22"/>
    <n v="1082380952"/>
    <n v="0.61247410899999999"/>
    <n v="4.5"/>
    <n v="11.337579617834395"/>
  </r>
  <r>
    <x v="10"/>
    <x v="22"/>
    <n v="1082380952"/>
    <n v="0.61247410899999999"/>
    <n v="4.5"/>
    <n v="9.936305732484076"/>
  </r>
  <r>
    <x v="10"/>
    <x v="37"/>
    <n v="0.61"/>
    <n v="0.84088888900000003"/>
    <n v="6"/>
    <n v="26.624203821656053"/>
  </r>
  <r>
    <x v="10"/>
    <x v="37"/>
    <n v="0.61"/>
    <n v="0.84088888900000003"/>
    <n v="8"/>
    <n v="67.70700636942675"/>
  </r>
  <r>
    <x v="10"/>
    <x v="37"/>
    <n v="0.61"/>
    <n v="0.84088888900000003"/>
    <n v="4"/>
    <n v="4.3949044585987265"/>
  </r>
  <r>
    <x v="10"/>
    <x v="9"/>
    <n v="0.43836446099999998"/>
    <n v="0.58666666700000003"/>
    <n v="6"/>
    <n v="31.050955414012737"/>
  </r>
  <r>
    <x v="10"/>
    <x v="38"/>
    <n v="0.371297506"/>
    <n v="0.35258402799999999"/>
    <n v="5"/>
    <n v="8.1847133757961785"/>
  </r>
  <r>
    <x v="10"/>
    <x v="38"/>
    <n v="0.371297506"/>
    <n v="0.35258402799999999"/>
    <n v="8"/>
    <n v="36.433121019108277"/>
  </r>
  <r>
    <x v="10"/>
    <x v="38"/>
    <n v="0.371297506"/>
    <n v="0.35258402799999999"/>
    <n v="6.5"/>
    <n v="28.566878980891719"/>
  </r>
  <r>
    <x v="11"/>
    <x v="12"/>
    <n v="0.80908761900000004"/>
    <n v="0.87473809499999999"/>
    <n v="7"/>
    <n v="7.7388535031847132"/>
  </r>
  <r>
    <x v="11"/>
    <x v="44"/>
    <n v="0.77800000000000002"/>
    <n v="0.77386111099999999"/>
    <n v="3.5"/>
    <n v="3.6305732484076434"/>
  </r>
  <r>
    <x v="11"/>
    <x v="39"/>
    <n v="0.41"/>
    <n v="0.33983503399999998"/>
    <n v="6"/>
    <n v="10.477707006369428"/>
  </r>
  <r>
    <x v="11"/>
    <x v="45"/>
    <n v="0.31264018999999998"/>
    <n v="0.356821212"/>
    <n v="5"/>
    <n v="6.4968152866242033"/>
  </r>
  <r>
    <x v="11"/>
    <x v="46"/>
    <n v="0.55560299999999996"/>
    <n v="0.55961111100000005"/>
    <n v="3.5"/>
    <n v="17.802547770700635"/>
  </r>
  <r>
    <x v="11"/>
    <x v="40"/>
    <n v="0.9"/>
    <n v="0.61247410899999999"/>
    <n v="7"/>
    <n v="4.2356687898089174"/>
  </r>
  <r>
    <x v="11"/>
    <x v="40"/>
    <n v="0.9"/>
    <n v="0.61247410899999999"/>
    <n v="6"/>
    <n v="1.7834394904458597"/>
  </r>
  <r>
    <x v="11"/>
    <x v="43"/>
    <n v="0.62643652800000005"/>
    <n v="0.57808694400000005"/>
    <n v="6"/>
    <n v="8.8216560509554132"/>
  </r>
  <r>
    <x v="11"/>
    <x v="36"/>
    <n v="0.39984676499999999"/>
    <n v="0.450333333"/>
    <n v="10"/>
    <n v="7.9617834394904454"/>
  </r>
  <r>
    <x v="11"/>
    <x v="36"/>
    <n v="0.39984676499999999"/>
    <n v="0.450333333"/>
    <n v="10"/>
    <n v="23.471337579617831"/>
  </r>
  <r>
    <x v="11"/>
    <x v="36"/>
    <n v="0.39984676499999999"/>
    <n v="0.450333333"/>
    <n v="9"/>
    <n v="20.541401273885349"/>
  </r>
  <r>
    <x v="11"/>
    <x v="36"/>
    <n v="0.39984676499999999"/>
    <n v="0.450333333"/>
    <n v="9"/>
    <n v="30.796178343949045"/>
  </r>
  <r>
    <x v="11"/>
    <x v="36"/>
    <n v="0.39984676499999999"/>
    <n v="0.450333333"/>
    <n v="8"/>
    <n v="15.063694267515922"/>
  </r>
  <r>
    <x v="11"/>
    <x v="36"/>
    <n v="0.39984676499999999"/>
    <n v="0.450333333"/>
    <n v="11"/>
    <n v="5.4458598726114653"/>
  </r>
  <r>
    <x v="11"/>
    <x v="36"/>
    <n v="0.39984676499999999"/>
    <n v="0.450333333"/>
    <n v="7"/>
    <n v="16.242038216560509"/>
  </r>
  <r>
    <x v="11"/>
    <x v="36"/>
    <n v="0.39984676499999999"/>
    <n v="0.450333333"/>
    <n v="7"/>
    <n v="48.121019108280251"/>
  </r>
  <r>
    <x v="11"/>
    <x v="22"/>
    <n v="1082380952"/>
    <n v="0.61247410899999999"/>
    <n v="5"/>
    <n v="23.853503184713375"/>
  </r>
  <r>
    <x v="11"/>
    <x v="22"/>
    <n v="1082380952"/>
    <n v="0.61247410899999999"/>
    <n v="6"/>
    <n v="17.802547770700635"/>
  </r>
  <r>
    <x v="11"/>
    <x v="37"/>
    <n v="0.61"/>
    <n v="0.84088888900000003"/>
    <n v="8"/>
    <n v="34.681528662420384"/>
  </r>
  <r>
    <x v="11"/>
    <x v="9"/>
    <n v="0.43836446099999998"/>
    <n v="0.58666666700000003"/>
    <n v="7"/>
    <n v="32.484076433121025"/>
  </r>
  <r>
    <x v="11"/>
    <x v="9"/>
    <n v="0.43836446099999998"/>
    <n v="0.58666666700000003"/>
    <n v="6"/>
    <n v="22.101910828025478"/>
  </r>
  <r>
    <x v="12"/>
    <x v="47"/>
    <n v="0.43916666700000001"/>
    <n v="0.51877777800000002"/>
    <n v="6"/>
    <n v="10"/>
  </r>
  <r>
    <x v="12"/>
    <x v="39"/>
    <n v="0.41"/>
    <n v="0.33983503399999998"/>
    <n v="7"/>
    <n v="8.0891719745222925"/>
  </r>
  <r>
    <x v="12"/>
    <x v="33"/>
    <n v="0.63206279899999995"/>
    <n v="0.75690909100000003"/>
    <n v="5"/>
    <n v="6.1783439490445851"/>
  </r>
  <r>
    <x v="12"/>
    <x v="33"/>
    <n v="0.63206279899999995"/>
    <n v="0.75690909100000003"/>
    <n v="5.5"/>
    <n v="19.076433121019104"/>
  </r>
  <r>
    <x v="12"/>
    <x v="33"/>
    <n v="0.63206279899999995"/>
    <n v="0.75690909100000003"/>
    <n v="4.5"/>
    <n v="4.6178343949044587"/>
  </r>
  <r>
    <x v="12"/>
    <x v="40"/>
    <n v="0.9"/>
    <n v="0.61247410899999999"/>
    <n v="3"/>
    <n v="2.6433121019108281"/>
  </r>
  <r>
    <x v="12"/>
    <x v="35"/>
    <n v="0.52500000000000002"/>
    <n v="0.52500000000000002"/>
    <n v="6"/>
    <n v="18.121019108280255"/>
  </r>
  <r>
    <x v="12"/>
    <x v="43"/>
    <n v="0.62643652800000005"/>
    <n v="0.57808694400000005"/>
    <n v="6"/>
    <n v="26.273885350318469"/>
  </r>
  <r>
    <x v="12"/>
    <x v="43"/>
    <n v="0.62643652800000005"/>
    <n v="0.57808694400000005"/>
    <n v="6.5"/>
    <n v="34.522292993630572"/>
  </r>
  <r>
    <x v="12"/>
    <x v="43"/>
    <n v="0.62643652800000005"/>
    <n v="0.57808694400000005"/>
    <n v="7"/>
    <n v="40.636942675159233"/>
  </r>
  <r>
    <x v="12"/>
    <x v="43"/>
    <n v="0.62643652800000005"/>
    <n v="0.57808694400000005"/>
    <n v="6"/>
    <n v="42.834394904458598"/>
  </r>
  <r>
    <x v="12"/>
    <x v="43"/>
    <n v="0.62643652800000005"/>
    <n v="0.57808694400000005"/>
    <n v="6"/>
    <n v="80.636942675159233"/>
  </r>
  <r>
    <x v="12"/>
    <x v="43"/>
    <n v="0.62643652800000005"/>
    <n v="0.57808694400000005"/>
    <n v="5.5"/>
    <n v="53.726114649681534"/>
  </r>
  <r>
    <x v="12"/>
    <x v="43"/>
    <n v="0.62643652800000005"/>
    <n v="0.57808694400000005"/>
    <n v="6.5"/>
    <n v="68.439490445859875"/>
  </r>
  <r>
    <x v="12"/>
    <x v="22"/>
    <n v="1082380952"/>
    <n v="0.61247410899999999"/>
    <n v="6"/>
    <n v="4.6496815286624198"/>
  </r>
  <r>
    <x v="12"/>
    <x v="48"/>
    <n v="0.39"/>
    <n v="0.28861111099999998"/>
    <n v="4.5"/>
    <n v="5.2547770700636942"/>
  </r>
  <r>
    <x v="12"/>
    <x v="9"/>
    <n v="0.43836446099999998"/>
    <n v="0.58666666700000003"/>
    <n v="6"/>
    <n v="19.777070063694268"/>
  </r>
  <r>
    <x v="12"/>
    <x v="9"/>
    <n v="0.43836446099999998"/>
    <n v="0.58666666700000003"/>
    <n v="5.5"/>
    <n v="24.076433121019104"/>
  </r>
  <r>
    <x v="12"/>
    <x v="29"/>
    <n v="0.40238543599999999"/>
    <n v="0.40883333300000002"/>
    <n v="12"/>
    <n v="17.00636942675159"/>
  </r>
  <r>
    <x v="12"/>
    <x v="29"/>
    <n v="0.40238543599999999"/>
    <n v="0.40883333300000002"/>
    <n v="12"/>
    <n v="22.452229299363058"/>
  </r>
  <r>
    <x v="12"/>
    <x v="41"/>
    <n v="0.693333333"/>
    <n v="0.64166666699999997"/>
    <n v="6"/>
    <n v="10.063694267515924"/>
  </r>
  <r>
    <x v="13"/>
    <x v="49"/>
    <n v="0.86"/>
    <n v="0.65666666699999998"/>
    <n v="7"/>
    <n v="42.70700636942675"/>
  </r>
  <r>
    <x v="13"/>
    <x v="49"/>
    <n v="0.86"/>
    <n v="0.65666666699999998"/>
    <n v="7"/>
    <n v="10.031847133757962"/>
  </r>
  <r>
    <x v="13"/>
    <x v="39"/>
    <n v="0.41"/>
    <n v="0.33983503399999998"/>
    <n v="6"/>
    <n v="11.082802547770699"/>
  </r>
  <r>
    <x v="13"/>
    <x v="33"/>
    <n v="0.63206279899999995"/>
    <n v="0.75690909100000003"/>
    <n v="6"/>
    <n v="9.7133757961783438"/>
  </r>
  <r>
    <x v="13"/>
    <x v="43"/>
    <n v="0.62643652800000005"/>
    <n v="0.57808694400000005"/>
    <n v="7"/>
    <n v="24.777070063694271"/>
  </r>
  <r>
    <x v="13"/>
    <x v="43"/>
    <n v="0.62643652800000005"/>
    <n v="0.57808694400000005"/>
    <n v="7.5"/>
    <n v="37.356687898089163"/>
  </r>
  <r>
    <x v="13"/>
    <x v="43"/>
    <n v="0.62643652800000005"/>
    <n v="0.57808694400000005"/>
    <n v="7"/>
    <n v="38.566878980891715"/>
  </r>
  <r>
    <x v="13"/>
    <x v="36"/>
    <n v="0.39984676499999999"/>
    <n v="0.450333333"/>
    <n v="9"/>
    <n v="26.815286624203821"/>
  </r>
  <r>
    <x v="13"/>
    <x v="22"/>
    <n v="1082380952"/>
    <n v="0.61247410899999999"/>
    <n v="5"/>
    <n v="5.1273885350318471"/>
  </r>
  <r>
    <x v="13"/>
    <x v="37"/>
    <n v="0.61"/>
    <n v="0.84088888900000003"/>
    <n v="6"/>
    <n v="3.8853503184713372"/>
  </r>
  <r>
    <x v="13"/>
    <x v="37"/>
    <n v="0.61"/>
    <n v="0.84088888900000003"/>
    <n v="5"/>
    <n v="12.770700636942674"/>
  </r>
  <r>
    <x v="13"/>
    <x v="37"/>
    <n v="0.61"/>
    <n v="0.84088888900000003"/>
    <n v="8"/>
    <n v="29.617834394904456"/>
  </r>
  <r>
    <x v="13"/>
    <x v="9"/>
    <n v="0.43836446099999998"/>
    <n v="0.58666666700000003"/>
    <n v="5"/>
    <n v="10.668789808917197"/>
  </r>
  <r>
    <x v="13"/>
    <x v="9"/>
    <n v="0.43836446099999998"/>
    <n v="0.58666666700000003"/>
    <n v="6.5"/>
    <n v="16.050955414012737"/>
  </r>
  <r>
    <x v="13"/>
    <x v="29"/>
    <n v="0.40238543599999999"/>
    <n v="0.40883333300000002"/>
    <n v="11"/>
    <n v="28.726114649681527"/>
  </r>
  <r>
    <x v="13"/>
    <x v="30"/>
    <n v="0.57917600000000002"/>
    <n v="0.60285714300000004"/>
    <n v="8"/>
    <n v="58.121019108280251"/>
  </r>
  <r>
    <x v="14"/>
    <x v="12"/>
    <n v="0.80908761900000004"/>
    <n v="0.87473809499999999"/>
    <n v="12"/>
    <n v="25.668789808917193"/>
  </r>
  <r>
    <x v="14"/>
    <x v="12"/>
    <n v="0.80908761900000004"/>
    <n v="0.87473809499999999"/>
    <n v="12"/>
    <n v="26.815286624203821"/>
  </r>
  <r>
    <x v="14"/>
    <x v="45"/>
    <n v="0.31264018999999998"/>
    <n v="0.356821212"/>
    <n v="6"/>
    <n v="13.789808917197451"/>
  </r>
  <r>
    <x v="14"/>
    <x v="45"/>
    <n v="0.31264018999999998"/>
    <n v="0.356821212"/>
    <n v="5"/>
    <n v="7.7388535031847132"/>
  </r>
  <r>
    <x v="14"/>
    <x v="45"/>
    <n v="0.31264018999999998"/>
    <n v="0.356821212"/>
    <n v="4.5"/>
    <n v="7.388535031847133"/>
  </r>
  <r>
    <x v="14"/>
    <x v="35"/>
    <n v="0.52500000000000002"/>
    <n v="0.52500000000000002"/>
    <n v="6"/>
    <n v="6.5286624203821653"/>
  </r>
  <r>
    <x v="14"/>
    <x v="35"/>
    <n v="0.52500000000000002"/>
    <n v="0.52500000000000002"/>
    <n v="8"/>
    <n v="15.796178343949045"/>
  </r>
  <r>
    <x v="14"/>
    <x v="35"/>
    <n v="0.52500000000000002"/>
    <n v="0.52500000000000002"/>
    <n v="10"/>
    <n v="37.802547770700635"/>
  </r>
  <r>
    <x v="14"/>
    <x v="35"/>
    <n v="0.52500000000000002"/>
    <n v="0.52500000000000002"/>
    <n v="6.5"/>
    <n v="8.7261146496815272"/>
  </r>
  <r>
    <x v="14"/>
    <x v="35"/>
    <n v="0.52500000000000002"/>
    <n v="0.52500000000000002"/>
    <n v="5"/>
    <n v="8.7579617834394909"/>
  </r>
  <r>
    <x v="14"/>
    <x v="36"/>
    <n v="0.39984676499999999"/>
    <n v="0.450333333"/>
    <n v="7"/>
    <n v="18.375796178343951"/>
  </r>
  <r>
    <x v="14"/>
    <x v="36"/>
    <n v="0.39984676499999999"/>
    <n v="0.450333333"/>
    <n v="7"/>
    <n v="16.273885350318473"/>
  </r>
  <r>
    <x v="14"/>
    <x v="9"/>
    <n v="0.43836446099999998"/>
    <n v="0.58666666700000003"/>
    <n v="6"/>
    <n v="11.273885350318473"/>
  </r>
  <r>
    <x v="14"/>
    <x v="9"/>
    <n v="0.43836446099999998"/>
    <n v="0.58666666700000003"/>
    <n v="5.5"/>
    <n v="10.668789808917197"/>
  </r>
  <r>
    <x v="15"/>
    <x v="45"/>
    <n v="0.31264018999999998"/>
    <n v="0.356821212"/>
    <n v="3"/>
    <n v="6.8471337579617835"/>
  </r>
  <r>
    <x v="15"/>
    <x v="45"/>
    <n v="0.31264018999999998"/>
    <n v="0.356821212"/>
    <n v="4.5"/>
    <n v="8.4713375796178347"/>
  </r>
  <r>
    <x v="15"/>
    <x v="45"/>
    <n v="0.31264018999999998"/>
    <n v="0.356821212"/>
    <n v="4.5"/>
    <n v="11.273885350318471"/>
  </r>
  <r>
    <x v="15"/>
    <x v="45"/>
    <n v="0.31264018999999998"/>
    <n v="0.356821212"/>
    <n v="6"/>
    <n v="14.108280254777069"/>
  </r>
  <r>
    <x v="15"/>
    <x v="45"/>
    <n v="0.31264018999999998"/>
    <n v="0.356821212"/>
    <n v="3"/>
    <n v="7.388535031847133"/>
  </r>
  <r>
    <x v="15"/>
    <x v="45"/>
    <n v="0.31264018999999998"/>
    <n v="0.356821212"/>
    <n v="5"/>
    <n v="10.286624203821654"/>
  </r>
  <r>
    <x v="15"/>
    <x v="45"/>
    <n v="0.31264018999999998"/>
    <n v="0.356821212"/>
    <n v="5"/>
    <n v="5.8917197452229297"/>
  </r>
  <r>
    <x v="15"/>
    <x v="35"/>
    <n v="0.52500000000000002"/>
    <n v="0.52500000000000002"/>
    <n v="7"/>
    <n v="11.942675159235668"/>
  </r>
  <r>
    <x v="15"/>
    <x v="35"/>
    <n v="0.52500000000000002"/>
    <n v="0.52500000000000002"/>
    <n v="8"/>
    <n v="17.070063694267514"/>
  </r>
  <r>
    <x v="15"/>
    <x v="35"/>
    <n v="0.52500000000000002"/>
    <n v="0.52500000000000002"/>
    <n v="8"/>
    <n v="28.025477707006367"/>
  </r>
  <r>
    <x v="15"/>
    <x v="35"/>
    <n v="0.52500000000000002"/>
    <n v="0.52500000000000002"/>
    <n v="8"/>
    <n v="10.891719745222931"/>
  </r>
  <r>
    <x v="15"/>
    <x v="36"/>
    <n v="0.39984676499999999"/>
    <n v="0.450333333"/>
    <n v="8"/>
    <n v="14.490445859872612"/>
  </r>
  <r>
    <x v="15"/>
    <x v="36"/>
    <n v="0.39984676499999999"/>
    <n v="0.450333333"/>
    <n v="11"/>
    <n v="15.987261146496815"/>
  </r>
  <r>
    <x v="15"/>
    <x v="50"/>
    <n v="0.43538739399999998"/>
    <n v="0.568333333"/>
    <n v="6.5"/>
    <n v="10.095541401273884"/>
  </r>
  <r>
    <x v="15"/>
    <x v="17"/>
    <n v="0.65716857299999998"/>
    <n v="0.85527777800000004"/>
    <n v="6"/>
    <n v="6.2101910828025479"/>
  </r>
  <r>
    <x v="15"/>
    <x v="17"/>
    <n v="0.65716857299999998"/>
    <n v="0.85527777800000004"/>
    <n v="6"/>
    <n v="5.7961783439490437"/>
  </r>
  <r>
    <x v="15"/>
    <x v="17"/>
    <n v="0.65716857299999998"/>
    <n v="0.85527777800000004"/>
    <n v="8"/>
    <n v="12.611464968152864"/>
  </r>
  <r>
    <x v="15"/>
    <x v="9"/>
    <n v="0.43836446099999998"/>
    <n v="0.58666666700000003"/>
    <n v="6.5"/>
    <n v="18.598726114649679"/>
  </r>
  <r>
    <x v="15"/>
    <x v="9"/>
    <n v="0.43836446099999998"/>
    <n v="0.58666666700000003"/>
    <n v="7.5"/>
    <n v="29.840764331210195"/>
  </r>
  <r>
    <x v="15"/>
    <x v="29"/>
    <n v="0.40238543599999999"/>
    <n v="0.40883333300000002"/>
    <n v="11"/>
    <n v="20.828025477707008"/>
  </r>
  <r>
    <x v="15"/>
    <x v="29"/>
    <n v="0.40238543599999999"/>
    <n v="0.40883333300000002"/>
    <n v="12"/>
    <n v="21.082802547770701"/>
  </r>
  <r>
    <x v="16"/>
    <x v="12"/>
    <n v="0.80908761900000004"/>
    <n v="0.87473809499999999"/>
    <n v="14"/>
    <n v="30.668789808917197"/>
  </r>
  <r>
    <x v="16"/>
    <x v="12"/>
    <n v="0.80908761900000004"/>
    <n v="0.87473809499999999"/>
    <n v="11"/>
    <n v="75.859872611464965"/>
  </r>
  <r>
    <x v="16"/>
    <x v="45"/>
    <n v="0.31264018999999998"/>
    <n v="0.356821212"/>
    <n v="5"/>
    <n v="9.968152866242038"/>
  </r>
  <r>
    <x v="16"/>
    <x v="35"/>
    <n v="0.52500000000000002"/>
    <n v="0.52500000000000002"/>
    <n v="7"/>
    <n v="16.719745222929937"/>
  </r>
  <r>
    <x v="16"/>
    <x v="35"/>
    <n v="0.52500000000000002"/>
    <n v="0.52500000000000002"/>
    <n v="6.5"/>
    <n v="8.6942675159235669"/>
  </r>
  <r>
    <x v="16"/>
    <x v="35"/>
    <n v="0.52500000000000002"/>
    <n v="0.52500000000000002"/>
    <n v="9"/>
    <n v="46.43312101910827"/>
  </r>
  <r>
    <x v="16"/>
    <x v="36"/>
    <n v="0.39984676499999999"/>
    <n v="0.450333333"/>
    <n v="12"/>
    <n v="41.019108280254777"/>
  </r>
  <r>
    <x v="16"/>
    <x v="36"/>
    <n v="0.39984676499999999"/>
    <n v="0.450333333"/>
    <n v="12"/>
    <n v="23.98089171974522"/>
  </r>
  <r>
    <x v="16"/>
    <x v="36"/>
    <n v="0.39984676499999999"/>
    <n v="0.450333333"/>
    <n v="13"/>
    <n v="41.401273885350314"/>
  </r>
  <r>
    <x v="16"/>
    <x v="36"/>
    <n v="0.39984676499999999"/>
    <n v="0.450333333"/>
    <n v="12"/>
    <n v="38.471337579617831"/>
  </r>
  <r>
    <x v="16"/>
    <x v="36"/>
    <n v="0.39984676499999999"/>
    <n v="0.450333333"/>
    <n v="12"/>
    <n v="18.885350318471335"/>
  </r>
  <r>
    <x v="16"/>
    <x v="36"/>
    <n v="0.39984676499999999"/>
    <n v="0.450333333"/>
    <n v="10"/>
    <n v="19.554140127388536"/>
  </r>
  <r>
    <x v="16"/>
    <x v="51"/>
    <n v="0.54"/>
    <n v="0.61247410899999999"/>
    <n v="6"/>
    <n v="7.1019108280254777"/>
  </r>
  <r>
    <x v="16"/>
    <x v="9"/>
    <n v="0.43836446099999998"/>
    <n v="0.58666666700000003"/>
    <n v="6"/>
    <n v="17.261146496815286"/>
  </r>
  <r>
    <x v="16"/>
    <x v="29"/>
    <n v="0.40238543599999999"/>
    <n v="0.40883333300000002"/>
    <n v="11"/>
    <n v="15.445859872611464"/>
  </r>
  <r>
    <x v="16"/>
    <x v="29"/>
    <n v="0.40238543599999999"/>
    <n v="0.40883333300000002"/>
    <n v="8"/>
    <n v="15.19108280254777"/>
  </r>
  <r>
    <x v="16"/>
    <x v="29"/>
    <n v="0.40238543599999999"/>
    <n v="0.40883333300000002"/>
    <n v="8"/>
    <n v="16.433121019108281"/>
  </r>
  <r>
    <x v="16"/>
    <x v="41"/>
    <n v="0.693333333"/>
    <n v="0.64166666699999997"/>
    <n v="5"/>
    <n v="5.8280254777070066"/>
  </r>
  <r>
    <x v="16"/>
    <x v="41"/>
    <n v="0.693333333"/>
    <n v="0.64166666699999997"/>
    <n v="7"/>
    <n v="17.00636942675159"/>
  </r>
  <r>
    <x v="17"/>
    <x v="45"/>
    <n v="0.31264018999999998"/>
    <n v="0.356821212"/>
    <n v="2.7"/>
    <n v="2.3885350320000001"/>
  </r>
  <r>
    <x v="17"/>
    <x v="2"/>
    <n v="0.47982689899999997"/>
    <n v="0.51"/>
    <n v="6"/>
    <n v="8.6624203820000005"/>
  </r>
  <r>
    <x v="17"/>
    <x v="2"/>
    <n v="0.47982689899999997"/>
    <n v="0.51"/>
    <n v="6"/>
    <n v="7.1019108280000003"/>
  </r>
  <r>
    <x v="17"/>
    <x v="43"/>
    <n v="0.62643652800000005"/>
    <n v="0.57808694400000005"/>
    <n v="6"/>
    <n v="43.184713379999998"/>
  </r>
  <r>
    <x v="17"/>
    <x v="43"/>
    <n v="0.62643652800000005"/>
    <n v="0.57808694400000005"/>
    <n v="7"/>
    <n v="35.414012739999997"/>
  </r>
  <r>
    <x v="17"/>
    <x v="43"/>
    <n v="0.62643652800000005"/>
    <n v="0.57808694400000005"/>
    <n v="6"/>
    <n v="27.866242039999999"/>
  </r>
  <r>
    <x v="17"/>
    <x v="43"/>
    <n v="0.62643652800000005"/>
    <n v="0.57808694400000005"/>
    <n v="6"/>
    <n v="38.270700640000001"/>
  </r>
  <r>
    <x v="17"/>
    <x v="36"/>
    <n v="0.39984676499999999"/>
    <n v="0.450333333"/>
    <n v="11"/>
    <n v="38.72611465"/>
  </r>
  <r>
    <x v="17"/>
    <x v="29"/>
    <n v="0.40238543599999999"/>
    <n v="0.40883333300000002"/>
    <n v="6"/>
    <n v="15.95541401"/>
  </r>
  <r>
    <x v="17"/>
    <x v="29"/>
    <n v="0.40238543599999999"/>
    <n v="0.40883333300000002"/>
    <n v="8"/>
    <n v="14.076433120000001"/>
  </r>
  <r>
    <x v="17"/>
    <x v="29"/>
    <n v="0.40238543599999999"/>
    <n v="0.40883333300000002"/>
    <n v="7"/>
    <n v="12.61146497"/>
  </r>
  <r>
    <x v="17"/>
    <x v="29"/>
    <n v="0.40238543599999999"/>
    <n v="0.40883333300000002"/>
    <n v="7"/>
    <n v="11.33757962"/>
  </r>
  <r>
    <x v="17"/>
    <x v="29"/>
    <n v="0.40238543599999999"/>
    <n v="0.40883333300000002"/>
    <n v="7"/>
    <n v="13.853503180000001"/>
  </r>
  <r>
    <x v="17"/>
    <x v="29"/>
    <n v="0.40238543599999999"/>
    <n v="0.40883333300000002"/>
    <n v="7"/>
    <n v="14.10828025"/>
  </r>
  <r>
    <x v="17"/>
    <x v="29"/>
    <n v="0.40238543599999999"/>
    <n v="0.40883333300000002"/>
    <n v="8"/>
    <n v="12.229299360000001"/>
  </r>
  <r>
    <x v="17"/>
    <x v="29"/>
    <n v="0.40238543599999999"/>
    <n v="0.40883333300000002"/>
    <n v="8"/>
    <n v="13.15286624"/>
  </r>
  <r>
    <x v="17"/>
    <x v="29"/>
    <n v="0.40238543599999999"/>
    <n v="0.40883333300000002"/>
    <n v="8"/>
    <n v="14.076433120000001"/>
  </r>
  <r>
    <x v="17"/>
    <x v="52"/>
    <n v="0.46679999999999999"/>
    <n v="0.81159999999999999"/>
    <n v="8"/>
    <n v="17.006369429999999"/>
  </r>
  <r>
    <x v="17"/>
    <x v="52"/>
    <n v="0.46679999999999999"/>
    <n v="0.81159999999999999"/>
    <n v="5"/>
    <n v="14.58598726"/>
  </r>
  <r>
    <x v="17"/>
    <x v="52"/>
    <n v="0.46679999999999999"/>
    <n v="0.81159999999999999"/>
    <n v="6"/>
    <n v="4.9681528659999996"/>
  </r>
  <r>
    <x v="18"/>
    <x v="2"/>
    <n v="0.47982689899999997"/>
    <n v="0.51"/>
    <n v="8"/>
    <n v="10.350318471337578"/>
  </r>
  <r>
    <x v="18"/>
    <x v="2"/>
    <n v="0.47982689899999997"/>
    <n v="0.51"/>
    <n v="8"/>
    <n v="6.5605095541401273"/>
  </r>
  <r>
    <x v="18"/>
    <x v="2"/>
    <n v="0.47982689899999997"/>
    <n v="0.51"/>
    <n v="9"/>
    <n v="10.414012738853504"/>
  </r>
  <r>
    <x v="18"/>
    <x v="43"/>
    <n v="0.62643652800000005"/>
    <n v="0.57808694400000005"/>
    <n v="5"/>
    <n v="27.802547770700635"/>
  </r>
  <r>
    <x v="18"/>
    <x v="43"/>
    <n v="0.62643652800000005"/>
    <n v="0.57808694400000005"/>
    <n v="7"/>
    <n v="61.942675159235669"/>
  </r>
  <r>
    <x v="18"/>
    <x v="43"/>
    <n v="0.62643652800000005"/>
    <n v="0.57808694400000005"/>
    <n v="7"/>
    <n v="59.203821656050955"/>
  </r>
  <r>
    <x v="18"/>
    <x v="43"/>
    <n v="0.62643652800000005"/>
    <n v="0.57808694400000005"/>
    <n v="7"/>
    <n v="64.363057324840767"/>
  </r>
  <r>
    <x v="18"/>
    <x v="43"/>
    <n v="0.62643652800000005"/>
    <n v="0.57808694400000005"/>
    <n v="7"/>
    <n v="34.617834394904456"/>
  </r>
  <r>
    <x v="18"/>
    <x v="43"/>
    <n v="0.62643652800000005"/>
    <n v="0.57808694400000005"/>
    <n v="7"/>
    <n v="58.535031847133759"/>
  </r>
  <r>
    <x v="19"/>
    <x v="45"/>
    <n v="0.31264018999999998"/>
    <n v="0.356821212"/>
    <n v="5"/>
    <n v="9.7133757961783438"/>
  </r>
  <r>
    <x v="19"/>
    <x v="53"/>
    <n v="0.6"/>
    <n v="0.66674999999999995"/>
    <n v="8"/>
    <n v="10.031847133757962"/>
  </r>
  <r>
    <x v="19"/>
    <x v="2"/>
    <n v="0.47982689899999997"/>
    <n v="0.51"/>
    <n v="5"/>
    <n v="4.0127388535031843"/>
  </r>
  <r>
    <x v="19"/>
    <x v="2"/>
    <n v="0.47982689899999997"/>
    <n v="0.51"/>
    <n v="4"/>
    <n v="2.6751592356687897"/>
  </r>
  <r>
    <x v="19"/>
    <x v="43"/>
    <n v="0.62643652800000005"/>
    <n v="0.57808694400000005"/>
    <n v="6"/>
    <n v="41.910828025477706"/>
  </r>
  <r>
    <x v="19"/>
    <x v="43"/>
    <n v="0.62643652800000005"/>
    <n v="0.57808694400000005"/>
    <n v="6"/>
    <n v="45.859872611464965"/>
  </r>
  <r>
    <x v="19"/>
    <x v="43"/>
    <n v="0.62643652800000005"/>
    <n v="0.57808694400000005"/>
    <n v="6"/>
    <n v="58.152866242038222"/>
  </r>
  <r>
    <x v="19"/>
    <x v="43"/>
    <n v="0.62643652800000005"/>
    <n v="0.57808694400000005"/>
    <n v="7"/>
    <n v="52.133757961783431"/>
  </r>
  <r>
    <x v="19"/>
    <x v="43"/>
    <n v="0.62643652800000005"/>
    <n v="0.57808694400000005"/>
    <n v="7"/>
    <n v="68.184713375796179"/>
  </r>
  <r>
    <x v="19"/>
    <x v="43"/>
    <n v="0.62643652800000005"/>
    <n v="0.57808694400000005"/>
    <n v="6"/>
    <n v="48.089171974522294"/>
  </r>
  <r>
    <x v="19"/>
    <x v="43"/>
    <n v="0.62643652800000005"/>
    <n v="0.57808694400000005"/>
    <n v="6"/>
    <n v="52.738853503184707"/>
  </r>
  <r>
    <x v="19"/>
    <x v="43"/>
    <n v="0.62643652800000005"/>
    <n v="0.57808694400000005"/>
    <n v="6.5"/>
    <n v="38.726114649681527"/>
  </r>
  <r>
    <x v="19"/>
    <x v="43"/>
    <n v="0.62643652800000005"/>
    <n v="0.57808694400000005"/>
    <n v="5"/>
    <n v="45.859872611464965"/>
  </r>
  <r>
    <x v="19"/>
    <x v="36"/>
    <n v="0.39984676499999999"/>
    <n v="0.450333333"/>
    <n v="10"/>
    <n v="15.35031847133758"/>
  </r>
  <r>
    <x v="19"/>
    <x v="36"/>
    <n v="0.39984676499999999"/>
    <n v="0.450333333"/>
    <n v="10"/>
    <n v="50.222929936305725"/>
  </r>
  <r>
    <x v="19"/>
    <x v="36"/>
    <n v="0.39984676499999999"/>
    <n v="0.450333333"/>
    <n v="12"/>
    <n v="24.044585987261147"/>
  </r>
  <r>
    <x v="19"/>
    <x v="50"/>
    <n v="0.43538739399999998"/>
    <n v="0.568333333"/>
    <n v="5"/>
    <n v="14.840764331210188"/>
  </r>
  <r>
    <x v="19"/>
    <x v="9"/>
    <n v="0.43836446099999998"/>
    <n v="0.58666666700000003"/>
    <n v="7"/>
    <n v="10.085987261146498"/>
  </r>
  <r>
    <x v="19"/>
    <x v="9"/>
    <n v="0.43836446099999998"/>
    <n v="0.58666666700000003"/>
    <n v="4"/>
    <n v="5.6050955414012744"/>
  </r>
  <r>
    <x v="19"/>
    <x v="29"/>
    <n v="0.40238543599999999"/>
    <n v="0.40883333300000002"/>
    <n v="9"/>
    <n v="10.031847133757962"/>
  </r>
  <r>
    <x v="19"/>
    <x v="29"/>
    <n v="0.40238543599999999"/>
    <n v="0.40883333300000002"/>
    <n v="8"/>
    <n v="4.9044585987261149"/>
  </r>
  <r>
    <x v="19"/>
    <x v="29"/>
    <n v="0.40238543599999999"/>
    <n v="0.40883333300000002"/>
    <n v="8.5"/>
    <n v="10.859872611464969"/>
  </r>
  <r>
    <x v="19"/>
    <x v="29"/>
    <n v="0.40238543599999999"/>
    <n v="0.40883333300000002"/>
    <n v="8"/>
    <n v="16.305732484076433"/>
  </r>
  <r>
    <x v="19"/>
    <x v="29"/>
    <n v="0.40238543599999999"/>
    <n v="0.40883333300000002"/>
    <n v="8"/>
    <n v="11.146496815286623"/>
  </r>
  <r>
    <x v="20"/>
    <x v="45"/>
    <n v="0.31264018999999998"/>
    <n v="0.356821212"/>
    <n v="6"/>
    <n v="12.898089171974522"/>
  </r>
  <r>
    <x v="20"/>
    <x v="45"/>
    <n v="0.31264018999999998"/>
    <n v="0.356821212"/>
    <n v="4.5"/>
    <n v="5.8917197452229297"/>
  </r>
  <r>
    <x v="20"/>
    <x v="45"/>
    <n v="0.31264018999999998"/>
    <n v="0.356821212"/>
    <n v="6"/>
    <n v="13.821656050955413"/>
  </r>
  <r>
    <x v="20"/>
    <x v="53"/>
    <n v="0.6"/>
    <n v="0.66674999999999995"/>
    <n v="6"/>
    <n v="9.7770700636942678"/>
  </r>
  <r>
    <x v="20"/>
    <x v="53"/>
    <n v="0.6"/>
    <n v="0.66674999999999995"/>
    <n v="5"/>
    <n v="23.662420382165603"/>
  </r>
  <r>
    <x v="20"/>
    <x v="54"/>
    <n v="0.59"/>
    <n v="0.59"/>
    <n v="6"/>
    <n v="12.738853503184712"/>
  </r>
  <r>
    <x v="20"/>
    <x v="2"/>
    <n v="0.47982689899999997"/>
    <n v="0.51"/>
    <n v="6"/>
    <n v="11.337579617834395"/>
  </r>
  <r>
    <x v="20"/>
    <x v="2"/>
    <n v="0.47982689899999997"/>
    <n v="0.51"/>
    <n v="8"/>
    <n v="15.254777070063692"/>
  </r>
  <r>
    <x v="20"/>
    <x v="35"/>
    <n v="0.52500000000000002"/>
    <n v="0.52500000000000002"/>
    <n v="8"/>
    <n v="18.089171974522291"/>
  </r>
  <r>
    <x v="20"/>
    <x v="35"/>
    <n v="0.52500000000000002"/>
    <n v="0.52500000000000002"/>
    <n v="8"/>
    <n v="16.337579617834393"/>
  </r>
  <r>
    <x v="20"/>
    <x v="22"/>
    <n v="1082380952"/>
    <n v="0.61247410899999999"/>
    <n v="6"/>
    <n v="20.764331210191077"/>
  </r>
  <r>
    <x v="20"/>
    <x v="50"/>
    <n v="0.43538739399999998"/>
    <n v="0.568333333"/>
    <n v="7"/>
    <n v="23.853503184713375"/>
  </r>
  <r>
    <x v="20"/>
    <x v="50"/>
    <n v="0.43538739399999998"/>
    <n v="0.568333333"/>
    <n v="8"/>
    <n v="29.267515923566879"/>
  </r>
  <r>
    <x v="20"/>
    <x v="48"/>
    <n v="0.39"/>
    <n v="0.28861111099999998"/>
    <n v="4"/>
    <n v="6.5286624203821653"/>
  </r>
  <r>
    <x v="20"/>
    <x v="48"/>
    <n v="0.39"/>
    <n v="0.28861111099999998"/>
    <n v="5.5"/>
    <n v="14.585987261146496"/>
  </r>
  <r>
    <x v="20"/>
    <x v="41"/>
    <n v="0.693333333"/>
    <n v="0.64166666699999997"/>
    <n v="7"/>
    <n v="18.757961783439491"/>
  </r>
  <r>
    <x v="20"/>
    <x v="41"/>
    <n v="0.693333333"/>
    <n v="0.64166666699999997"/>
    <n v="6"/>
    <n v="13.789808917197451"/>
  </r>
  <r>
    <x v="20"/>
    <x v="41"/>
    <n v="0.693333333"/>
    <n v="0.64166666699999997"/>
    <n v="8"/>
    <n v="23.917197452229296"/>
  </r>
  <r>
    <x v="20"/>
    <x v="55"/>
    <n v="0.77"/>
    <n v="0.77"/>
    <n v="3"/>
    <n v="4.2675159235668794"/>
  </r>
  <r>
    <x v="20"/>
    <x v="55"/>
    <n v="0.77"/>
    <n v="0.77"/>
    <n v="3.5"/>
    <n v="3.6624203821656049"/>
  </r>
  <r>
    <x v="21"/>
    <x v="12"/>
    <n v="0.80908761900000004"/>
    <n v="0.87473809499999999"/>
    <n v="11"/>
    <n v="27.261146496815282"/>
  </r>
  <r>
    <x v="21"/>
    <x v="12"/>
    <n v="0.80908761900000004"/>
    <n v="0.87473809499999999"/>
    <n v="5"/>
    <n v="5.5732484076433115"/>
  </r>
  <r>
    <x v="21"/>
    <x v="12"/>
    <n v="0.80908761900000004"/>
    <n v="0.87473809499999999"/>
    <n v="8"/>
    <n v="31.210191082802545"/>
  </r>
  <r>
    <x v="21"/>
    <x v="12"/>
    <n v="0.80908761900000004"/>
    <n v="0.87473809499999999"/>
    <n v="7"/>
    <n v="16.019108280254777"/>
  </r>
  <r>
    <x v="21"/>
    <x v="56"/>
    <n v="0.37226847299999999"/>
    <n v="0.42234285700000002"/>
    <n v="3"/>
    <n v="3.9171974522292996"/>
  </r>
  <r>
    <x v="21"/>
    <x v="53"/>
    <n v="0.6"/>
    <n v="0.66674999999999995"/>
    <n v="6.5"/>
    <n v="4.6178343949044587"/>
  </r>
  <r>
    <x v="21"/>
    <x v="53"/>
    <n v="0.6"/>
    <n v="0.66674999999999995"/>
    <n v="6"/>
    <n v="6.2101910828025479"/>
  </r>
  <r>
    <x v="21"/>
    <x v="40"/>
    <n v="0.9"/>
    <n v="0.61247410899999999"/>
    <n v="4"/>
    <n v="2.6114649681528661"/>
  </r>
  <r>
    <x v="21"/>
    <x v="43"/>
    <n v="0.62643652800000005"/>
    <n v="0.57808694400000005"/>
    <n v="8"/>
    <n v="82.738853503184714"/>
  </r>
  <r>
    <x v="21"/>
    <x v="43"/>
    <n v="0.62643652800000005"/>
    <n v="0.57808694400000005"/>
    <n v="7"/>
    <n v="69.522292993630572"/>
  </r>
  <r>
    <x v="21"/>
    <x v="48"/>
    <n v="0.39"/>
    <n v="0.28861111099999998"/>
    <n v="4"/>
    <n v="11.019108280254777"/>
  </r>
  <r>
    <x v="21"/>
    <x v="48"/>
    <n v="0.39"/>
    <n v="0.28861111099999998"/>
    <n v="4"/>
    <n v="8.6942675159235669"/>
  </r>
  <r>
    <x v="21"/>
    <x v="41"/>
    <n v="0.693333333"/>
    <n v="0.64166666699999997"/>
    <n v="7"/>
    <n v="27.452229299363058"/>
  </r>
  <r>
    <x v="21"/>
    <x v="41"/>
    <n v="0.693333333"/>
    <n v="0.64166666699999997"/>
    <n v="7"/>
    <n v="11.878980891719744"/>
  </r>
  <r>
    <x v="21"/>
    <x v="41"/>
    <n v="0.693333333"/>
    <n v="0.64166666699999997"/>
    <n v="7"/>
    <n v="11.592356687898087"/>
  </r>
  <r>
    <x v="21"/>
    <x v="41"/>
    <n v="0.693333333"/>
    <n v="0.64166666699999997"/>
    <n v="8"/>
    <n v="24.012738853503187"/>
  </r>
  <r>
    <x v="21"/>
    <x v="41"/>
    <n v="0.693333333"/>
    <n v="0.64166666699999997"/>
    <n v="6"/>
    <n v="6.7515923566878975"/>
  </r>
  <r>
    <x v="21"/>
    <x v="41"/>
    <n v="0.693333333"/>
    <n v="0.64166666699999997"/>
    <n v="8"/>
    <n v="24.7452229299363"/>
  </r>
  <r>
    <x v="21"/>
    <x v="41"/>
    <n v="0.693333333"/>
    <n v="0.64166666699999997"/>
    <n v="7"/>
    <n v="25.03184713375796"/>
  </r>
  <r>
    <x v="21"/>
    <x v="41"/>
    <n v="0.693333333"/>
    <n v="0.64166666699999997"/>
    <n v="8"/>
    <n v="28.885350318471332"/>
  </r>
  <r>
    <x v="21"/>
    <x v="41"/>
    <n v="0.693333333"/>
    <n v="0.64166666699999997"/>
    <n v="7"/>
    <n v="14.61783439490446"/>
  </r>
  <r>
    <x v="22"/>
    <x v="49"/>
    <n v="0.86"/>
    <n v="0.65666666699999998"/>
    <n v="5"/>
    <n v="4.6178343949044587"/>
  </r>
  <r>
    <x v="22"/>
    <x v="31"/>
    <n v="0.40257753800000001"/>
    <n v="0.40843333300000001"/>
    <n v="4"/>
    <n v="10.477707006369426"/>
  </r>
  <r>
    <x v="22"/>
    <x v="57"/>
    <n v="0.80803492399999999"/>
    <n v="0.87275320499999998"/>
    <n v="7"/>
    <n v="14.076433121019109"/>
  </r>
  <r>
    <x v="22"/>
    <x v="57"/>
    <n v="0.80803492399999999"/>
    <n v="0.87275320499999998"/>
    <n v="7"/>
    <n v="28.726114649681524"/>
  </r>
  <r>
    <x v="22"/>
    <x v="39"/>
    <n v="0.41"/>
    <n v="0.33983503399999998"/>
    <n v="9"/>
    <n v="20.127388535031844"/>
  </r>
  <r>
    <x v="22"/>
    <x v="39"/>
    <n v="0.41"/>
    <n v="0.33983503399999998"/>
    <n v="9"/>
    <n v="8.4076433121019107"/>
  </r>
  <r>
    <x v="22"/>
    <x v="39"/>
    <n v="0.41"/>
    <n v="0.33983503399999998"/>
    <n v="7"/>
    <n v="7.1019108280254777"/>
  </r>
  <r>
    <x v="22"/>
    <x v="56"/>
    <n v="0.37226847299999999"/>
    <n v="0.42234285700000002"/>
    <n v="6"/>
    <n v="6.2101910828025479"/>
  </r>
  <r>
    <x v="22"/>
    <x v="56"/>
    <n v="0.37226847299999999"/>
    <n v="0.42234285700000002"/>
    <n v="3.5"/>
    <n v="11.815286624203821"/>
  </r>
  <r>
    <x v="22"/>
    <x v="35"/>
    <n v="0.52500000000000002"/>
    <n v="0.52500000000000002"/>
    <n v="7"/>
    <n v="15.668789808917198"/>
  </r>
  <r>
    <x v="22"/>
    <x v="35"/>
    <n v="0.52500000000000002"/>
    <n v="0.52500000000000002"/>
    <n v="7"/>
    <n v="12.643312101910828"/>
  </r>
  <r>
    <x v="22"/>
    <x v="58"/>
    <n v="0.85449533600000005"/>
    <n v="0.81482857099999995"/>
    <n v="5"/>
    <n v="9.4904458598726116"/>
  </r>
  <r>
    <x v="22"/>
    <x v="50"/>
    <n v="0.43538739399999998"/>
    <n v="0.568333333"/>
    <n v="8"/>
    <n v="20.318471337579616"/>
  </r>
  <r>
    <x v="22"/>
    <x v="29"/>
    <n v="0.40238543599999999"/>
    <n v="0.40883333300000002"/>
    <n v="9"/>
    <n v="18.312101910828027"/>
  </r>
  <r>
    <x v="22"/>
    <x v="29"/>
    <n v="0.40238543599999999"/>
    <n v="0.40883333300000002"/>
    <n v="9"/>
    <n v="18.312101910828027"/>
  </r>
  <r>
    <x v="22"/>
    <x v="29"/>
    <n v="0.40238543599999999"/>
    <n v="0.40883333300000002"/>
    <n v="8"/>
    <n v="17.35668789808917"/>
  </r>
  <r>
    <x v="22"/>
    <x v="29"/>
    <n v="0.40238543599999999"/>
    <n v="0.40883333300000002"/>
    <n v="7"/>
    <n v="17.00636942675159"/>
  </r>
  <r>
    <x v="22"/>
    <x v="59"/>
    <n v="0.28577490700000002"/>
    <n v="0.3422"/>
    <n v="5"/>
    <n v="29.968152866242036"/>
  </r>
  <r>
    <x v="22"/>
    <x v="59"/>
    <n v="0.28577490700000002"/>
    <n v="0.3422"/>
    <n v="6.5"/>
    <n v="20.859872611464969"/>
  </r>
  <r>
    <x v="23"/>
    <x v="31"/>
    <n v="0.40257753800000001"/>
    <n v="0.40843333300000001"/>
    <n v="3.5"/>
    <n v="12.579617834394904"/>
  </r>
  <r>
    <x v="23"/>
    <x v="31"/>
    <n v="0.40257753800000001"/>
    <n v="0.40843333300000001"/>
    <n v="7"/>
    <n v="11.942675159235668"/>
  </r>
  <r>
    <x v="23"/>
    <x v="57"/>
    <n v="0.80803492399999999"/>
    <n v="0.87275320499999998"/>
    <n v="7"/>
    <n v="6.5286624203821653"/>
  </r>
  <r>
    <x v="23"/>
    <x v="57"/>
    <n v="0.80803492399999999"/>
    <n v="0.87275320499999998"/>
    <n v="8"/>
    <n v="23.789808917197448"/>
  </r>
  <r>
    <x v="23"/>
    <x v="57"/>
    <n v="0.80803492399999999"/>
    <n v="0.87275320499999998"/>
    <n v="8.5"/>
    <n v="15.764331210191083"/>
  </r>
  <r>
    <x v="23"/>
    <x v="57"/>
    <n v="0.80803492399999999"/>
    <n v="0.87275320499999998"/>
    <n v="8"/>
    <n v="11.210191082802549"/>
  </r>
  <r>
    <x v="23"/>
    <x v="39"/>
    <n v="0.41"/>
    <n v="0.33983503399999998"/>
    <n v="7"/>
    <n v="6.4968152866242033"/>
  </r>
  <r>
    <x v="23"/>
    <x v="39"/>
    <n v="0.41"/>
    <n v="0.33983503399999998"/>
    <n v="5"/>
    <n v="6.4649681528662422"/>
  </r>
  <r>
    <x v="23"/>
    <x v="45"/>
    <n v="0.31264018999999998"/>
    <n v="0.356821212"/>
    <n v="3.5"/>
    <n v="5.8917197452229297"/>
  </r>
  <r>
    <x v="23"/>
    <x v="53"/>
    <n v="0.6"/>
    <n v="0.66674999999999995"/>
    <n v="4.5"/>
    <n v="5.2229299363057322"/>
  </r>
  <r>
    <x v="23"/>
    <x v="60"/>
    <n v="0.60413333300000005"/>
    <n v="0.60831666699999998"/>
    <n v="8"/>
    <n v="13.757961783439491"/>
  </r>
  <r>
    <x v="23"/>
    <x v="35"/>
    <n v="0.52500000000000002"/>
    <n v="0.52500000000000002"/>
    <n v="3.5"/>
    <n v="2.9617834394904459"/>
  </r>
  <r>
    <x v="23"/>
    <x v="36"/>
    <n v="0.39984676499999999"/>
    <n v="0.450333333"/>
    <n v="8"/>
    <n v="28.025477707006367"/>
  </r>
  <r>
    <x v="23"/>
    <x v="29"/>
    <n v="0.40238543599999999"/>
    <n v="0.40883333300000002"/>
    <n v="6"/>
    <n v="19.872611464968152"/>
  </r>
  <r>
    <x v="23"/>
    <x v="30"/>
    <n v="0.57917600000000002"/>
    <n v="0.60285714300000004"/>
    <n v="9"/>
    <n v="42.611464968152866"/>
  </r>
  <r>
    <x v="23"/>
    <x v="30"/>
    <n v="0.57917600000000002"/>
    <n v="0.60285714300000004"/>
    <n v="8"/>
    <n v="48.312101910828027"/>
  </r>
  <r>
    <x v="23"/>
    <x v="59"/>
    <n v="0.28577490700000002"/>
    <n v="0.3422"/>
    <n v="7"/>
    <n v="9.6178343949044578"/>
  </r>
  <r>
    <x v="24"/>
    <x v="2"/>
    <n v="0.47982689899999997"/>
    <n v="0.51"/>
    <n v="2"/>
    <n v="2.9617834394904459"/>
  </r>
  <r>
    <x v="24"/>
    <x v="2"/>
    <n v="0.47982689899999997"/>
    <n v="0.51"/>
    <n v="6"/>
    <n v="5.1910828025477711"/>
  </r>
  <r>
    <x v="24"/>
    <x v="2"/>
    <n v="0.47982689899999997"/>
    <n v="0.51"/>
    <n v="3"/>
    <n v="5.4140127388535033"/>
  </r>
  <r>
    <x v="24"/>
    <x v="2"/>
    <n v="0.47982689899999997"/>
    <n v="0.51"/>
    <n v="5"/>
    <n v="3.6942675159235665"/>
  </r>
  <r>
    <x v="24"/>
    <x v="2"/>
    <n v="0.47982689899999997"/>
    <n v="0.51"/>
    <n v="3"/>
    <n v="6.3057324840764331"/>
  </r>
  <r>
    <x v="24"/>
    <x v="35"/>
    <n v="0.52500000000000002"/>
    <n v="0.52500000000000002"/>
    <n v="7.5"/>
    <n v="10.636942675159235"/>
  </r>
  <r>
    <x v="24"/>
    <x v="30"/>
    <n v="0.57917600000000002"/>
    <n v="0.60285714300000004"/>
    <n v="7"/>
    <n v="13.439490445859873"/>
  </r>
  <r>
    <x v="24"/>
    <x v="30"/>
    <n v="0.57917600000000002"/>
    <n v="0.60285714300000004"/>
    <n v="5.5"/>
    <n v="9.0127388535031852"/>
  </r>
  <r>
    <x v="24"/>
    <x v="30"/>
    <n v="0.57917600000000002"/>
    <n v="0.60285714300000004"/>
    <n v="7"/>
    <n v="13.789808917197451"/>
  </r>
  <r>
    <x v="24"/>
    <x v="30"/>
    <n v="0.57917600000000002"/>
    <n v="0.60285714300000004"/>
    <n v="6.5"/>
    <n v="10.286624203821654"/>
  </r>
  <r>
    <x v="24"/>
    <x v="55"/>
    <n v="0.77"/>
    <n v="0.77"/>
    <n v="6"/>
    <n v="8.7579617834394909"/>
  </r>
  <r>
    <x v="24"/>
    <x v="55"/>
    <n v="0.77"/>
    <n v="0.77"/>
    <n v="5.5"/>
    <n v="9.6178343949044578"/>
  </r>
  <r>
    <x v="24"/>
    <x v="55"/>
    <n v="0.77"/>
    <n v="0.77"/>
    <n v="7"/>
    <n v="10.828025477707007"/>
  </r>
  <r>
    <x v="25"/>
    <x v="57"/>
    <n v="0.80803492399999999"/>
    <n v="0.87275320499999998"/>
    <n v="8"/>
    <n v="11.656050955414013"/>
  </r>
  <r>
    <x v="25"/>
    <x v="61"/>
    <n v="0.60064078700000001"/>
    <n v="0.66733333299999997"/>
    <n v="6.8"/>
    <n v="3.5987261146496814"/>
  </r>
  <r>
    <x v="25"/>
    <x v="35"/>
    <n v="0.52500000000000002"/>
    <n v="0.52500000000000002"/>
    <n v="7"/>
    <n v="7.4203821656050959"/>
  </r>
  <r>
    <x v="25"/>
    <x v="35"/>
    <n v="0.52500000000000002"/>
    <n v="0.52500000000000002"/>
    <n v="3.2"/>
    <n v="6.2738853503184719"/>
  </r>
  <r>
    <x v="25"/>
    <x v="35"/>
    <n v="0.52500000000000002"/>
    <n v="0.52500000000000002"/>
    <n v="6"/>
    <n v="8.4713375796178347"/>
  </r>
  <r>
    <x v="25"/>
    <x v="24"/>
    <n v="0.56193137999999998"/>
    <n v="0.57808694400000005"/>
    <n v="3.5"/>
    <n v="8.9171974522292992"/>
  </r>
  <r>
    <x v="25"/>
    <x v="24"/>
    <n v="0.56193137999999998"/>
    <n v="0.57808694400000005"/>
    <n v="6"/>
    <n v="28.757961783439487"/>
  </r>
  <r>
    <x v="25"/>
    <x v="24"/>
    <n v="0.56193137999999998"/>
    <n v="0.57808694400000005"/>
    <n v="5"/>
    <n v="18.121019108280255"/>
  </r>
  <r>
    <x v="25"/>
    <x v="24"/>
    <n v="0.56193137999999998"/>
    <n v="0.57808694400000005"/>
    <n v="6"/>
    <n v="19.554140127388536"/>
  </r>
  <r>
    <x v="25"/>
    <x v="36"/>
    <n v="0.39984676499999999"/>
    <n v="0.450333333"/>
    <n v="8"/>
    <n v="14.426751592356686"/>
  </r>
  <r>
    <x v="25"/>
    <x v="36"/>
    <n v="0.39984676499999999"/>
    <n v="0.450333333"/>
    <n v="7"/>
    <n v="27.452229299363054"/>
  </r>
  <r>
    <x v="25"/>
    <x v="36"/>
    <n v="0.39984676499999999"/>
    <n v="0.450333333"/>
    <n v="7.5"/>
    <n v="20.859872611464969"/>
  </r>
  <r>
    <x v="25"/>
    <x v="30"/>
    <n v="0.57917600000000002"/>
    <n v="0.60285714300000004"/>
    <n v="5"/>
    <n v="10.095541401273884"/>
  </r>
  <r>
    <x v="25"/>
    <x v="30"/>
    <n v="0.57917600000000002"/>
    <n v="0.60285714300000004"/>
    <n v="7"/>
    <n v="16.878980891719745"/>
  </r>
  <r>
    <x v="25"/>
    <x v="30"/>
    <n v="0.57917600000000002"/>
    <n v="0.60285714300000004"/>
    <n v="7"/>
    <n v="11.242038216560509"/>
  </r>
  <r>
    <x v="26"/>
    <x v="53"/>
    <n v="0.6"/>
    <n v="0.66674999999999995"/>
    <n v="7"/>
    <n v="15.891719745222929"/>
  </r>
  <r>
    <x v="26"/>
    <x v="35"/>
    <n v="0.52500000000000002"/>
    <n v="0.52500000000000002"/>
    <n v="7"/>
    <n v="22.579617834394906"/>
  </r>
  <r>
    <x v="26"/>
    <x v="35"/>
    <n v="0.52500000000000002"/>
    <n v="0.52500000000000002"/>
    <n v="8"/>
    <n v="13.789808917197451"/>
  </r>
  <r>
    <x v="26"/>
    <x v="24"/>
    <n v="0.56193137999999998"/>
    <n v="0.57808694400000005"/>
    <n v="8"/>
    <n v="13.917197452229299"/>
  </r>
  <r>
    <x v="26"/>
    <x v="24"/>
    <n v="0.56193137999999998"/>
    <n v="0.57808694400000005"/>
    <n v="3.5"/>
    <n v="6.401273885350319"/>
  </r>
  <r>
    <x v="26"/>
    <x v="36"/>
    <n v="0.39984676499999999"/>
    <n v="0.450333333"/>
    <n v="15"/>
    <n v="37.420382165605091"/>
  </r>
  <r>
    <x v="26"/>
    <x v="36"/>
    <n v="0.39984676499999999"/>
    <n v="0.450333333"/>
    <n v="12"/>
    <n v="36.337579617834393"/>
  </r>
  <r>
    <x v="26"/>
    <x v="36"/>
    <n v="0.39984676499999999"/>
    <n v="0.450333333"/>
    <n v="10"/>
    <n v="16.433121019108281"/>
  </r>
  <r>
    <x v="26"/>
    <x v="36"/>
    <n v="0.39984676499999999"/>
    <n v="0.450333333"/>
    <n v="11"/>
    <n v="21.464968152866241"/>
  </r>
  <r>
    <x v="26"/>
    <x v="50"/>
    <n v="0.43538739399999998"/>
    <n v="0.568333333"/>
    <n v="7.5"/>
    <n v="10.382165605095542"/>
  </r>
  <r>
    <x v="26"/>
    <x v="30"/>
    <n v="0.57917600000000002"/>
    <n v="0.60285714300000004"/>
    <n v="10"/>
    <n v="46.146496815286625"/>
  </r>
  <r>
    <x v="26"/>
    <x v="30"/>
    <n v="0.57917600000000002"/>
    <n v="0.60285714300000004"/>
    <n v="6"/>
    <n v="11.305732484076433"/>
  </r>
  <r>
    <x v="26"/>
    <x v="30"/>
    <n v="0.57917600000000002"/>
    <n v="0.60285714300000004"/>
    <n v="6"/>
    <n v="24.363057324840764"/>
  </r>
  <r>
    <x v="26"/>
    <x v="30"/>
    <n v="0.57917600000000002"/>
    <n v="0.60285714300000004"/>
    <n v="8.4"/>
    <n v="11.942675159235668"/>
  </r>
  <r>
    <x v="27"/>
    <x v="31"/>
    <n v="0.40257753800000001"/>
    <n v="0.40843333300000001"/>
    <n v="5"/>
    <n v="5.5095541401273884"/>
  </r>
  <r>
    <x v="27"/>
    <x v="57"/>
    <n v="0.80803492399999999"/>
    <n v="0.87275320499999998"/>
    <n v="7"/>
    <n v="23.343949044585987"/>
  </r>
  <r>
    <x v="27"/>
    <x v="53"/>
    <n v="0.6"/>
    <n v="0.66674999999999995"/>
    <n v="5"/>
    <n v="4.2993630573248405"/>
  </r>
  <r>
    <x v="27"/>
    <x v="34"/>
    <n v="0.53"/>
    <n v="0.54764999999999997"/>
    <n v="5"/>
    <n v="5.4777070063694264"/>
  </r>
  <r>
    <x v="27"/>
    <x v="35"/>
    <n v="0.52500000000000002"/>
    <n v="0.52500000000000002"/>
    <n v="7"/>
    <n v="12.898089171974522"/>
  </r>
  <r>
    <x v="27"/>
    <x v="24"/>
    <n v="0.56193137999999998"/>
    <n v="0.57808694400000005"/>
    <n v="7"/>
    <n v="38.757961783439491"/>
  </r>
  <r>
    <x v="27"/>
    <x v="36"/>
    <n v="0.39984676499999999"/>
    <n v="0.450333333"/>
    <n v="9"/>
    <n v="42.29299363057325"/>
  </r>
  <r>
    <x v="27"/>
    <x v="51"/>
    <n v="0.54"/>
    <n v="0.61247410899999999"/>
    <n v="8"/>
    <n v="22.356687898089174"/>
  </r>
  <r>
    <x v="27"/>
    <x v="51"/>
    <n v="0.54"/>
    <n v="0.61247410899999999"/>
    <n v="7"/>
    <n v="16.464968152866241"/>
  </r>
  <r>
    <x v="27"/>
    <x v="51"/>
    <n v="0.54"/>
    <n v="0.61247410899999999"/>
    <n v="7"/>
    <n v="11.656050955414013"/>
  </r>
  <r>
    <x v="27"/>
    <x v="9"/>
    <n v="0.43836446099999998"/>
    <n v="0.58666666700000003"/>
    <n v="6"/>
    <n v="7.5796178343949041"/>
  </r>
  <r>
    <x v="27"/>
    <x v="52"/>
    <n v="0.46679999999999999"/>
    <n v="0.81159999999999999"/>
    <n v="7.5"/>
    <n v="19.713375796178344"/>
  </r>
  <r>
    <x v="27"/>
    <x v="55"/>
    <n v="0.77"/>
    <n v="0.77"/>
    <n v="3.5"/>
    <n v="4.8726114649681529"/>
  </r>
  <r>
    <x v="28"/>
    <x v="57"/>
    <n v="0.80803492399999999"/>
    <n v="0.87275320499999998"/>
    <n v="9"/>
    <n v="25.159235668789808"/>
  </r>
  <r>
    <x v="28"/>
    <x v="57"/>
    <n v="0.80803492399999999"/>
    <n v="0.87275320499999998"/>
    <n v="8"/>
    <n v="27.133757961783438"/>
  </r>
  <r>
    <x v="28"/>
    <x v="39"/>
    <n v="0.41"/>
    <n v="0.33983503399999998"/>
    <n v="8"/>
    <n v="8.1210191082802545"/>
  </r>
  <r>
    <x v="28"/>
    <x v="35"/>
    <n v="0.52500000000000002"/>
    <n v="0.52500000000000002"/>
    <n v="8"/>
    <n v="21.369426751592353"/>
  </r>
  <r>
    <x v="28"/>
    <x v="24"/>
    <n v="0.56193137999999998"/>
    <n v="0.57808694400000005"/>
    <n v="6"/>
    <n v="42.834394904458598"/>
  </r>
  <r>
    <x v="28"/>
    <x v="24"/>
    <n v="0.56193137999999998"/>
    <n v="0.57808694400000005"/>
    <n v="6.5"/>
    <n v="50.541401273885342"/>
  </r>
  <r>
    <x v="28"/>
    <x v="24"/>
    <n v="0.56193137999999998"/>
    <n v="0.57808694400000005"/>
    <n v="6.5"/>
    <n v="62.229299363057322"/>
  </r>
  <r>
    <x v="28"/>
    <x v="24"/>
    <n v="0.56193137999999998"/>
    <n v="0.57808694400000005"/>
    <n v="7"/>
    <n v="42.834394904458598"/>
  </r>
  <r>
    <x v="28"/>
    <x v="24"/>
    <n v="0.56193137999999998"/>
    <n v="0.57808694400000005"/>
    <n v="6"/>
    <n v="28.152866242038218"/>
  </r>
  <r>
    <x v="28"/>
    <x v="36"/>
    <n v="0.39984676499999999"/>
    <n v="0.450333333"/>
    <n v="9"/>
    <n v="20.445859872611464"/>
  </r>
  <r>
    <x v="28"/>
    <x v="36"/>
    <n v="0.39984676499999999"/>
    <n v="0.450333333"/>
    <n v="9"/>
    <n v="30.668789808917197"/>
  </r>
  <r>
    <x v="28"/>
    <x v="9"/>
    <n v="0.43836446099999998"/>
    <n v="0.58666666700000003"/>
    <n v="5"/>
    <n v="7.2292993630573257"/>
  </r>
  <r>
    <x v="28"/>
    <x v="9"/>
    <n v="0.43836446099999998"/>
    <n v="0.58666666700000003"/>
    <n v="3"/>
    <n v="6.401273885350319"/>
  </r>
  <r>
    <x v="28"/>
    <x v="9"/>
    <n v="0.43836446099999998"/>
    <n v="0.58666666700000003"/>
    <n v="6.5"/>
    <n v="2.9617834394904459"/>
  </r>
  <r>
    <x v="28"/>
    <x v="30"/>
    <n v="0.57917600000000002"/>
    <n v="0.60285714300000004"/>
    <n v="8"/>
    <n v="43.121019108280258"/>
  </r>
  <r>
    <x v="28"/>
    <x v="55"/>
    <n v="0.77"/>
    <n v="0.77"/>
    <n v="6"/>
    <n v="5.2547770700636942"/>
  </r>
  <r>
    <x v="28"/>
    <x v="55"/>
    <n v="0.77"/>
    <n v="0.77"/>
    <n v="3.8"/>
    <n v="4.6178343949044587"/>
  </r>
  <r>
    <x v="28"/>
    <x v="55"/>
    <n v="0.77"/>
    <n v="0.77"/>
    <n v="5.5"/>
    <n v="10.859872611464969"/>
  </r>
  <r>
    <x v="29"/>
    <x v="49"/>
    <n v="0.86"/>
    <n v="0.65666666699999998"/>
    <n v="5"/>
    <n v="12.547770700636942"/>
  </r>
  <r>
    <x v="29"/>
    <x v="12"/>
    <n v="0.80908761900000004"/>
    <n v="0.87473809499999999"/>
    <n v="7"/>
    <n v="42.547770700636939"/>
  </r>
  <r>
    <x v="29"/>
    <x v="12"/>
    <n v="0.80908761900000004"/>
    <n v="0.87473809499999999"/>
    <n v="8"/>
    <n v="30.031847133757964"/>
  </r>
  <r>
    <x v="29"/>
    <x v="12"/>
    <n v="0.80908761900000004"/>
    <n v="0.87473809499999999"/>
    <n v="4.5"/>
    <n v="12.006369426751593"/>
  </r>
  <r>
    <x v="29"/>
    <x v="44"/>
    <n v="0.77800000000000002"/>
    <n v="0.77386111099999999"/>
    <n v="6"/>
    <n v="8.8216560509554132"/>
  </r>
  <r>
    <x v="29"/>
    <x v="57"/>
    <n v="0.80803492399999999"/>
    <n v="0.87275320499999998"/>
    <n v="5"/>
    <n v="8.4713375796178347"/>
  </r>
  <r>
    <x v="29"/>
    <x v="39"/>
    <n v="0.41"/>
    <n v="0.33983503399999998"/>
    <n v="8"/>
    <n v="7.7388535031847132"/>
  </r>
  <r>
    <x v="29"/>
    <x v="34"/>
    <n v="0.53"/>
    <n v="0.54764999999999997"/>
    <n v="5"/>
    <n v="8.0573248407643305"/>
  </r>
  <r>
    <x v="29"/>
    <x v="35"/>
    <n v="0.52500000000000002"/>
    <n v="0.52500000000000002"/>
    <n v="6.5"/>
    <n v="24.458598726114648"/>
  </r>
  <r>
    <x v="29"/>
    <x v="36"/>
    <n v="0.39984676499999999"/>
    <n v="0.450333333"/>
    <n v="11"/>
    <n v="21.656050955414013"/>
  </r>
  <r>
    <x v="29"/>
    <x v="36"/>
    <n v="0.39984676499999999"/>
    <n v="0.450333333"/>
    <n v="11"/>
    <n v="28.949044585987263"/>
  </r>
  <r>
    <x v="29"/>
    <x v="36"/>
    <n v="0.39984676499999999"/>
    <n v="0.450333333"/>
    <n v="7"/>
    <n v="40.955414012738856"/>
  </r>
  <r>
    <x v="29"/>
    <x v="23"/>
    <n v="0.590536375"/>
    <n v="0.61247410899999999"/>
    <n v="6"/>
    <n v="26.146496815286621"/>
  </r>
  <r>
    <x v="29"/>
    <x v="30"/>
    <n v="0.57917600000000002"/>
    <n v="0.60285714300000004"/>
    <n v="4"/>
    <n v="5.5732484076433115"/>
  </r>
  <r>
    <x v="29"/>
    <x v="55"/>
    <n v="0.77"/>
    <n v="0.77"/>
    <n v="3.5"/>
    <n v="5.4777070063694264"/>
  </r>
  <r>
    <x v="30"/>
    <x v="49"/>
    <n v="0.86"/>
    <n v="0.65666666699999998"/>
    <n v="6.5"/>
    <n v="24.394904458598724"/>
  </r>
  <r>
    <x v="30"/>
    <x v="49"/>
    <n v="0.86"/>
    <n v="0.65666666699999998"/>
    <n v="7"/>
    <n v="11.687898089171975"/>
  </r>
  <r>
    <x v="30"/>
    <x v="12"/>
    <n v="0.80908761900000004"/>
    <n v="0.87473809499999999"/>
    <n v="4.5"/>
    <n v="18.02547770700637"/>
  </r>
  <r>
    <x v="30"/>
    <x v="12"/>
    <n v="0.80908761900000004"/>
    <n v="0.87473809499999999"/>
    <n v="8"/>
    <n v="14.840764331210192"/>
  </r>
  <r>
    <x v="30"/>
    <x v="12"/>
    <n v="0.80908761900000004"/>
    <n v="0.87473809499999999"/>
    <n v="7"/>
    <n v="17.929936305732483"/>
  </r>
  <r>
    <x v="30"/>
    <x v="12"/>
    <n v="0.80908761900000004"/>
    <n v="0.87473809499999999"/>
    <n v="8"/>
    <n v="17.101910828025478"/>
  </r>
  <r>
    <x v="30"/>
    <x v="57"/>
    <n v="0.80803492399999999"/>
    <n v="0.87275320499999998"/>
    <n v="9"/>
    <n v="15.477707006369426"/>
  </r>
  <r>
    <x v="30"/>
    <x v="53"/>
    <n v="0.6"/>
    <n v="0.66674999999999995"/>
    <n v="5.5"/>
    <n v="5.5414012738853495"/>
  </r>
  <r>
    <x v="30"/>
    <x v="2"/>
    <n v="0.47982689899999997"/>
    <n v="0.51"/>
    <n v="3"/>
    <n v="7.9617834394904454"/>
  </r>
  <r>
    <x v="30"/>
    <x v="2"/>
    <n v="0.47982689899999997"/>
    <n v="0.51"/>
    <n v="5"/>
    <n v="6.4649681528662422"/>
  </r>
  <r>
    <x v="30"/>
    <x v="34"/>
    <n v="0.53"/>
    <n v="0.54764999999999997"/>
    <n v="5.5"/>
    <n v="6.1464968152866239"/>
  </r>
  <r>
    <x v="30"/>
    <x v="34"/>
    <n v="0.53"/>
    <n v="0.54764999999999997"/>
    <n v="4.5"/>
    <n v="8.2165605095541405"/>
  </r>
  <r>
    <x v="30"/>
    <x v="36"/>
    <n v="0.39984676499999999"/>
    <n v="0.450333333"/>
    <n v="8"/>
    <n v="14.745222929936304"/>
  </r>
  <r>
    <x v="30"/>
    <x v="9"/>
    <n v="0.43836446099999998"/>
    <n v="0.58666666700000003"/>
    <n v="5"/>
    <n v="10.445859872611464"/>
  </r>
  <r>
    <x v="30"/>
    <x v="30"/>
    <n v="0.57917600000000002"/>
    <n v="0.60285714300000004"/>
    <n v="6"/>
    <n v="10.286624203821654"/>
  </r>
  <r>
    <x v="30"/>
    <x v="30"/>
    <n v="0.57917600000000002"/>
    <n v="0.60285714300000004"/>
    <n v="5"/>
    <n v="9.3949044585987256"/>
  </r>
  <r>
    <x v="30"/>
    <x v="30"/>
    <n v="0.57917600000000002"/>
    <n v="0.60285714300000004"/>
    <n v="6.5"/>
    <n v="4.8726114649681529"/>
  </r>
  <r>
    <x v="30"/>
    <x v="30"/>
    <n v="0.57917600000000002"/>
    <n v="0.60285714300000004"/>
    <n v="5"/>
    <n v="7.4203821656050959"/>
  </r>
  <r>
    <x v="30"/>
    <x v="30"/>
    <n v="0.57917600000000002"/>
    <n v="0.60285714300000004"/>
    <n v="7"/>
    <n v="14.745222929936304"/>
  </r>
  <r>
    <x v="31"/>
    <x v="49"/>
    <n v="0.86"/>
    <n v="0.65666666699999998"/>
    <n v="6"/>
    <n v="8.3757961783439487"/>
  </r>
  <r>
    <x v="31"/>
    <x v="49"/>
    <n v="0.86"/>
    <n v="0.65666666699999998"/>
    <n v="6.5"/>
    <n v="7.1656050955414008"/>
  </r>
  <r>
    <x v="31"/>
    <x v="39"/>
    <n v="0.41"/>
    <n v="0.33983503399999998"/>
    <n v="6"/>
    <n v="5.2547770700636942"/>
  </r>
  <r>
    <x v="31"/>
    <x v="60"/>
    <n v="0.60413333300000005"/>
    <n v="0.60831666699999998"/>
    <n v="10"/>
    <n v="21.146496815286625"/>
  </r>
  <r>
    <x v="31"/>
    <x v="46"/>
    <n v="0.55560299999999996"/>
    <n v="0.55961111100000005"/>
    <n v="3"/>
    <n v="6.1783439490445851"/>
  </r>
  <r>
    <x v="31"/>
    <x v="46"/>
    <n v="0.55560299999999996"/>
    <n v="0.55961111100000005"/>
    <n v="4"/>
    <n v="8.1210191082802545"/>
  </r>
  <r>
    <x v="31"/>
    <x v="36"/>
    <n v="0.39984676499999999"/>
    <n v="0.450333333"/>
    <n v="11"/>
    <n v="27.898089171974519"/>
  </r>
  <r>
    <x v="31"/>
    <x v="36"/>
    <n v="0.39984676499999999"/>
    <n v="0.450333333"/>
    <n v="7"/>
    <n v="11.656050955414013"/>
  </r>
  <r>
    <x v="31"/>
    <x v="36"/>
    <n v="0.39984676499999999"/>
    <n v="0.450333333"/>
    <n v="8"/>
    <n v="23.216560509554142"/>
  </r>
  <r>
    <x v="31"/>
    <x v="36"/>
    <n v="0.39984676499999999"/>
    <n v="0.450333333"/>
    <n v="7.5"/>
    <n v="45.06369426751592"/>
  </r>
  <r>
    <x v="31"/>
    <x v="36"/>
    <n v="0.39984676499999999"/>
    <n v="0.450333333"/>
    <n v="7.5"/>
    <n v="27.229299363057322"/>
  </r>
  <r>
    <x v="31"/>
    <x v="36"/>
    <n v="0.39984676499999999"/>
    <n v="0.450333333"/>
    <n v="8"/>
    <n v="20"/>
  </r>
  <r>
    <x v="31"/>
    <x v="36"/>
    <n v="0.39984676499999999"/>
    <n v="0.450333333"/>
    <n v="7.5"/>
    <n v="14.108280254777069"/>
  </r>
  <r>
    <x v="31"/>
    <x v="9"/>
    <n v="0.43836446099999998"/>
    <n v="0.58666666700000003"/>
    <n v="4"/>
    <n v="3.9171974522292996"/>
  </r>
  <r>
    <x v="31"/>
    <x v="41"/>
    <n v="0.693333333"/>
    <n v="0.64166666699999997"/>
    <n v="6"/>
    <n v="6.8789808917197455"/>
  </r>
  <r>
    <x v="31"/>
    <x v="55"/>
    <n v="0.77"/>
    <n v="0.77"/>
    <n v="6"/>
    <n v="8.0573248407643305"/>
  </r>
  <r>
    <x v="32"/>
    <x v="12"/>
    <n v="0.80908761900000004"/>
    <n v="0.87473809499999999"/>
    <n v="12"/>
    <n v="82.22993630573248"/>
  </r>
  <r>
    <x v="32"/>
    <x v="23"/>
    <n v="0.590536375"/>
    <n v="0.61247410899999999"/>
    <n v="7"/>
    <n v="10.605095541401273"/>
  </r>
  <r>
    <x v="32"/>
    <x v="23"/>
    <n v="0.590536375"/>
    <n v="0.61247410899999999"/>
    <n v="8"/>
    <n v="11.656050955414013"/>
  </r>
  <r>
    <x v="32"/>
    <x v="23"/>
    <n v="0.590536375"/>
    <n v="0.61247410899999999"/>
    <n v="11"/>
    <n v="16.65605095541401"/>
  </r>
  <r>
    <x v="32"/>
    <x v="23"/>
    <n v="0.590536375"/>
    <n v="0.61247410899999999"/>
    <n v="11"/>
    <n v="17.32484076433121"/>
  </r>
  <r>
    <x v="32"/>
    <x v="23"/>
    <n v="0.590536375"/>
    <n v="0.61247410899999999"/>
    <n v="10"/>
    <n v="19.904458598726112"/>
  </r>
  <r>
    <x v="32"/>
    <x v="23"/>
    <n v="0.590536375"/>
    <n v="0.61247410899999999"/>
    <n v="7"/>
    <n v="36.136942675159233"/>
  </r>
  <r>
    <x v="32"/>
    <x v="23"/>
    <n v="0.590536375"/>
    <n v="0.61247410899999999"/>
    <n v="8"/>
    <n v="43.436305732484072"/>
  </r>
  <r>
    <x v="32"/>
    <x v="23"/>
    <n v="0.590536375"/>
    <n v="0.61247410899999999"/>
    <n v="8"/>
    <n v="49.803184713375792"/>
  </r>
  <r>
    <x v="32"/>
    <x v="62"/>
    <n v="0.53168696000000004"/>
    <n v="0.61247410899999999"/>
    <n v="9"/>
    <n v="17.101910828025478"/>
  </r>
  <r>
    <x v="32"/>
    <x v="62"/>
    <n v="0.53168696000000004"/>
    <n v="0.61247410899999999"/>
    <n v="13"/>
    <n v="32.00636942675159"/>
  </r>
  <r>
    <x v="33"/>
    <x v="12"/>
    <n v="0.80908761900000004"/>
    <n v="0.87473809499999999"/>
    <n v="11"/>
    <n v="21.178343949044585"/>
  </r>
  <r>
    <x v="33"/>
    <x v="43"/>
    <n v="0.62643652800000005"/>
    <n v="0.57808694400000005"/>
    <n v="4"/>
    <n v="4.2038216560509554"/>
  </r>
  <r>
    <x v="33"/>
    <x v="43"/>
    <n v="0.62643652800000005"/>
    <n v="0.57808694400000005"/>
    <n v="4.5"/>
    <n v="16.898089171974522"/>
  </r>
  <r>
    <x v="33"/>
    <x v="43"/>
    <n v="0.62643652800000005"/>
    <n v="0.57808694400000005"/>
    <n v="5.5"/>
    <n v="28.283439490445858"/>
  </r>
  <r>
    <x v="33"/>
    <x v="23"/>
    <n v="0.590536375"/>
    <n v="0.61247410899999999"/>
    <n v="7"/>
    <n v="19.108280254777068"/>
  </r>
  <r>
    <x v="33"/>
    <x v="23"/>
    <n v="0.590536375"/>
    <n v="0.61247410899999999"/>
    <n v="11"/>
    <n v="26.656050955414013"/>
  </r>
  <r>
    <x v="33"/>
    <x v="23"/>
    <n v="0.590536375"/>
    <n v="0.61247410899999999"/>
    <n v="8"/>
    <n v="37.680254777070061"/>
  </r>
  <r>
    <x v="33"/>
    <x v="23"/>
    <n v="0.590536375"/>
    <n v="0.61247410899999999"/>
    <n v="9"/>
    <n v="51.072611464968155"/>
  </r>
  <r>
    <x v="33"/>
    <x v="48"/>
    <n v="0.39"/>
    <n v="0.28861111099999998"/>
    <n v="5"/>
    <n v="8.1210191082802545"/>
  </r>
  <r>
    <x v="33"/>
    <x v="48"/>
    <n v="0.39"/>
    <n v="0.28861111099999998"/>
    <n v="6"/>
    <n v="8.4713375796178347"/>
  </r>
  <r>
    <x v="33"/>
    <x v="48"/>
    <n v="0.39"/>
    <n v="0.28861111099999998"/>
    <n v="4"/>
    <n v="8.6942675159235669"/>
  </r>
  <r>
    <x v="33"/>
    <x v="48"/>
    <n v="0.39"/>
    <n v="0.28861111099999998"/>
    <n v="6"/>
    <n v="8.7579617834394909"/>
  </r>
  <r>
    <x v="33"/>
    <x v="48"/>
    <n v="0.39"/>
    <n v="0.28861111099999998"/>
    <n v="5"/>
    <n v="9.2356687898089174"/>
  </r>
  <r>
    <x v="33"/>
    <x v="48"/>
    <n v="0.39"/>
    <n v="0.28861111099999998"/>
    <n v="3"/>
    <n v="10.414012738853504"/>
  </r>
  <r>
    <x v="33"/>
    <x v="48"/>
    <n v="0.39"/>
    <n v="0.28861111099999998"/>
    <n v="4.5"/>
    <n v="10.923566878980891"/>
  </r>
  <r>
    <x v="33"/>
    <x v="48"/>
    <n v="0.39"/>
    <n v="0.28861111099999998"/>
    <n v="5"/>
    <n v="28.938853503184713"/>
  </r>
  <r>
    <x v="33"/>
    <x v="48"/>
    <n v="0.39"/>
    <n v="0.28861111099999998"/>
    <n v="4.8"/>
    <n v="30.788535031847132"/>
  </r>
  <r>
    <x v="33"/>
    <x v="63"/>
    <n v="0.470857311"/>
    <n v="0.375"/>
    <n v="7"/>
    <n v="6.7515923566878975"/>
  </r>
  <r>
    <x v="34"/>
    <x v="12"/>
    <n v="0.80908761900000004"/>
    <n v="0.87473809499999999"/>
    <n v="8"/>
    <n v="6.7515923566878975"/>
  </r>
  <r>
    <x v="34"/>
    <x v="12"/>
    <n v="0.80908761900000004"/>
    <n v="0.87473809499999999"/>
    <n v="9"/>
    <n v="12.802547770700638"/>
  </r>
  <r>
    <x v="34"/>
    <x v="12"/>
    <n v="0.80908761900000004"/>
    <n v="0.87473809499999999"/>
    <n v="10"/>
    <n v="15.987261146496815"/>
  </r>
  <r>
    <x v="34"/>
    <x v="12"/>
    <n v="0.80908761900000004"/>
    <n v="0.87473809499999999"/>
    <n v="11"/>
    <n v="24.076433121019104"/>
  </r>
  <r>
    <x v="34"/>
    <x v="12"/>
    <n v="0.80908761900000004"/>
    <n v="0.87473809499999999"/>
    <n v="12"/>
    <n v="77.064331210191085"/>
  </r>
  <r>
    <x v="34"/>
    <x v="12"/>
    <n v="0.80908761900000004"/>
    <n v="0.87473809499999999"/>
    <n v="12"/>
    <n v="77.108917197452229"/>
  </r>
  <r>
    <x v="34"/>
    <x v="53"/>
    <n v="0.6"/>
    <n v="0.66674999999999995"/>
    <n v="8"/>
    <n v="8.4394904458598727"/>
  </r>
  <r>
    <x v="34"/>
    <x v="36"/>
    <n v="0.39984676499999999"/>
    <n v="0.450333333"/>
    <n v="6"/>
    <n v="7.7707006369426743"/>
  </r>
  <r>
    <x v="34"/>
    <x v="36"/>
    <n v="0.39984676499999999"/>
    <n v="0.450333333"/>
    <n v="7"/>
    <n v="9.7133757961783438"/>
  </r>
  <r>
    <x v="34"/>
    <x v="36"/>
    <n v="0.39984676499999999"/>
    <n v="0.450333333"/>
    <n v="7"/>
    <n v="13.439490445859873"/>
  </r>
  <r>
    <x v="34"/>
    <x v="36"/>
    <n v="0.39984676499999999"/>
    <n v="0.450333333"/>
    <n v="7"/>
    <n v="35.994904458598725"/>
  </r>
  <r>
    <x v="34"/>
    <x v="36"/>
    <n v="0.39984676499999999"/>
    <n v="0.450333333"/>
    <n v="8"/>
    <n v="54.08407643312102"/>
  </r>
  <r>
    <x v="34"/>
    <x v="36"/>
    <n v="0.39984676499999999"/>
    <n v="0.450333333"/>
    <n v="10"/>
    <n v="66.27006369426752"/>
  </r>
  <r>
    <x v="34"/>
    <x v="23"/>
    <n v="0.590536375"/>
    <n v="0.61247410899999999"/>
    <n v="8"/>
    <n v="16.114649681528661"/>
  </r>
  <r>
    <x v="34"/>
    <x v="23"/>
    <n v="0.590536375"/>
    <n v="0.61247410899999999"/>
    <n v="11"/>
    <n v="75.277070063694268"/>
  </r>
  <r>
    <x v="34"/>
    <x v="62"/>
    <n v="0.53168696000000004"/>
    <n v="0.61247410899999999"/>
    <n v="8"/>
    <n v="10.923566878980891"/>
  </r>
  <r>
    <x v="34"/>
    <x v="48"/>
    <n v="0.39"/>
    <n v="0.28861111099999998"/>
    <n v="2.8"/>
    <n v="4.6496815286624198"/>
  </r>
  <r>
    <x v="34"/>
    <x v="48"/>
    <n v="0.39"/>
    <n v="0.28861111099999998"/>
    <n v="4.8"/>
    <n v="7.8343949044585992"/>
  </r>
  <r>
    <x v="34"/>
    <x v="48"/>
    <n v="0.39"/>
    <n v="0.28861111099999998"/>
    <n v="4.5"/>
    <n v="7.8343949044585992"/>
  </r>
  <r>
    <x v="34"/>
    <x v="48"/>
    <n v="0.39"/>
    <n v="0.28861111099999998"/>
    <n v="2"/>
    <n v="8.3439490445859867"/>
  </r>
  <r>
    <x v="34"/>
    <x v="48"/>
    <n v="0.39"/>
    <n v="0.28861111099999998"/>
    <n v="6"/>
    <n v="8.4713375796178347"/>
  </r>
  <r>
    <x v="35"/>
    <x v="56"/>
    <n v="0.37226847299999999"/>
    <n v="0.42234285700000002"/>
    <n v="6"/>
    <n v="7.7388535031847132"/>
  </r>
  <r>
    <x v="35"/>
    <x v="43"/>
    <n v="0.62643652800000005"/>
    <n v="0.57808694400000005"/>
    <n v="5"/>
    <n v="4.8726114649681529"/>
  </r>
  <r>
    <x v="35"/>
    <x v="43"/>
    <n v="0.62643652800000005"/>
    <n v="0.57808694400000005"/>
    <n v="4"/>
    <n v="13.933121019108281"/>
  </r>
  <r>
    <x v="35"/>
    <x v="43"/>
    <n v="0.62643652800000005"/>
    <n v="0.57808694400000005"/>
    <n v="5"/>
    <n v="17.86687898089172"/>
  </r>
  <r>
    <x v="35"/>
    <x v="36"/>
    <n v="0.39984676499999999"/>
    <n v="0.450333333"/>
    <n v="9"/>
    <n v="14.840764331210192"/>
  </r>
  <r>
    <x v="35"/>
    <x v="36"/>
    <n v="0.39984676499999999"/>
    <n v="0.450333333"/>
    <n v="10"/>
    <n v="19.267515923566879"/>
  </r>
  <r>
    <x v="35"/>
    <x v="36"/>
    <n v="0.39984676499999999"/>
    <n v="0.450333333"/>
    <n v="8"/>
    <n v="45.317834394904459"/>
  </r>
  <r>
    <x v="35"/>
    <x v="23"/>
    <n v="0.590536375"/>
    <n v="0.61247410899999999"/>
    <n v="6"/>
    <n v="7.1019108280254777"/>
  </r>
  <r>
    <x v="35"/>
    <x v="23"/>
    <n v="0.590536375"/>
    <n v="0.61247410899999999"/>
    <n v="8"/>
    <n v="13.280254777070065"/>
  </r>
  <r>
    <x v="35"/>
    <x v="23"/>
    <n v="0.590536375"/>
    <n v="0.61247410899999999"/>
    <n v="9"/>
    <n v="17.611464968152866"/>
  </r>
  <r>
    <x v="35"/>
    <x v="23"/>
    <n v="0.590536375"/>
    <n v="0.61247410899999999"/>
    <n v="6"/>
    <n v="29.822292993630573"/>
  </r>
  <r>
    <x v="35"/>
    <x v="23"/>
    <n v="0.590536375"/>
    <n v="0.61247410899999999"/>
    <n v="8"/>
    <n v="37.867515923566884"/>
  </r>
  <r>
    <x v="35"/>
    <x v="23"/>
    <n v="0.590536375"/>
    <n v="0.61247410899999999"/>
    <n v="8"/>
    <n v="52.650318471337577"/>
  </r>
  <r>
    <x v="35"/>
    <x v="23"/>
    <n v="0.590536375"/>
    <n v="0.61247410899999999"/>
    <n v="9"/>
    <n v="60.147133757961782"/>
  </r>
  <r>
    <x v="35"/>
    <x v="23"/>
    <n v="0.590536375"/>
    <n v="0.61247410899999999"/>
    <n v="12"/>
    <n v="63.994267515923568"/>
  </r>
  <r>
    <x v="35"/>
    <x v="29"/>
    <n v="0.40238543599999999"/>
    <n v="0.40883333300000002"/>
    <n v="7"/>
    <n v="10.636942675159235"/>
  </r>
  <r>
    <x v="36"/>
    <x v="45"/>
    <n v="0.31264018999999998"/>
    <n v="0.356821212"/>
    <n v="5"/>
    <n v="14.171974522292993"/>
  </r>
  <r>
    <x v="36"/>
    <x v="45"/>
    <n v="0.31264018999999998"/>
    <n v="0.356821212"/>
    <n v="9"/>
    <n v="27.515923566878982"/>
  </r>
  <r>
    <x v="36"/>
    <x v="53"/>
    <n v="0.6"/>
    <n v="0.66674999999999995"/>
    <n v="7"/>
    <n v="10.891719745222931"/>
  </r>
  <r>
    <x v="36"/>
    <x v="53"/>
    <n v="0.6"/>
    <n v="0.66674999999999995"/>
    <n v="6.5"/>
    <n v="12.32484076433121"/>
  </r>
  <r>
    <x v="36"/>
    <x v="64"/>
    <n v="0.6"/>
    <n v="0.51040266700000003"/>
    <n v="8"/>
    <n v="72.045222929936301"/>
  </r>
  <r>
    <x v="36"/>
    <x v="64"/>
    <n v="0.6"/>
    <n v="0.51040266700000003"/>
    <n v="9"/>
    <n v="10.350318471337578"/>
  </r>
  <r>
    <x v="36"/>
    <x v="64"/>
    <n v="0.6"/>
    <n v="0.51040266700000003"/>
    <n v="11"/>
    <n v="29.005732484076432"/>
  </r>
  <r>
    <x v="36"/>
    <x v="43"/>
    <n v="0.62643652800000005"/>
    <n v="0.57808694400000005"/>
    <n v="5"/>
    <n v="6.5286624203821653"/>
  </r>
  <r>
    <x v="36"/>
    <x v="43"/>
    <n v="0.62643652800000005"/>
    <n v="0.57808694400000005"/>
    <n v="5"/>
    <n v="6.6242038216560513"/>
  </r>
  <r>
    <x v="36"/>
    <x v="43"/>
    <n v="0.62643652800000005"/>
    <n v="0.57808694400000005"/>
    <n v="4"/>
    <n v="16.376433121019108"/>
  </r>
  <r>
    <x v="36"/>
    <x v="43"/>
    <n v="0.62643652800000005"/>
    <n v="0.57808694400000005"/>
    <n v="5.5"/>
    <n v="16.448407643312102"/>
  </r>
  <r>
    <x v="36"/>
    <x v="43"/>
    <n v="0.62643652800000005"/>
    <n v="0.57808694400000005"/>
    <n v="6"/>
    <n v="21.91783439490446"/>
  </r>
  <r>
    <x v="36"/>
    <x v="36"/>
    <n v="0.39984676499999999"/>
    <n v="0.450333333"/>
    <n v="13"/>
    <n v="17.261146496815286"/>
  </r>
  <r>
    <x v="36"/>
    <x v="23"/>
    <n v="0.590536375"/>
    <n v="0.61247410899999999"/>
    <n v="9"/>
    <n v="41.731210191082802"/>
  </r>
  <r>
    <x v="36"/>
    <x v="23"/>
    <n v="0.590536375"/>
    <n v="0.61247410899999999"/>
    <n v="10"/>
    <n v="66.91783439490446"/>
  </r>
  <r>
    <x v="36"/>
    <x v="23"/>
    <n v="0.590536375"/>
    <n v="0.61247410899999999"/>
    <n v="11"/>
    <n v="101.86369426751592"/>
  </r>
  <r>
    <x v="36"/>
    <x v="48"/>
    <n v="0.39"/>
    <n v="0.28861111099999998"/>
    <n v="4.5"/>
    <n v="29.359235668789808"/>
  </r>
  <r>
    <x v="37"/>
    <x v="47"/>
    <n v="0.43916666700000001"/>
    <n v="0.51877777800000002"/>
    <n v="4"/>
    <n v="5.1910828025477711"/>
  </r>
  <r>
    <x v="37"/>
    <x v="65"/>
    <n v="0.56572270000000002"/>
    <n v="0.61247410899999999"/>
    <n v="6"/>
    <n v="28.115286624203822"/>
  </r>
  <r>
    <x v="37"/>
    <x v="66"/>
    <n v="0.46921933300000002"/>
    <n v="0.46713991199999999"/>
    <n v="5"/>
    <n v="21.777707006369425"/>
  </r>
  <r>
    <x v="37"/>
    <x v="5"/>
    <n v="0.45255480399999998"/>
    <n v="0.57808694400000005"/>
    <n v="8"/>
    <n v="44.621019108280251"/>
  </r>
  <r>
    <x v="37"/>
    <x v="36"/>
    <n v="0.39984676499999999"/>
    <n v="0.450333333"/>
    <n v="7"/>
    <n v="61.585350318471342"/>
  </r>
  <r>
    <x v="37"/>
    <x v="67"/>
    <n v="0.56572270000000002"/>
    <n v="0.61247410899999999"/>
    <n v="6"/>
    <n v="27.028025477707004"/>
  </r>
  <r>
    <x v="37"/>
    <x v="68"/>
    <n v="0.56023871300000005"/>
    <n v="0.74103703700000001"/>
    <n v="6"/>
    <n v="12.611464968152866"/>
  </r>
  <r>
    <x v="37"/>
    <x v="62"/>
    <n v="0.53168696000000004"/>
    <n v="0.61247410899999999"/>
    <n v="9"/>
    <n v="10.318471337579616"/>
  </r>
  <r>
    <x v="37"/>
    <x v="62"/>
    <n v="0.53168696000000004"/>
    <n v="0.61247410899999999"/>
    <n v="6"/>
    <n v="35.389808917197456"/>
  </r>
  <r>
    <x v="37"/>
    <x v="69"/>
    <n v="0.432770245"/>
    <n v="0.61247410899999999"/>
    <n v="5"/>
    <n v="60.509554140127392"/>
  </r>
  <r>
    <x v="37"/>
    <x v="70"/>
    <n v="0.98708677300000003"/>
    <n v="0.60285714300000004"/>
    <n v="7"/>
    <n v="32.536305732484081"/>
  </r>
  <r>
    <x v="37"/>
    <x v="70"/>
    <n v="0.98708677300000003"/>
    <n v="0.60285714300000004"/>
    <n v="6"/>
    <n v="58.191719745222926"/>
  </r>
  <r>
    <x v="37"/>
    <x v="70"/>
    <n v="0.98708677300000003"/>
    <n v="0.60285714300000004"/>
    <n v="9"/>
    <n v="71.001910828025487"/>
  </r>
  <r>
    <x v="37"/>
    <x v="41"/>
    <n v="0.693333333"/>
    <n v="0.64166666699999997"/>
    <n v="6.8"/>
    <n v="20.563057324840763"/>
  </r>
  <r>
    <x v="37"/>
    <x v="41"/>
    <n v="0.693333333"/>
    <n v="0.64166666699999997"/>
    <n v="6"/>
    <n v="8.1847133757961785"/>
  </r>
  <r>
    <x v="38"/>
    <x v="49"/>
    <n v="0.86"/>
    <n v="0.65666666699999998"/>
    <n v="7"/>
    <n v="8.4394904458598727"/>
  </r>
  <r>
    <x v="38"/>
    <x v="31"/>
    <n v="0.40257753800000001"/>
    <n v="0.40843333300000001"/>
    <n v="6"/>
    <n v="23.346496815286624"/>
  </r>
  <r>
    <x v="38"/>
    <x v="12"/>
    <n v="0.80908761900000004"/>
    <n v="0.87473809499999999"/>
    <n v="8"/>
    <n v="22.738853503184714"/>
  </r>
  <r>
    <x v="38"/>
    <x v="53"/>
    <n v="0.6"/>
    <n v="0.66674999999999995"/>
    <n v="5"/>
    <n v="6.114649681528662"/>
  </r>
  <r>
    <x v="38"/>
    <x v="5"/>
    <n v="0.45255480399999998"/>
    <n v="0.57808694400000005"/>
    <n v="6"/>
    <n v="35.421656050955413"/>
  </r>
  <r>
    <x v="38"/>
    <x v="5"/>
    <n v="0.45255480399999998"/>
    <n v="0.57808694400000005"/>
    <n v="5"/>
    <n v="11.369426751592357"/>
  </r>
  <r>
    <x v="38"/>
    <x v="5"/>
    <n v="0.45255480399999998"/>
    <n v="0.57808694400000005"/>
    <n v="5.5"/>
    <n v="21.56751592356688"/>
  </r>
  <r>
    <x v="38"/>
    <x v="5"/>
    <n v="0.45255480399999998"/>
    <n v="0.57808694400000005"/>
    <n v="5"/>
    <n v="21.140764331210192"/>
  </r>
  <r>
    <x v="38"/>
    <x v="5"/>
    <n v="0.45255480399999998"/>
    <n v="0.57808694400000005"/>
    <n v="6"/>
    <n v="25.640127388535031"/>
  </r>
  <r>
    <x v="38"/>
    <x v="36"/>
    <n v="0.39984676499999999"/>
    <n v="0.450333333"/>
    <n v="8"/>
    <n v="44.068789808917195"/>
  </r>
  <r>
    <x v="38"/>
    <x v="36"/>
    <n v="0.39984676499999999"/>
    <n v="0.450333333"/>
    <n v="9"/>
    <n v="54.057961783439488"/>
  </r>
  <r>
    <x v="38"/>
    <x v="71"/>
    <n v="0.85750000000000004"/>
    <n v="0.61247410899999999"/>
    <n v="7"/>
    <n v="78.634394904458588"/>
  </r>
  <r>
    <x v="38"/>
    <x v="69"/>
    <n v="0.432770245"/>
    <n v="0.61247410899999999"/>
    <n v="5"/>
    <n v="9.7133757961783438"/>
  </r>
  <r>
    <x v="38"/>
    <x v="48"/>
    <n v="0.39"/>
    <n v="0.28861111099999998"/>
    <n v="6"/>
    <n v="18.754140127388535"/>
  </r>
  <r>
    <x v="38"/>
    <x v="14"/>
    <n v="0.48464433800000001"/>
    <n v="0.62688577999999995"/>
    <n v="5"/>
    <n v="67.557961783439495"/>
  </r>
  <r>
    <x v="38"/>
    <x v="70"/>
    <n v="0.98708677300000003"/>
    <n v="0.60285714300000004"/>
    <n v="7"/>
    <n v="5.5414012738853495"/>
  </r>
  <r>
    <x v="38"/>
    <x v="63"/>
    <n v="0.470857311"/>
    <n v="0.375"/>
    <n v="5"/>
    <n v="61.340764331210188"/>
  </r>
  <r>
    <x v="38"/>
    <x v="59"/>
    <n v="0.28577490700000002"/>
    <n v="0.3422"/>
    <n v="6"/>
    <n v="6.8471337579617835"/>
  </r>
  <r>
    <x v="39"/>
    <x v="49"/>
    <n v="0.86"/>
    <n v="0.65666666699999998"/>
    <n v="8"/>
    <n v="13.535031847133757"/>
  </r>
  <r>
    <x v="39"/>
    <x v="39"/>
    <n v="0.41"/>
    <n v="0.33983503399999998"/>
    <n v="7"/>
    <n v="5.1910828025477711"/>
  </r>
  <r>
    <x v="39"/>
    <x v="72"/>
    <n v="0.64800000000000002"/>
    <n v="0.66733333299999997"/>
    <n v="7"/>
    <n v="8.6942675159235669"/>
  </r>
  <r>
    <x v="39"/>
    <x v="53"/>
    <n v="0.6"/>
    <n v="0.66674999999999995"/>
    <n v="6"/>
    <n v="8.1847133757961785"/>
  </r>
  <r>
    <x v="39"/>
    <x v="64"/>
    <n v="0.6"/>
    <n v="0.51040266700000003"/>
    <n v="8"/>
    <n v="37.028662420382162"/>
  </r>
  <r>
    <x v="39"/>
    <x v="73"/>
    <n v="0.51642601200000005"/>
    <n v="0.60835714299999999"/>
    <n v="4"/>
    <n v="3.9808917197452227"/>
  </r>
  <r>
    <x v="39"/>
    <x v="74"/>
    <n v="0.490852183"/>
    <n v="0.607288889"/>
    <n v="4"/>
    <n v="3.9490445859872612"/>
  </r>
  <r>
    <x v="39"/>
    <x v="74"/>
    <n v="0.490852183"/>
    <n v="0.607288889"/>
    <n v="5"/>
    <n v="4.6178343949044587"/>
  </r>
  <r>
    <x v="39"/>
    <x v="5"/>
    <n v="0.45255480399999998"/>
    <n v="0.57808694400000005"/>
    <n v="9"/>
    <n v="103.62165605095541"/>
  </r>
  <r>
    <x v="39"/>
    <x v="5"/>
    <n v="0.45255480399999998"/>
    <n v="0.57808694400000005"/>
    <n v="10"/>
    <n v="114.11210191082803"/>
  </r>
  <r>
    <x v="39"/>
    <x v="36"/>
    <n v="0.39984676499999999"/>
    <n v="0.450333333"/>
    <n v="9"/>
    <n v="20.445859872611464"/>
  </r>
  <r>
    <x v="39"/>
    <x v="23"/>
    <n v="0.590536375"/>
    <n v="0.61247410899999999"/>
    <n v="7"/>
    <n v="52.821019108280254"/>
  </r>
  <r>
    <x v="39"/>
    <x v="14"/>
    <n v="0.48464433800000001"/>
    <n v="0.62688577999999995"/>
    <n v="7"/>
    <n v="10"/>
  </r>
  <r>
    <x v="39"/>
    <x v="29"/>
    <n v="0.40238543599999999"/>
    <n v="0.40883333300000002"/>
    <n v="6"/>
    <n v="10.318471337579616"/>
  </r>
  <r>
    <x v="39"/>
    <x v="29"/>
    <n v="0.40238543599999999"/>
    <n v="0.40883333300000002"/>
    <n v="8"/>
    <n v="11.687898089171975"/>
  </r>
  <r>
    <x v="39"/>
    <x v="29"/>
    <n v="0.40238543599999999"/>
    <n v="0.40883333300000002"/>
    <n v="7"/>
    <n v="12.579617834394904"/>
  </r>
  <r>
    <x v="40"/>
    <x v="31"/>
    <n v="0.40257753800000001"/>
    <n v="0.40843333300000001"/>
    <n v="8"/>
    <n v="11.942675159235668"/>
  </r>
  <r>
    <x v="40"/>
    <x v="45"/>
    <n v="0.31264018999999998"/>
    <n v="0.356821212"/>
    <n v="4.5"/>
    <n v="12.834394904458597"/>
  </r>
  <r>
    <x v="40"/>
    <x v="72"/>
    <n v="0.64800000000000002"/>
    <n v="0.66733333299999997"/>
    <n v="7"/>
    <n v="9.1082802547770694"/>
  </r>
  <r>
    <x v="40"/>
    <x v="65"/>
    <n v="0.56572270000000002"/>
    <n v="0.61247410899999999"/>
    <n v="8"/>
    <n v="31.370063694267515"/>
  </r>
  <r>
    <x v="40"/>
    <x v="64"/>
    <n v="0.6"/>
    <n v="0.51040266700000003"/>
    <n v="6"/>
    <n v="80.32101910828024"/>
  </r>
  <r>
    <x v="40"/>
    <x v="74"/>
    <n v="0.490852183"/>
    <n v="0.607288889"/>
    <n v="6"/>
    <n v="6.7515923566878975"/>
  </r>
  <r>
    <x v="40"/>
    <x v="5"/>
    <n v="0.45255480399999998"/>
    <n v="0.57808694400000005"/>
    <n v="6"/>
    <n v="19.962420382165604"/>
  </r>
  <r>
    <x v="40"/>
    <x v="5"/>
    <n v="0.45255480399999998"/>
    <n v="0.57808694400000005"/>
    <n v="7"/>
    <n v="29.359872611464969"/>
  </r>
  <r>
    <x v="40"/>
    <x v="36"/>
    <n v="0.39984676499999999"/>
    <n v="0.450333333"/>
    <n v="8"/>
    <n v="19.840764331210188"/>
  </r>
  <r>
    <x v="40"/>
    <x v="68"/>
    <n v="0.56023871300000005"/>
    <n v="0.74103703700000001"/>
    <n v="6"/>
    <n v="7.484076433121019"/>
  </r>
  <r>
    <x v="40"/>
    <x v="13"/>
    <n v="0.50857142899999996"/>
    <n v="0.49666666700000001"/>
    <n v="6"/>
    <n v="8.503184713375795"/>
  </r>
  <r>
    <x v="40"/>
    <x v="13"/>
    <n v="0.50857142899999996"/>
    <n v="0.49666666700000001"/>
    <n v="8"/>
    <n v="60.440127388535032"/>
  </r>
  <r>
    <x v="40"/>
    <x v="48"/>
    <n v="0.39"/>
    <n v="0.28861111099999998"/>
    <n v="6"/>
    <n v="12.802547770700638"/>
  </r>
  <r>
    <x v="40"/>
    <x v="17"/>
    <n v="0.65716857299999998"/>
    <n v="0.85527777800000004"/>
    <n v="5"/>
    <n v="7.484076433121019"/>
  </r>
  <r>
    <x v="40"/>
    <x v="75"/>
    <n v="0.84850681500000003"/>
    <n v="0.85527777800000004"/>
    <n v="10"/>
    <n v="14.840764331210192"/>
  </r>
  <r>
    <x v="40"/>
    <x v="29"/>
    <n v="0.40238543599999999"/>
    <n v="0.40883333300000002"/>
    <n v="8"/>
    <n v="11.847133757961783"/>
  </r>
  <r>
    <x v="40"/>
    <x v="29"/>
    <n v="0.40238543599999999"/>
    <n v="0.40883333300000002"/>
    <n v="8"/>
    <n v="14.203821656050955"/>
  </r>
  <r>
    <x v="40"/>
    <x v="29"/>
    <n v="0.40238543599999999"/>
    <n v="0.40883333300000002"/>
    <n v="8"/>
    <n v="14.808917197452228"/>
  </r>
  <r>
    <x v="40"/>
    <x v="70"/>
    <n v="0.98708677300000003"/>
    <n v="0.60285714300000004"/>
    <n v="7"/>
    <n v="44.022292993630572"/>
  </r>
  <r>
    <x v="41"/>
    <x v="12"/>
    <n v="0.80908761900000004"/>
    <n v="0.87473809499999999"/>
    <n v="6"/>
    <n v="7.1019108280254777"/>
  </r>
  <r>
    <x v="41"/>
    <x v="12"/>
    <n v="0.80908761900000004"/>
    <n v="0.87473809499999999"/>
    <n v="8"/>
    <n v="6.5605095541401273"/>
  </r>
  <r>
    <x v="41"/>
    <x v="12"/>
    <n v="0.80908761900000004"/>
    <n v="0.87473809499999999"/>
    <n v="7"/>
    <n v="8.4713375796178347"/>
  </r>
  <r>
    <x v="41"/>
    <x v="12"/>
    <n v="0.80908761900000004"/>
    <n v="0.87473809499999999"/>
    <n v="8"/>
    <n v="11.273885350318471"/>
  </r>
  <r>
    <x v="41"/>
    <x v="12"/>
    <n v="0.80908761900000004"/>
    <n v="0.87473809499999999"/>
    <n v="8"/>
    <n v="13.471337579617833"/>
  </r>
  <r>
    <x v="41"/>
    <x v="12"/>
    <n v="0.80908761900000004"/>
    <n v="0.87473809499999999"/>
    <n v="8"/>
    <n v="14.458598726114648"/>
  </r>
  <r>
    <x v="41"/>
    <x v="53"/>
    <n v="0.6"/>
    <n v="0.66674999999999995"/>
    <n v="6.5"/>
    <n v="4.8726114649681529"/>
  </r>
  <r>
    <x v="41"/>
    <x v="5"/>
    <n v="0.45255480399999998"/>
    <n v="0.57808694400000005"/>
    <n v="3"/>
    <n v="4.2675159235668794"/>
  </r>
  <r>
    <x v="41"/>
    <x v="50"/>
    <n v="0.43538739399999998"/>
    <n v="0.568333333"/>
    <n v="2"/>
    <n v="4.2038216560509554"/>
  </r>
  <r>
    <x v="41"/>
    <x v="67"/>
    <n v="0.56572270000000002"/>
    <n v="0.61247410899999999"/>
    <n v="4.5"/>
    <n v="5.8280254777070066"/>
  </r>
  <r>
    <x v="41"/>
    <x v="71"/>
    <n v="0.85750000000000004"/>
    <n v="0.61247410899999999"/>
    <n v="5"/>
    <n v="5.5732484076433115"/>
  </r>
  <r>
    <x v="41"/>
    <x v="29"/>
    <n v="0.40238543599999999"/>
    <n v="0.40883333300000002"/>
    <n v="7"/>
    <n v="12.32484076433121"/>
  </r>
  <r>
    <x v="41"/>
    <x v="70"/>
    <n v="0.98708677300000003"/>
    <n v="0.60285714300000004"/>
    <n v="9"/>
    <n v="17.67515923566879"/>
  </r>
  <r>
    <x v="41"/>
    <x v="70"/>
    <n v="0.98708677300000003"/>
    <n v="0.60285714300000004"/>
    <n v="8"/>
    <n v="46.465605095541399"/>
  </r>
  <r>
    <x v="41"/>
    <x v="70"/>
    <n v="0.98708677300000003"/>
    <n v="0.60285714300000004"/>
    <n v="10"/>
    <n v="88.566242038216558"/>
  </r>
  <r>
    <x v="42"/>
    <x v="53"/>
    <n v="0.6"/>
    <n v="0.66674999999999995"/>
    <n v="3"/>
    <n v="4.4585987261146496"/>
  </r>
  <r>
    <x v="42"/>
    <x v="21"/>
    <n v="0.39790071399999999"/>
    <n v="0.50565277799999997"/>
    <n v="4.5"/>
    <n v="7.0063694267515917"/>
  </r>
  <r>
    <x v="42"/>
    <x v="43"/>
    <n v="0.62643652800000005"/>
    <n v="0.57808694400000005"/>
    <n v="5"/>
    <n v="4.2356687898089174"/>
  </r>
  <r>
    <x v="42"/>
    <x v="24"/>
    <n v="0.56193137999999998"/>
    <n v="0.57808694400000005"/>
    <n v="4.5"/>
    <n v="20.859872611464969"/>
  </r>
  <r>
    <x v="42"/>
    <x v="24"/>
    <n v="0.56193137999999998"/>
    <n v="0.57808694400000005"/>
    <n v="7"/>
    <n v="24.522292993630572"/>
  </r>
  <r>
    <x v="42"/>
    <x v="24"/>
    <n v="0.56193137999999998"/>
    <n v="0.57808694400000005"/>
    <n v="8"/>
    <n v="21.656050955414013"/>
  </r>
  <r>
    <x v="42"/>
    <x v="24"/>
    <n v="0.56193137999999998"/>
    <n v="0.57808694400000005"/>
    <n v="8"/>
    <n v="17.515923566878982"/>
  </r>
  <r>
    <x v="42"/>
    <x v="24"/>
    <n v="0.56193137999999998"/>
    <n v="0.57808694400000005"/>
    <n v="6"/>
    <n v="8.9171974522292992"/>
  </r>
  <r>
    <x v="42"/>
    <x v="24"/>
    <n v="0.56193137999999998"/>
    <n v="0.57808694400000005"/>
    <n v="7.5"/>
    <n v="31.050955414012737"/>
  </r>
  <r>
    <x v="42"/>
    <x v="71"/>
    <n v="0.85750000000000004"/>
    <n v="0.61247410899999999"/>
    <n v="2.7"/>
    <n v="4.1401273885350314"/>
  </r>
  <r>
    <x v="42"/>
    <x v="71"/>
    <n v="0.85750000000000004"/>
    <n v="0.61247410899999999"/>
    <n v="2"/>
    <n v="5.0955414012738851"/>
  </r>
  <r>
    <x v="42"/>
    <x v="71"/>
    <n v="0.85750000000000004"/>
    <n v="0.61247410899999999"/>
    <n v="4.5"/>
    <n v="11.624203821656051"/>
  </r>
  <r>
    <x v="42"/>
    <x v="71"/>
    <n v="0.85750000000000004"/>
    <n v="0.61247410899999999"/>
    <n v="6.5"/>
    <n v="11.942675159235668"/>
  </r>
  <r>
    <x v="42"/>
    <x v="71"/>
    <n v="0.85750000000000004"/>
    <n v="0.61247410899999999"/>
    <n v="4.5"/>
    <n v="6.6878980891719744"/>
  </r>
  <r>
    <x v="42"/>
    <x v="71"/>
    <n v="0.85750000000000004"/>
    <n v="0.61247410899999999"/>
    <n v="3.5"/>
    <n v="6.6878980891719744"/>
  </r>
  <r>
    <x v="42"/>
    <x v="71"/>
    <n v="0.85750000000000004"/>
    <n v="0.61247410899999999"/>
    <n v="5.5"/>
    <n v="3.6624203821656049"/>
  </r>
  <r>
    <x v="42"/>
    <x v="71"/>
    <n v="0.85750000000000004"/>
    <n v="0.61247410899999999"/>
    <n v="6.5"/>
    <n v="19.331210191082803"/>
  </r>
  <r>
    <x v="42"/>
    <x v="71"/>
    <n v="0.85750000000000004"/>
    <n v="0.61247410899999999"/>
    <n v="7"/>
    <n v="8.7579617834394909"/>
  </r>
  <r>
    <x v="42"/>
    <x v="71"/>
    <n v="0.85750000000000004"/>
    <n v="0.61247410899999999"/>
    <n v="8"/>
    <n v="51.910828025477706"/>
  </r>
  <r>
    <x v="42"/>
    <x v="17"/>
    <n v="0.65716857299999998"/>
    <n v="0.85527777800000004"/>
    <n v="1.9"/>
    <n v="6.5286624203821653"/>
  </r>
  <r>
    <x v="42"/>
    <x v="17"/>
    <n v="0.65716857299999998"/>
    <n v="0.85527777800000004"/>
    <n v="1.5"/>
    <n v="1.2738853503184713"/>
  </r>
  <r>
    <x v="42"/>
    <x v="76"/>
    <n v="0.52520999999999995"/>
    <n v="0.58666666700000003"/>
    <n v="7"/>
    <n v="4.6178343949044587"/>
  </r>
  <r>
    <x v="42"/>
    <x v="10"/>
    <n v="0.76500000000000001"/>
    <n v="0.61247410899999999"/>
    <n v="7"/>
    <n v="23.726114649681527"/>
  </r>
  <r>
    <x v="42"/>
    <x v="77"/>
    <n v="0.68500000000000005"/>
    <n v="0.54"/>
    <n v="2.5"/>
    <n v="5.7324840764331206"/>
  </r>
  <r>
    <x v="42"/>
    <x v="77"/>
    <n v="0.68500000000000005"/>
    <n v="0.54"/>
    <n v="4.5"/>
    <n v="2.5477707006369426"/>
  </r>
  <r>
    <x v="42"/>
    <x v="78"/>
    <n v="0.50016547600000005"/>
    <n v="0.61774072899999999"/>
    <n v="2"/>
    <n v="1.592356687898089"/>
  </r>
  <r>
    <x v="43"/>
    <x v="40"/>
    <n v="0.9"/>
    <n v="0.61247410899999999"/>
    <n v="4"/>
    <n v="2.5477707006369426"/>
  </r>
  <r>
    <x v="43"/>
    <x v="24"/>
    <n v="0.56193137999999998"/>
    <n v="0.57808694400000005"/>
    <n v="5"/>
    <n v="9.0764331210191074"/>
  </r>
  <r>
    <x v="43"/>
    <x v="24"/>
    <n v="0.56193137999999998"/>
    <n v="0.57808694400000005"/>
    <n v="6"/>
    <n v="6.6878980891719744"/>
  </r>
  <r>
    <x v="43"/>
    <x v="24"/>
    <n v="0.56193137999999998"/>
    <n v="0.57808694400000005"/>
    <n v="6"/>
    <n v="5.2547770700636942"/>
  </r>
  <r>
    <x v="43"/>
    <x v="24"/>
    <n v="0.56193137999999998"/>
    <n v="0.57808694400000005"/>
    <n v="6"/>
    <n v="9.5541401273885338"/>
  </r>
  <r>
    <x v="43"/>
    <x v="24"/>
    <n v="0.56193137999999998"/>
    <n v="0.57808694400000005"/>
    <n v="5.7"/>
    <n v="25.159235668789808"/>
  </r>
  <r>
    <x v="43"/>
    <x v="24"/>
    <n v="0.56193137999999998"/>
    <n v="0.57808694400000005"/>
    <n v="6.3"/>
    <n v="13.694267515923567"/>
  </r>
  <r>
    <x v="43"/>
    <x v="79"/>
    <n v="0.84088890000000005"/>
    <n v="0.84088888900000003"/>
    <n v="9"/>
    <n v="25.477707006369425"/>
  </r>
  <r>
    <x v="43"/>
    <x v="71"/>
    <n v="0.85750000000000004"/>
    <n v="0.61247410899999999"/>
    <n v="2.5"/>
    <n v="1.910828025477707"/>
  </r>
  <r>
    <x v="43"/>
    <x v="71"/>
    <n v="0.85750000000000004"/>
    <n v="0.61247410899999999"/>
    <n v="4"/>
    <n v="3.6624203821656049"/>
  </r>
  <r>
    <x v="43"/>
    <x v="71"/>
    <n v="0.85750000000000004"/>
    <n v="0.61247410899999999"/>
    <n v="7.5"/>
    <n v="12.261146496815286"/>
  </r>
  <r>
    <x v="43"/>
    <x v="71"/>
    <n v="0.85750000000000004"/>
    <n v="0.61247410899999999"/>
    <n v="3"/>
    <n v="4.1401273885350314"/>
  </r>
  <r>
    <x v="43"/>
    <x v="71"/>
    <n v="0.85750000000000004"/>
    <n v="0.61247410899999999"/>
    <n v="6.5"/>
    <n v="3.3439490445859872"/>
  </r>
  <r>
    <x v="43"/>
    <x v="71"/>
    <n v="0.85750000000000004"/>
    <n v="0.61247410899999999"/>
    <n v="6"/>
    <n v="6.2101910828025479"/>
  </r>
  <r>
    <x v="43"/>
    <x v="7"/>
    <n v="0.74387999999999999"/>
    <n v="0.59130000000000005"/>
    <n v="3.7"/>
    <n v="5.0955414012738851"/>
  </r>
  <r>
    <x v="43"/>
    <x v="17"/>
    <n v="0.65716857299999998"/>
    <n v="0.85527777800000004"/>
    <n v="2"/>
    <n v="2.5477707006369426"/>
  </r>
  <r>
    <x v="43"/>
    <x v="17"/>
    <n v="0.65716857299999998"/>
    <n v="0.85527777800000004"/>
    <n v="2.5"/>
    <n v="2.7070063694267517"/>
  </r>
  <r>
    <x v="43"/>
    <x v="76"/>
    <n v="0.52520999999999995"/>
    <n v="0.58666666700000003"/>
    <n v="5.5"/>
    <n v="7.1656050955414008"/>
  </r>
  <r>
    <x v="43"/>
    <x v="76"/>
    <n v="0.52520999999999995"/>
    <n v="0.58666666700000003"/>
    <n v="5.2"/>
    <n v="9.5541401273885338"/>
  </r>
  <r>
    <x v="43"/>
    <x v="10"/>
    <n v="0.76500000000000001"/>
    <n v="0.61247410899999999"/>
    <n v="9.5"/>
    <n v="26.273885350318469"/>
  </r>
  <r>
    <x v="43"/>
    <x v="10"/>
    <n v="0.76500000000000001"/>
    <n v="0.61247410899999999"/>
    <n v="9.5"/>
    <n v="18.789808917197451"/>
  </r>
  <r>
    <x v="44"/>
    <x v="12"/>
    <n v="0.80908761900000004"/>
    <n v="0.87473809499999999"/>
    <n v="5.5"/>
    <n v="27.70700636942675"/>
  </r>
  <r>
    <x v="44"/>
    <x v="53"/>
    <n v="0.6"/>
    <n v="0.66674999999999995"/>
    <n v="6.5"/>
    <n v="3.5031847133757958"/>
  </r>
  <r>
    <x v="44"/>
    <x v="54"/>
    <n v="0.59"/>
    <n v="0.59"/>
    <n v="2"/>
    <n v="12.579617834394904"/>
  </r>
  <r>
    <x v="44"/>
    <x v="21"/>
    <n v="0.39790071399999999"/>
    <n v="0.50565277799999997"/>
    <n v="8.5"/>
    <n v="15.031847133757962"/>
  </r>
  <r>
    <x v="44"/>
    <x v="46"/>
    <n v="0.55560299999999996"/>
    <n v="0.55961111100000005"/>
    <n v="10"/>
    <n v="21.496815286624201"/>
  </r>
  <r>
    <x v="44"/>
    <x v="71"/>
    <n v="0.85750000000000004"/>
    <n v="0.61247410899999999"/>
    <n v="8.5"/>
    <n v="45.70063694267516"/>
  </r>
  <r>
    <x v="44"/>
    <x v="7"/>
    <n v="0.74387999999999999"/>
    <n v="0.59130000000000005"/>
    <n v="5"/>
    <n v="17.292993630573246"/>
  </r>
  <r>
    <x v="44"/>
    <x v="76"/>
    <n v="0.52520999999999995"/>
    <n v="0.58666666700000003"/>
    <n v="6"/>
    <n v="23.407643312101911"/>
  </r>
  <r>
    <x v="44"/>
    <x v="76"/>
    <n v="0.52520999999999995"/>
    <n v="0.58666666700000003"/>
    <n v="5"/>
    <n v="15.509554140127388"/>
  </r>
  <r>
    <x v="45"/>
    <x v="21"/>
    <n v="0.39790071399999999"/>
    <n v="0.50565277799999997"/>
    <n v="4.5"/>
    <n v="10.828025477707007"/>
  </r>
  <r>
    <x v="45"/>
    <x v="27"/>
    <n v="0.81991655299999999"/>
    <n v="0.72276027399999998"/>
    <n v="2"/>
    <n v="2.8662420382165603"/>
  </r>
  <r>
    <x v="45"/>
    <x v="24"/>
    <n v="0.56193137999999998"/>
    <n v="0.57808694400000005"/>
    <n v="6"/>
    <n v="30.414012738853501"/>
  </r>
  <r>
    <x v="45"/>
    <x v="79"/>
    <n v="0.84088890000000005"/>
    <n v="0.84088888900000003"/>
    <n v="10"/>
    <n v="20.38216560509554"/>
  </r>
  <r>
    <x v="45"/>
    <x v="79"/>
    <n v="0.84088890000000005"/>
    <n v="0.84088888900000003"/>
    <n v="9"/>
    <n v="17.834394904458598"/>
  </r>
  <r>
    <x v="45"/>
    <x v="79"/>
    <n v="0.84088890000000005"/>
    <n v="0.84088888900000003"/>
    <n v="8.5"/>
    <n v="32.324840764331206"/>
  </r>
  <r>
    <x v="45"/>
    <x v="71"/>
    <n v="0.85750000000000004"/>
    <n v="0.61247410899999999"/>
    <n v="5"/>
    <n v="14.012738853503183"/>
  </r>
  <r>
    <x v="45"/>
    <x v="69"/>
    <n v="0.432770245"/>
    <n v="0.61247410899999999"/>
    <n v="3"/>
    <n v="2.8662420382165603"/>
  </r>
  <r>
    <x v="46"/>
    <x v="12"/>
    <n v="0.80908761900000004"/>
    <n v="0.87473809499999999"/>
    <n v="9.5"/>
    <n v="10.19108280254777"/>
  </r>
  <r>
    <x v="46"/>
    <x v="12"/>
    <n v="0.80908761900000004"/>
    <n v="0.87473809499999999"/>
    <n v="9.5"/>
    <n v="7.9617834394904454"/>
  </r>
  <r>
    <x v="46"/>
    <x v="53"/>
    <n v="0.6"/>
    <n v="0.66674999999999995"/>
    <n v="7"/>
    <n v="6.3694267515923562"/>
  </r>
  <r>
    <x v="46"/>
    <x v="53"/>
    <n v="0.6"/>
    <n v="0.66674999999999995"/>
    <n v="7.3"/>
    <n v="9.5541401273885338"/>
  </r>
  <r>
    <x v="46"/>
    <x v="53"/>
    <n v="0.6"/>
    <n v="0.66674999999999995"/>
    <n v="7.5"/>
    <n v="5.7324840764331206"/>
  </r>
  <r>
    <x v="46"/>
    <x v="21"/>
    <n v="0.39790071399999999"/>
    <n v="0.50565277799999997"/>
    <n v="6.5"/>
    <n v="7.3248407643312099"/>
  </r>
  <r>
    <x v="46"/>
    <x v="5"/>
    <n v="0.45255480399999998"/>
    <n v="0.57808694400000005"/>
    <n v="3.5"/>
    <n v="6.0509554140127388"/>
  </r>
  <r>
    <x v="46"/>
    <x v="5"/>
    <n v="0.45255480399999998"/>
    <n v="0.57808694400000005"/>
    <n v="6"/>
    <n v="24.840764331210192"/>
  </r>
  <r>
    <x v="46"/>
    <x v="43"/>
    <n v="0.62643652800000005"/>
    <n v="0.57808694400000005"/>
    <n v="4.5"/>
    <n v="15.286624203821656"/>
  </r>
  <r>
    <x v="46"/>
    <x v="43"/>
    <n v="0.62643652800000005"/>
    <n v="0.57808694400000005"/>
    <n v="4"/>
    <n v="9.2356687898089174"/>
  </r>
  <r>
    <x v="46"/>
    <x v="43"/>
    <n v="0.62643652800000005"/>
    <n v="0.57808694400000005"/>
    <n v="3.5"/>
    <n v="5.0955414012738851"/>
  </r>
  <r>
    <x v="46"/>
    <x v="43"/>
    <n v="0.62643652800000005"/>
    <n v="0.57808694400000005"/>
    <n v="5"/>
    <n v="6.0509554140127388"/>
  </r>
  <r>
    <x v="46"/>
    <x v="24"/>
    <n v="0.56193137999999998"/>
    <n v="0.57808694400000005"/>
    <n v="6"/>
    <n v="31.210191082802545"/>
  </r>
  <r>
    <x v="46"/>
    <x v="71"/>
    <n v="0.85750000000000004"/>
    <n v="0.61247410899999999"/>
    <n v="3.5"/>
    <n v="9.5541401273885338"/>
  </r>
  <r>
    <x v="46"/>
    <x v="71"/>
    <n v="0.85750000000000004"/>
    <n v="0.61247410899999999"/>
    <n v="6"/>
    <n v="6.6878980891719744"/>
  </r>
  <r>
    <x v="46"/>
    <x v="71"/>
    <n v="0.85750000000000004"/>
    <n v="0.61247410899999999"/>
    <n v="7"/>
    <n v="39.171974522292992"/>
  </r>
  <r>
    <x v="46"/>
    <x v="71"/>
    <n v="0.85750000000000004"/>
    <n v="0.61247410899999999"/>
    <n v="2.5"/>
    <n v="13.375796178343949"/>
  </r>
  <r>
    <x v="46"/>
    <x v="7"/>
    <n v="0.74387999999999999"/>
    <n v="0.59130000000000005"/>
    <n v="7"/>
    <n v="11.464968152866241"/>
  </r>
  <r>
    <x v="46"/>
    <x v="10"/>
    <n v="0.76500000000000001"/>
    <n v="0.61247410899999999"/>
    <n v="10"/>
    <n v="42.993630573248403"/>
  </r>
  <r>
    <x v="46"/>
    <x v="10"/>
    <n v="0.76500000000000001"/>
    <n v="0.61247410899999999"/>
    <n v="4.5"/>
    <n v="5.0955414012738851"/>
  </r>
  <r>
    <x v="46"/>
    <x v="10"/>
    <n v="0.76500000000000001"/>
    <n v="0.61247410899999999"/>
    <n v="8.5"/>
    <n v="29.936305732484076"/>
  </r>
  <r>
    <x v="46"/>
    <x v="10"/>
    <n v="0.76500000000000001"/>
    <n v="0.61247410899999999"/>
    <n v="8.5"/>
    <n v="25.159235668789808"/>
  </r>
  <r>
    <x v="46"/>
    <x v="10"/>
    <n v="0.76500000000000001"/>
    <n v="0.61247410899999999"/>
    <n v="10"/>
    <n v="23.885350318471335"/>
  </r>
  <r>
    <x v="46"/>
    <x v="78"/>
    <n v="0.50016547600000005"/>
    <n v="0.61774072899999999"/>
    <n v="5"/>
    <n v="5.0955414012738851"/>
  </r>
  <r>
    <x v="46"/>
    <x v="78"/>
    <n v="0.50016547600000005"/>
    <n v="0.61774072899999999"/>
    <n v="8"/>
    <n v="9.872611464968152"/>
  </r>
  <r>
    <x v="47"/>
    <x v="12"/>
    <n v="0.80908761900000004"/>
    <n v="0.87473809499999999"/>
    <n v="10"/>
    <n v="14.012738853503183"/>
  </r>
  <r>
    <x v="47"/>
    <x v="12"/>
    <n v="0.80908761900000004"/>
    <n v="0.87473809499999999"/>
    <n v="10"/>
    <n v="14.968152866242038"/>
  </r>
  <r>
    <x v="47"/>
    <x v="53"/>
    <n v="0.6"/>
    <n v="0.66674999999999995"/>
    <n v="6"/>
    <n v="6.0509554140127388"/>
  </r>
  <r>
    <x v="47"/>
    <x v="53"/>
    <n v="0.6"/>
    <n v="0.66674999999999995"/>
    <n v="7"/>
    <n v="8.2802547770700627"/>
  </r>
  <r>
    <x v="47"/>
    <x v="5"/>
    <n v="0.45255480399999998"/>
    <n v="0.57808694400000005"/>
    <n v="5"/>
    <n v="11.464968152866241"/>
  </r>
  <r>
    <x v="47"/>
    <x v="5"/>
    <n v="0.45255480399999998"/>
    <n v="0.57808694400000005"/>
    <n v="5"/>
    <n v="3.1847133757961781"/>
  </r>
  <r>
    <x v="47"/>
    <x v="5"/>
    <n v="0.45255480399999998"/>
    <n v="0.57808694400000005"/>
    <n v="4"/>
    <n v="6.3694267515923562"/>
  </r>
  <r>
    <x v="47"/>
    <x v="71"/>
    <n v="0.85750000000000004"/>
    <n v="0.61247410899999999"/>
    <n v="9"/>
    <n v="17.834394904458598"/>
  </r>
  <r>
    <x v="47"/>
    <x v="71"/>
    <n v="0.85750000000000004"/>
    <n v="0.61247410899999999"/>
    <n v="8.5"/>
    <n v="15.923566878980891"/>
  </r>
  <r>
    <x v="47"/>
    <x v="71"/>
    <n v="0.85750000000000004"/>
    <n v="0.61247410899999999"/>
    <n v="8.5"/>
    <n v="36.942675159235669"/>
  </r>
  <r>
    <x v="47"/>
    <x v="71"/>
    <n v="0.85750000000000004"/>
    <n v="0.61247410899999999"/>
    <n v="9.5"/>
    <n v="28.025477707006367"/>
  </r>
  <r>
    <x v="47"/>
    <x v="71"/>
    <n v="0.85750000000000004"/>
    <n v="0.61247410899999999"/>
    <n v="9"/>
    <n v="29.936305732484076"/>
  </r>
  <r>
    <x v="47"/>
    <x v="71"/>
    <n v="0.85750000000000004"/>
    <n v="0.61247410899999999"/>
    <n v="9"/>
    <n v="14.012738853503183"/>
  </r>
  <r>
    <x v="47"/>
    <x v="71"/>
    <n v="0.85750000000000004"/>
    <n v="0.61247410899999999"/>
    <n v="8"/>
    <n v="24.840764331210192"/>
  </r>
  <r>
    <x v="47"/>
    <x v="71"/>
    <n v="0.85750000000000004"/>
    <n v="0.61247410899999999"/>
    <n v="8"/>
    <n v="11.464968152866241"/>
  </r>
  <r>
    <x v="47"/>
    <x v="7"/>
    <n v="0.74387999999999999"/>
    <n v="0.59130000000000005"/>
    <n v="2.5"/>
    <n v="4.1401273885350314"/>
  </r>
  <r>
    <x v="48"/>
    <x v="32"/>
    <n v="0.78445916699999996"/>
    <n v="0.87841666699999998"/>
    <n v="3"/>
    <n v="4.1401273885350314"/>
  </r>
  <r>
    <x v="48"/>
    <x v="72"/>
    <n v="0.64800000000000002"/>
    <n v="0.66733333299999997"/>
    <n v="4.5"/>
    <n v="4.7770700636942669"/>
  </r>
  <r>
    <x v="48"/>
    <x v="53"/>
    <n v="0.6"/>
    <n v="0.66674999999999995"/>
    <n v="3"/>
    <n v="9.872611464968152"/>
  </r>
  <r>
    <x v="48"/>
    <x v="53"/>
    <n v="0.6"/>
    <n v="0.66674999999999995"/>
    <n v="7"/>
    <n v="13.694267515923567"/>
  </r>
  <r>
    <x v="48"/>
    <x v="80"/>
    <n v="0.83069230800000005"/>
    <n v="0.78683697699999999"/>
    <n v="5.5"/>
    <n v="13.375796178343949"/>
  </r>
  <r>
    <x v="48"/>
    <x v="80"/>
    <n v="0.83069230800000005"/>
    <n v="0.78683697699999999"/>
    <n v="5.5"/>
    <n v="11.146496815286623"/>
  </r>
  <r>
    <x v="48"/>
    <x v="21"/>
    <n v="0.39790071399999999"/>
    <n v="0.50565277799999997"/>
    <n v="8"/>
    <n v="21.97452229299363"/>
  </r>
  <r>
    <x v="48"/>
    <x v="40"/>
    <n v="0.9"/>
    <n v="0.61247410899999999"/>
    <n v="3"/>
    <n v="3.1847133757961781"/>
  </r>
  <r>
    <x v="48"/>
    <x v="3"/>
    <n v="0.89361000000000002"/>
    <n v="0.61247410899999999"/>
    <n v="5.5"/>
    <n v="8.9171974522292992"/>
  </r>
  <r>
    <x v="48"/>
    <x v="3"/>
    <n v="0.89361000000000002"/>
    <n v="0.61247410899999999"/>
    <n v="4.5"/>
    <n v="9.872611464968152"/>
  </r>
  <r>
    <x v="48"/>
    <x v="3"/>
    <n v="0.89361000000000002"/>
    <n v="0.61247410899999999"/>
    <n v="5"/>
    <n v="6.6878980891719744"/>
  </r>
  <r>
    <x v="48"/>
    <x v="3"/>
    <n v="0.89361000000000002"/>
    <n v="0.61247410899999999"/>
    <n v="4.5"/>
    <n v="7.3248407643312099"/>
  </r>
  <r>
    <x v="48"/>
    <x v="5"/>
    <n v="0.45255480399999998"/>
    <n v="0.57808694400000005"/>
    <n v="5.5"/>
    <n v="14.331210191082802"/>
  </r>
  <r>
    <x v="48"/>
    <x v="43"/>
    <n v="0.62643652800000005"/>
    <n v="0.57808694400000005"/>
    <n v="6.5"/>
    <n v="12.420382165605096"/>
  </r>
  <r>
    <x v="48"/>
    <x v="23"/>
    <n v="0.590536375"/>
    <n v="0.61247410899999999"/>
    <n v="9"/>
    <n v="15.286624203821656"/>
  </r>
  <r>
    <x v="48"/>
    <x v="69"/>
    <n v="0.432770245"/>
    <n v="0.61247410899999999"/>
    <n v="6.5"/>
    <n v="21.019108280254777"/>
  </r>
  <r>
    <x v="48"/>
    <x v="9"/>
    <n v="0.43836446099999998"/>
    <n v="0.58666666700000003"/>
    <n v="5.5"/>
    <n v="18.471337579617835"/>
  </r>
  <r>
    <x v="48"/>
    <x v="9"/>
    <n v="0.43836446099999998"/>
    <n v="0.58666666700000003"/>
    <n v="5"/>
    <n v="21.97452229299363"/>
  </r>
  <r>
    <x v="49"/>
    <x v="12"/>
    <n v="0.80908761900000004"/>
    <n v="0.87473809499999999"/>
    <n v="15"/>
    <n v="34.394904458598724"/>
  </r>
  <r>
    <x v="49"/>
    <x v="39"/>
    <n v="0.41"/>
    <n v="0.33983503399999998"/>
    <n v="6"/>
    <n v="24.68152866242038"/>
  </r>
  <r>
    <x v="49"/>
    <x v="45"/>
    <n v="0.31264018999999998"/>
    <n v="0.356821212"/>
    <n v="15"/>
    <n v="6.6878980891719744"/>
  </r>
  <r>
    <x v="49"/>
    <x v="1"/>
    <n v="0.766138345"/>
    <n v="0.90500000000000003"/>
    <n v="11"/>
    <n v="25.477707006369425"/>
  </r>
  <r>
    <x v="49"/>
    <x v="53"/>
    <n v="0.6"/>
    <n v="0.66674999999999995"/>
    <n v="5.5"/>
    <n v="8.4394904458598727"/>
  </r>
  <r>
    <x v="49"/>
    <x v="53"/>
    <n v="0.6"/>
    <n v="0.66674999999999995"/>
    <n v="3.5"/>
    <n v="8.598726114649681"/>
  </r>
  <r>
    <x v="49"/>
    <x v="53"/>
    <n v="0.6"/>
    <n v="0.66674999999999995"/>
    <n v="2.5"/>
    <n v="4.936305732484076"/>
  </r>
  <r>
    <x v="49"/>
    <x v="33"/>
    <n v="0.63206279899999995"/>
    <n v="0.75690909100000003"/>
    <n v="2.5"/>
    <n v="2.8662420382165603"/>
  </r>
  <r>
    <x v="49"/>
    <x v="33"/>
    <n v="0.63206279899999995"/>
    <n v="0.75690909100000003"/>
    <n v="4.5"/>
    <n v="6.8471337579617835"/>
  </r>
  <r>
    <x v="49"/>
    <x v="33"/>
    <n v="0.63206279899999995"/>
    <n v="0.75690909100000003"/>
    <n v="2.5"/>
    <n v="4.1401273885350314"/>
  </r>
  <r>
    <x v="49"/>
    <x v="3"/>
    <n v="0.89361000000000002"/>
    <n v="0.61247410899999999"/>
    <n v="7"/>
    <n v="15.605095541401273"/>
  </r>
  <r>
    <x v="49"/>
    <x v="3"/>
    <n v="0.89361000000000002"/>
    <n v="0.61247410899999999"/>
    <n v="4.5"/>
    <n v="6.5286624203821653"/>
  </r>
  <r>
    <x v="49"/>
    <x v="4"/>
    <n v="0.708787469"/>
    <n v="0.80167708299999996"/>
    <n v="4"/>
    <n v="8.2802547770700627"/>
  </r>
  <r>
    <x v="49"/>
    <x v="4"/>
    <n v="0.708787469"/>
    <n v="0.80167708299999996"/>
    <n v="4"/>
    <n v="4.7770700636942669"/>
  </r>
  <r>
    <x v="49"/>
    <x v="43"/>
    <n v="0.62643652800000005"/>
    <n v="0.57808694400000005"/>
    <n v="10"/>
    <n v="15.127388535031846"/>
  </r>
  <r>
    <x v="49"/>
    <x v="43"/>
    <n v="0.62643652800000005"/>
    <n v="0.57808694400000005"/>
    <n v="3"/>
    <n v="9.872611464968152"/>
  </r>
  <r>
    <x v="49"/>
    <x v="16"/>
    <n v="0.63400000000000001"/>
    <n v="0.73247777800000002"/>
    <n v="9"/>
    <n v="11.146496815286623"/>
  </r>
  <r>
    <x v="49"/>
    <x v="48"/>
    <n v="0.39"/>
    <n v="0.28861111099999998"/>
    <n v="12"/>
    <n v="15.923566878980891"/>
  </r>
  <r>
    <x v="49"/>
    <x v="81"/>
    <n v="0.56000000000000005"/>
    <n v="0.53945833300000001"/>
    <n v="6"/>
    <n v="10.031847133757962"/>
  </r>
  <r>
    <x v="49"/>
    <x v="29"/>
    <n v="0.40238543599999999"/>
    <n v="0.40883333300000002"/>
    <n v="10"/>
    <n v="15.445859872611464"/>
  </r>
  <r>
    <x v="49"/>
    <x v="29"/>
    <n v="0.40238543599999999"/>
    <n v="0.40883333300000002"/>
    <n v="11"/>
    <n v="12.579617834394904"/>
  </r>
  <r>
    <x v="50"/>
    <x v="45"/>
    <n v="0.31264018999999998"/>
    <n v="0.356821212"/>
    <n v="11"/>
    <n v="25.477707006369425"/>
  </r>
  <r>
    <x v="50"/>
    <x v="1"/>
    <n v="0.766138345"/>
    <n v="0.90500000000000003"/>
    <n v="6"/>
    <n v="11.146496815286623"/>
  </r>
  <r>
    <x v="50"/>
    <x v="1"/>
    <n v="0.766138345"/>
    <n v="0.90500000000000003"/>
    <n v="7"/>
    <n v="7.6433121019108281"/>
  </r>
  <r>
    <x v="50"/>
    <x v="53"/>
    <n v="0.6"/>
    <n v="0.66674999999999995"/>
    <n v="3.5"/>
    <n v="5.0955414012738851"/>
  </r>
  <r>
    <x v="50"/>
    <x v="53"/>
    <n v="0.6"/>
    <n v="0.66674999999999995"/>
    <n v="8"/>
    <n v="13.057324840764331"/>
  </r>
  <r>
    <x v="50"/>
    <x v="53"/>
    <n v="0.6"/>
    <n v="0.66674999999999995"/>
    <n v="3"/>
    <n v="5.4140127388535033"/>
  </r>
  <r>
    <x v="50"/>
    <x v="3"/>
    <n v="0.89361000000000002"/>
    <n v="0.61247410899999999"/>
    <n v="6.5"/>
    <n v="7.0063694267515917"/>
  </r>
  <r>
    <x v="50"/>
    <x v="4"/>
    <n v="0.708787469"/>
    <n v="0.80167708299999996"/>
    <n v="6.5"/>
    <n v="6.0509554140127388"/>
  </r>
  <r>
    <x v="50"/>
    <x v="43"/>
    <n v="0.62643652800000005"/>
    <n v="0.57808694400000005"/>
    <n v="8"/>
    <n v="20.700636942675157"/>
  </r>
  <r>
    <x v="50"/>
    <x v="7"/>
    <n v="0.74387999999999999"/>
    <n v="0.59130000000000005"/>
    <n v="12"/>
    <n v="14.012738853503183"/>
  </r>
  <r>
    <x v="50"/>
    <x v="69"/>
    <n v="0.432770245"/>
    <n v="0.61247410899999999"/>
    <n v="5"/>
    <n v="18.949044585987259"/>
  </r>
  <r>
    <x v="50"/>
    <x v="81"/>
    <n v="0.56000000000000005"/>
    <n v="0.53945833300000001"/>
    <n v="5.5"/>
    <n v="5.7324840764331206"/>
  </r>
  <r>
    <x v="50"/>
    <x v="9"/>
    <n v="0.43836446099999998"/>
    <n v="0.58666666700000003"/>
    <n v="3.5"/>
    <n v="5.0955414012738851"/>
  </r>
  <r>
    <x v="51"/>
    <x v="49"/>
    <n v="0.86"/>
    <n v="0.65666666699999998"/>
    <n v="9"/>
    <n v="6.6878980891719744"/>
  </r>
  <r>
    <x v="51"/>
    <x v="49"/>
    <n v="0.86"/>
    <n v="0.65666666699999998"/>
    <n v="11"/>
    <n v="34.235668789808919"/>
  </r>
  <r>
    <x v="51"/>
    <x v="49"/>
    <n v="0.86"/>
    <n v="0.65666666699999998"/>
    <n v="7"/>
    <n v="5.7324840764331206"/>
  </r>
  <r>
    <x v="51"/>
    <x v="49"/>
    <n v="0.86"/>
    <n v="0.65666666699999998"/>
    <n v="11"/>
    <n v="7.3248407643312099"/>
  </r>
  <r>
    <x v="51"/>
    <x v="49"/>
    <n v="0.86"/>
    <n v="0.65666666699999998"/>
    <n v="10"/>
    <n v="5.7324840764331206"/>
  </r>
  <r>
    <x v="51"/>
    <x v="45"/>
    <n v="0.31264018999999998"/>
    <n v="0.356821212"/>
    <n v="13"/>
    <n v="16.878980891719745"/>
  </r>
  <r>
    <x v="51"/>
    <x v="45"/>
    <n v="0.31264018999999998"/>
    <n v="0.356821212"/>
    <n v="15"/>
    <n v="24.840764331210192"/>
  </r>
  <r>
    <x v="51"/>
    <x v="45"/>
    <n v="0.31264018999999998"/>
    <n v="0.356821212"/>
    <n v="15.5"/>
    <n v="27.070063694267514"/>
  </r>
  <r>
    <x v="51"/>
    <x v="45"/>
    <n v="0.31264018999999998"/>
    <n v="0.356821212"/>
    <n v="15.5"/>
    <n v="31.847133757961782"/>
  </r>
  <r>
    <x v="51"/>
    <x v="1"/>
    <n v="0.766138345"/>
    <n v="0.90500000000000003"/>
    <n v="12"/>
    <n v="32.165605095541402"/>
  </r>
  <r>
    <x v="51"/>
    <x v="53"/>
    <n v="0.6"/>
    <n v="0.66674999999999995"/>
    <n v="10"/>
    <n v="8.9171974522292992"/>
  </r>
  <r>
    <x v="51"/>
    <x v="80"/>
    <n v="0.83069230800000005"/>
    <n v="0.78683697699999999"/>
    <n v="8"/>
    <n v="7.6433121019108281"/>
  </r>
  <r>
    <x v="51"/>
    <x v="3"/>
    <n v="0.89361000000000002"/>
    <n v="0.61247410899999999"/>
    <n v="3"/>
    <n v="3.1847133757961781"/>
  </r>
  <r>
    <x v="51"/>
    <x v="43"/>
    <n v="0.62643652800000005"/>
    <n v="0.57808694400000005"/>
    <n v="11"/>
    <n v="15.923566878980891"/>
  </r>
  <r>
    <x v="51"/>
    <x v="43"/>
    <n v="0.62643652800000005"/>
    <n v="0.57808694400000005"/>
    <n v="4"/>
    <n v="5.7324840764331206"/>
  </r>
  <r>
    <x v="51"/>
    <x v="68"/>
    <n v="0.56023871300000005"/>
    <n v="0.74103703700000001"/>
    <n v="11"/>
    <n v="9.0764331210191074"/>
  </r>
  <r>
    <x v="51"/>
    <x v="69"/>
    <n v="0.432770245"/>
    <n v="0.61247410899999999"/>
    <n v="10"/>
    <n v="21.337579617834393"/>
  </r>
  <r>
    <x v="51"/>
    <x v="9"/>
    <n v="0.43836446099999998"/>
    <n v="0.58666666700000003"/>
    <n v="4"/>
    <n v="9.2356687898089174"/>
  </r>
  <r>
    <x v="52"/>
    <x v="45"/>
    <n v="0.31264018999999998"/>
    <n v="0.356821212"/>
    <n v="14"/>
    <n v="25.477707006369425"/>
  </r>
  <r>
    <x v="52"/>
    <x v="45"/>
    <n v="0.31264018999999998"/>
    <n v="0.356821212"/>
    <n v="13"/>
    <n v="21.97452229299363"/>
  </r>
  <r>
    <x v="52"/>
    <x v="45"/>
    <n v="0.31264018999999998"/>
    <n v="0.356821212"/>
    <n v="13"/>
    <n v="28.662420382165603"/>
  </r>
  <r>
    <x v="52"/>
    <x v="1"/>
    <n v="0.766138345"/>
    <n v="0.90500000000000003"/>
    <n v="9"/>
    <n v="21.656050955414013"/>
  </r>
  <r>
    <x v="52"/>
    <x v="1"/>
    <n v="0.766138345"/>
    <n v="0.90500000000000003"/>
    <n v="11"/>
    <n v="15.605095541401273"/>
  </r>
  <r>
    <x v="52"/>
    <x v="1"/>
    <n v="0.766138345"/>
    <n v="0.90500000000000003"/>
    <n v="6.5"/>
    <n v="9.872611464968152"/>
  </r>
  <r>
    <x v="52"/>
    <x v="21"/>
    <n v="0.39790071399999999"/>
    <n v="0.50565277799999997"/>
    <n v="13"/>
    <n v="9.0764331210191074"/>
  </r>
  <r>
    <x v="52"/>
    <x v="43"/>
    <n v="0.62643652800000005"/>
    <n v="0.57808694400000005"/>
    <n v="13"/>
    <n v="15.923566878980891"/>
  </r>
  <r>
    <x v="52"/>
    <x v="43"/>
    <n v="0.62643652800000005"/>
    <n v="0.57808694400000005"/>
    <n v="5"/>
    <n v="5.7324840764331206"/>
  </r>
  <r>
    <x v="52"/>
    <x v="43"/>
    <n v="0.62643652800000005"/>
    <n v="0.57808694400000005"/>
    <n v="12"/>
    <n v="19.745222929936304"/>
  </r>
  <r>
    <x v="52"/>
    <x v="43"/>
    <n v="0.62643652800000005"/>
    <n v="0.57808694400000005"/>
    <n v="6"/>
    <n v="13.694267515923567"/>
  </r>
  <r>
    <x v="52"/>
    <x v="43"/>
    <n v="0.62643652800000005"/>
    <n v="0.57808694400000005"/>
    <n v="4.5"/>
    <n v="13.694267515923567"/>
  </r>
  <r>
    <x v="52"/>
    <x v="16"/>
    <n v="0.63400000000000001"/>
    <n v="0.73247777800000002"/>
    <n v="10"/>
    <n v="14.808917197452228"/>
  </r>
  <r>
    <x v="52"/>
    <x v="69"/>
    <n v="0.432770245"/>
    <n v="0.61247410899999999"/>
    <n v="13"/>
    <n v="29.29936305732484"/>
  </r>
  <r>
    <x v="52"/>
    <x v="69"/>
    <n v="0.432770245"/>
    <n v="0.61247410899999999"/>
    <n v="12"/>
    <n v="27.388535031847134"/>
  </r>
  <r>
    <x v="52"/>
    <x v="69"/>
    <n v="0.432770245"/>
    <n v="0.61247410899999999"/>
    <n v="11"/>
    <n v="21.019108280254777"/>
  </r>
  <r>
    <x v="52"/>
    <x v="69"/>
    <n v="0.432770245"/>
    <n v="0.61247410899999999"/>
    <n v="8"/>
    <n v="16.560509554140125"/>
  </r>
  <r>
    <x v="52"/>
    <x v="9"/>
    <n v="0.43836446099999998"/>
    <n v="0.58666666700000003"/>
    <n v="6"/>
    <n v="12.420382165605096"/>
  </r>
  <r>
    <x v="53"/>
    <x v="12"/>
    <n v="0.80908761900000004"/>
    <n v="0.87473809499999999"/>
    <n v="7"/>
    <n v="15.286624203821656"/>
  </r>
  <r>
    <x v="53"/>
    <x v="39"/>
    <n v="0.41"/>
    <n v="0.33983503399999998"/>
    <n v="7"/>
    <n v="9.872611464968152"/>
  </r>
  <r>
    <x v="53"/>
    <x v="1"/>
    <n v="0.766138345"/>
    <n v="0.90500000000000003"/>
    <n v="4"/>
    <n v="5.8917197452229297"/>
  </r>
  <r>
    <x v="53"/>
    <x v="53"/>
    <n v="0.6"/>
    <n v="0.66674999999999995"/>
    <n v="8"/>
    <n v="21.019108280254777"/>
  </r>
  <r>
    <x v="53"/>
    <x v="53"/>
    <n v="0.6"/>
    <n v="0.66674999999999995"/>
    <n v="8"/>
    <n v="10.987261146496815"/>
  </r>
  <r>
    <x v="53"/>
    <x v="53"/>
    <n v="0.6"/>
    <n v="0.66674999999999995"/>
    <n v="6.5"/>
    <n v="8.2802547770700627"/>
  </r>
  <r>
    <x v="53"/>
    <x v="2"/>
    <n v="0.47982689899999997"/>
    <n v="0.51"/>
    <n v="1.2"/>
    <n v="2.0700636942675157"/>
  </r>
  <r>
    <x v="53"/>
    <x v="74"/>
    <n v="0.490852183"/>
    <n v="0.607288889"/>
    <n v="6.5"/>
    <n v="20.541401273885349"/>
  </r>
  <r>
    <x v="53"/>
    <x v="3"/>
    <n v="0.89361000000000002"/>
    <n v="0.61247410899999999"/>
    <n v="5"/>
    <n v="4.2993630573248405"/>
  </r>
  <r>
    <x v="53"/>
    <x v="22"/>
    <n v="1082380952"/>
    <n v="0.61247410899999999"/>
    <n v="3"/>
    <n v="1.910828025477707"/>
  </r>
  <r>
    <x v="53"/>
    <x v="71"/>
    <n v="0.85750000000000004"/>
    <n v="0.61247410899999999"/>
    <n v="8.6999999999999993"/>
    <n v="17.67515923566879"/>
  </r>
  <r>
    <x v="53"/>
    <x v="71"/>
    <n v="0.85750000000000004"/>
    <n v="0.61247410899999999"/>
    <n v="6"/>
    <n v="5.4140127388535033"/>
  </r>
  <r>
    <x v="53"/>
    <x v="71"/>
    <n v="0.85750000000000004"/>
    <n v="0.61247410899999999"/>
    <n v="6"/>
    <n v="4.4585987261146496"/>
  </r>
  <r>
    <x v="53"/>
    <x v="71"/>
    <n v="0.85750000000000004"/>
    <n v="0.61247410899999999"/>
    <n v="5.7"/>
    <n v="7.3248407643312099"/>
  </r>
  <r>
    <x v="53"/>
    <x v="71"/>
    <n v="0.85750000000000004"/>
    <n v="0.61247410899999999"/>
    <n v="5.5"/>
    <n v="5.4140127388535033"/>
  </r>
  <r>
    <x v="53"/>
    <x v="82"/>
    <n v="0.93384615400000004"/>
    <n v="0.61247410899999999"/>
    <n v="2"/>
    <n v="3.5031847133757958"/>
  </r>
  <r>
    <x v="53"/>
    <x v="23"/>
    <n v="0.590536375"/>
    <n v="0.61247410899999999"/>
    <n v="8"/>
    <n v="18.789808917197451"/>
  </r>
  <r>
    <x v="53"/>
    <x v="13"/>
    <n v="0.50857142899999996"/>
    <n v="0.49666666700000001"/>
    <n v="10"/>
    <n v="47.452229299363054"/>
  </r>
  <r>
    <x v="53"/>
    <x v="48"/>
    <n v="0.39"/>
    <n v="0.28861111099999998"/>
    <n v="8"/>
    <n v="20.859872611464969"/>
  </r>
  <r>
    <x v="53"/>
    <x v="28"/>
    <n v="1.1200000000000001"/>
    <n v="0.85527777800000004"/>
    <n v="2.5"/>
    <n v="1.910828025477707"/>
  </r>
  <r>
    <x v="53"/>
    <x v="8"/>
    <n v="0.66608171000000005"/>
    <n v="0.68661666700000001"/>
    <n v="6.5"/>
    <n v="4.4585987261146496"/>
  </r>
  <r>
    <x v="53"/>
    <x v="30"/>
    <n v="0.57917600000000002"/>
    <n v="0.60285714300000004"/>
    <n v="10"/>
    <n v="35.031847133757964"/>
  </r>
  <r>
    <x v="53"/>
    <x v="83"/>
    <n v="0.41185709999999998"/>
    <n v="0.41185714299999998"/>
    <n v="2.8"/>
    <n v="2.7070063694267517"/>
  </r>
  <r>
    <x v="54"/>
    <x v="53"/>
    <n v="0.6"/>
    <n v="0.66674999999999995"/>
    <n v="4"/>
    <n v="6.3694267515923562"/>
  </r>
  <r>
    <x v="54"/>
    <x v="74"/>
    <n v="0.490852183"/>
    <n v="0.607288889"/>
    <n v="2.5"/>
    <n v="5.2547770700636942"/>
  </r>
  <r>
    <x v="54"/>
    <x v="3"/>
    <n v="0.89361000000000002"/>
    <n v="0.61247410899999999"/>
    <n v="2.1"/>
    <n v="3.8216560509554141"/>
  </r>
  <r>
    <x v="54"/>
    <x v="4"/>
    <n v="0.708787469"/>
    <n v="0.80167708299999996"/>
    <n v="3.7"/>
    <n v="11.783439490445859"/>
  </r>
  <r>
    <x v="54"/>
    <x v="4"/>
    <n v="0.708787469"/>
    <n v="0.80167708299999996"/>
    <n v="2.2000000000000002"/>
    <n v="4.2993630573248405"/>
  </r>
  <r>
    <x v="54"/>
    <x v="84"/>
    <n v="0.13069240100000001"/>
    <n v="0.26500000000000001"/>
    <n v="6"/>
    <n v="12.738853503184712"/>
  </r>
  <r>
    <x v="54"/>
    <x v="84"/>
    <n v="0.13069240100000001"/>
    <n v="0.26500000000000001"/>
    <n v="4.5"/>
    <n v="12.101910828025478"/>
  </r>
  <r>
    <x v="54"/>
    <x v="84"/>
    <n v="0.13069240100000001"/>
    <n v="0.26500000000000001"/>
    <n v="4.5"/>
    <n v="9.5541401273885338"/>
  </r>
  <r>
    <x v="54"/>
    <x v="71"/>
    <n v="0.85750000000000004"/>
    <n v="0.61247410899999999"/>
    <n v="3.5"/>
    <n v="9.7133757961783438"/>
  </r>
  <r>
    <x v="54"/>
    <x v="68"/>
    <n v="0.56023871300000005"/>
    <n v="0.74103703700000001"/>
    <n v="6"/>
    <n v="7.9617834394904454"/>
  </r>
  <r>
    <x v="54"/>
    <x v="68"/>
    <n v="0.56023871300000005"/>
    <n v="0.74103703700000001"/>
    <n v="4.2"/>
    <n v="7.484076433121019"/>
  </r>
  <r>
    <x v="54"/>
    <x v="18"/>
    <n v="0.69835862100000001"/>
    <n v="0.69262500000000005"/>
    <n v="8.9"/>
    <n v="7.6433121019108281"/>
  </r>
  <r>
    <x v="54"/>
    <x v="18"/>
    <n v="0.69835862100000001"/>
    <n v="0.69262500000000005"/>
    <n v="7.2"/>
    <n v="4.936305732484076"/>
  </r>
  <r>
    <x v="54"/>
    <x v="9"/>
    <n v="0.43836446099999998"/>
    <n v="0.58666666700000003"/>
    <n v="2.7"/>
    <n v="10.668789808917197"/>
  </r>
  <r>
    <x v="54"/>
    <x v="9"/>
    <n v="0.43836446099999998"/>
    <n v="0.58666666700000003"/>
    <n v="1.9"/>
    <n v="6.3694267515923562"/>
  </r>
  <r>
    <x v="54"/>
    <x v="30"/>
    <n v="0.57917600000000002"/>
    <n v="0.60285714300000004"/>
    <n v="8"/>
    <n v="30.254777070063692"/>
  </r>
  <r>
    <x v="54"/>
    <x v="59"/>
    <n v="0.28577490700000002"/>
    <n v="0.3422"/>
    <n v="8"/>
    <n v="31.369426751592357"/>
  </r>
  <r>
    <x v="55"/>
    <x v="12"/>
    <n v="0.80908761900000004"/>
    <n v="0.87473809499999999"/>
    <n v="7"/>
    <n v="13.216560509554139"/>
  </r>
  <r>
    <x v="55"/>
    <x v="85"/>
    <n v="0.57550000000000001"/>
    <n v="0.57550000000000001"/>
    <n v="3"/>
    <n v="2.3885350318471334"/>
  </r>
  <r>
    <x v="55"/>
    <x v="53"/>
    <n v="0.6"/>
    <n v="0.66674999999999995"/>
    <n v="8"/>
    <n v="15.445859872611464"/>
  </r>
  <r>
    <x v="55"/>
    <x v="27"/>
    <n v="0.81991655299999999"/>
    <n v="0.72276027399999998"/>
    <n v="2.2999999999999998"/>
    <n v="6.2101910828025479"/>
  </r>
  <r>
    <x v="55"/>
    <x v="2"/>
    <n v="0.47982689899999997"/>
    <n v="0.51"/>
    <n v="3.5"/>
    <n v="9.5541401273885338"/>
  </r>
  <r>
    <x v="55"/>
    <x v="2"/>
    <n v="0.47982689899999997"/>
    <n v="0.51"/>
    <n v="2.7"/>
    <n v="6.8471337579617835"/>
  </r>
  <r>
    <x v="55"/>
    <x v="74"/>
    <n v="0.490852183"/>
    <n v="0.607288889"/>
    <n v="4.7"/>
    <n v="7.0063694267515917"/>
  </r>
  <r>
    <x v="55"/>
    <x v="74"/>
    <n v="0.490852183"/>
    <n v="0.607288889"/>
    <n v="4.5"/>
    <n v="8.9171974522292992"/>
  </r>
  <r>
    <x v="55"/>
    <x v="5"/>
    <n v="0.45255480399999998"/>
    <n v="0.57808694400000005"/>
    <n v="5.7"/>
    <n v="12.420382165605096"/>
  </r>
  <r>
    <x v="55"/>
    <x v="84"/>
    <n v="0.13069240100000001"/>
    <n v="0.26500000000000001"/>
    <n v="7"/>
    <n v="27.547770700636942"/>
  </r>
  <r>
    <x v="55"/>
    <x v="22"/>
    <n v="1082380952"/>
    <n v="0.61247410899999999"/>
    <n v="3.7"/>
    <n v="5.4140127388535033"/>
  </r>
  <r>
    <x v="55"/>
    <x v="71"/>
    <n v="0.85750000000000004"/>
    <n v="0.61247410899999999"/>
    <n v="6"/>
    <n v="9.3949044585987256"/>
  </r>
  <r>
    <x v="55"/>
    <x v="71"/>
    <n v="0.85750000000000004"/>
    <n v="0.61247410899999999"/>
    <n v="3.5"/>
    <n v="4.7770700636942669"/>
  </r>
  <r>
    <x v="55"/>
    <x v="23"/>
    <n v="0.590536375"/>
    <n v="0.61247410899999999"/>
    <n v="10"/>
    <n v="42.834394904458598"/>
  </r>
  <r>
    <x v="55"/>
    <x v="48"/>
    <n v="0.39"/>
    <n v="0.28861111099999998"/>
    <n v="7.5"/>
    <n v="16.401273885350317"/>
  </r>
  <r>
    <x v="55"/>
    <x v="29"/>
    <n v="0.40238543599999999"/>
    <n v="0.40883333300000002"/>
    <n v="9"/>
    <n v="16.082802547770701"/>
  </r>
  <r>
    <x v="55"/>
    <x v="59"/>
    <n v="0.28577490700000002"/>
    <n v="0.3422"/>
    <n v="8.5"/>
    <n v="27.70700636942675"/>
  </r>
  <r>
    <x v="56"/>
    <x v="12"/>
    <n v="0.80908761900000004"/>
    <n v="0.87473809499999999"/>
    <n v="4.5"/>
    <n v="12.738853503184712"/>
  </r>
  <r>
    <x v="56"/>
    <x v="12"/>
    <n v="0.80908761900000004"/>
    <n v="0.87473809499999999"/>
    <n v="3.7"/>
    <n v="6.0509554140127388"/>
  </r>
  <r>
    <x v="56"/>
    <x v="45"/>
    <n v="0.31264018999999998"/>
    <n v="0.356821212"/>
    <n v="5.7"/>
    <n v="49.681528662420384"/>
  </r>
  <r>
    <x v="56"/>
    <x v="53"/>
    <n v="0.6"/>
    <n v="0.66674999999999995"/>
    <n v="7.5"/>
    <n v="15.764331210191083"/>
  </r>
  <r>
    <x v="56"/>
    <x v="80"/>
    <n v="0.83069230800000005"/>
    <n v="0.78683697699999999"/>
    <n v="5.7"/>
    <n v="17.834394904458598"/>
  </r>
  <r>
    <x v="56"/>
    <x v="27"/>
    <n v="0.81991655299999999"/>
    <n v="0.72276027399999998"/>
    <n v="1.7"/>
    <n v="2.2292993630573248"/>
  </r>
  <r>
    <x v="56"/>
    <x v="27"/>
    <n v="0.81991655299999999"/>
    <n v="0.72276027399999998"/>
    <n v="1.7"/>
    <n v="5.0955414012738851"/>
  </r>
  <r>
    <x v="56"/>
    <x v="27"/>
    <n v="0.81991655299999999"/>
    <n v="0.72276027399999998"/>
    <n v="1.6"/>
    <n v="1.592356687898089"/>
  </r>
  <r>
    <x v="56"/>
    <x v="3"/>
    <n v="0.89361000000000002"/>
    <n v="0.61247410899999999"/>
    <n v="3"/>
    <n v="3.9808917197452227"/>
  </r>
  <r>
    <x v="56"/>
    <x v="58"/>
    <n v="0.85449533600000005"/>
    <n v="0.81482857099999995"/>
    <n v="1.7"/>
    <n v="1.910828025477707"/>
  </r>
  <r>
    <x v="56"/>
    <x v="71"/>
    <n v="0.85750000000000004"/>
    <n v="0.61247410899999999"/>
    <n v="6.8"/>
    <n v="20.700636942675157"/>
  </r>
  <r>
    <x v="56"/>
    <x v="71"/>
    <n v="0.85750000000000004"/>
    <n v="0.61247410899999999"/>
    <n v="2.2000000000000002"/>
    <n v="5.5732484076433115"/>
  </r>
  <r>
    <x v="56"/>
    <x v="68"/>
    <n v="0.56023871300000005"/>
    <n v="0.74103703700000001"/>
    <n v="6"/>
    <n v="8.4394904458598727"/>
  </r>
  <r>
    <x v="56"/>
    <x v="69"/>
    <n v="0.432770245"/>
    <n v="0.61247410899999999"/>
    <n v="5.5"/>
    <n v="18.789808917197451"/>
  </r>
  <r>
    <x v="56"/>
    <x v="29"/>
    <n v="0.40238543599999999"/>
    <n v="0.40883333300000002"/>
    <n v="9.5"/>
    <n v="15.445859872611464"/>
  </r>
  <r>
    <x v="56"/>
    <x v="55"/>
    <n v="0.77"/>
    <n v="0.77"/>
    <n v="5"/>
    <n v="5.5732484076433115"/>
  </r>
  <r>
    <x v="57"/>
    <x v="45"/>
    <n v="0.31264018999999998"/>
    <n v="0.356821212"/>
    <n v="5"/>
    <n v="17.834394904458598"/>
  </r>
  <r>
    <x v="57"/>
    <x v="53"/>
    <n v="0.6"/>
    <n v="0.66674999999999995"/>
    <n v="5.5"/>
    <n v="6.5286624203821653"/>
  </r>
  <r>
    <x v="57"/>
    <x v="53"/>
    <n v="0.6"/>
    <n v="0.66674999999999995"/>
    <n v="5"/>
    <n v="13.375796178343949"/>
  </r>
  <r>
    <x v="57"/>
    <x v="26"/>
    <n v="0.54247040000000002"/>
    <n v="0.54247042099999998"/>
    <n v="2.7"/>
    <n v="11.305732484076433"/>
  </r>
  <r>
    <x v="57"/>
    <x v="74"/>
    <n v="0.490852183"/>
    <n v="0.607288889"/>
    <n v="2.7"/>
    <n v="4.7770700636942669"/>
  </r>
  <r>
    <x v="57"/>
    <x v="71"/>
    <n v="0.85750000000000004"/>
    <n v="0.61247410899999999"/>
    <n v="6"/>
    <n v="17.993630573248407"/>
  </r>
  <r>
    <x v="57"/>
    <x v="71"/>
    <n v="0.85750000000000004"/>
    <n v="0.61247410899999999"/>
    <n v="5"/>
    <n v="18.949044585987259"/>
  </r>
  <r>
    <x v="57"/>
    <x v="48"/>
    <n v="0.39"/>
    <n v="0.28861111099999998"/>
    <n v="6"/>
    <n v="10.19108280254777"/>
  </r>
  <r>
    <x v="57"/>
    <x v="48"/>
    <n v="0.39"/>
    <n v="0.28861111099999998"/>
    <n v="6"/>
    <n v="17.834394904458598"/>
  </r>
  <r>
    <x v="57"/>
    <x v="48"/>
    <n v="0.39"/>
    <n v="0.28861111099999998"/>
    <n v="5.5"/>
    <n v="7.9617834394904454"/>
  </r>
  <r>
    <x v="57"/>
    <x v="9"/>
    <n v="0.43836446099999998"/>
    <n v="0.58666666700000003"/>
    <n v="5"/>
    <n v="11.146496815286623"/>
  </r>
  <r>
    <x v="57"/>
    <x v="9"/>
    <n v="0.43836446099999998"/>
    <n v="0.58666666700000003"/>
    <n v="4"/>
    <n v="11.305732484076433"/>
  </r>
  <r>
    <x v="57"/>
    <x v="9"/>
    <n v="0.43836446099999998"/>
    <n v="0.58666666700000003"/>
    <n v="3.9"/>
    <n v="11.146496815286623"/>
  </r>
  <r>
    <x v="57"/>
    <x v="9"/>
    <n v="0.43836446099999998"/>
    <n v="0.58666666700000003"/>
    <n v="2.5"/>
    <n v="11.783439490445859"/>
  </r>
  <r>
    <x v="57"/>
    <x v="30"/>
    <n v="0.57917600000000002"/>
    <n v="0.60285714300000004"/>
    <n v="7"/>
    <n v="14.490445859872612"/>
  </r>
  <r>
    <x v="57"/>
    <x v="55"/>
    <n v="0.77"/>
    <n v="0.77"/>
    <n v="2"/>
    <n v="13.057324840764331"/>
  </r>
  <r>
    <x v="58"/>
    <x v="39"/>
    <n v="0.41"/>
    <n v="0.33983503399999998"/>
    <n v="6"/>
    <n v="5.7324840764331206"/>
  </r>
  <r>
    <x v="58"/>
    <x v="21"/>
    <n v="0.39790071399999999"/>
    <n v="0.50565277799999997"/>
    <n v="4.5"/>
    <n v="7.8025477707006363"/>
  </r>
  <r>
    <x v="58"/>
    <x v="21"/>
    <n v="0.39790071399999999"/>
    <n v="0.50565277799999997"/>
    <n v="2.5"/>
    <n v="3.3439490445859872"/>
  </r>
  <r>
    <x v="58"/>
    <x v="2"/>
    <n v="0.47982689899999997"/>
    <n v="0.51"/>
    <n v="1.8"/>
    <n v="3.8216560509554141"/>
  </r>
  <r>
    <x v="58"/>
    <x v="3"/>
    <n v="0.89361000000000002"/>
    <n v="0.61247410899999999"/>
    <n v="2.2000000000000002"/>
    <n v="2.3885350318471334"/>
  </r>
  <r>
    <x v="58"/>
    <x v="5"/>
    <n v="0.45255480399999998"/>
    <n v="0.57808694400000005"/>
    <n v="1.9"/>
    <n v="4.1401273885350314"/>
  </r>
  <r>
    <x v="58"/>
    <x v="43"/>
    <n v="0.62643652800000005"/>
    <n v="0.57808694400000005"/>
    <n v="5.3"/>
    <n v="20.541401273885349"/>
  </r>
  <r>
    <x v="58"/>
    <x v="43"/>
    <n v="0.62643652800000005"/>
    <n v="0.57808694400000005"/>
    <n v="4.9000000000000004"/>
    <n v="18.471337579617835"/>
  </r>
  <r>
    <x v="58"/>
    <x v="43"/>
    <n v="0.62643652800000005"/>
    <n v="0.57808694400000005"/>
    <n v="4.7"/>
    <n v="15.127388535031846"/>
  </r>
  <r>
    <x v="58"/>
    <x v="43"/>
    <n v="0.62643652800000005"/>
    <n v="0.57808694400000005"/>
    <n v="3.9"/>
    <n v="8.2802547770700627"/>
  </r>
  <r>
    <x v="58"/>
    <x v="84"/>
    <n v="0.13069240100000001"/>
    <n v="0.26500000000000001"/>
    <n v="3.5"/>
    <n v="8.7579617834394909"/>
  </r>
  <r>
    <x v="58"/>
    <x v="86"/>
    <n v="0.63"/>
    <n v="0.629222222"/>
    <n v="2.8"/>
    <n v="6.8471337579617835"/>
  </r>
  <r>
    <x v="58"/>
    <x v="71"/>
    <n v="0.85750000000000004"/>
    <n v="0.61247410899999999"/>
    <n v="7"/>
    <n v="14.64968152866242"/>
  </r>
  <r>
    <x v="58"/>
    <x v="71"/>
    <n v="0.85750000000000004"/>
    <n v="0.61247410899999999"/>
    <n v="5.7"/>
    <n v="10.509554140127388"/>
  </r>
  <r>
    <x v="58"/>
    <x v="48"/>
    <n v="0.39"/>
    <n v="0.28861111099999998"/>
    <n v="5"/>
    <n v="11.464968152866241"/>
  </r>
  <r>
    <x v="58"/>
    <x v="9"/>
    <n v="0.43836446099999998"/>
    <n v="0.58666666700000003"/>
    <n v="4"/>
    <n v="16.560509554140125"/>
  </r>
  <r>
    <x v="58"/>
    <x v="59"/>
    <n v="0.28577490700000002"/>
    <n v="0.3422"/>
    <n v="6.5"/>
    <n v="8.1210191082802545"/>
  </r>
  <r>
    <x v="58"/>
    <x v="59"/>
    <n v="0.28577490700000002"/>
    <n v="0.3422"/>
    <n v="5"/>
    <n v="9.872611464968152"/>
  </r>
  <r>
    <x v="58"/>
    <x v="59"/>
    <n v="0.28577490700000002"/>
    <n v="0.3422"/>
    <n v="4.5"/>
    <n v="12.101910828025478"/>
  </r>
  <r>
    <x v="59"/>
    <x v="39"/>
    <n v="0.41"/>
    <n v="0.33983503399999998"/>
    <n v="8"/>
    <n v="9.7133757961783438"/>
  </r>
  <r>
    <x v="59"/>
    <x v="39"/>
    <n v="0.41"/>
    <n v="0.33983503399999998"/>
    <n v="7"/>
    <n v="7.0063694267515917"/>
  </r>
  <r>
    <x v="59"/>
    <x v="39"/>
    <n v="0.41"/>
    <n v="0.33983503399999998"/>
    <n v="7"/>
    <n v="10.031847133757962"/>
  </r>
  <r>
    <x v="59"/>
    <x v="74"/>
    <n v="0.490852183"/>
    <n v="0.607288889"/>
    <n v="5.5"/>
    <n v="4.1401273885350314"/>
  </r>
  <r>
    <x v="59"/>
    <x v="43"/>
    <n v="0.62643652800000005"/>
    <n v="0.57808694400000005"/>
    <n v="6"/>
    <n v="20.222929936305732"/>
  </r>
  <r>
    <x v="59"/>
    <x v="43"/>
    <n v="0.62643652800000005"/>
    <n v="0.57808694400000005"/>
    <n v="5"/>
    <n v="16.401273885350317"/>
  </r>
  <r>
    <x v="59"/>
    <x v="43"/>
    <n v="0.62643652800000005"/>
    <n v="0.57808694400000005"/>
    <n v="4.5"/>
    <n v="4.936305732484076"/>
  </r>
  <r>
    <x v="59"/>
    <x v="71"/>
    <n v="0.85750000000000004"/>
    <n v="0.61247410899999999"/>
    <n v="6.5"/>
    <n v="15.764331210191083"/>
  </r>
  <r>
    <x v="59"/>
    <x v="71"/>
    <n v="0.85750000000000004"/>
    <n v="0.61247410899999999"/>
    <n v="6.5"/>
    <n v="7.9617834394904454"/>
  </r>
  <r>
    <x v="59"/>
    <x v="71"/>
    <n v="0.85750000000000004"/>
    <n v="0.61247410899999999"/>
    <n v="5.7"/>
    <n v="9.3949044585987256"/>
  </r>
  <r>
    <x v="59"/>
    <x v="71"/>
    <n v="0.85750000000000004"/>
    <n v="0.61247410899999999"/>
    <n v="5.6"/>
    <n v="9.5541401273885338"/>
  </r>
  <r>
    <x v="59"/>
    <x v="71"/>
    <n v="0.85750000000000004"/>
    <n v="0.61247410899999999"/>
    <n v="5.5"/>
    <n v="9.5541401273885338"/>
  </r>
  <r>
    <x v="59"/>
    <x v="71"/>
    <n v="0.85750000000000004"/>
    <n v="0.61247410899999999"/>
    <n v="5.5"/>
    <n v="7.3248407643312099"/>
  </r>
  <r>
    <x v="59"/>
    <x v="71"/>
    <n v="0.85750000000000004"/>
    <n v="0.61247410899999999"/>
    <n v="4.5"/>
    <n v="15.286624203821656"/>
  </r>
  <r>
    <x v="59"/>
    <x v="71"/>
    <n v="0.85750000000000004"/>
    <n v="0.61247410899999999"/>
    <n v="3"/>
    <n v="12.101910828025478"/>
  </r>
  <r>
    <x v="59"/>
    <x v="48"/>
    <n v="0.39"/>
    <n v="0.28861111099999998"/>
    <n v="6.5"/>
    <n v="10.350318471337578"/>
  </r>
  <r>
    <x v="59"/>
    <x v="28"/>
    <n v="1.1200000000000001"/>
    <n v="0.85527777800000004"/>
    <n v="1.8"/>
    <n v="3.9808917197452227"/>
  </r>
  <r>
    <x v="59"/>
    <x v="9"/>
    <n v="0.43836446099999998"/>
    <n v="0.58666666700000003"/>
    <n v="4"/>
    <n v="13.694267515923567"/>
  </r>
  <r>
    <x v="59"/>
    <x v="9"/>
    <n v="0.43836446099999998"/>
    <n v="0.58666666700000003"/>
    <n v="3.8"/>
    <n v="12.261146496815286"/>
  </r>
  <r>
    <x v="59"/>
    <x v="9"/>
    <n v="0.43836446099999998"/>
    <n v="0.58666666700000003"/>
    <n v="3"/>
    <n v="14.331210191082802"/>
  </r>
  <r>
    <x v="59"/>
    <x v="9"/>
    <n v="0.43836446099999998"/>
    <n v="0.58666666700000003"/>
    <n v="2.1"/>
    <n v="1.910828025477707"/>
  </r>
  <r>
    <x v="60"/>
    <x v="39"/>
    <n v="0.41"/>
    <n v="0.33983503399999998"/>
    <n v="7.5"/>
    <n v="7.1656050955414008"/>
  </r>
  <r>
    <x v="60"/>
    <x v="53"/>
    <n v="0.6"/>
    <n v="0.66674999999999995"/>
    <n v="5.5"/>
    <n v="8.598726114649681"/>
  </r>
  <r>
    <x v="60"/>
    <x v="71"/>
    <n v="0.85750000000000004"/>
    <n v="0.61247410899999999"/>
    <n v="6"/>
    <n v="7.3248407643312099"/>
  </r>
  <r>
    <x v="60"/>
    <x v="71"/>
    <n v="0.85750000000000004"/>
    <n v="0.61247410899999999"/>
    <n v="6"/>
    <n v="22.165605095541398"/>
  </r>
  <r>
    <x v="60"/>
    <x v="71"/>
    <n v="0.85750000000000004"/>
    <n v="0.61247410899999999"/>
    <n v="6"/>
    <n v="10.509554140127388"/>
  </r>
  <r>
    <x v="60"/>
    <x v="71"/>
    <n v="0.85750000000000004"/>
    <n v="0.61247410899999999"/>
    <n v="5.5"/>
    <n v="24.363057324840764"/>
  </r>
  <r>
    <x v="60"/>
    <x v="71"/>
    <n v="0.85750000000000004"/>
    <n v="0.61247410899999999"/>
    <n v="4.5"/>
    <n v="13.694267515923567"/>
  </r>
  <r>
    <x v="60"/>
    <x v="68"/>
    <n v="0.56023871300000005"/>
    <n v="0.74103703700000001"/>
    <n v="6"/>
    <n v="7.484076433121019"/>
  </r>
  <r>
    <x v="60"/>
    <x v="28"/>
    <n v="1.1200000000000001"/>
    <n v="0.85527777800000004"/>
    <n v="5"/>
    <n v="13.375796178343949"/>
  </r>
  <r>
    <x v="60"/>
    <x v="28"/>
    <n v="1.1200000000000001"/>
    <n v="0.85527777800000004"/>
    <n v="2.5"/>
    <n v="6.6878980891719744"/>
  </r>
  <r>
    <x v="60"/>
    <x v="28"/>
    <n v="1.1200000000000001"/>
    <n v="0.85527777800000004"/>
    <n v="2.2999999999999998"/>
    <n v="2.8662420382165603"/>
  </r>
  <r>
    <x v="60"/>
    <x v="87"/>
    <n v="0.53"/>
    <n v="0.41185714299999998"/>
    <n v="5.5"/>
    <n v="5.7324840764331206"/>
  </r>
  <r>
    <x v="60"/>
    <x v="87"/>
    <n v="0.53"/>
    <n v="0.41185714299999998"/>
    <n v="5"/>
    <n v="5.8917197452229297"/>
  </r>
  <r>
    <x v="60"/>
    <x v="87"/>
    <n v="0.53"/>
    <n v="0.41185714299999998"/>
    <n v="2.5"/>
    <n v="3.5031847133757958"/>
  </r>
  <r>
    <x v="60"/>
    <x v="38"/>
    <n v="0.371297506"/>
    <n v="0.35258402799999999"/>
    <n v="4.5"/>
    <n v="4.2993630573248405"/>
  </r>
  <r>
    <x v="60"/>
    <x v="38"/>
    <n v="0.371297506"/>
    <n v="0.35258402799999999"/>
    <n v="4"/>
    <n v="3.3439490445859872"/>
  </r>
  <r>
    <x v="61"/>
    <x v="49"/>
    <n v="0.86"/>
    <n v="0.65666666699999998"/>
    <n v="9"/>
    <n v="17.32484076433121"/>
  </r>
  <r>
    <x v="61"/>
    <x v="49"/>
    <n v="0.86"/>
    <n v="0.65666666699999998"/>
    <n v="7"/>
    <n v="10.063694267515924"/>
  </r>
  <r>
    <x v="61"/>
    <x v="39"/>
    <n v="0.41"/>
    <n v="0.33983503399999998"/>
    <n v="9"/>
    <n v="10.828025477707007"/>
  </r>
  <r>
    <x v="61"/>
    <x v="39"/>
    <n v="0.41"/>
    <n v="0.33983503399999998"/>
    <n v="6.8"/>
    <n v="13.566878980891719"/>
  </r>
  <r>
    <x v="61"/>
    <x v="39"/>
    <n v="0.41"/>
    <n v="0.33983503399999998"/>
    <n v="6"/>
    <n v="4.4267515923566876"/>
  </r>
  <r>
    <x v="61"/>
    <x v="45"/>
    <n v="0.31264018999999998"/>
    <n v="0.356821212"/>
    <n v="3"/>
    <n v="17.515923566878982"/>
  </r>
  <r>
    <x v="61"/>
    <x v="88"/>
    <n v="0.52800000000000002"/>
    <n v="0.51040266700000003"/>
    <n v="5"/>
    <n v="3.6624203821656049"/>
  </r>
  <r>
    <x v="61"/>
    <x v="27"/>
    <n v="0.81991655299999999"/>
    <n v="0.72276027399999998"/>
    <n v="4.5"/>
    <n v="11.146496815286623"/>
  </r>
  <r>
    <x v="61"/>
    <x v="24"/>
    <n v="0.56193137999999998"/>
    <n v="0.57808694400000005"/>
    <n v="8"/>
    <n v="28.280254777070063"/>
  </r>
  <r>
    <x v="61"/>
    <x v="24"/>
    <n v="0.56193137999999998"/>
    <n v="0.57808694400000005"/>
    <n v="8"/>
    <n v="25.445859872611464"/>
  </r>
  <r>
    <x v="61"/>
    <x v="86"/>
    <n v="0.63"/>
    <n v="0.629222222"/>
    <n v="2.5"/>
    <n v="4.6815286624203818"/>
  </r>
  <r>
    <x v="61"/>
    <x v="7"/>
    <n v="0.74387999999999999"/>
    <n v="0.59130000000000005"/>
    <n v="6.5"/>
    <n v="5.1592356687898082"/>
  </r>
  <r>
    <x v="61"/>
    <x v="7"/>
    <n v="0.74387999999999999"/>
    <n v="0.59130000000000005"/>
    <n v="6.5"/>
    <n v="8.3121019108280247"/>
  </r>
  <r>
    <x v="61"/>
    <x v="89"/>
    <n v="0.65"/>
    <n v="0.65"/>
    <n v="8"/>
    <n v="18.694267515923567"/>
  </r>
  <r>
    <x v="61"/>
    <x v="89"/>
    <n v="0.65"/>
    <n v="0.65"/>
    <n v="7.1"/>
    <n v="12.86624203821656"/>
  </r>
  <r>
    <x v="61"/>
    <x v="89"/>
    <n v="0.65"/>
    <n v="0.65"/>
    <n v="7"/>
    <n v="23.917197452229296"/>
  </r>
  <r>
    <x v="61"/>
    <x v="89"/>
    <n v="0.65"/>
    <n v="0.65"/>
    <n v="7"/>
    <n v="12.579617834394904"/>
  </r>
  <r>
    <x v="61"/>
    <x v="9"/>
    <n v="0.43836446099999998"/>
    <n v="0.58666666700000003"/>
    <n v="4.7"/>
    <n v="12.547770700636942"/>
  </r>
  <r>
    <x v="61"/>
    <x v="9"/>
    <n v="0.43836446099999998"/>
    <n v="0.58666666700000003"/>
    <n v="2"/>
    <n v="5.8280254777070066"/>
  </r>
  <r>
    <x v="61"/>
    <x v="10"/>
    <n v="0.76500000000000001"/>
    <n v="0.61247410899999999"/>
    <n v="7"/>
    <n v="15.35031847133758"/>
  </r>
  <r>
    <x v="62"/>
    <x v="49"/>
    <n v="0.86"/>
    <n v="0.65666666699999998"/>
    <n v="5.5"/>
    <n v="5.1910828025477711"/>
  </r>
  <r>
    <x v="62"/>
    <x v="12"/>
    <n v="0.80908761900000004"/>
    <n v="0.87473809499999999"/>
    <n v="5.7"/>
    <n v="8.9171974522292992"/>
  </r>
  <r>
    <x v="62"/>
    <x v="39"/>
    <n v="0.41"/>
    <n v="0.33983503399999998"/>
    <n v="6.5"/>
    <n v="6.3694267515923562"/>
  </r>
  <r>
    <x v="62"/>
    <x v="3"/>
    <n v="0.89361000000000002"/>
    <n v="0.61247410899999999"/>
    <n v="3.5"/>
    <n v="6.5286624203821653"/>
  </r>
  <r>
    <x v="62"/>
    <x v="5"/>
    <n v="0.45255480399999998"/>
    <n v="0.57808694400000005"/>
    <n v="6"/>
    <n v="2.5796178343949041"/>
  </r>
  <r>
    <x v="62"/>
    <x v="16"/>
    <n v="0.63400000000000001"/>
    <n v="0.73247777800000002"/>
    <n v="3.7"/>
    <n v="14.076433121019109"/>
  </r>
  <r>
    <x v="62"/>
    <x v="6"/>
    <n v="0.374"/>
    <n v="0.47945833300000001"/>
    <n v="4"/>
    <n v="6.2101910828025479"/>
  </r>
  <r>
    <x v="62"/>
    <x v="7"/>
    <n v="0.74387999999999999"/>
    <n v="0.59130000000000005"/>
    <n v="6"/>
    <n v="8.2165605095541405"/>
  </r>
  <r>
    <x v="62"/>
    <x v="89"/>
    <n v="0.65"/>
    <n v="0.65"/>
    <n v="8.5"/>
    <n v="14.904458598726114"/>
  </r>
  <r>
    <x v="62"/>
    <x v="89"/>
    <n v="0.65"/>
    <n v="0.65"/>
    <n v="8"/>
    <n v="8.2802547770700627"/>
  </r>
  <r>
    <x v="62"/>
    <x v="10"/>
    <n v="0.76500000000000001"/>
    <n v="0.61247410899999999"/>
    <n v="8"/>
    <n v="12.13375796178344"/>
  </r>
  <r>
    <x v="62"/>
    <x v="10"/>
    <n v="0.76500000000000001"/>
    <n v="0.61247410899999999"/>
    <n v="7"/>
    <n v="28.057324840764327"/>
  </r>
  <r>
    <x v="63"/>
    <x v="49"/>
    <n v="0.86"/>
    <n v="0.65666666699999998"/>
    <n v="7"/>
    <n v="7.0063694267515917"/>
  </r>
  <r>
    <x v="63"/>
    <x v="31"/>
    <n v="0.40257753800000001"/>
    <n v="0.40843333300000001"/>
    <n v="7"/>
    <n v="10.19108280254777"/>
  </r>
  <r>
    <x v="63"/>
    <x v="39"/>
    <n v="0.41"/>
    <n v="0.33983503399999998"/>
    <n v="6"/>
    <n v="4.7770700636942669"/>
  </r>
  <r>
    <x v="63"/>
    <x v="88"/>
    <n v="0.52800000000000002"/>
    <n v="0.51040266700000003"/>
    <n v="8"/>
    <n v="3.9808917197452227"/>
  </r>
  <r>
    <x v="63"/>
    <x v="90"/>
    <n v="0.28905069999999999"/>
    <n v="0.28905072500000001"/>
    <n v="4"/>
    <n v="3.6624203821656049"/>
  </r>
  <r>
    <x v="63"/>
    <x v="46"/>
    <n v="0.55560299999999996"/>
    <n v="0.55961111100000005"/>
    <n v="2.7"/>
    <n v="4.1401273885350314"/>
  </r>
  <r>
    <x v="63"/>
    <x v="24"/>
    <n v="0.56193137999999998"/>
    <n v="0.57808694400000005"/>
    <n v="6.5"/>
    <n v="14.012738853503183"/>
  </r>
  <r>
    <x v="63"/>
    <x v="37"/>
    <n v="0.61"/>
    <n v="0.84088888900000003"/>
    <n v="6.5"/>
    <n v="26.751592356687897"/>
  </r>
  <r>
    <x v="63"/>
    <x v="79"/>
    <n v="0.84088890000000005"/>
    <n v="0.84088888900000003"/>
    <n v="6.5"/>
    <n v="26.114649681528661"/>
  </r>
  <r>
    <x v="63"/>
    <x v="17"/>
    <n v="0.65716857299999998"/>
    <n v="0.85527777800000004"/>
    <n v="4.5"/>
    <n v="10.477707006369426"/>
  </r>
  <r>
    <x v="63"/>
    <x v="9"/>
    <n v="0.43836446099999998"/>
    <n v="0.58666666700000003"/>
    <n v="5"/>
    <n v="12.579617834394904"/>
  </r>
  <r>
    <x v="63"/>
    <x v="9"/>
    <n v="0.43836446099999998"/>
    <n v="0.58666666700000003"/>
    <n v="4.5"/>
    <n v="1.910828025477707"/>
  </r>
  <r>
    <x v="63"/>
    <x v="91"/>
    <n v="0.52607139999999997"/>
    <n v="0.52607142900000003"/>
    <n v="4.5999999999999996"/>
    <n v="3.8216560509554141"/>
  </r>
  <r>
    <x v="63"/>
    <x v="91"/>
    <n v="0.52607139999999997"/>
    <n v="0.52607142900000003"/>
    <n v="4.5999999999999996"/>
    <n v="7.8025477707006363"/>
  </r>
  <r>
    <x v="63"/>
    <x v="91"/>
    <n v="0.52607139999999997"/>
    <n v="0.52607142900000003"/>
    <n v="2.2000000000000002"/>
    <n v="6.3694267515923562"/>
  </r>
  <r>
    <x v="63"/>
    <x v="77"/>
    <n v="0.68500000000000005"/>
    <n v="0.54"/>
    <n v="4"/>
    <n v="3.3439490445859872"/>
  </r>
  <r>
    <x v="63"/>
    <x v="77"/>
    <n v="0.68500000000000005"/>
    <n v="0.54"/>
    <n v="4"/>
    <n v="2.5477707006369426"/>
  </r>
  <r>
    <x v="63"/>
    <x v="77"/>
    <n v="0.68500000000000005"/>
    <n v="0.54"/>
    <n v="3"/>
    <n v="2.8662420382165603"/>
  </r>
  <r>
    <x v="64"/>
    <x v="49"/>
    <n v="0.86"/>
    <n v="0.65666666699999998"/>
    <n v="6"/>
    <n v="20.541401273885349"/>
  </r>
  <r>
    <x v="64"/>
    <x v="49"/>
    <n v="0.86"/>
    <n v="0.65666666699999998"/>
    <n v="4.5"/>
    <n v="5.7324840764331206"/>
  </r>
  <r>
    <x v="64"/>
    <x v="49"/>
    <n v="0.86"/>
    <n v="0.65666666699999998"/>
    <n v="3"/>
    <n v="2.8662420382165603"/>
  </r>
  <r>
    <x v="64"/>
    <x v="37"/>
    <n v="0.61"/>
    <n v="0.84088888900000003"/>
    <n v="5"/>
    <n v="32.484076433121018"/>
  </r>
  <r>
    <x v="64"/>
    <x v="79"/>
    <n v="0.84088890000000005"/>
    <n v="0.84088888900000003"/>
    <n v="8"/>
    <n v="10.19108280254777"/>
  </r>
  <r>
    <x v="64"/>
    <x v="10"/>
    <n v="0.76500000000000001"/>
    <n v="0.61247410899999999"/>
    <n v="8.5"/>
    <n v="16.401273885350317"/>
  </r>
  <r>
    <x v="64"/>
    <x v="10"/>
    <n v="0.76500000000000001"/>
    <n v="0.61247410899999999"/>
    <n v="7"/>
    <n v="26.273885350318469"/>
  </r>
  <r>
    <x v="64"/>
    <x v="10"/>
    <n v="0.76500000000000001"/>
    <n v="0.61247410899999999"/>
    <n v="6"/>
    <n v="14.968152866242038"/>
  </r>
  <r>
    <x v="65"/>
    <x v="49"/>
    <n v="0.86"/>
    <n v="0.65666666699999998"/>
    <n v="3.5"/>
    <n v="6.0509554140127388"/>
  </r>
  <r>
    <x v="65"/>
    <x v="31"/>
    <n v="0.40257753800000001"/>
    <n v="0.40843333300000001"/>
    <n v="12"/>
    <n v="30.095541401273884"/>
  </r>
  <r>
    <x v="65"/>
    <x v="39"/>
    <n v="0.41"/>
    <n v="0.33983503399999998"/>
    <n v="6.5"/>
    <n v="10.828025477707007"/>
  </r>
  <r>
    <x v="65"/>
    <x v="39"/>
    <n v="0.41"/>
    <n v="0.33983503399999998"/>
    <n v="12"/>
    <n v="9.872611464968152"/>
  </r>
  <r>
    <x v="65"/>
    <x v="24"/>
    <n v="0.56193137999999998"/>
    <n v="0.57808694400000005"/>
    <n v="4.5"/>
    <n v="10.19108280254777"/>
  </r>
  <r>
    <x v="65"/>
    <x v="89"/>
    <n v="0.65"/>
    <n v="0.65"/>
    <n v="7"/>
    <n v="3.0254777070063694"/>
  </r>
  <r>
    <x v="65"/>
    <x v="17"/>
    <n v="0.65716857299999998"/>
    <n v="0.85527777800000004"/>
    <n v="3.5"/>
    <n v="5.8917197452229297"/>
  </r>
  <r>
    <x v="65"/>
    <x v="29"/>
    <n v="0.40238543599999999"/>
    <n v="0.40883333300000002"/>
    <n v="16"/>
    <n v="17.834394904458598"/>
  </r>
  <r>
    <x v="65"/>
    <x v="30"/>
    <n v="0.57917600000000002"/>
    <n v="0.60285714300000004"/>
    <n v="6"/>
    <n v="25.318471337579616"/>
  </r>
  <r>
    <x v="65"/>
    <x v="91"/>
    <n v="0.52607139999999997"/>
    <n v="0.52607142900000003"/>
    <n v="5"/>
    <n v="9.872611464968152"/>
  </r>
  <r>
    <x v="66"/>
    <x v="39"/>
    <n v="0.41"/>
    <n v="0.33983503399999998"/>
    <n v="8"/>
    <n v="7.7070063694267512"/>
  </r>
  <r>
    <x v="66"/>
    <x v="39"/>
    <n v="0.41"/>
    <n v="0.33983503399999998"/>
    <n v="7"/>
    <n v="4.7770700636942669"/>
  </r>
  <r>
    <x v="66"/>
    <x v="39"/>
    <n v="0.41"/>
    <n v="0.33983503399999998"/>
    <n v="7"/>
    <n v="7.3248407643312099"/>
  </r>
  <r>
    <x v="66"/>
    <x v="39"/>
    <n v="0.41"/>
    <n v="0.33983503399999998"/>
    <n v="7"/>
    <n v="5.8917197452229297"/>
  </r>
  <r>
    <x v="66"/>
    <x v="39"/>
    <n v="0.41"/>
    <n v="0.33983503399999998"/>
    <n v="5"/>
    <n v="2.5477707006369426"/>
  </r>
  <r>
    <x v="66"/>
    <x v="39"/>
    <n v="0.41"/>
    <n v="0.33983503399999998"/>
    <n v="5"/>
    <n v="2.2292993630573248"/>
  </r>
  <r>
    <x v="66"/>
    <x v="39"/>
    <n v="0.41"/>
    <n v="0.33983503399999998"/>
    <n v="4.5"/>
    <n v="2.2292993630573248"/>
  </r>
  <r>
    <x v="66"/>
    <x v="39"/>
    <n v="0.41"/>
    <n v="0.33983503399999998"/>
    <n v="4"/>
    <n v="2.7070063694267517"/>
  </r>
  <r>
    <x v="66"/>
    <x v="92"/>
    <n v="0.6671667"/>
    <n v="0.66716666700000005"/>
    <n v="3.5"/>
    <n v="2.2611464968152863"/>
  </r>
  <r>
    <x v="66"/>
    <x v="80"/>
    <n v="0.83069230800000005"/>
    <n v="0.78683697699999999"/>
    <n v="6"/>
    <n v="8.2802547770700627"/>
  </r>
  <r>
    <x v="66"/>
    <x v="36"/>
    <n v="0.39984676499999999"/>
    <n v="0.450333333"/>
    <n v="7"/>
    <n v="9.872611464968152"/>
  </r>
  <r>
    <x v="66"/>
    <x v="86"/>
    <n v="0.63"/>
    <n v="0.629222222"/>
    <n v="4.5"/>
    <n v="2.6751592356687897"/>
  </r>
  <r>
    <x v="66"/>
    <x v="86"/>
    <n v="0.63"/>
    <n v="0.629222222"/>
    <n v="4.5"/>
    <n v="1.910828025477707"/>
  </r>
  <r>
    <x v="66"/>
    <x v="86"/>
    <n v="0.63"/>
    <n v="0.629222222"/>
    <n v="3"/>
    <n v="1.910828025477707"/>
  </r>
  <r>
    <x v="66"/>
    <x v="86"/>
    <n v="0.63"/>
    <n v="0.629222222"/>
    <n v="2.2000000000000002"/>
    <n v="1.2738853503184713"/>
  </r>
  <r>
    <x v="66"/>
    <x v="93"/>
    <n v="0.62922219999999995"/>
    <n v="0.629222222"/>
    <n v="1.6"/>
    <n v="1.2738853503184713"/>
  </r>
  <r>
    <x v="66"/>
    <x v="93"/>
    <n v="0.62922219999999995"/>
    <n v="0.629222222"/>
    <n v="1.5"/>
    <n v="1.592356687898089"/>
  </r>
  <r>
    <x v="66"/>
    <x v="79"/>
    <n v="0.84088890000000005"/>
    <n v="0.84088888900000003"/>
    <n v="10"/>
    <n v="10.764331210191081"/>
  </r>
  <r>
    <x v="66"/>
    <x v="79"/>
    <n v="0.84088890000000005"/>
    <n v="0.84088888900000003"/>
    <n v="10"/>
    <n v="16.560509554140125"/>
  </r>
  <r>
    <x v="66"/>
    <x v="89"/>
    <n v="0.65"/>
    <n v="0.65"/>
    <n v="10"/>
    <n v="6.7515923566878975"/>
  </r>
  <r>
    <x v="66"/>
    <x v="89"/>
    <n v="0.65"/>
    <n v="0.65"/>
    <n v="9"/>
    <n v="6.114649681528662"/>
  </r>
  <r>
    <x v="66"/>
    <x v="89"/>
    <n v="0.65"/>
    <n v="0.65"/>
    <n v="8"/>
    <n v="10.254777070063694"/>
  </r>
  <r>
    <x v="66"/>
    <x v="89"/>
    <n v="0.65"/>
    <n v="0.65"/>
    <n v="8"/>
    <n v="14.840764331210192"/>
  </r>
  <r>
    <x v="66"/>
    <x v="89"/>
    <n v="0.65"/>
    <n v="0.65"/>
    <n v="7.5"/>
    <n v="20.700636942675157"/>
  </r>
  <r>
    <x v="66"/>
    <x v="89"/>
    <n v="0.65"/>
    <n v="0.65"/>
    <n v="7"/>
    <n v="16.082802547770701"/>
  </r>
  <r>
    <x v="66"/>
    <x v="89"/>
    <n v="0.65"/>
    <n v="0.65"/>
    <n v="7"/>
    <n v="5.2547770700636942"/>
  </r>
  <r>
    <x v="66"/>
    <x v="89"/>
    <n v="0.65"/>
    <n v="0.65"/>
    <n v="7"/>
    <n v="7.0063694267515917"/>
  </r>
  <r>
    <x v="66"/>
    <x v="89"/>
    <n v="0.65"/>
    <n v="0.65"/>
    <n v="7"/>
    <n v="11.783439490445859"/>
  </r>
  <r>
    <x v="66"/>
    <x v="89"/>
    <n v="0.65"/>
    <n v="0.65"/>
    <n v="5.5"/>
    <n v="3.1847133757961781"/>
  </r>
  <r>
    <x v="66"/>
    <x v="89"/>
    <n v="0.65"/>
    <n v="0.65"/>
    <n v="5"/>
    <n v="4.2993630573248405"/>
  </r>
  <r>
    <x v="66"/>
    <x v="89"/>
    <n v="0.65"/>
    <n v="0.65"/>
    <n v="4"/>
    <n v="2.2292993630573248"/>
  </r>
  <r>
    <x v="66"/>
    <x v="94"/>
    <n v="0.56572270000000002"/>
    <n v="0.61247410899999999"/>
    <n v="3"/>
    <n v="1.910828025477707"/>
  </r>
  <r>
    <x v="66"/>
    <x v="9"/>
    <n v="0.43836446099999998"/>
    <n v="0.58666666700000003"/>
    <n v="4.5"/>
    <n v="3.2484076433121016"/>
  </r>
  <r>
    <x v="66"/>
    <x v="9"/>
    <n v="0.43836446099999998"/>
    <n v="0.58666666700000003"/>
    <n v="4.5"/>
    <n v="2.7070063694267517"/>
  </r>
  <r>
    <x v="66"/>
    <x v="9"/>
    <n v="0.43836446099999998"/>
    <n v="0.58666666700000003"/>
    <n v="3.6"/>
    <n v="1.7834394904458597"/>
  </r>
  <r>
    <x v="66"/>
    <x v="9"/>
    <n v="0.43836446099999998"/>
    <n v="0.58666666700000003"/>
    <n v="3.4"/>
    <n v="3.4713375796178343"/>
  </r>
  <r>
    <x v="67"/>
    <x v="39"/>
    <n v="0.41"/>
    <n v="0.33983503399999998"/>
    <n v="8"/>
    <n v="7.6751592356687901"/>
  </r>
  <r>
    <x v="67"/>
    <x v="64"/>
    <n v="0.6"/>
    <n v="0.51040266700000003"/>
    <n v="7.5"/>
    <n v="23.089171974522291"/>
  </r>
  <r>
    <x v="67"/>
    <x v="21"/>
    <n v="0.39790071399999999"/>
    <n v="0.50565277799999997"/>
    <n v="6.3"/>
    <n v="9.3949044585987256"/>
  </r>
  <r>
    <x v="67"/>
    <x v="21"/>
    <n v="0.39790071399999999"/>
    <n v="0.50565277799999997"/>
    <n v="5.5"/>
    <n v="8.4713375796178347"/>
  </r>
  <r>
    <x v="67"/>
    <x v="46"/>
    <n v="0.55560299999999996"/>
    <n v="0.55961111100000005"/>
    <n v="6.5"/>
    <n v="9.0764331210191074"/>
  </r>
  <r>
    <x v="67"/>
    <x v="46"/>
    <n v="0.55560299999999996"/>
    <n v="0.55961111100000005"/>
    <n v="3.5"/>
    <n v="4.936305732484076"/>
  </r>
  <r>
    <x v="67"/>
    <x v="24"/>
    <n v="0.56193137999999998"/>
    <n v="0.57808694400000005"/>
    <n v="6"/>
    <n v="3.9490445859872612"/>
  </r>
  <r>
    <x v="67"/>
    <x v="24"/>
    <n v="0.56193137999999998"/>
    <n v="0.57808694400000005"/>
    <n v="5.5"/>
    <n v="21.496815286624201"/>
  </r>
  <r>
    <x v="67"/>
    <x v="86"/>
    <n v="0.63"/>
    <n v="0.629222222"/>
    <n v="2.2000000000000002"/>
    <n v="4.5859872611464967"/>
  </r>
  <r>
    <x v="67"/>
    <x v="86"/>
    <n v="0.63"/>
    <n v="0.629222222"/>
    <n v="1.3"/>
    <n v="1.1146496815286624"/>
  </r>
  <r>
    <x v="67"/>
    <x v="37"/>
    <n v="0.61"/>
    <n v="0.84088888900000003"/>
    <n v="6.5"/>
    <n v="53.025477707006367"/>
  </r>
  <r>
    <x v="67"/>
    <x v="79"/>
    <n v="0.84088890000000005"/>
    <n v="0.84088888900000003"/>
    <n v="10"/>
    <n v="33.312101910828019"/>
  </r>
  <r>
    <x v="67"/>
    <x v="79"/>
    <n v="0.84088890000000005"/>
    <n v="0.84088888900000003"/>
    <n v="9"/>
    <n v="5.5732484076433115"/>
  </r>
  <r>
    <x v="67"/>
    <x v="79"/>
    <n v="0.84088890000000005"/>
    <n v="0.84088888900000003"/>
    <n v="9"/>
    <n v="13.248407643312103"/>
  </r>
  <r>
    <x v="67"/>
    <x v="95"/>
    <n v="0.78713326400000005"/>
    <n v="0.8155"/>
    <n v="3.5"/>
    <n v="6.6878980891719744"/>
  </r>
  <r>
    <x v="67"/>
    <x v="68"/>
    <n v="0.56023871300000005"/>
    <n v="0.74103703700000001"/>
    <n v="7"/>
    <n v="14.29936305732484"/>
  </r>
  <r>
    <x v="68"/>
    <x v="49"/>
    <n v="0.86"/>
    <n v="0.65666666699999998"/>
    <n v="7"/>
    <n v="9.2356687898089174"/>
  </r>
  <r>
    <x v="68"/>
    <x v="49"/>
    <n v="0.86"/>
    <n v="0.65666666699999998"/>
    <n v="6"/>
    <n v="6.8471337579617835"/>
  </r>
  <r>
    <x v="68"/>
    <x v="49"/>
    <n v="0.86"/>
    <n v="0.65666666699999998"/>
    <n v="5"/>
    <n v="7.1656050955414008"/>
  </r>
  <r>
    <x v="68"/>
    <x v="49"/>
    <n v="0.86"/>
    <n v="0.65666666699999998"/>
    <n v="4.5"/>
    <n v="9.2356687898089174"/>
  </r>
  <r>
    <x v="68"/>
    <x v="12"/>
    <n v="0.80908761900000004"/>
    <n v="0.87473809499999999"/>
    <n v="8"/>
    <n v="16.560509554140125"/>
  </r>
  <r>
    <x v="68"/>
    <x v="39"/>
    <n v="0.41"/>
    <n v="0.33983503399999998"/>
    <n v="8"/>
    <n v="15.286624203821656"/>
  </r>
  <r>
    <x v="68"/>
    <x v="4"/>
    <n v="0.708787469"/>
    <n v="0.80167708299999996"/>
    <n v="2"/>
    <n v="4.0999999999999996"/>
  </r>
  <r>
    <x v="68"/>
    <x v="86"/>
    <n v="0.63"/>
    <n v="0.629222222"/>
    <n v="2.6"/>
    <n v="2.3885350318471334"/>
  </r>
  <r>
    <x v="68"/>
    <x v="86"/>
    <n v="0.63"/>
    <n v="0.629222222"/>
    <n v="2.2000000000000002"/>
    <n v="1.910828025477707"/>
  </r>
  <r>
    <x v="68"/>
    <x v="86"/>
    <n v="0.63"/>
    <n v="0.629222222"/>
    <n v="1.45"/>
    <n v="0.46178343949044581"/>
  </r>
  <r>
    <x v="68"/>
    <x v="86"/>
    <n v="0.63"/>
    <n v="0.629222222"/>
    <n v="2.2000000000000002"/>
    <n v="1.592356687898089"/>
  </r>
  <r>
    <x v="68"/>
    <x v="23"/>
    <n v="0.590536375"/>
    <n v="0.61247410899999999"/>
    <n v="9"/>
    <n v="43.630573248407643"/>
  </r>
  <r>
    <x v="68"/>
    <x v="9"/>
    <n v="0.43836446099999998"/>
    <n v="0.58666666700000003"/>
    <n v="4.5"/>
    <n v="3.5031847133757958"/>
  </r>
  <r>
    <x v="68"/>
    <x v="9"/>
    <n v="0.43836446099999998"/>
    <n v="0.58666666700000003"/>
    <n v="1.8"/>
    <n v="1.1146496815286624"/>
  </r>
  <r>
    <x v="68"/>
    <x v="83"/>
    <n v="0.41185709999999998"/>
    <n v="0.41185714299999998"/>
    <n v="6"/>
    <n v="37.484076433121011"/>
  </r>
  <r>
    <x v="69"/>
    <x v="49"/>
    <n v="0.86"/>
    <n v="0.65666666699999998"/>
    <n v="7"/>
    <n v="10.445859872611464"/>
  </r>
  <r>
    <x v="69"/>
    <x v="85"/>
    <n v="0.57550000000000001"/>
    <n v="0.57550000000000001"/>
    <n v="1.9"/>
    <n v="1.8789808917197452"/>
  </r>
  <r>
    <x v="69"/>
    <x v="85"/>
    <n v="0.57550000000000001"/>
    <n v="0.57550000000000001"/>
    <n v="1.8"/>
    <n v="1.4649681528662419"/>
  </r>
  <r>
    <x v="69"/>
    <x v="85"/>
    <n v="0.57550000000000001"/>
    <n v="0.57550000000000001"/>
    <n v="2.5"/>
    <n v="1.910828025477707"/>
  </r>
  <r>
    <x v="69"/>
    <x v="39"/>
    <n v="0.41"/>
    <n v="0.33983503399999998"/>
    <n v="7"/>
    <n v="12.929936305732484"/>
  </r>
  <r>
    <x v="69"/>
    <x v="39"/>
    <n v="0.41"/>
    <n v="0.33983503399999998"/>
    <n v="2"/>
    <n v="2.0382165605095541"/>
  </r>
  <r>
    <x v="69"/>
    <x v="39"/>
    <n v="0.41"/>
    <n v="0.33983503399999998"/>
    <n v="7"/>
    <n v="6.0509554140127388"/>
  </r>
  <r>
    <x v="69"/>
    <x v="39"/>
    <n v="0.41"/>
    <n v="0.33983503399999998"/>
    <n v="5.5"/>
    <n v="2.8025477707006372"/>
  </r>
  <r>
    <x v="69"/>
    <x v="1"/>
    <n v="0.766138345"/>
    <n v="0.90500000000000003"/>
    <n v="2.7"/>
    <n v="12.197452229299362"/>
  </r>
  <r>
    <x v="69"/>
    <x v="92"/>
    <n v="0.6671667"/>
    <n v="0.66716666700000005"/>
    <n v="1.75"/>
    <n v="3.9808917197452227"/>
  </r>
  <r>
    <x v="69"/>
    <x v="80"/>
    <n v="0.83069230800000005"/>
    <n v="0.78683697699999999"/>
    <n v="4.7"/>
    <n v="4.7133757961783438"/>
  </r>
  <r>
    <x v="69"/>
    <x v="46"/>
    <n v="0.55560299999999996"/>
    <n v="0.55961111100000005"/>
    <n v="2"/>
    <n v="3.2165605095541401"/>
  </r>
  <r>
    <x v="69"/>
    <x v="24"/>
    <n v="0.56193137999999998"/>
    <n v="0.57808694400000005"/>
    <n v="7.5"/>
    <n v="10.796178343949043"/>
  </r>
  <r>
    <x v="69"/>
    <x v="24"/>
    <n v="0.56193137999999998"/>
    <n v="0.57808694400000005"/>
    <n v="6.8"/>
    <n v="9.7452229299363058"/>
  </r>
  <r>
    <x v="69"/>
    <x v="24"/>
    <n v="0.56193137999999998"/>
    <n v="0.57808694400000005"/>
    <n v="2.8"/>
    <n v="4.4585987261146496"/>
  </r>
  <r>
    <x v="69"/>
    <x v="24"/>
    <n v="0.56193137999999998"/>
    <n v="0.57808694400000005"/>
    <n v="2.5"/>
    <n v="2.2292993630573248"/>
  </r>
  <r>
    <x v="69"/>
    <x v="86"/>
    <n v="0.63"/>
    <n v="0.629222222"/>
    <n v="1.8"/>
    <n v="1.2738853503184713"/>
  </r>
  <r>
    <x v="69"/>
    <x v="86"/>
    <n v="0.63"/>
    <n v="0.629222222"/>
    <n v="1.6"/>
    <n v="1.2738853503184713"/>
  </r>
  <r>
    <x v="69"/>
    <x v="93"/>
    <n v="0.62922219999999995"/>
    <n v="0.629222222"/>
    <n v="1.5"/>
    <n v="1.592356687898089"/>
  </r>
  <r>
    <x v="69"/>
    <x v="93"/>
    <n v="0.62922219999999995"/>
    <n v="0.629222222"/>
    <n v="1.4"/>
    <n v="1.1146496815286624"/>
  </r>
  <r>
    <x v="69"/>
    <x v="93"/>
    <n v="0.62922219999999995"/>
    <n v="0.629222222"/>
    <n v="1.4"/>
    <n v="1.2738853503184713"/>
  </r>
  <r>
    <x v="69"/>
    <x v="93"/>
    <n v="0.62922219999999995"/>
    <n v="0.629222222"/>
    <n v="1.6"/>
    <n v="1.8471337579617833"/>
  </r>
  <r>
    <x v="69"/>
    <x v="93"/>
    <n v="0.62922219999999995"/>
    <n v="0.629222222"/>
    <n v="1.5"/>
    <n v="1.592356687898089"/>
  </r>
  <r>
    <x v="69"/>
    <x v="79"/>
    <n v="0.84088890000000005"/>
    <n v="0.84088888900000003"/>
    <n v="9.5"/>
    <n v="14.012738853503183"/>
  </r>
  <r>
    <x v="69"/>
    <x v="79"/>
    <n v="0.84088890000000005"/>
    <n v="0.84088888900000003"/>
    <n v="9"/>
    <n v="22.547770700636946"/>
  </r>
  <r>
    <x v="69"/>
    <x v="96"/>
    <n v="0.685322871"/>
    <n v="0.8155"/>
    <n v="6.5"/>
    <n v="3.3439490445859872"/>
  </r>
  <r>
    <x v="69"/>
    <x v="96"/>
    <n v="0.685322871"/>
    <n v="0.8155"/>
    <n v="1.5"/>
    <n v="9.6815286624203818"/>
  </r>
  <r>
    <x v="69"/>
    <x v="96"/>
    <n v="0.685322871"/>
    <n v="0.8155"/>
    <n v="4"/>
    <n v="1.2738853503184713"/>
  </r>
  <r>
    <x v="69"/>
    <x v="68"/>
    <n v="0.56023871300000005"/>
    <n v="0.74103703700000001"/>
    <n v="6.5"/>
    <n v="0.95541401273885351"/>
  </r>
  <r>
    <x v="69"/>
    <x v="68"/>
    <n v="0.56023871300000005"/>
    <n v="0.74103703700000001"/>
    <n v="3"/>
    <n v="13.726114649681529"/>
  </r>
  <r>
    <x v="69"/>
    <x v="97"/>
    <n v="0.56572270000000002"/>
    <n v="0.61247410899999999"/>
    <n v="0.77"/>
    <n v="2.6751592356687897"/>
  </r>
  <r>
    <x v="69"/>
    <x v="69"/>
    <n v="0.432770245"/>
    <n v="0.61247410899999999"/>
    <n v="7"/>
    <n v="4.6178343949044587"/>
  </r>
  <r>
    <x v="69"/>
    <x v="28"/>
    <n v="1.1200000000000001"/>
    <n v="0.85527777800000004"/>
    <n v="2.9"/>
    <n v="2.1974522292993632"/>
  </r>
  <r>
    <x v="69"/>
    <x v="29"/>
    <n v="0.40238543599999999"/>
    <n v="0.40883333300000002"/>
    <n v="11"/>
    <n v="17.866242038216559"/>
  </r>
  <r>
    <x v="69"/>
    <x v="10"/>
    <n v="0.76500000000000001"/>
    <n v="0.61247410899999999"/>
    <n v="8"/>
    <n v="6.8471337579617835"/>
  </r>
  <r>
    <x v="70"/>
    <x v="49"/>
    <n v="0.86"/>
    <n v="0.65666666699999998"/>
    <n v="6"/>
    <n v="6.3694267515923562"/>
  </r>
  <r>
    <x v="70"/>
    <x v="85"/>
    <n v="0.57550000000000001"/>
    <n v="0.57550000000000001"/>
    <n v="4"/>
    <n v="1.4331210191082802"/>
  </r>
  <r>
    <x v="70"/>
    <x v="39"/>
    <n v="0.41"/>
    <n v="0.33983503399999998"/>
    <n v="7"/>
    <n v="7.8025477707006363"/>
  </r>
  <r>
    <x v="70"/>
    <x v="39"/>
    <n v="0.41"/>
    <n v="0.33983503399999998"/>
    <n v="6"/>
    <n v="4.4585987261146496"/>
  </r>
  <r>
    <x v="70"/>
    <x v="45"/>
    <n v="0.31264018999999998"/>
    <n v="0.356821212"/>
    <n v="4.5"/>
    <n v="3.8216560509554141"/>
  </r>
  <r>
    <x v="70"/>
    <x v="46"/>
    <n v="0.55560299999999996"/>
    <n v="0.55961111100000005"/>
    <n v="4"/>
    <n v="3.0254777070063694"/>
  </r>
  <r>
    <x v="70"/>
    <x v="37"/>
    <n v="0.61"/>
    <n v="0.84088888900000003"/>
    <n v="7"/>
    <n v="54.140127388535028"/>
  </r>
  <r>
    <x v="70"/>
    <x v="79"/>
    <n v="0.84088890000000005"/>
    <n v="0.84088888900000003"/>
    <n v="10"/>
    <n v="22.770700636942674"/>
  </r>
  <r>
    <x v="70"/>
    <x v="79"/>
    <n v="0.84088890000000005"/>
    <n v="0.84088888900000003"/>
    <n v="9"/>
    <n v="17.515923566878982"/>
  </r>
  <r>
    <x v="70"/>
    <x v="29"/>
    <n v="0.40238543599999999"/>
    <n v="0.40883333300000002"/>
    <n v="8"/>
    <n v="14.171974522292993"/>
  </r>
  <r>
    <x v="70"/>
    <x v="30"/>
    <n v="0.57917600000000002"/>
    <n v="0.60285714300000004"/>
    <n v="10"/>
    <n v="60.35031847133758"/>
  </r>
  <r>
    <x v="70"/>
    <x v="83"/>
    <n v="0.41185709999999998"/>
    <n v="0.41185714299999998"/>
    <n v="3.5"/>
    <n v="5.7324840764331206"/>
  </r>
  <r>
    <x v="71"/>
    <x v="85"/>
    <n v="0.57550000000000001"/>
    <n v="0.57550000000000001"/>
    <n v="2.6"/>
    <n v="3.6624203821656049"/>
  </r>
  <r>
    <x v="71"/>
    <x v="39"/>
    <n v="0.41"/>
    <n v="0.33983503399999998"/>
    <n v="9.5"/>
    <n v="5.5732484076433115"/>
  </r>
  <r>
    <x v="71"/>
    <x v="88"/>
    <n v="0.52800000000000002"/>
    <n v="0.51040266700000003"/>
    <n v="10"/>
    <n v="26.624203821656049"/>
  </r>
  <r>
    <x v="71"/>
    <x v="46"/>
    <n v="0.55560299999999996"/>
    <n v="0.55961111100000005"/>
    <n v="7"/>
    <n v="7.484076433121019"/>
  </r>
  <r>
    <x v="71"/>
    <x v="46"/>
    <n v="0.55560299999999996"/>
    <n v="0.55961111100000005"/>
    <n v="7.5"/>
    <n v="18.789808917197451"/>
  </r>
  <r>
    <x v="71"/>
    <x v="36"/>
    <n v="0.39984676499999999"/>
    <n v="0.450333333"/>
    <n v="4.5"/>
    <n v="13.057324840764331"/>
  </r>
  <r>
    <x v="71"/>
    <x v="50"/>
    <n v="0.43538739399999998"/>
    <n v="0.568333333"/>
    <n v="6.5"/>
    <n v="9.5541401273885338"/>
  </r>
  <r>
    <x v="71"/>
    <x v="16"/>
    <n v="0.63400000000000001"/>
    <n v="0.73247777800000002"/>
    <n v="8"/>
    <n v="16.401273885350317"/>
  </r>
  <r>
    <x v="71"/>
    <x v="37"/>
    <n v="0.61"/>
    <n v="0.84088888900000003"/>
    <n v="5"/>
    <n v="35.031847133757964"/>
  </r>
  <r>
    <x v="71"/>
    <x v="95"/>
    <n v="0.78713326400000005"/>
    <n v="0.8155"/>
    <n v="4.5"/>
    <n v="2.6114649681528661"/>
  </r>
  <r>
    <x v="71"/>
    <x v="95"/>
    <n v="0.78713326400000005"/>
    <n v="0.8155"/>
    <n v="3.5"/>
    <n v="3.0254777070063694"/>
  </r>
  <r>
    <x v="71"/>
    <x v="68"/>
    <n v="0.56023871300000005"/>
    <n v="0.74103703700000001"/>
    <n v="2.7"/>
    <n v="2.3885350318471334"/>
  </r>
  <r>
    <x v="71"/>
    <x v="28"/>
    <n v="1.1200000000000001"/>
    <n v="0.85527777800000004"/>
    <n v="2.2000000000000002"/>
    <n v="2.0700636942675157"/>
  </r>
  <r>
    <x v="71"/>
    <x v="9"/>
    <n v="0.43836446099999998"/>
    <n v="0.58666666700000003"/>
    <n v="5.5"/>
    <n v="9.4585987261146496"/>
  </r>
  <r>
    <x v="71"/>
    <x v="29"/>
    <n v="0.40238543599999999"/>
    <n v="0.40883333300000002"/>
    <n v="7"/>
    <n v="15.38216560509554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293">
  <r>
    <x v="0"/>
    <s v="Anadenanthera colubrina"/>
    <n v="12"/>
    <n v="82.22993630573248"/>
    <n v="0.52691816800000002"/>
    <n v="2227.6951910482694"/>
  </r>
  <r>
    <x v="0"/>
    <s v="Pityrocarpa gonoacantha"/>
    <n v="7"/>
    <n v="10.605095541401273"/>
    <n v="0.49303984699999998"/>
    <n v="22.640607380948261"/>
  </r>
  <r>
    <x v="0"/>
    <s v="Pityrocarpa gonoacantha"/>
    <n v="8"/>
    <n v="11.656050955414013"/>
    <n v="0.49303984699999998"/>
    <n v="31.016454261989896"/>
  </r>
  <r>
    <x v="0"/>
    <s v="Pityrocarpa gonoacantha"/>
    <n v="11"/>
    <n v="16.65605095541401"/>
    <n v="0.49303984699999998"/>
    <n v="84.952428825195085"/>
  </r>
  <r>
    <x v="0"/>
    <s v="Pityrocarpa gonoacantha"/>
    <n v="11"/>
    <n v="17.32484076433121"/>
    <n v="0.49303984699999998"/>
    <n v="91.738060800256818"/>
  </r>
  <r>
    <x v="0"/>
    <s v="Pityrocarpa gonoacantha"/>
    <n v="10"/>
    <n v="19.904458598726112"/>
    <n v="0.49303984699999998"/>
    <n v="109.60214065899567"/>
  </r>
  <r>
    <x v="0"/>
    <s v="Pityrocarpa gonoacantha"/>
    <n v="7"/>
    <n v="36.136942675159233"/>
    <n v="0.49303984699999998"/>
    <n v="247.85903174587395"/>
  </r>
  <r>
    <x v="0"/>
    <s v="Pityrocarpa gonoacantha"/>
    <n v="8"/>
    <n v="43.436305732484072"/>
    <n v="0.49303984699999998"/>
    <n v="404.36407760388738"/>
  </r>
  <r>
    <x v="0"/>
    <s v="Pityrocarpa gonoacantha"/>
    <n v="8"/>
    <n v="49.803184713375792"/>
    <n v="0.49303984699999998"/>
    <n v="528.11637248374143"/>
  </r>
  <r>
    <x v="0"/>
    <s v="Pityrocarpa paniculata"/>
    <n v="9"/>
    <n v="17.101910828025478"/>
    <n v="0.51037391899999995"/>
    <n v="76.06030030857535"/>
  </r>
  <r>
    <x v="0"/>
    <s v="Pityrocarpa paniculata"/>
    <n v="13"/>
    <n v="32.00636942675159"/>
    <n v="0.51037391899999995"/>
    <n v="370.12157817532153"/>
  </r>
  <r>
    <x v="1"/>
    <s v="Anadenanthera colubrina"/>
    <n v="11"/>
    <n v="21.178343949044585"/>
    <n v="0.52691816800000002"/>
    <n v="144.86945975718584"/>
  </r>
  <r>
    <x v="1"/>
    <s v="Inga laurina"/>
    <n v="4"/>
    <n v="4.2038216560509554"/>
    <n v="0.65473331599999995"/>
    <n v="2.8409144145354874"/>
  </r>
  <r>
    <x v="1"/>
    <s v="Inga laurina"/>
    <n v="4.5"/>
    <n v="16.898089171974522"/>
    <n v="0.65473331599999995"/>
    <n v="48.16908115513607"/>
  </r>
  <r>
    <x v="1"/>
    <s v="Inga laurina"/>
    <n v="5.5"/>
    <n v="28.283439490445858"/>
    <n v="0.65473331599999995"/>
    <n v="160.13226271881314"/>
  </r>
  <r>
    <x v="1"/>
    <s v="Pityrocarpa gonoacantha"/>
    <n v="7"/>
    <n v="19.108280254777068"/>
    <n v="0.49303984699999998"/>
    <n v="71.454267330042853"/>
  </r>
  <r>
    <x v="1"/>
    <s v="Pityrocarpa gonoacantha"/>
    <n v="11"/>
    <n v="26.656050955414013"/>
    <n v="0.49303984699999998"/>
    <n v="212.72601149845372"/>
  </r>
  <r>
    <x v="1"/>
    <s v="Pityrocarpa gonoacantha"/>
    <n v="8"/>
    <n v="37.680254777070061"/>
    <n v="0.49303984699999998"/>
    <n v="306.37825649662773"/>
  </r>
  <r>
    <x v="1"/>
    <s v="Pityrocarpa gonoacantha"/>
    <n v="9"/>
    <n v="51.072611464968155"/>
    <n v="0.49303984699999998"/>
    <n v="622.28840321433267"/>
  </r>
  <r>
    <x v="1"/>
    <s v="Pseudobombax grandiflorum"/>
    <n v="5"/>
    <n v="8.1210191082802545"/>
    <n v="0.2424"/>
    <n v="4.8425418243390235"/>
  </r>
  <r>
    <x v="1"/>
    <s v="Pseudobombax grandiflorum"/>
    <n v="6"/>
    <n v="8.4713375796178347"/>
    <n v="0.2424"/>
    <n v="6.2828515583111306"/>
  </r>
  <r>
    <x v="1"/>
    <s v="Pseudobombax grandiflorum"/>
    <n v="4"/>
    <n v="8.6942675159235669"/>
    <n v="0.2424"/>
    <n v="4.4495107715726379"/>
  </r>
  <r>
    <x v="1"/>
    <s v="Pseudobombax grandiflorum"/>
    <n v="6"/>
    <n v="8.7579617834394909"/>
    <n v="0.2424"/>
    <n v="6.7044825172485218"/>
  </r>
  <r>
    <x v="1"/>
    <s v="Pseudobombax grandiflorum"/>
    <n v="5"/>
    <n v="9.2356687898089174"/>
    <n v="0.2424"/>
    <n v="6.2245482827739975"/>
  </r>
  <r>
    <x v="1"/>
    <s v="Pseudobombax grandiflorum"/>
    <n v="3"/>
    <n v="10.414012738853504"/>
    <n v="0.2424"/>
    <n v="4.7794704595205015"/>
  </r>
  <r>
    <x v="1"/>
    <s v="Pseudobombax grandiflorum"/>
    <n v="4.5"/>
    <n v="10.923566878980891"/>
    <n v="0.2424"/>
    <n v="7.7936654552869244"/>
  </r>
  <r>
    <x v="1"/>
    <s v="Pseudobombax grandiflorum"/>
    <n v="5"/>
    <n v="28.938853503184713"/>
    <n v="0.2424"/>
    <n v="57.852903537647663"/>
  </r>
  <r>
    <x v="1"/>
    <s v="Pseudobombax grandiflorum"/>
    <n v="4.8"/>
    <n v="30.788535031847132"/>
    <n v="0.2424"/>
    <n v="62.740174367194129"/>
  </r>
  <r>
    <x v="1"/>
    <s v="Tapirira guianensis"/>
    <n v="7"/>
    <n v="6.7515923566878975"/>
    <n v="0.44359999999999999"/>
    <n v="8.4585402326360448"/>
  </r>
  <r>
    <x v="2"/>
    <s v="Anadenanthera colubrina"/>
    <n v="8"/>
    <n v="6.7515923566878975"/>
    <n v="0.52691816800000002"/>
    <n v="11.398643107045498"/>
  </r>
  <r>
    <x v="2"/>
    <s v="Anadenanthera colubrina"/>
    <n v="9"/>
    <n v="12.802547770700638"/>
    <n v="0.52691816800000002"/>
    <n v="44.588172543247772"/>
  </r>
  <r>
    <x v="2"/>
    <s v="Anadenanthera colubrina"/>
    <n v="10"/>
    <n v="15.987261146496815"/>
    <n v="0.52691816800000002"/>
    <n v="76.243598219034993"/>
  </r>
  <r>
    <x v="2"/>
    <s v="Anadenanthera colubrina"/>
    <n v="11"/>
    <n v="24.076433121019104"/>
    <n v="0.52691816800000002"/>
    <n v="186.08164375658498"/>
  </r>
  <r>
    <x v="2"/>
    <s v="Anadenanthera colubrina"/>
    <n v="12"/>
    <n v="77.064331210191085"/>
    <n v="0.52691816800000002"/>
    <n v="1962.7055979817062"/>
  </r>
  <r>
    <x v="2"/>
    <s v="Anadenanthera colubrina"/>
    <n v="12"/>
    <n v="77.108917197452229"/>
    <n v="0.52691816800000002"/>
    <n v="1964.9227707307614"/>
  </r>
  <r>
    <x v="2"/>
    <s v="Citharexylum myrianthum"/>
    <n v="8"/>
    <n v="8.4394904458598727"/>
    <n v="0.38825121200000001"/>
    <n v="13.078992082309872"/>
  </r>
  <r>
    <x v="2"/>
    <s v="Joannesia princeps"/>
    <n v="6"/>
    <n v="7.7707006369426743"/>
    <n v="0.30794823799999999"/>
    <n v="6.7053771586605491"/>
  </r>
  <r>
    <x v="2"/>
    <s v="Joannesia princeps"/>
    <n v="7"/>
    <n v="9.7133757961783438"/>
    <n v="0.30794823799999999"/>
    <n v="12.048462292199719"/>
  </r>
  <r>
    <x v="2"/>
    <s v="Joannesia princeps"/>
    <n v="7"/>
    <n v="13.439490445859873"/>
    <n v="0.30794823799999999"/>
    <n v="22.708489156935173"/>
  </r>
  <r>
    <x v="2"/>
    <s v="Joannesia princeps"/>
    <n v="7"/>
    <n v="35.994904458598725"/>
    <n v="0.30794823799999999"/>
    <n v="155.37011619312457"/>
  </r>
  <r>
    <x v="2"/>
    <s v="Joannesia princeps"/>
    <n v="8"/>
    <n v="54.08407643312102"/>
    <n v="0.30794823799999999"/>
    <n v="391.86516044048022"/>
  </r>
  <r>
    <x v="2"/>
    <s v="Joannesia princeps"/>
    <n v="10"/>
    <n v="66.27006369426752"/>
    <n v="0.30794823799999999"/>
    <n v="724.40404008526116"/>
  </r>
  <r>
    <x v="2"/>
    <s v="Pityrocarpa gonoacantha"/>
    <n v="8"/>
    <n v="16.114649681528661"/>
    <n v="0.49303984699999998"/>
    <n v="58.368546532056264"/>
  </r>
  <r>
    <x v="2"/>
    <s v="Pityrocarpa gonoacantha"/>
    <n v="11"/>
    <n v="75.277070063694268"/>
    <n v="0.49303984699999998"/>
    <n v="1614.0343780567162"/>
  </r>
  <r>
    <x v="2"/>
    <s v="Pityrocarpa paniculata"/>
    <n v="8"/>
    <n v="10.923566878980891"/>
    <n v="0.51037391899999995"/>
    <n v="28.262950021314943"/>
  </r>
  <r>
    <x v="2"/>
    <s v="Pseudobombax grandiflorum"/>
    <n v="2.8"/>
    <n v="4.6496815286624198"/>
    <n v="0.2424"/>
    <n v="0.92588113847909281"/>
  </r>
  <r>
    <x v="2"/>
    <s v="Pseudobombax grandiflorum"/>
    <n v="4.8"/>
    <n v="7.8343949044585992"/>
    <n v="0.2424"/>
    <n v="4.338194312599267"/>
  </r>
  <r>
    <x v="2"/>
    <s v="Pseudobombax grandiflorum"/>
    <n v="4.5"/>
    <n v="7.8343949044585992"/>
    <n v="0.2424"/>
    <n v="4.0733616138768829"/>
  </r>
  <r>
    <x v="2"/>
    <s v="Pseudobombax grandiflorum"/>
    <n v="2"/>
    <n v="8.3439490445859867"/>
    <n v="0.2424"/>
    <n v="2.0875727555134298"/>
  </r>
  <r>
    <x v="2"/>
    <s v="Pseudobombax grandiflorum"/>
    <n v="6"/>
    <n v="8.4713375796178347"/>
    <n v="0.2424"/>
    <n v="6.2828515583111306"/>
  </r>
  <r>
    <x v="3"/>
    <s v="Inga laurina"/>
    <n v="5"/>
    <n v="4.8726114649681529"/>
    <n v="0.65473331599999995"/>
    <n v="4.7119392471695782"/>
  </r>
  <r>
    <x v="3"/>
    <s v="Inga laurina"/>
    <n v="4"/>
    <n v="13.933121019108281"/>
    <n v="0.65473331599999995"/>
    <n v="29.463681053468591"/>
  </r>
  <r>
    <x v="3"/>
    <s v="Inga laurina"/>
    <n v="5"/>
    <n v="17.86687898089172"/>
    <n v="0.65473331599999995"/>
    <n v="59.523400851261201"/>
  </r>
  <r>
    <x v="3"/>
    <s v="Joannesia princeps"/>
    <n v="9"/>
    <n v="14.840764331210192"/>
    <n v="0.30794823799999999"/>
    <n v="35.220267320730059"/>
  </r>
  <r>
    <x v="3"/>
    <s v="Joannesia princeps"/>
    <n v="10"/>
    <n v="19.267515923566879"/>
    <n v="0.30794823799999999"/>
    <n v="64.97542676260025"/>
  </r>
  <r>
    <x v="3"/>
    <s v="Joannesia princeps"/>
    <n v="8"/>
    <n v="45.317834394904459"/>
    <n v="0.30794823799999999"/>
    <n v="277.47414806866004"/>
  </r>
  <r>
    <x v="3"/>
    <s v="Pityrocarpa gonoacantha"/>
    <n v="6"/>
    <n v="7.1019108280254777"/>
    <n v="0.49303984699999998"/>
    <n v="8.9048776278928887"/>
  </r>
  <r>
    <x v="3"/>
    <s v="Pityrocarpa gonoacantha"/>
    <n v="8"/>
    <n v="13.280254777070065"/>
    <n v="0.49303984699999998"/>
    <n v="40.011298809590556"/>
  </r>
  <r>
    <x v="3"/>
    <s v="Pityrocarpa gonoacantha"/>
    <n v="9"/>
    <n v="17.611464968152866"/>
    <n v="0.49303984699999998"/>
    <n v="77.875596850292482"/>
  </r>
  <r>
    <x v="3"/>
    <s v="Pityrocarpa gonoacantha"/>
    <n v="6"/>
    <n v="29.822292993630573"/>
    <n v="0.49303984699999998"/>
    <n v="146.5708585841534"/>
  </r>
  <r>
    <x v="3"/>
    <s v="Pityrocarpa gonoacantha"/>
    <n v="8"/>
    <n v="37.867515923566884"/>
    <n v="0.49303984699999998"/>
    <n v="309.35744286590347"/>
  </r>
  <r>
    <x v="3"/>
    <s v="Pityrocarpa gonoacantha"/>
    <n v="8"/>
    <n v="52.650318471337577"/>
    <n v="0.49303984699999998"/>
    <n v="588.65183186068373"/>
  </r>
  <r>
    <x v="3"/>
    <s v="Pityrocarpa gonoacantha"/>
    <n v="9"/>
    <n v="60.147133757961782"/>
    <n v="0.49303984699999998"/>
    <n v="856.32014450024917"/>
  </r>
  <r>
    <x v="3"/>
    <s v="Pityrocarpa gonoacantha"/>
    <n v="12"/>
    <n v="63.994267515923568"/>
    <n v="0.49303984699999998"/>
    <n v="1279.7825531366477"/>
  </r>
  <r>
    <x v="3"/>
    <s v="Schizolobium parahyba"/>
    <n v="7"/>
    <n v="10.636942675159235"/>
    <n v="0.21743084800000001"/>
    <n v="10.242421244228163"/>
  </r>
  <r>
    <x v="4"/>
    <s v="Ceiba speciosa"/>
    <n v="5"/>
    <n v="14.171974522292993"/>
    <n v="0.30236945900000001"/>
    <n v="17.815863212219661"/>
  </r>
  <r>
    <x v="4"/>
    <s v="Ceiba speciosa"/>
    <n v="9"/>
    <n v="27.515923566878982"/>
    <n v="0.30236945900000001"/>
    <n v="115.45929954659161"/>
  </r>
  <r>
    <x v="4"/>
    <s v="Citharexylum myrianthum"/>
    <n v="7"/>
    <n v="10.891719745222931"/>
    <n v="0.38825121200000001"/>
    <n v="18.88935591560395"/>
  </r>
  <r>
    <x v="4"/>
    <s v="Citharexylum myrianthum"/>
    <n v="6.5"/>
    <n v="12.32484076433121"/>
    <n v="0.38825121200000001"/>
    <n v="22.366485279740811"/>
  </r>
  <r>
    <x v="4"/>
    <s v="Croton floribundus"/>
    <n v="8"/>
    <n v="72.045222929936301"/>
    <n v="0.41764662800000002"/>
    <n v="923.39131475817999"/>
  </r>
  <r>
    <x v="4"/>
    <s v="Croton floribundus"/>
    <n v="9"/>
    <n v="10.350318471337578"/>
    <n v="0.41764662800000002"/>
    <n v="23.466859052599048"/>
  </r>
  <r>
    <x v="4"/>
    <s v="Croton floribundus"/>
    <n v="11"/>
    <n v="29.005732484076432"/>
    <n v="0.41764662800000002"/>
    <n v="213.34984860828519"/>
  </r>
  <r>
    <x v="4"/>
    <s v="Inga laurina"/>
    <n v="5"/>
    <n v="6.5286624203821653"/>
    <n v="0.65473331599999995"/>
    <n v="8.3411426032218188"/>
  </r>
  <r>
    <x v="4"/>
    <s v="Inga laurina"/>
    <n v="5"/>
    <n v="6.6242038216560513"/>
    <n v="0.65473331599999995"/>
    <n v="8.5810738419236703"/>
  </r>
  <r>
    <x v="4"/>
    <s v="Inga laurina"/>
    <n v="4"/>
    <n v="16.376433121019108"/>
    <n v="0.65473331599999995"/>
    <n v="40.388768795656588"/>
  </r>
  <r>
    <x v="4"/>
    <s v="Inga laurina"/>
    <n v="5.5"/>
    <n v="16.448407643312102"/>
    <n v="0.65473331599999995"/>
    <n v="55.585525915994289"/>
  </r>
  <r>
    <x v="4"/>
    <s v="Inga laurina"/>
    <n v="6"/>
    <n v="21.91783439490446"/>
    <n v="0.65473331599999995"/>
    <n v="105.97576838528258"/>
  </r>
  <r>
    <x v="4"/>
    <s v="Joannesia princeps"/>
    <n v="13"/>
    <n v="17.261146496815286"/>
    <n v="0.30794823799999999"/>
    <n v="67.723277605416257"/>
  </r>
  <r>
    <x v="4"/>
    <s v="Pityrocarpa gonoacantha"/>
    <n v="9"/>
    <n v="41.731210191082802"/>
    <n v="0.49303984699999998"/>
    <n v="419.5159105139594"/>
  </r>
  <r>
    <x v="4"/>
    <s v="Pityrocarpa gonoacantha"/>
    <n v="10"/>
    <n v="66.91783439490446"/>
    <n v="0.49303984699999998"/>
    <n v="1168.7608650420939"/>
  </r>
  <r>
    <x v="4"/>
    <s v="Pityrocarpa gonoacantha"/>
    <n v="11"/>
    <n v="101.86369426751592"/>
    <n v="0.49303984699999998"/>
    <n v="2912.8699100855524"/>
  </r>
  <r>
    <x v="4"/>
    <s v="Pseudobombax grandiflorum"/>
    <n v="4.5"/>
    <n v="29.359235668789808"/>
    <n v="0.2424"/>
    <n v="53.689832958645255"/>
  </r>
  <r>
    <x v="5"/>
    <s v="Inga edulis"/>
    <n v="8"/>
    <n v="44.621019108280251"/>
    <n v="0.44167784399999999"/>
    <n v="382.78511874242139"/>
  </r>
  <r>
    <x v="5"/>
    <s v="Joannesia princeps"/>
    <n v="7"/>
    <n v="61.585350318471342"/>
    <n v="0.30794823799999999"/>
    <n v="443.24610281846378"/>
  </r>
  <r>
    <x v="5"/>
    <s v="Pityrocarpa paniculata"/>
    <n v="9"/>
    <n v="10.318471337579616"/>
    <n v="0.51037391899999995"/>
    <n v="28.368220244824851"/>
  </r>
  <r>
    <x v="5"/>
    <s v="Pityrocarpa paniculata"/>
    <n v="6"/>
    <n v="35.389808917197456"/>
    <n v="0.51037391899999995"/>
    <n v="211.7386380712968"/>
  </r>
  <r>
    <x v="5"/>
    <s v="Pleroma granulosum"/>
    <n v="5"/>
    <n v="60.509554140127392"/>
    <n v="0.432770245"/>
    <n v="429.85042489625351"/>
  </r>
  <r>
    <x v="6"/>
    <s v="Aegiphila integrifolia"/>
    <n v="7"/>
    <n v="8.4394904458598727"/>
    <n v="0.36779084400000001"/>
    <n v="10.88996579607098"/>
  </r>
  <r>
    <x v="6"/>
    <s v="Anadenanthera colubrina"/>
    <n v="8"/>
    <n v="22.738853503184714"/>
    <n v="0.52691816800000002"/>
    <n v="121.97321323104526"/>
  </r>
  <r>
    <x v="6"/>
    <s v="Citharexylum myrianthum"/>
    <n v="5"/>
    <n v="6.114649681528662"/>
    <n v="0.38825121200000001"/>
    <n v="4.4073874055565971"/>
  </r>
  <r>
    <x v="6"/>
    <s v="Inga edulis"/>
    <n v="6"/>
    <n v="35.421656050955413"/>
    <n v="0.44167784399999999"/>
    <n v="184.19870900924423"/>
  </r>
  <r>
    <x v="6"/>
    <s v="Inga edulis"/>
    <n v="5"/>
    <n v="11.369426751592357"/>
    <n v="0.44167784399999999"/>
    <n v="16.77391943239229"/>
  </r>
  <r>
    <x v="6"/>
    <s v="Inga edulis"/>
    <n v="5.5"/>
    <n v="21.56751592356688"/>
    <n v="0.44167784399999999"/>
    <n v="64.240657489537256"/>
  </r>
  <r>
    <x v="6"/>
    <s v="Inga edulis"/>
    <n v="5"/>
    <n v="21.140764331210192"/>
    <n v="0.44167784399999999"/>
    <n v="56.294821294783326"/>
  </r>
  <r>
    <x v="6"/>
    <s v="Inga edulis"/>
    <n v="6"/>
    <n v="25.640127388535031"/>
    <n v="0.44167784399999999"/>
    <n v="98.022540150165128"/>
  </r>
  <r>
    <x v="6"/>
    <s v="Joannesia princeps"/>
    <n v="8"/>
    <n v="44.068789808917195"/>
    <n v="0.30794823799999999"/>
    <n v="262.74175977704624"/>
  </r>
  <r>
    <x v="6"/>
    <s v="Joannesia princeps"/>
    <n v="9"/>
    <n v="54.057961783439488"/>
    <n v="0.30794823799999999"/>
    <n v="439.18963429661767"/>
  </r>
  <r>
    <x v="6"/>
    <s v="Moquiniastrum polymorphum"/>
    <n v="7"/>
    <n v="78.634394904458588"/>
    <n v="0.46124999999999999"/>
    <n v="1059.4204537806329"/>
  </r>
  <r>
    <x v="6"/>
    <s v="Pleroma granulosum"/>
    <n v="5"/>
    <n v="9.7133757961783438"/>
    <n v="0.432770245"/>
    <n v="12.093266337332619"/>
  </r>
  <r>
    <x v="6"/>
    <s v="Pseudobombax grandiflorum"/>
    <n v="6"/>
    <n v="18.754140127388535"/>
    <n v="0.2424"/>
    <n v="29.64013429960357"/>
  </r>
  <r>
    <x v="6"/>
    <s v="Tapirira guianensis"/>
    <n v="5"/>
    <n v="61.340764331210188"/>
    <n v="0.44359999999999999"/>
    <n v="452.23058876957168"/>
  </r>
  <r>
    <x v="6"/>
    <s v="Trema micranthum"/>
    <n v="6"/>
    <n v="6.8471337579617835"/>
    <n v="0.26200000000000001"/>
    <n v="4.4736906062537942"/>
  </r>
  <r>
    <x v="7"/>
    <s v="Aegiphila integrifolia"/>
    <n v="8"/>
    <n v="13.535031847133757"/>
    <n v="0.36779084400000001"/>
    <n v="31.193628920583393"/>
  </r>
  <r>
    <x v="7"/>
    <s v="Cecropia pachystachya"/>
    <n v="7"/>
    <n v="5.1910828025477711"/>
    <n v="0.35368027699999999"/>
    <n v="4.0593683739519646"/>
  </r>
  <r>
    <x v="7"/>
    <s v="Citharexylum myrianthum"/>
    <n v="6"/>
    <n v="8.1847133757961785"/>
    <n v="0.38825121200000001"/>
    <n v="9.3035261090480628"/>
  </r>
  <r>
    <x v="7"/>
    <s v="Croton floribundus"/>
    <n v="8"/>
    <n v="37.028662420382162"/>
    <n v="0.41764662800000002"/>
    <n v="251.84114138827709"/>
  </r>
  <r>
    <x v="7"/>
    <s v="Inga edulis"/>
    <n v="9"/>
    <n v="103.62165605095541"/>
    <n v="0.44167784399999999"/>
    <n v="2224.0178318883659"/>
  </r>
  <r>
    <x v="7"/>
    <s v="Inga edulis"/>
    <n v="10"/>
    <n v="114.11210191082803"/>
    <n v="0.44167784399999999"/>
    <n v="2975.4292761880984"/>
  </r>
  <r>
    <x v="7"/>
    <s v="Joannesia princeps"/>
    <n v="9"/>
    <n v="20.445859872611464"/>
    <n v="0.30794823799999999"/>
    <n v="65.82815958846669"/>
  </r>
  <r>
    <x v="7"/>
    <s v="Pityrocarpa gonoacantha"/>
    <n v="7"/>
    <n v="52.821019108280254"/>
    <n v="0.49303984699999998"/>
    <n v="519.99890561442726"/>
  </r>
  <r>
    <x v="7"/>
    <s v="Schizolobium parahyba"/>
    <n v="6"/>
    <n v="10.318471337579616"/>
    <n v="0.21743084800000001"/>
    <n v="8.3041143958148904"/>
  </r>
  <r>
    <x v="7"/>
    <s v="Schizolobium parahyba"/>
    <n v="8"/>
    <n v="11.687898089171975"/>
    <n v="0.21743084800000001"/>
    <n v="14.024191316542064"/>
  </r>
  <r>
    <x v="7"/>
    <s v="Schizolobium parahyba"/>
    <n v="7"/>
    <n v="12.579617834394904"/>
    <n v="0.21743084800000001"/>
    <n v="14.21042479981479"/>
  </r>
  <r>
    <x v="8"/>
    <s v="Ceiba speciosa"/>
    <n v="4.5"/>
    <n v="12.834394904458597"/>
    <n v="0.30236945900000001"/>
    <n v="13.246595274135219"/>
  </r>
  <r>
    <x v="8"/>
    <s v="Croton floribundus"/>
    <n v="6"/>
    <n v="80.32101910828024"/>
    <n v="0.41764662800000002"/>
    <n v="862.23741975613768"/>
  </r>
  <r>
    <x v="8"/>
    <s v="Inga edulis"/>
    <n v="6"/>
    <n v="19.962420382165604"/>
    <n v="0.44167784399999999"/>
    <n v="60.135361301067285"/>
  </r>
  <r>
    <x v="8"/>
    <s v="Inga edulis"/>
    <n v="7"/>
    <n v="29.359872611464969"/>
    <n v="0.44167784399999999"/>
    <n v="148.42599347307981"/>
  </r>
  <r>
    <x v="8"/>
    <s v="Joannesia princeps"/>
    <n v="8"/>
    <n v="19.840764331210188"/>
    <n v="0.30794823799999999"/>
    <n v="55.337450144621606"/>
  </r>
  <r>
    <x v="8"/>
    <s v="Plathymenia reticulata"/>
    <n v="6"/>
    <n v="8.503184713375795"/>
    <n v="0.44493726"/>
    <n v="11.449159328768795"/>
  </r>
  <r>
    <x v="8"/>
    <s v="Plathymenia reticulata"/>
    <n v="8"/>
    <n v="60.440127388535032"/>
    <n v="0.44493726"/>
    <n v="697.13617808689571"/>
  </r>
  <r>
    <x v="8"/>
    <s v="Pseudobombax grandiflorum"/>
    <n v="6"/>
    <n v="12.802547770700638"/>
    <n v="0.2424"/>
    <n v="14.068153550906949"/>
  </r>
  <r>
    <x v="8"/>
    <s v="Schizolobium parahyba"/>
    <n v="8"/>
    <n v="11.847133757961783"/>
    <n v="0.21743084800000001"/>
    <n v="14.399568858408122"/>
  </r>
  <r>
    <x v="8"/>
    <s v="Schizolobium parahyba"/>
    <n v="8"/>
    <n v="14.203821656050955"/>
    <n v="0.21743084800000001"/>
    <n v="20.518769580634405"/>
  </r>
  <r>
    <x v="8"/>
    <s v="Schizolobium parahyba"/>
    <n v="8"/>
    <n v="14.808917197452228"/>
    <n v="0.21743084800000001"/>
    <n v="22.259624522896853"/>
  </r>
  <r>
    <x v="9"/>
    <s v="Anadenanthera colubrina"/>
    <n v="6"/>
    <n v="7.1019108280254777"/>
    <n v="0.52691816800000002"/>
    <n v="9.501593388391063"/>
  </r>
  <r>
    <x v="9"/>
    <s v="Anadenanthera colubrina"/>
    <n v="8"/>
    <n v="6.5605095541401273"/>
    <n v="0.52691816800000002"/>
    <n v="10.777409127703015"/>
  </r>
  <r>
    <x v="9"/>
    <s v="Anadenanthera colubrina"/>
    <n v="7"/>
    <n v="8.4713375796178347"/>
    <n v="0.52691816800000002"/>
    <n v="15.581683191406436"/>
  </r>
  <r>
    <x v="9"/>
    <s v="Anadenanthera colubrina"/>
    <n v="8"/>
    <n v="11.273885350318471"/>
    <n v="0.52691816800000002"/>
    <n v="31.009868387127714"/>
  </r>
  <r>
    <x v="9"/>
    <s v="Anadenanthera colubrina"/>
    <n v="8"/>
    <n v="13.471337579617833"/>
    <n v="0.52691816800000002"/>
    <n v="43.899740458523887"/>
  </r>
  <r>
    <x v="9"/>
    <s v="Anadenanthera colubrina"/>
    <n v="8"/>
    <n v="14.458598726114648"/>
    <n v="0.52691816800000002"/>
    <n v="50.398612504991497"/>
  </r>
  <r>
    <x v="9"/>
    <s v="Citharexylum myrianthum"/>
    <n v="6.5"/>
    <n v="4.8726114649681529"/>
    <n v="0.38825121200000001"/>
    <n v="3.6551366050350849"/>
  </r>
  <r>
    <x v="9"/>
    <s v="Inga edulis"/>
    <n v="3"/>
    <n v="4.2675159235668794"/>
    <n v="0.44167784399999999"/>
    <n v="1.5045630143128101"/>
  </r>
  <r>
    <x v="9"/>
    <s v="Moquiniastrum polymorphum"/>
    <n v="5"/>
    <n v="5.5732484076433115"/>
    <n v="0.46124999999999999"/>
    <n v="4.3512625863157588"/>
  </r>
  <r>
    <x v="9"/>
    <s v="Schizolobium parahyba"/>
    <n v="7"/>
    <n v="12.32484076433121"/>
    <n v="0.21743084800000001"/>
    <n v="13.654045123823826"/>
  </r>
  <r>
    <x v="10"/>
    <s v="Citharexylum myrianthum"/>
    <n v="3"/>
    <n v="9.872611464968152"/>
    <n v="0.38825121200000001"/>
    <n v="6.8201020736034241"/>
  </r>
  <r>
    <x v="10"/>
    <s v="Citharexylum myrianthum"/>
    <n v="7"/>
    <n v="13.694267515923567"/>
    <n v="0.38825121200000001"/>
    <n v="29.534431521843626"/>
  </r>
  <r>
    <x v="10"/>
    <s v="Dalbergia nigra"/>
    <n v="5.5"/>
    <n v="13.375796178343949"/>
    <n v="0.55789159200000005"/>
    <n v="31.755401754065755"/>
  </r>
  <r>
    <x v="10"/>
    <s v="Dalbergia nigra"/>
    <n v="5.5"/>
    <n v="11.146496815286623"/>
    <n v="0.55789159200000005"/>
    <n v="22.246199076390329"/>
  </r>
  <r>
    <x v="10"/>
    <s v="Inga edulis"/>
    <n v="5.5"/>
    <n v="14.331210191082802"/>
    <n v="0.44167784399999999"/>
    <n v="28.926526220388553"/>
  </r>
  <r>
    <x v="10"/>
    <s v="Inga laurina"/>
    <n v="6.5"/>
    <n v="12.420382165605096"/>
    <n v="0.65473331599999995"/>
    <n v="37.81367037516624"/>
  </r>
  <r>
    <x v="10"/>
    <s v="Pityrocarpa gonoacantha"/>
    <n v="9"/>
    <n v="15.286624203821656"/>
    <n v="0.49303984699999998"/>
    <n v="59.072428761021456"/>
  </r>
  <r>
    <x v="10"/>
    <s v="Pleroma granulosum"/>
    <n v="6.5"/>
    <n v="21.019108280254777"/>
    <n v="0.432770245"/>
    <n v="70.493456421500994"/>
  </r>
  <r>
    <x v="10"/>
    <s v="Schinus terebinthifolia"/>
    <n v="5.5"/>
    <n v="18.471337579617835"/>
    <n v="0.53366728900000004"/>
    <n v="57.099184971258808"/>
  </r>
  <r>
    <x v="10"/>
    <s v="Schinus terebinthifolia"/>
    <n v="5"/>
    <n v="21.97452229299363"/>
    <n v="0.53366728900000004"/>
    <n v="73.021816141163058"/>
  </r>
  <r>
    <x v="11"/>
    <s v="Anadenanthera colubrina"/>
    <n v="15"/>
    <n v="34.394904458598724"/>
    <n v="0.52691816800000002"/>
    <n v="505.28681721230754"/>
  </r>
  <r>
    <x v="11"/>
    <s v="Cecropia pachystachya"/>
    <n v="6"/>
    <n v="24.68152866242038"/>
    <n v="0.35368027699999999"/>
    <n v="73.256323103536857"/>
  </r>
  <r>
    <x v="11"/>
    <s v="Ceiba speciosa"/>
    <n v="15"/>
    <n v="6.6878980891719744"/>
    <n v="0.30236945900000001"/>
    <n v="12.018507424138889"/>
  </r>
  <r>
    <x v="11"/>
    <s v="Cenostigma pluviosum"/>
    <n v="11"/>
    <n v="25.477707006369425"/>
    <n v="0.44328216799999998"/>
    <n v="175.54935633839941"/>
  </r>
  <r>
    <x v="11"/>
    <s v="Citharexylum myrianthum"/>
    <n v="5.5"/>
    <n v="8.4394904458598727"/>
    <n v="0.38825121200000001"/>
    <n v="9.0730318307732674"/>
  </r>
  <r>
    <x v="11"/>
    <s v="Citharexylum myrianthum"/>
    <n v="3.5"/>
    <n v="8.598726114649681"/>
    <n v="0.38825121200000001"/>
    <n v="6.0536175854070375"/>
  </r>
  <r>
    <x v="11"/>
    <s v="Citharexylum myrianthum"/>
    <n v="2.5"/>
    <n v="4.936305732484076"/>
    <n v="0.38825121200000001"/>
    <n v="1.4753648315976642"/>
  </r>
  <r>
    <x v="11"/>
    <s v="Inga laurina"/>
    <n v="10"/>
    <n v="15.127388535031846"/>
    <n v="0.65473331599999995"/>
    <n v="84.604450887783287"/>
  </r>
  <r>
    <x v="11"/>
    <s v="Inga laurina"/>
    <n v="3"/>
    <n v="9.872611464968152"/>
    <n v="0.65473331599999995"/>
    <n v="11.357837637657569"/>
  </r>
  <r>
    <x v="11"/>
    <s v="Pseudobombax grandiflorum"/>
    <n v="12"/>
    <n v="15.923566878980891"/>
    <n v="0.2424"/>
    <n v="42.362596242962937"/>
  </r>
  <r>
    <x v="11"/>
    <s v="Schizolobium parahyba"/>
    <n v="10"/>
    <n v="15.445859872611464"/>
    <n v="0.21743084800000001"/>
    <n v="30.047041495236133"/>
  </r>
  <r>
    <x v="11"/>
    <s v="Schizolobium parahyba"/>
    <n v="11"/>
    <n v="12.579617834394904"/>
    <n v="0.21743084800000001"/>
    <n v="22.089741535940217"/>
  </r>
  <r>
    <x v="12"/>
    <s v="Ceiba speciosa"/>
    <n v="11"/>
    <n v="25.477707006369425"/>
    <n v="0.30236945900000001"/>
    <n v="120.84935010737406"/>
  </r>
  <r>
    <x v="12"/>
    <s v="Cenostigma pluviosum"/>
    <n v="6"/>
    <n v="11.146496815286623"/>
    <n v="0.44328216799999998"/>
    <n v="19.349278209087984"/>
  </r>
  <r>
    <x v="12"/>
    <s v="Cenostigma pluviosum"/>
    <n v="7"/>
    <n v="7.6433121019108281"/>
    <n v="0.44328216799999998"/>
    <n v="10.76852838090254"/>
  </r>
  <r>
    <x v="12"/>
    <s v="Citharexylum myrianthum"/>
    <n v="3.5"/>
    <n v="5.0955414012738851"/>
    <n v="0.38825121200000001"/>
    <n v="2.1798927202941107"/>
  </r>
  <r>
    <x v="12"/>
    <s v="Citharexylum myrianthum"/>
    <n v="8"/>
    <n v="13.057324840764331"/>
    <n v="0.38825121200000001"/>
    <n v="30.658607058774724"/>
  </r>
  <r>
    <x v="12"/>
    <s v="Citharexylum myrianthum"/>
    <n v="3"/>
    <n v="5.4140127388535033"/>
    <n v="0.38825121200000001"/>
    <n v="2.1110044207002563"/>
  </r>
  <r>
    <x v="12"/>
    <s v="Inga laurina"/>
    <n v="8"/>
    <n v="20.700636942675157"/>
    <n v="0.65473331599999995"/>
    <n v="125.51914854707687"/>
  </r>
  <r>
    <x v="12"/>
    <s v="Pleroma granulosum"/>
    <n v="5"/>
    <n v="18.949044585987259"/>
    <n v="0.432770245"/>
    <n v="44.570494078150119"/>
  </r>
  <r>
    <x v="12"/>
    <s v="Schinus terebinthifolia"/>
    <n v="3.5"/>
    <n v="5.0955414012738851"/>
    <n v="0.53366728900000004"/>
    <n v="2.973562685429187"/>
  </r>
  <r>
    <x v="13"/>
    <s v="Aegiphila integrifolia"/>
    <n v="9"/>
    <n v="6.6878980891719744"/>
    <n v="0.36779084400000001"/>
    <n v="8.8378705331948666"/>
  </r>
  <r>
    <x v="13"/>
    <s v="Aegiphila integrifolia"/>
    <n v="11"/>
    <n v="34.235668789808919"/>
    <n v="0.36779084400000001"/>
    <n v="260.46145700908443"/>
  </r>
  <r>
    <x v="13"/>
    <s v="Aegiphila integrifolia"/>
    <n v="7"/>
    <n v="5.7324840764331206"/>
    <n v="0.36779084400000001"/>
    <n v="5.1184975498676595"/>
  </r>
  <r>
    <x v="13"/>
    <s v="Aegiphila integrifolia"/>
    <n v="11"/>
    <n v="7.3248407643312099"/>
    <n v="0.36779084400000001"/>
    <n v="12.838872303177453"/>
  </r>
  <r>
    <x v="13"/>
    <s v="Aegiphila integrifolia"/>
    <n v="10"/>
    <n v="5.7324840764331206"/>
    <n v="0.36779084400000001"/>
    <n v="7.2498131344809655"/>
  </r>
  <r>
    <x v="13"/>
    <s v="Ceiba speciosa"/>
    <n v="13"/>
    <n v="16.878980891719745"/>
    <n v="0.30236945900000001"/>
    <n v="63.680815040473085"/>
  </r>
  <r>
    <x v="13"/>
    <s v="Ceiba speciosa"/>
    <n v="15"/>
    <n v="24.840764331210192"/>
    <n v="0.30236945900000001"/>
    <n v="155.68513127503311"/>
  </r>
  <r>
    <x v="13"/>
    <s v="Ceiba speciosa"/>
    <n v="15.5"/>
    <n v="27.070063694267514"/>
    <n v="0.30236945900000001"/>
    <n v="190.10909057999896"/>
  </r>
  <r>
    <x v="13"/>
    <s v="Ceiba speciosa"/>
    <n v="15.5"/>
    <n v="31.847133757961782"/>
    <n v="0.30236945900000001"/>
    <n v="261.08212649303044"/>
  </r>
  <r>
    <x v="13"/>
    <s v="Cenostigma pluviosum"/>
    <n v="12"/>
    <n v="32.165605095541402"/>
    <n v="0.44328216799999998"/>
    <n v="301.22051304248242"/>
  </r>
  <r>
    <x v="13"/>
    <s v="Citharexylum myrianthum"/>
    <n v="10"/>
    <n v="8.9171974522292992"/>
    <n v="0.38825121200000001"/>
    <n v="18.106519671805689"/>
  </r>
  <r>
    <x v="13"/>
    <s v="Dalbergia nigra"/>
    <n v="8"/>
    <n v="7.6433121019108281"/>
    <n v="0.55789159200000005"/>
    <n v="15.354270341072374"/>
  </r>
  <r>
    <x v="13"/>
    <s v="Inga laurina"/>
    <n v="11"/>
    <n v="15.923566878980891"/>
    <n v="0.65473331599999995"/>
    <n v="102.63039355302608"/>
  </r>
  <r>
    <x v="13"/>
    <s v="Inga laurina"/>
    <n v="4"/>
    <n v="5.7324840764331206"/>
    <n v="0.65473331599999995"/>
    <n v="5.2046288721690237"/>
  </r>
  <r>
    <x v="13"/>
    <s v="Pleroma granulosum"/>
    <n v="10"/>
    <n v="21.337579617834393"/>
    <n v="0.432770245"/>
    <n v="110.53342363058974"/>
  </r>
  <r>
    <x v="13"/>
    <s v="Schinus terebinthifolia"/>
    <n v="4"/>
    <n v="9.2356687898089174"/>
    <n v="0.53366728900000004"/>
    <n v="10.815234097773757"/>
  </r>
  <r>
    <x v="14"/>
    <s v="Ceiba speciosa"/>
    <n v="14"/>
    <n v="25.477707006369425"/>
    <n v="0.30236945900000001"/>
    <n v="152.92060985842812"/>
  </r>
  <r>
    <x v="14"/>
    <s v="Ceiba speciosa"/>
    <n v="13"/>
    <n v="21.97452229299363"/>
    <n v="0.30236945900000001"/>
    <n v="106.57504897393707"/>
  </r>
  <r>
    <x v="14"/>
    <s v="Ceiba speciosa"/>
    <n v="13"/>
    <n v="28.662420382165603"/>
    <n v="0.30236945900000001"/>
    <n v="179.02080026500715"/>
  </r>
  <r>
    <x v="14"/>
    <s v="Cenostigma pluviosum"/>
    <n v="9"/>
    <n v="21.656050955414013"/>
    <n v="0.44328216799999998"/>
    <n v="105.09121495636245"/>
  </r>
  <r>
    <x v="14"/>
    <s v="Cenostigma pluviosum"/>
    <n v="11"/>
    <n v="15.605095541401273"/>
    <n v="0.44328216799999998"/>
    <n v="67.426456265432975"/>
  </r>
  <r>
    <x v="14"/>
    <s v="Cenostigma pluviosum"/>
    <n v="6.5"/>
    <n v="9.872611464968152"/>
    <n v="0.44328216799999998"/>
    <n v="16.508582657680144"/>
  </r>
  <r>
    <x v="14"/>
    <s v="Inga laurina"/>
    <n v="13"/>
    <n v="15.923566878980891"/>
    <n v="0.65473331599999995"/>
    <n v="120.80514902358472"/>
  </r>
  <r>
    <x v="14"/>
    <s v="Inga laurina"/>
    <n v="5"/>
    <n v="5.7324840764331206"/>
    <n v="0.65473331599999995"/>
    <n v="6.4710378383474838"/>
  </r>
  <r>
    <x v="14"/>
    <s v="Inga laurina"/>
    <n v="12"/>
    <n v="19.745222929936304"/>
    <n v="0.65473331599999995"/>
    <n v="170.02655645354093"/>
  </r>
  <r>
    <x v="14"/>
    <s v="Inga laurina"/>
    <n v="6"/>
    <n v="13.694267515923567"/>
    <n v="0.65473331599999995"/>
    <n v="42.314901159041206"/>
  </r>
  <r>
    <x v="14"/>
    <s v="Inga laurina"/>
    <n v="4.5"/>
    <n v="13.694267515923567"/>
    <n v="0.65473331599999995"/>
    <n v="31.956052342348343"/>
  </r>
  <r>
    <x v="14"/>
    <s v="Pleroma granulosum"/>
    <n v="13"/>
    <n v="29.29936305732484"/>
    <n v="0.432770245"/>
    <n v="265.16619569796768"/>
  </r>
  <r>
    <x v="14"/>
    <s v="Pleroma granulosum"/>
    <n v="12"/>
    <n v="27.388535031847134"/>
    <n v="0.432770245"/>
    <n v="214.98961404267268"/>
  </r>
  <r>
    <x v="14"/>
    <s v="Pleroma granulosum"/>
    <n v="11"/>
    <n v="21.019108280254777"/>
    <n v="0.432770245"/>
    <n v="117.79982084659292"/>
  </r>
  <r>
    <x v="14"/>
    <s v="Pleroma granulosum"/>
    <n v="8"/>
    <n v="16.560509554140125"/>
    <n v="0.432770245"/>
    <n v="54.206324566303707"/>
  </r>
  <r>
    <x v="14"/>
    <s v="Schinus terebinthifolia"/>
    <n v="6"/>
    <n v="12.420382165605096"/>
    <n v="0.53366728900000004"/>
    <n v="28.645619185314516"/>
  </r>
  <r>
    <x v="15"/>
    <s v="Anadenanthera colubrina"/>
    <n v="7"/>
    <n v="15.286624203821656"/>
    <n v="0.52691816800000002"/>
    <n v="49.320595383669811"/>
  </r>
  <r>
    <x v="15"/>
    <s v="Cecropia pachystachya"/>
    <n v="7"/>
    <n v="9.872611464968152"/>
    <n v="0.35368027699999999"/>
    <n v="14.236600112000085"/>
  </r>
  <r>
    <x v="15"/>
    <s v="Cenostigma pluviosum"/>
    <n v="4"/>
    <n v="5.8917197452229297"/>
    <n v="0.44328216799999998"/>
    <n v="3.7523046495082597"/>
  </r>
  <r>
    <x v="15"/>
    <s v="Citharexylum myrianthum"/>
    <n v="8"/>
    <n v="21.019108280254777"/>
    <n v="0.38825121200000001"/>
    <n v="77.651185970918149"/>
  </r>
  <r>
    <x v="15"/>
    <s v="Citharexylum myrianthum"/>
    <n v="8"/>
    <n v="10.987261146496815"/>
    <n v="0.38825121200000001"/>
    <n v="21.888762271902539"/>
  </r>
  <r>
    <x v="15"/>
    <s v="Citharexylum myrianthum"/>
    <n v="6.5"/>
    <n v="8.2802547770700627"/>
    <n v="0.38825121200000001"/>
    <n v="10.289965412077771"/>
  </r>
  <r>
    <x v="15"/>
    <s v="Moquiniastrum polymorphum"/>
    <n v="8.6999999999999993"/>
    <n v="17.67515923566879"/>
    <n v="0.46124999999999999"/>
    <n v="71.095316324331094"/>
  </r>
  <r>
    <x v="15"/>
    <s v="Moquiniastrum polymorphum"/>
    <n v="6"/>
    <n v="5.4140127388535033"/>
    <n v="0.46124999999999999"/>
    <n v="4.9127222611326156"/>
  </r>
  <r>
    <x v="15"/>
    <s v="Moquiniastrum polymorphum"/>
    <n v="6"/>
    <n v="4.4585987261146496"/>
    <n v="0.46124999999999999"/>
    <n v="3.363007557414329"/>
  </r>
  <r>
    <x v="15"/>
    <s v="Moquiniastrum polymorphum"/>
    <n v="5.7"/>
    <n v="7.3248407643312099"/>
    <n v="0.46124999999999999"/>
    <n v="8.4301808652998904"/>
  </r>
  <r>
    <x v="15"/>
    <s v="Moquiniastrum polymorphum"/>
    <n v="5.5"/>
    <n v="5.4140127388535033"/>
    <n v="0.46124999999999999"/>
    <n v="4.5127427454896631"/>
  </r>
  <r>
    <x v="15"/>
    <s v="Pityrocarpa gonoacantha"/>
    <n v="8"/>
    <n v="18.789808917197451"/>
    <n v="0.49303984699999998"/>
    <n v="78.773509898334567"/>
  </r>
  <r>
    <x v="15"/>
    <s v="Plathymenia reticulata"/>
    <n v="10"/>
    <n v="47.452229299363054"/>
    <n v="0.44493726"/>
    <n v="540.51480313864022"/>
  </r>
  <r>
    <x v="15"/>
    <s v="Pseudobombax grandiflorum"/>
    <n v="8"/>
    <n v="20.859872611464969"/>
    <n v="0.2424"/>
    <n v="48.309336059997143"/>
  </r>
  <r>
    <x v="15"/>
    <s v="Senna multijuga"/>
    <n v="10"/>
    <n v="35.031847133757964"/>
    <n v="0.45370429400000001"/>
    <n v="304.66127330551427"/>
  </r>
  <r>
    <x v="16"/>
    <s v="Citharexylum myrianthum"/>
    <n v="4"/>
    <n v="6.3694267515923562"/>
    <n v="0.38825121200000001"/>
    <n v="3.838871779787183"/>
  </r>
  <r>
    <x v="16"/>
    <s v="Jacaratia spinosa"/>
    <n v="6"/>
    <n v="12.738853503184712"/>
    <n v="0.252"/>
    <n v="14.470116991907059"/>
  </r>
  <r>
    <x v="16"/>
    <s v="Jacaratia spinosa"/>
    <n v="4.5"/>
    <n v="12.101910828025478"/>
    <n v="0.252"/>
    <n v="9.8866307222411418"/>
  </r>
  <r>
    <x v="16"/>
    <s v="Jacaratia spinosa"/>
    <n v="4.5"/>
    <n v="9.5541401273885338"/>
    <n v="0.252"/>
    <n v="6.2323440722270123"/>
  </r>
  <r>
    <x v="16"/>
    <s v="Moquiniastrum polymorphum"/>
    <n v="3.5"/>
    <n v="9.7133757961783438"/>
    <n v="0.46124999999999999"/>
    <n v="9.086026412418942"/>
  </r>
  <r>
    <x v="16"/>
    <s v="Schinus terebinthifolia"/>
    <n v="2.7"/>
    <n v="10.668789808917197"/>
    <n v="0.53366728900000004"/>
    <n v="9.7661407257265971"/>
  </r>
  <r>
    <x v="16"/>
    <s v="Schinus terebinthifolia"/>
    <n v="1.9"/>
    <n v="6.3694267515923562"/>
    <n v="0.53366728900000004"/>
    <n v="2.5322031627657609"/>
  </r>
  <r>
    <x v="16"/>
    <s v="Senna multijuga"/>
    <n v="8"/>
    <n v="30.254777070063692"/>
    <n v="0.45370429400000001"/>
    <n v="184.05644786311854"/>
  </r>
  <r>
    <x v="16"/>
    <s v="Trema micranthum"/>
    <n v="8"/>
    <n v="31.369426751592357"/>
    <n v="0.26200000000000001"/>
    <n v="115.5776342682875"/>
  </r>
  <r>
    <x v="17"/>
    <s v="Anadenanthera colubrina"/>
    <n v="7"/>
    <n v="13.216560509554139"/>
    <n v="0.52691816800000002"/>
    <n v="37.125755487504726"/>
  </r>
  <r>
    <x v="17"/>
    <s v="Citharexylum myrianthum"/>
    <n v="8"/>
    <n v="15.445859872611464"/>
    <n v="0.38825121200000001"/>
    <n v="42.556529581364117"/>
  </r>
  <r>
    <x v="17"/>
    <s v="Inga edulis"/>
    <n v="5.7"/>
    <n v="12.420382165605096"/>
    <n v="0.44167784399999999"/>
    <n v="22.652880953841034"/>
  </r>
  <r>
    <x v="17"/>
    <s v="Jacaratia spinosa"/>
    <n v="7"/>
    <n v="27.547770700636942"/>
    <n v="0.252"/>
    <n v="75.796028046514138"/>
  </r>
  <r>
    <x v="17"/>
    <s v="Moquiniastrum polymorphum"/>
    <n v="6"/>
    <n v="9.3949044585987256"/>
    <n v="0.46124999999999999"/>
    <n v="14.40716376590836"/>
  </r>
  <r>
    <x v="17"/>
    <s v="Moquiniastrum polymorphum"/>
    <n v="3.5"/>
    <n v="4.7770700636942669"/>
    <n v="0.46124999999999999"/>
    <n v="2.273792586728689"/>
  </r>
  <r>
    <x v="17"/>
    <s v="Pityrocarpa gonoacantha"/>
    <n v="10"/>
    <n v="42.834394904458598"/>
    <n v="0.49303984699999998"/>
    <n v="489.24584010882921"/>
  </r>
  <r>
    <x v="17"/>
    <s v="Pseudobombax grandiflorum"/>
    <n v="7.5"/>
    <n v="16.401273885350317"/>
    <n v="0.2424"/>
    <n v="28.367412769214273"/>
  </r>
  <r>
    <x v="17"/>
    <s v="Schizolobium parahyba"/>
    <n v="9"/>
    <n v="16.082802547770701"/>
    <n v="0.21743084800000001"/>
    <n v="29.335892283725354"/>
  </r>
  <r>
    <x v="17"/>
    <s v="Trema micranthum"/>
    <n v="8.5"/>
    <n v="27.70700636942675"/>
    <n v="0.26200000000000001"/>
    <n v="96.233194833840415"/>
  </r>
  <r>
    <x v="18"/>
    <s v="Anadenanthera colubrina"/>
    <n v="4.5"/>
    <n v="12.738853503184712"/>
    <n v="0.52691816800000002"/>
    <n v="22.448444062368424"/>
  </r>
  <r>
    <x v="18"/>
    <s v="Anadenanthera colubrina"/>
    <n v="3.7"/>
    <n v="6.0509554140127388"/>
    <n v="0.52691816800000002"/>
    <n v="4.3363231588494333"/>
  </r>
  <r>
    <x v="18"/>
    <s v="Ceiba speciosa"/>
    <n v="5.7"/>
    <n v="49.681528662420384"/>
    <n v="0.30236945900000001"/>
    <n v="234.27528724615104"/>
  </r>
  <r>
    <x v="18"/>
    <s v="Citharexylum myrianthum"/>
    <n v="7.5"/>
    <n v="15.764331210191083"/>
    <n v="0.38825121200000001"/>
    <n v="41.582600423052739"/>
  </r>
  <r>
    <x v="18"/>
    <s v="Dalbergia nigra"/>
    <n v="5.7"/>
    <n v="17.834394904458598"/>
    <n v="0.55789159200000005"/>
    <n v="57.655122555997558"/>
  </r>
  <r>
    <x v="18"/>
    <s v="Moquiniastrum polymorphum"/>
    <n v="6.8"/>
    <n v="20.700636942675157"/>
    <n v="0.46124999999999999"/>
    <n v="76.093203512862218"/>
  </r>
  <r>
    <x v="18"/>
    <s v="Moquiniastrum polymorphum"/>
    <n v="2.2000000000000002"/>
    <n v="5.5732484076433115"/>
    <n v="0.46124999999999999"/>
    <n v="1.9526531428496878"/>
  </r>
  <r>
    <x v="18"/>
    <s v="Pleroma granulosum"/>
    <n v="5.5"/>
    <n v="18.789808917197451"/>
    <n v="0.432770245"/>
    <n v="48.11635481347939"/>
  </r>
  <r>
    <x v="18"/>
    <s v="Schizolobium parahyba"/>
    <n v="9.5"/>
    <n v="15.445859872611464"/>
    <n v="0.21743084800000001"/>
    <n v="28.57985068626326"/>
  </r>
  <r>
    <x v="19"/>
    <s v="Ceiba speciosa"/>
    <n v="5"/>
    <n v="17.834394904458598"/>
    <n v="0.30236945900000001"/>
    <n v="27.90430157256225"/>
  </r>
  <r>
    <x v="19"/>
    <s v="Citharexylum myrianthum"/>
    <n v="5.5"/>
    <n v="6.5286624203821653"/>
    <n v="0.38825121200000001"/>
    <n v="5.4969277069672895"/>
  </r>
  <r>
    <x v="19"/>
    <s v="Citharexylum myrianthum"/>
    <n v="5"/>
    <n v="13.375796178343949"/>
    <n v="0.38825121200000001"/>
    <n v="20.312334636350009"/>
  </r>
  <r>
    <x v="19"/>
    <s v="Moquiniastrum polymorphum"/>
    <n v="6"/>
    <n v="17.993630573248407"/>
    <n v="0.46124999999999999"/>
    <n v="51.22529731686577"/>
  </r>
  <r>
    <x v="19"/>
    <s v="Moquiniastrum polymorphum"/>
    <n v="5"/>
    <n v="18.949044585987259"/>
    <n v="0.46124999999999999"/>
    <n v="47.430984436510727"/>
  </r>
  <r>
    <x v="19"/>
    <s v="Pseudobombax grandiflorum"/>
    <n v="6"/>
    <n v="10.19108280254777"/>
    <n v="0.2424"/>
    <n v="9.0124029688189111"/>
  </r>
  <r>
    <x v="19"/>
    <s v="Pseudobombax grandiflorum"/>
    <n v="6"/>
    <n v="17.834394904458598"/>
    <n v="0.2424"/>
    <n v="26.868961002504289"/>
  </r>
  <r>
    <x v="19"/>
    <s v="Pseudobombax grandiflorum"/>
    <n v="5.5"/>
    <n v="7.9617834394904454"/>
    <n v="0.2424"/>
    <n v="5.1131096448684632"/>
  </r>
  <r>
    <x v="19"/>
    <s v="Schinus terebinthifolia"/>
    <n v="5"/>
    <n v="11.146496815286623"/>
    <n v="0.53366728900000004"/>
    <n v="19.410647715182137"/>
  </r>
  <r>
    <x v="19"/>
    <s v="Schinus terebinthifolia"/>
    <n v="4"/>
    <n v="11.305732484076433"/>
    <n v="0.53366728900000004"/>
    <n v="16.05021216072112"/>
  </r>
  <r>
    <x v="19"/>
    <s v="Schinus terebinthifolia"/>
    <n v="3.9"/>
    <n v="11.146496815286623"/>
    <n v="0.53366728900000004"/>
    <n v="15.230857674506947"/>
  </r>
  <r>
    <x v="19"/>
    <s v="Schinus terebinthifolia"/>
    <n v="2.5"/>
    <n v="11.783439490445859"/>
    <n v="0.53366728900000004"/>
    <n v="10.998759217545857"/>
  </r>
  <r>
    <x v="19"/>
    <s v="Senna multijuga"/>
    <n v="7"/>
    <n v="14.490445859872612"/>
    <n v="0.45370429400000001"/>
    <n v="38.394822550446193"/>
  </r>
  <r>
    <x v="20"/>
    <s v="Cecropia pachystachya"/>
    <n v="6"/>
    <n v="5.7324840764331206"/>
    <n v="0.35368027699999999"/>
    <n v="4.2385774507242306"/>
  </r>
  <r>
    <x v="20"/>
    <s v="Inga edulis"/>
    <n v="1.9"/>
    <n v="4.1401273885350314"/>
    <n v="0.44167784399999999"/>
    <n v="0.90805553264563243"/>
  </r>
  <r>
    <x v="20"/>
    <s v="Inga laurina"/>
    <n v="5.3"/>
    <n v="20.541401273885349"/>
    <n v="0.65473331599999995"/>
    <n v="82.725823068169845"/>
  </r>
  <r>
    <x v="20"/>
    <s v="Inga laurina"/>
    <n v="4.9000000000000004"/>
    <n v="18.471337579617835"/>
    <n v="0.65473331599999995"/>
    <n v="62.277346884676298"/>
  </r>
  <r>
    <x v="20"/>
    <s v="Inga laurina"/>
    <n v="4.7"/>
    <n v="15.127388535031846"/>
    <n v="0.65473331599999995"/>
    <n v="40.491206777713877"/>
  </r>
  <r>
    <x v="20"/>
    <s v="Inga laurina"/>
    <n v="3.9"/>
    <n v="8.2802547770700627"/>
    <n v="0.65473331599999995"/>
    <n v="10.40864788017071"/>
  </r>
  <r>
    <x v="20"/>
    <s v="Jacaratia spinosa"/>
    <n v="3.5"/>
    <n v="8.7579617834394909"/>
    <n v="0.252"/>
    <n v="4.1149366031202161"/>
  </r>
  <r>
    <x v="20"/>
    <s v="Moquiniastrum polymorphum"/>
    <n v="7"/>
    <n v="14.64968152866242"/>
    <n v="0.46124999999999999"/>
    <n v="39.859263682750623"/>
  </r>
  <r>
    <x v="20"/>
    <s v="Moquiniastrum polymorphum"/>
    <n v="5.7"/>
    <n v="10.509554140127388"/>
    <n v="0.46124999999999999"/>
    <n v="17.056242695772298"/>
  </r>
  <r>
    <x v="20"/>
    <s v="Pseudobombax grandiflorum"/>
    <n v="5"/>
    <n v="11.464968152866241"/>
    <n v="0.2424"/>
    <n v="9.4931300315869489"/>
  </r>
  <r>
    <x v="20"/>
    <s v="Schinus terebinthifolia"/>
    <n v="4"/>
    <n v="16.560509554140125"/>
    <n v="0.53366728900000004"/>
    <n v="33.81221011849032"/>
  </r>
  <r>
    <x v="20"/>
    <s v="Trema micranthum"/>
    <n v="6.5"/>
    <n v="8.1210191082802545"/>
    <n v="0.26200000000000001"/>
    <n v="6.7490138565764974"/>
  </r>
  <r>
    <x v="20"/>
    <s v="Trema micranthum"/>
    <n v="5"/>
    <n v="9.872611464968152"/>
    <n v="0.26200000000000001"/>
    <n v="7.6489743067432237"/>
  </r>
  <r>
    <x v="20"/>
    <s v="Trema micranthum"/>
    <n v="4.5"/>
    <n v="12.101910828025478"/>
    <n v="0.26200000000000001"/>
    <n v="10.269361582292355"/>
  </r>
  <r>
    <x v="21"/>
    <s v="Cecropia pachystachya"/>
    <n v="8"/>
    <n v="9.7133757961783438"/>
    <n v="0.35368027699999999"/>
    <n v="15.711646046328777"/>
  </r>
  <r>
    <x v="21"/>
    <s v="Cecropia pachystachya"/>
    <n v="7"/>
    <n v="7.0063694267515917"/>
    <n v="0.35368027699999999"/>
    <n v="7.2891574783420614"/>
  </r>
  <r>
    <x v="21"/>
    <s v="Cecropia pachystachya"/>
    <n v="7"/>
    <n v="10.031847133757962"/>
    <n v="0.35368027699999999"/>
    <n v="14.688263706715077"/>
  </r>
  <r>
    <x v="21"/>
    <s v="Inga laurina"/>
    <n v="6"/>
    <n v="20.222929936305732"/>
    <n v="0.65473331599999995"/>
    <n v="90.568508811228227"/>
  </r>
  <r>
    <x v="21"/>
    <s v="Inga laurina"/>
    <n v="5"/>
    <n v="16.401273885350317"/>
    <n v="0.65473331599999995"/>
    <n v="50.365102301180499"/>
  </r>
  <r>
    <x v="21"/>
    <s v="Inga laurina"/>
    <n v="4.5"/>
    <n v="4.936305732484076"/>
    <n v="0.65473331599999995"/>
    <n v="4.3606393888906236"/>
  </r>
  <r>
    <x v="21"/>
    <s v="Moquiniastrum polymorphum"/>
    <n v="6.5"/>
    <n v="15.764331210191083"/>
    <n v="0.46124999999999999"/>
    <n v="42.784167086828063"/>
  </r>
  <r>
    <x v="21"/>
    <s v="Moquiniastrum polymorphum"/>
    <n v="6.5"/>
    <n v="7.9617834394904454"/>
    <n v="0.46124999999999999"/>
    <n v="11.276975327671597"/>
  </r>
  <r>
    <x v="21"/>
    <s v="Moquiniastrum polymorphum"/>
    <n v="5.7"/>
    <n v="9.3949044585987256"/>
    <n v="0.46124999999999999"/>
    <n v="13.703664945099025"/>
  </r>
  <r>
    <x v="21"/>
    <s v="Moquiniastrum polymorphum"/>
    <n v="5.6"/>
    <n v="9.5541401273885338"/>
    <n v="0.46124999999999999"/>
    <n v="13.918181667011202"/>
  </r>
  <r>
    <x v="21"/>
    <s v="Moquiniastrum polymorphum"/>
    <n v="5.5"/>
    <n v="9.5541401273885338"/>
    <n v="0.46124999999999999"/>
    <n v="13.675555343798537"/>
  </r>
  <r>
    <x v="21"/>
    <s v="Moquiniastrum polymorphum"/>
    <n v="5.5"/>
    <n v="7.3248407643312099"/>
    <n v="0.46124999999999999"/>
    <n v="8.1413611063831599"/>
  </r>
  <r>
    <x v="21"/>
    <s v="Moquiniastrum polymorphum"/>
    <n v="4.5"/>
    <n v="15.286624203821656"/>
    <n v="0.46124999999999999"/>
    <n v="28.140292417306409"/>
  </r>
  <r>
    <x v="21"/>
    <s v="Moquiniastrum polymorphum"/>
    <n v="3"/>
    <n v="12.101910828025478"/>
    <n v="0.46124999999999999"/>
    <n v="12.006549686887441"/>
  </r>
  <r>
    <x v="21"/>
    <s v="Pseudobombax grandiflorum"/>
    <n v="6.5"/>
    <n v="10.350318471337578"/>
    <n v="0.2424"/>
    <n v="10.04412203309332"/>
  </r>
  <r>
    <x v="21"/>
    <s v="Schinus terebinthifolia"/>
    <n v="4"/>
    <n v="13.694267515923567"/>
    <n v="0.53366728900000004"/>
    <n v="23.332724741346571"/>
  </r>
  <r>
    <x v="21"/>
    <s v="Schinus terebinthifolia"/>
    <n v="3.8"/>
    <n v="12.261146496815286"/>
    <n v="0.53366728900000004"/>
    <n v="17.885974824626373"/>
  </r>
  <r>
    <x v="21"/>
    <s v="Schinus terebinthifolia"/>
    <n v="3"/>
    <n v="14.331210191082802"/>
    <n v="0.53366728900000004"/>
    <n v="19.255981158619718"/>
  </r>
  <r>
    <x v="21"/>
    <s v="Schinus terebinthifolia"/>
    <n v="2.1"/>
    <n v="1.910828025477707"/>
    <n v="0.53366728900000004"/>
    <n v="0.26623291863702664"/>
  </r>
  <r>
    <x v="22"/>
    <s v="Cecropia pachystachya"/>
    <n v="7.5"/>
    <n v="7.1656050955414008"/>
    <n v="0.35368027699999999"/>
    <n v="8.1465296299440464"/>
  </r>
  <r>
    <x v="22"/>
    <s v="Citharexylum myrianthum"/>
    <n v="5.5"/>
    <n v="8.598726114649681"/>
    <n v="0.38825121200000001"/>
    <n v="9.4101935517653779"/>
  </r>
  <r>
    <x v="22"/>
    <s v="Moquiniastrum polymorphum"/>
    <n v="6"/>
    <n v="7.3248407643312099"/>
    <n v="0.46124999999999999"/>
    <n v="8.862957229995601"/>
  </r>
  <r>
    <x v="22"/>
    <s v="Moquiniastrum polymorphum"/>
    <n v="6"/>
    <n v="22.165605095541398"/>
    <n v="0.46124999999999999"/>
    <n v="76.958953478991177"/>
  </r>
  <r>
    <x v="22"/>
    <s v="Moquiniastrum polymorphum"/>
    <n v="6"/>
    <n v="10.509554140127388"/>
    <n v="0.46124999999999999"/>
    <n v="17.931851277271129"/>
  </r>
  <r>
    <x v="22"/>
    <s v="Moquiniastrum polymorphum"/>
    <n v="5.5"/>
    <n v="24.363057324840764"/>
    <n v="0.46124999999999999"/>
    <n v="85.018101677894947"/>
  </r>
  <r>
    <x v="22"/>
    <s v="Moquiniastrum polymorphum"/>
    <n v="4.5"/>
    <n v="13.694267515923567"/>
    <n v="0.46124999999999999"/>
    <n v="22.7026281584641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Tabela dinâmica1" cacheId="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27" firstHeaderRow="1" firstDataRow="1" firstDataCol="1"/>
  <pivotFields count="6"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Soma de biomassa_chav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1" cacheId="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765" firstHeaderRow="1" firstDataRow="1" firstDataCol="1"/>
  <pivotFields count="7">
    <pivotField axis="axisRow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axis="axisRow" showAll="0" sortType="descending">
      <items count="99">
        <item x="49"/>
        <item x="31"/>
        <item x="12"/>
        <item x="44"/>
        <item x="47"/>
        <item x="32"/>
        <item x="57"/>
        <item x="85"/>
        <item x="42"/>
        <item x="0"/>
        <item x="20"/>
        <item x="39"/>
        <item x="56"/>
        <item x="45"/>
        <item x="1"/>
        <item x="61"/>
        <item x="72"/>
        <item x="65"/>
        <item x="92"/>
        <item x="66"/>
        <item x="53"/>
        <item x="60"/>
        <item x="26"/>
        <item x="64"/>
        <item x="88"/>
        <item x="73"/>
        <item x="54"/>
        <item x="80"/>
        <item x="21"/>
        <item x="90"/>
        <item x="27"/>
        <item x="2"/>
        <item x="33"/>
        <item x="74"/>
        <item x="46"/>
        <item x="40"/>
        <item x="3"/>
        <item x="34"/>
        <item x="35"/>
        <item x="4"/>
        <item x="5"/>
        <item x="43"/>
        <item x="24"/>
        <item x="84"/>
        <item x="36"/>
        <item x="58"/>
        <item x="22"/>
        <item x="50"/>
        <item x="15"/>
        <item x="16"/>
        <item x="51"/>
        <item x="67"/>
        <item x="86"/>
        <item x="93"/>
        <item x="37"/>
        <item x="79"/>
        <item x="71"/>
        <item x="96"/>
        <item x="95"/>
        <item x="68"/>
        <item x="6"/>
        <item x="82"/>
        <item x="7"/>
        <item x="97"/>
        <item x="89"/>
        <item x="23"/>
        <item x="62"/>
        <item x="13"/>
        <item x="69"/>
        <item x="94"/>
        <item x="25"/>
        <item x="48"/>
        <item x="28"/>
        <item x="17"/>
        <item x="75"/>
        <item x="14"/>
        <item x="18"/>
        <item x="81"/>
        <item x="19"/>
        <item x="8"/>
        <item x="76"/>
        <item x="9"/>
        <item x="29"/>
        <item x="10"/>
        <item x="70"/>
        <item x="30"/>
        <item x="83"/>
        <item x="87"/>
        <item x="38"/>
        <item x="41"/>
        <item x="91"/>
        <item x="63"/>
        <item x="52"/>
        <item x="59"/>
        <item x="11"/>
        <item x="77"/>
        <item x="78"/>
        <item x="5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5" showAll="0"/>
    <pivotField showAll="0"/>
    <pivotField showAll="0"/>
    <pivotField dataField="1" numFmtId="164" showAll="0"/>
  </pivotFields>
  <rowFields count="2">
    <field x="0"/>
    <field x="1"/>
  </rowFields>
  <rowItems count="762">
    <i>
      <x/>
    </i>
    <i r="1">
      <x v="40"/>
    </i>
    <i r="1">
      <x v="83"/>
    </i>
    <i r="1">
      <x v="81"/>
    </i>
    <i r="1">
      <x v="62"/>
    </i>
    <i r="1">
      <x v="39"/>
    </i>
    <i r="1">
      <x v="14"/>
    </i>
    <i r="1">
      <x v="94"/>
    </i>
    <i r="1">
      <x v="79"/>
    </i>
    <i r="1">
      <x v="9"/>
    </i>
    <i r="1">
      <x v="60"/>
    </i>
    <i r="1">
      <x v="36"/>
    </i>
    <i r="1">
      <x v="31"/>
    </i>
    <i>
      <x v="1"/>
    </i>
    <i r="1">
      <x v="40"/>
    </i>
    <i r="1">
      <x v="81"/>
    </i>
    <i r="1">
      <x v="14"/>
    </i>
    <i r="1">
      <x v="67"/>
    </i>
    <i r="1">
      <x v="83"/>
    </i>
    <i r="1">
      <x v="62"/>
    </i>
    <i r="1">
      <x v="94"/>
    </i>
    <i r="1">
      <x v="9"/>
    </i>
    <i r="1">
      <x v="2"/>
    </i>
    <i r="1">
      <x v="79"/>
    </i>
    <i r="1">
      <x v="75"/>
    </i>
    <i>
      <x v="2"/>
    </i>
    <i r="1">
      <x v="81"/>
    </i>
    <i r="1">
      <x v="40"/>
    </i>
    <i r="1">
      <x v="83"/>
    </i>
    <i r="1">
      <x v="78"/>
    </i>
    <i r="1">
      <x v="62"/>
    </i>
    <i r="1">
      <x v="73"/>
    </i>
    <i r="1">
      <x v="39"/>
    </i>
    <i r="1">
      <x v="76"/>
    </i>
    <i r="1">
      <x v="49"/>
    </i>
    <i r="1">
      <x v="14"/>
    </i>
    <i r="1">
      <x v="94"/>
    </i>
    <i r="1">
      <x v="48"/>
    </i>
    <i r="1">
      <x v="9"/>
    </i>
    <i r="1">
      <x v="75"/>
    </i>
    <i>
      <x v="3"/>
    </i>
    <i r="1">
      <x v="65"/>
    </i>
    <i r="1">
      <x v="40"/>
    </i>
    <i r="1">
      <x v="81"/>
    </i>
    <i r="1">
      <x v="62"/>
    </i>
    <i r="1">
      <x v="9"/>
    </i>
    <i r="1">
      <x v="10"/>
    </i>
    <i r="1">
      <x v="46"/>
    </i>
    <i r="1">
      <x v="48"/>
    </i>
    <i r="1">
      <x v="94"/>
    </i>
    <i r="1">
      <x v="28"/>
    </i>
    <i r="1">
      <x v="60"/>
    </i>
    <i>
      <x v="4"/>
    </i>
    <i r="1">
      <x v="2"/>
    </i>
    <i r="1">
      <x v="83"/>
    </i>
    <i r="1">
      <x v="65"/>
    </i>
    <i r="1">
      <x v="9"/>
    </i>
    <i r="1">
      <x v="42"/>
    </i>
    <i r="1">
      <x v="28"/>
    </i>
    <i r="1">
      <x v="48"/>
    </i>
    <i r="1">
      <x v="79"/>
    </i>
    <i r="1">
      <x v="14"/>
    </i>
    <i r="1">
      <x v="39"/>
    </i>
    <i r="1">
      <x v="36"/>
    </i>
    <i r="1">
      <x v="62"/>
    </i>
    <i r="1">
      <x v="70"/>
    </i>
    <i r="1">
      <x v="75"/>
    </i>
    <i>
      <x v="5"/>
    </i>
    <i r="1">
      <x v="81"/>
    </i>
    <i r="1">
      <x v="40"/>
    </i>
    <i r="1">
      <x v="83"/>
    </i>
    <i r="1">
      <x v="82"/>
    </i>
    <i r="1">
      <x v="94"/>
    </i>
    <i r="1">
      <x v="79"/>
    </i>
    <i r="1">
      <x v="62"/>
    </i>
    <i r="1">
      <x v="36"/>
    </i>
    <i r="1">
      <x v="72"/>
    </i>
    <i r="1">
      <x v="30"/>
    </i>
    <i r="1">
      <x v="76"/>
    </i>
    <i r="1">
      <x v="22"/>
    </i>
    <i>
      <x v="6"/>
    </i>
    <i r="1">
      <x v="40"/>
    </i>
    <i r="1">
      <x v="81"/>
    </i>
    <i r="1">
      <x v="83"/>
    </i>
    <i r="1">
      <x v="67"/>
    </i>
    <i r="1">
      <x v="48"/>
    </i>
    <i r="1">
      <x v="82"/>
    </i>
    <i r="1">
      <x v="94"/>
    </i>
    <i r="1">
      <x v="62"/>
    </i>
    <i r="1">
      <x v="85"/>
    </i>
    <i r="1">
      <x v="14"/>
    </i>
    <i r="1">
      <x v="22"/>
    </i>
    <i r="1">
      <x v="39"/>
    </i>
    <i r="1">
      <x v="36"/>
    </i>
    <i>
      <x v="7"/>
    </i>
    <i r="1">
      <x v="54"/>
    </i>
    <i r="1">
      <x v="38"/>
    </i>
    <i r="1">
      <x v="88"/>
    </i>
    <i r="1">
      <x v="37"/>
    </i>
    <i r="1">
      <x v="2"/>
    </i>
    <i r="1">
      <x v="44"/>
    </i>
    <i r="1">
      <x v="1"/>
    </i>
    <i r="1">
      <x v="62"/>
    </i>
    <i r="1">
      <x v="5"/>
    </i>
    <i r="1">
      <x v="32"/>
    </i>
    <i>
      <x v="8"/>
    </i>
    <i r="1">
      <x v="81"/>
    </i>
    <i r="1">
      <x v="54"/>
    </i>
    <i r="1">
      <x v="88"/>
    </i>
    <i r="1">
      <x v="46"/>
    </i>
    <i r="1">
      <x v="42"/>
    </i>
    <i r="1">
      <x v="11"/>
    </i>
    <i r="1">
      <x v="89"/>
    </i>
    <i r="1">
      <x v="44"/>
    </i>
    <i r="1">
      <x v="35"/>
    </i>
    <i r="1">
      <x v="2"/>
    </i>
    <i>
      <x v="9"/>
    </i>
    <i r="1">
      <x v="54"/>
    </i>
    <i r="1">
      <x v="44"/>
    </i>
    <i r="1">
      <x v="81"/>
    </i>
    <i r="1">
      <x v="42"/>
    </i>
    <i r="1">
      <x v="22"/>
    </i>
    <i r="1">
      <x v="88"/>
    </i>
    <i r="1">
      <x v="46"/>
    </i>
    <i r="1">
      <x v="89"/>
    </i>
    <i r="1">
      <x v="2"/>
    </i>
    <i r="1">
      <x v="8"/>
    </i>
    <i r="1">
      <x v="38"/>
    </i>
    <i r="1">
      <x v="5"/>
    </i>
    <i>
      <x v="10"/>
    </i>
    <i r="1">
      <x v="54"/>
    </i>
    <i r="1">
      <x v="44"/>
    </i>
    <i r="1">
      <x v="88"/>
    </i>
    <i r="1">
      <x v="42"/>
    </i>
    <i r="1">
      <x v="41"/>
    </i>
    <i r="1">
      <x v="81"/>
    </i>
    <i r="1">
      <x v="38"/>
    </i>
    <i r="1">
      <x v="46"/>
    </i>
    <i r="1">
      <x v="11"/>
    </i>
    <i r="1">
      <x v="22"/>
    </i>
    <i r="1">
      <x v="35"/>
    </i>
    <i r="1">
      <x v="32"/>
    </i>
    <i>
      <x v="11"/>
    </i>
    <i r="1">
      <x v="44"/>
    </i>
    <i r="1">
      <x v="81"/>
    </i>
    <i r="1">
      <x v="54"/>
    </i>
    <i r="1">
      <x v="46"/>
    </i>
    <i r="1">
      <x v="34"/>
    </i>
    <i r="1">
      <x v="11"/>
    </i>
    <i r="1">
      <x v="41"/>
    </i>
    <i r="1">
      <x v="2"/>
    </i>
    <i r="1">
      <x v="13"/>
    </i>
    <i r="1">
      <x v="35"/>
    </i>
    <i r="1">
      <x v="3"/>
    </i>
    <i>
      <x v="12"/>
    </i>
    <i r="1">
      <x v="41"/>
    </i>
    <i r="1">
      <x v="81"/>
    </i>
    <i r="1">
      <x v="82"/>
    </i>
    <i r="1">
      <x v="32"/>
    </i>
    <i r="1">
      <x v="38"/>
    </i>
    <i r="1">
      <x v="89"/>
    </i>
    <i r="1">
      <x v="4"/>
    </i>
    <i r="1">
      <x v="11"/>
    </i>
    <i r="1">
      <x v="71"/>
    </i>
    <i r="1">
      <x v="46"/>
    </i>
    <i r="1">
      <x v="35"/>
    </i>
    <i>
      <x v="13"/>
    </i>
    <i r="1">
      <x v="41"/>
    </i>
    <i r="1">
      <x v="85"/>
    </i>
    <i r="1">
      <x/>
    </i>
    <i r="1">
      <x v="54"/>
    </i>
    <i r="1">
      <x v="82"/>
    </i>
    <i r="1">
      <x v="44"/>
    </i>
    <i r="1">
      <x v="81"/>
    </i>
    <i r="1">
      <x v="11"/>
    </i>
    <i r="1">
      <x v="32"/>
    </i>
    <i r="1">
      <x v="46"/>
    </i>
    <i>
      <x v="14"/>
    </i>
    <i r="1">
      <x v="38"/>
    </i>
    <i r="1">
      <x v="2"/>
    </i>
    <i r="1">
      <x v="44"/>
    </i>
    <i r="1">
      <x v="13"/>
    </i>
    <i r="1">
      <x v="81"/>
    </i>
    <i>
      <x v="15"/>
    </i>
    <i r="1">
      <x v="38"/>
    </i>
    <i r="1">
      <x v="81"/>
    </i>
    <i r="1">
      <x v="82"/>
    </i>
    <i r="1">
      <x v="13"/>
    </i>
    <i r="1">
      <x v="44"/>
    </i>
    <i r="1">
      <x v="73"/>
    </i>
    <i r="1">
      <x v="47"/>
    </i>
    <i>
      <x v="16"/>
    </i>
    <i r="1">
      <x v="2"/>
    </i>
    <i r="1">
      <x v="44"/>
    </i>
    <i r="1">
      <x v="38"/>
    </i>
    <i r="1">
      <x v="82"/>
    </i>
    <i r="1">
      <x v="89"/>
    </i>
    <i r="1">
      <x v="81"/>
    </i>
    <i r="1">
      <x v="13"/>
    </i>
    <i r="1">
      <x v="50"/>
    </i>
    <i>
      <x v="17"/>
    </i>
    <i r="1">
      <x v="41"/>
    </i>
    <i r="1">
      <x v="82"/>
    </i>
    <i r="1">
      <x v="44"/>
    </i>
    <i r="1">
      <x v="92"/>
    </i>
    <i r="1">
      <x v="31"/>
    </i>
    <i r="1">
      <x v="13"/>
    </i>
    <i>
      <x v="18"/>
    </i>
    <i r="1">
      <x v="41"/>
    </i>
    <i r="1">
      <x v="31"/>
    </i>
    <i>
      <x v="19"/>
    </i>
    <i r="1">
      <x v="41"/>
    </i>
    <i r="1">
      <x v="44"/>
    </i>
    <i r="1">
      <x v="82"/>
    </i>
    <i r="1">
      <x v="47"/>
    </i>
    <i r="1">
      <x v="81"/>
    </i>
    <i r="1">
      <x v="20"/>
    </i>
    <i r="1">
      <x v="13"/>
    </i>
    <i r="1">
      <x v="31"/>
    </i>
    <i>
      <x v="20"/>
    </i>
    <i r="1">
      <x v="47"/>
    </i>
    <i r="1">
      <x v="89"/>
    </i>
    <i r="1">
      <x v="20"/>
    </i>
    <i r="1">
      <x v="38"/>
    </i>
    <i r="1">
      <x v="46"/>
    </i>
    <i r="1">
      <x v="13"/>
    </i>
    <i r="1">
      <x v="31"/>
    </i>
    <i r="1">
      <x v="71"/>
    </i>
    <i r="1">
      <x v="26"/>
    </i>
    <i r="1">
      <x v="97"/>
    </i>
    <i>
      <x v="21"/>
    </i>
    <i r="1">
      <x v="41"/>
    </i>
    <i r="1">
      <x v="89"/>
    </i>
    <i r="1">
      <x v="2"/>
    </i>
    <i r="1">
      <x v="71"/>
    </i>
    <i r="1">
      <x v="20"/>
    </i>
    <i r="1">
      <x v="12"/>
    </i>
    <i r="1">
      <x v="35"/>
    </i>
    <i>
      <x v="22"/>
    </i>
    <i r="1">
      <x v="93"/>
    </i>
    <i r="1">
      <x v="82"/>
    </i>
    <i r="1">
      <x v="6"/>
    </i>
    <i r="1">
      <x v="11"/>
    </i>
    <i r="1">
      <x v="47"/>
    </i>
    <i r="1">
      <x v="38"/>
    </i>
    <i r="1">
      <x v="12"/>
    </i>
    <i r="1">
      <x v="1"/>
    </i>
    <i r="1">
      <x v="45"/>
    </i>
    <i r="1">
      <x/>
    </i>
    <i>
      <x v="23"/>
    </i>
    <i r="1">
      <x v="85"/>
    </i>
    <i r="1">
      <x v="6"/>
    </i>
    <i r="1">
      <x v="44"/>
    </i>
    <i r="1">
      <x v="82"/>
    </i>
    <i r="1">
      <x v="1"/>
    </i>
    <i r="1">
      <x v="21"/>
    </i>
    <i r="1">
      <x v="93"/>
    </i>
    <i r="1">
      <x v="11"/>
    </i>
    <i r="1">
      <x v="13"/>
    </i>
    <i r="1">
      <x v="20"/>
    </i>
    <i r="1">
      <x v="38"/>
    </i>
    <i>
      <x v="24"/>
    </i>
    <i r="1">
      <x v="85"/>
    </i>
    <i r="1">
      <x v="97"/>
    </i>
    <i r="1">
      <x v="31"/>
    </i>
    <i r="1">
      <x v="38"/>
    </i>
    <i>
      <x v="25"/>
    </i>
    <i r="1">
      <x v="42"/>
    </i>
    <i r="1">
      <x v="44"/>
    </i>
    <i r="1">
      <x v="85"/>
    </i>
    <i r="1">
      <x v="38"/>
    </i>
    <i r="1">
      <x v="6"/>
    </i>
    <i r="1">
      <x v="15"/>
    </i>
    <i>
      <x v="26"/>
    </i>
    <i r="1">
      <x v="44"/>
    </i>
    <i r="1">
      <x v="85"/>
    </i>
    <i r="1">
      <x v="38"/>
    </i>
    <i r="1">
      <x v="20"/>
    </i>
    <i r="1">
      <x v="42"/>
    </i>
    <i r="1">
      <x v="47"/>
    </i>
    <i>
      <x v="27"/>
    </i>
    <i r="1">
      <x v="44"/>
    </i>
    <i r="1">
      <x v="42"/>
    </i>
    <i r="1">
      <x v="50"/>
    </i>
    <i r="1">
      <x v="6"/>
    </i>
    <i r="1">
      <x v="92"/>
    </i>
    <i r="1">
      <x v="38"/>
    </i>
    <i r="1">
      <x v="81"/>
    </i>
    <i r="1">
      <x v="1"/>
    </i>
    <i r="1">
      <x v="37"/>
    </i>
    <i r="1">
      <x v="97"/>
    </i>
    <i r="1">
      <x v="20"/>
    </i>
    <i>
      <x v="28"/>
    </i>
    <i r="1">
      <x v="42"/>
    </i>
    <i r="1">
      <x v="85"/>
    </i>
    <i r="1">
      <x v="6"/>
    </i>
    <i r="1">
      <x v="44"/>
    </i>
    <i r="1">
      <x v="38"/>
    </i>
    <i r="1">
      <x v="97"/>
    </i>
    <i r="1">
      <x v="81"/>
    </i>
    <i r="1">
      <x v="11"/>
    </i>
    <i>
      <x v="29"/>
    </i>
    <i r="1">
      <x v="44"/>
    </i>
    <i r="1">
      <x v="2"/>
    </i>
    <i r="1">
      <x v="65"/>
    </i>
    <i r="1">
      <x v="38"/>
    </i>
    <i r="1">
      <x/>
    </i>
    <i r="1">
      <x v="3"/>
    </i>
    <i r="1">
      <x v="6"/>
    </i>
    <i r="1">
      <x v="37"/>
    </i>
    <i r="1">
      <x v="11"/>
    </i>
    <i r="1">
      <x v="85"/>
    </i>
    <i r="1">
      <x v="97"/>
    </i>
    <i>
      <x v="30"/>
    </i>
    <i r="1">
      <x v="2"/>
    </i>
    <i r="1">
      <x/>
    </i>
    <i r="1">
      <x v="85"/>
    </i>
    <i r="1">
      <x v="6"/>
    </i>
    <i r="1">
      <x v="44"/>
    </i>
    <i r="1">
      <x v="81"/>
    </i>
    <i r="1">
      <x v="37"/>
    </i>
    <i r="1">
      <x v="31"/>
    </i>
    <i r="1">
      <x v="20"/>
    </i>
    <i>
      <x v="31"/>
    </i>
    <i r="1">
      <x v="44"/>
    </i>
    <i r="1">
      <x v="21"/>
    </i>
    <i r="1">
      <x/>
    </i>
    <i r="1">
      <x v="34"/>
    </i>
    <i r="1">
      <x v="97"/>
    </i>
    <i r="1">
      <x v="89"/>
    </i>
    <i r="1">
      <x v="11"/>
    </i>
    <i r="1">
      <x v="81"/>
    </i>
    <i>
      <x v="32"/>
    </i>
    <i r="1">
      <x v="65"/>
    </i>
    <i r="1">
      <x v="2"/>
    </i>
    <i r="1">
      <x v="66"/>
    </i>
    <i>
      <x v="33"/>
    </i>
    <i r="1">
      <x v="65"/>
    </i>
    <i r="1">
      <x v="71"/>
    </i>
    <i r="1">
      <x v="41"/>
    </i>
    <i r="1">
      <x v="2"/>
    </i>
    <i r="1">
      <x v="91"/>
    </i>
    <i>
      <x v="34"/>
    </i>
    <i r="1">
      <x v="2"/>
    </i>
    <i r="1">
      <x v="44"/>
    </i>
    <i r="1">
      <x v="65"/>
    </i>
    <i r="1">
      <x v="71"/>
    </i>
    <i r="1">
      <x v="66"/>
    </i>
    <i r="1">
      <x v="20"/>
    </i>
    <i>
      <x v="35"/>
    </i>
    <i r="1">
      <x v="65"/>
    </i>
    <i r="1">
      <x v="44"/>
    </i>
    <i r="1">
      <x v="41"/>
    </i>
    <i r="1">
      <x v="82"/>
    </i>
    <i r="1">
      <x v="12"/>
    </i>
    <i>
      <x v="36"/>
    </i>
    <i r="1">
      <x v="65"/>
    </i>
    <i r="1">
      <x v="23"/>
    </i>
    <i r="1">
      <x v="41"/>
    </i>
    <i r="1">
      <x v="13"/>
    </i>
    <i r="1">
      <x v="71"/>
    </i>
    <i r="1">
      <x v="44"/>
    </i>
    <i r="1">
      <x v="20"/>
    </i>
    <i>
      <x v="37"/>
    </i>
    <i r="1">
      <x v="84"/>
    </i>
    <i r="1">
      <x v="44"/>
    </i>
    <i r="1">
      <x v="68"/>
    </i>
    <i r="1">
      <x v="40"/>
    </i>
    <i r="1">
      <x v="66"/>
    </i>
    <i r="1">
      <x v="17"/>
    </i>
    <i r="1">
      <x v="51"/>
    </i>
    <i r="1">
      <x v="89"/>
    </i>
    <i r="1">
      <x v="19"/>
    </i>
    <i r="1">
      <x v="59"/>
    </i>
    <i r="1">
      <x v="4"/>
    </i>
    <i>
      <x v="38"/>
    </i>
    <i r="1">
      <x v="56"/>
    </i>
    <i r="1">
      <x v="44"/>
    </i>
    <i r="1">
      <x v="75"/>
    </i>
    <i r="1">
      <x v="91"/>
    </i>
    <i r="1">
      <x v="40"/>
    </i>
    <i r="1">
      <x v="1"/>
    </i>
    <i r="1">
      <x v="2"/>
    </i>
    <i r="1">
      <x v="71"/>
    </i>
    <i r="1">
      <x v="68"/>
    </i>
    <i r="1">
      <x/>
    </i>
    <i r="1">
      <x v="93"/>
    </i>
    <i r="1">
      <x v="20"/>
    </i>
    <i r="1">
      <x v="84"/>
    </i>
    <i>
      <x v="39"/>
    </i>
    <i r="1">
      <x v="40"/>
    </i>
    <i r="1">
      <x v="65"/>
    </i>
    <i r="1">
      <x v="23"/>
    </i>
    <i r="1">
      <x v="44"/>
    </i>
    <i r="1">
      <x v="82"/>
    </i>
    <i r="1">
      <x/>
    </i>
    <i r="1">
      <x v="75"/>
    </i>
    <i r="1">
      <x v="16"/>
    </i>
    <i r="1">
      <x v="20"/>
    </i>
    <i r="1">
      <x v="33"/>
    </i>
    <i r="1">
      <x v="11"/>
    </i>
    <i r="1">
      <x v="25"/>
    </i>
    <i>
      <x v="40"/>
    </i>
    <i r="1">
      <x v="23"/>
    </i>
    <i r="1">
      <x v="67"/>
    </i>
    <i r="1">
      <x v="84"/>
    </i>
    <i r="1">
      <x v="40"/>
    </i>
    <i r="1">
      <x v="17"/>
    </i>
    <i r="1">
      <x v="82"/>
    </i>
    <i r="1">
      <x v="44"/>
    </i>
    <i r="1">
      <x v="74"/>
    </i>
    <i r="1">
      <x v="13"/>
    </i>
    <i r="1">
      <x v="71"/>
    </i>
    <i r="1">
      <x v="1"/>
    </i>
    <i r="1">
      <x v="16"/>
    </i>
    <i r="1">
      <x v="73"/>
    </i>
    <i r="1">
      <x v="59"/>
    </i>
    <i r="1">
      <x v="33"/>
    </i>
    <i>
      <x v="41"/>
    </i>
    <i r="1">
      <x v="84"/>
    </i>
    <i r="1">
      <x v="2"/>
    </i>
    <i r="1">
      <x v="82"/>
    </i>
    <i r="1">
      <x v="51"/>
    </i>
    <i r="1">
      <x v="56"/>
    </i>
    <i r="1">
      <x v="20"/>
    </i>
    <i r="1">
      <x v="40"/>
    </i>
    <i r="1">
      <x v="47"/>
    </i>
    <i>
      <x v="42"/>
    </i>
    <i r="1">
      <x v="56"/>
    </i>
    <i r="1">
      <x v="42"/>
    </i>
    <i r="1">
      <x v="83"/>
    </i>
    <i r="1">
      <x v="28"/>
    </i>
    <i r="1">
      <x v="73"/>
    </i>
    <i r="1">
      <x v="95"/>
    </i>
    <i r="1">
      <x v="80"/>
    </i>
    <i r="1">
      <x v="20"/>
    </i>
    <i r="1">
      <x v="41"/>
    </i>
    <i r="1">
      <x v="96"/>
    </i>
    <i>
      <x v="43"/>
    </i>
    <i r="1">
      <x v="42"/>
    </i>
    <i r="1">
      <x v="83"/>
    </i>
    <i r="1">
      <x v="55"/>
    </i>
    <i r="1">
      <x v="56"/>
    </i>
    <i r="1">
      <x v="80"/>
    </i>
    <i r="1">
      <x v="62"/>
    </i>
    <i r="1">
      <x v="73"/>
    </i>
    <i r="1">
      <x v="35"/>
    </i>
    <i>
      <x v="44"/>
    </i>
    <i r="1">
      <x v="56"/>
    </i>
    <i r="1">
      <x v="80"/>
    </i>
    <i r="1">
      <x v="2"/>
    </i>
    <i r="1">
      <x v="34"/>
    </i>
    <i r="1">
      <x v="62"/>
    </i>
    <i r="1">
      <x v="28"/>
    </i>
    <i r="1">
      <x v="26"/>
    </i>
    <i r="1">
      <x v="20"/>
    </i>
    <i>
      <x v="45"/>
    </i>
    <i r="1">
      <x v="55"/>
    </i>
    <i r="1">
      <x v="42"/>
    </i>
    <i r="1">
      <x v="56"/>
    </i>
    <i r="1">
      <x v="28"/>
    </i>
    <i r="1">
      <x v="68"/>
    </i>
    <i r="1">
      <x v="30"/>
    </i>
    <i>
      <x v="46"/>
    </i>
    <i r="1">
      <x v="83"/>
    </i>
    <i r="1">
      <x v="56"/>
    </i>
    <i r="1">
      <x v="42"/>
    </i>
    <i r="1">
      <x v="40"/>
    </i>
    <i r="1">
      <x v="41"/>
    </i>
    <i r="1">
      <x v="2"/>
    </i>
    <i r="1">
      <x v="20"/>
    </i>
    <i r="1">
      <x v="62"/>
    </i>
    <i r="1">
      <x v="96"/>
    </i>
    <i r="1">
      <x v="28"/>
    </i>
    <i>
      <x v="47"/>
    </i>
    <i r="1">
      <x v="56"/>
    </i>
    <i r="1">
      <x v="2"/>
    </i>
    <i r="1">
      <x v="40"/>
    </i>
    <i r="1">
      <x v="20"/>
    </i>
    <i r="1">
      <x v="62"/>
    </i>
    <i>
      <x v="48"/>
    </i>
    <i r="1">
      <x v="81"/>
    </i>
    <i r="1">
      <x v="28"/>
    </i>
    <i r="1">
      <x v="68"/>
    </i>
    <i r="1">
      <x v="27"/>
    </i>
    <i r="1">
      <x v="20"/>
    </i>
    <i r="1">
      <x v="36"/>
    </i>
    <i r="1">
      <x v="65"/>
    </i>
    <i r="1">
      <x v="40"/>
    </i>
    <i r="1">
      <x v="41"/>
    </i>
    <i r="1">
      <x v="16"/>
    </i>
    <i r="1">
      <x v="5"/>
    </i>
    <i r="1">
      <x v="35"/>
    </i>
    <i>
      <x v="49"/>
    </i>
    <i r="1">
      <x v="2"/>
    </i>
    <i r="1">
      <x v="14"/>
    </i>
    <i r="1">
      <x v="11"/>
    </i>
    <i r="1">
      <x v="82"/>
    </i>
    <i r="1">
      <x v="41"/>
    </i>
    <i r="1">
      <x v="36"/>
    </i>
    <i r="1">
      <x v="71"/>
    </i>
    <i r="1">
      <x v="20"/>
    </i>
    <i r="1">
      <x v="49"/>
    </i>
    <i r="1">
      <x v="77"/>
    </i>
    <i r="1">
      <x v="39"/>
    </i>
    <i r="1">
      <x v="32"/>
    </i>
    <i r="1">
      <x v="13"/>
    </i>
    <i>
      <x v="50"/>
    </i>
    <i r="1">
      <x v="13"/>
    </i>
    <i r="1">
      <x v="41"/>
    </i>
    <i r="1">
      <x v="68"/>
    </i>
    <i r="1">
      <x v="20"/>
    </i>
    <i r="1">
      <x v="62"/>
    </i>
    <i r="1">
      <x v="14"/>
    </i>
    <i r="1">
      <x v="36"/>
    </i>
    <i r="1">
      <x v="39"/>
    </i>
    <i r="1">
      <x v="77"/>
    </i>
    <i r="1">
      <x v="81"/>
    </i>
    <i>
      <x v="51"/>
    </i>
    <i r="1">
      <x v="13"/>
    </i>
    <i r="1">
      <x/>
    </i>
    <i r="1">
      <x v="14"/>
    </i>
    <i r="1">
      <x v="68"/>
    </i>
    <i r="1">
      <x v="41"/>
    </i>
    <i r="1">
      <x v="81"/>
    </i>
    <i r="1">
      <x v="59"/>
    </i>
    <i r="1">
      <x v="20"/>
    </i>
    <i r="1">
      <x v="27"/>
    </i>
    <i r="1">
      <x v="36"/>
    </i>
    <i>
      <x v="52"/>
    </i>
    <i r="1">
      <x v="68"/>
    </i>
    <i r="1">
      <x v="13"/>
    </i>
    <i r="1">
      <x v="41"/>
    </i>
    <i r="1">
      <x v="14"/>
    </i>
    <i r="1">
      <x v="49"/>
    </i>
    <i r="1">
      <x v="81"/>
    </i>
    <i r="1">
      <x v="28"/>
    </i>
    <i>
      <x v="53"/>
    </i>
    <i r="1">
      <x v="67"/>
    </i>
    <i r="1">
      <x v="85"/>
    </i>
    <i r="1">
      <x v="20"/>
    </i>
    <i r="1">
      <x v="56"/>
    </i>
    <i r="1">
      <x v="71"/>
    </i>
    <i r="1">
      <x v="33"/>
    </i>
    <i r="1">
      <x v="65"/>
    </i>
    <i r="1">
      <x v="2"/>
    </i>
    <i r="1">
      <x v="11"/>
    </i>
    <i r="1">
      <x v="14"/>
    </i>
    <i r="1">
      <x v="79"/>
    </i>
    <i r="1">
      <x v="36"/>
    </i>
    <i r="1">
      <x v="61"/>
    </i>
    <i r="1">
      <x v="86"/>
    </i>
    <i r="1">
      <x v="31"/>
    </i>
    <i r="1">
      <x v="46"/>
    </i>
    <i r="1">
      <x v="72"/>
    </i>
    <i>
      <x v="54"/>
    </i>
    <i r="1">
      <x v="93"/>
    </i>
    <i r="1">
      <x v="85"/>
    </i>
    <i r="1">
      <x v="43"/>
    </i>
    <i r="1">
      <x v="39"/>
    </i>
    <i r="1">
      <x v="81"/>
    </i>
    <i r="1">
      <x v="59"/>
    </i>
    <i r="1">
      <x v="56"/>
    </i>
    <i r="1">
      <x v="76"/>
    </i>
    <i r="1">
      <x v="20"/>
    </i>
    <i r="1">
      <x v="33"/>
    </i>
    <i r="1">
      <x v="36"/>
    </i>
    <i>
      <x v="55"/>
    </i>
    <i r="1">
      <x v="65"/>
    </i>
    <i r="1">
      <x v="93"/>
    </i>
    <i r="1">
      <x v="43"/>
    </i>
    <i r="1">
      <x v="71"/>
    </i>
    <i r="1">
      <x v="82"/>
    </i>
    <i r="1">
      <x v="20"/>
    </i>
    <i r="1">
      <x v="2"/>
    </i>
    <i r="1">
      <x v="40"/>
    </i>
    <i r="1">
      <x v="31"/>
    </i>
    <i r="1">
      <x v="33"/>
    </i>
    <i r="1">
      <x v="56"/>
    </i>
    <i r="1">
      <x v="30"/>
    </i>
    <i r="1">
      <x v="46"/>
    </i>
    <i r="1">
      <x v="7"/>
    </i>
    <i>
      <x v="56"/>
    </i>
    <i r="1">
      <x v="13"/>
    </i>
    <i r="1">
      <x v="56"/>
    </i>
    <i r="1">
      <x v="68"/>
    </i>
    <i r="1">
      <x v="27"/>
    </i>
    <i r="1">
      <x v="20"/>
    </i>
    <i r="1">
      <x v="82"/>
    </i>
    <i r="1">
      <x v="2"/>
    </i>
    <i r="1">
      <x v="59"/>
    </i>
    <i r="1">
      <x v="30"/>
    </i>
    <i r="1">
      <x v="97"/>
    </i>
    <i r="1">
      <x v="36"/>
    </i>
    <i r="1">
      <x v="45"/>
    </i>
    <i>
      <x v="57"/>
    </i>
    <i r="1">
      <x v="56"/>
    </i>
    <i r="1">
      <x v="81"/>
    </i>
    <i r="1">
      <x v="71"/>
    </i>
    <i r="1">
      <x v="13"/>
    </i>
    <i r="1">
      <x v="20"/>
    </i>
    <i r="1">
      <x v="85"/>
    </i>
    <i r="1">
      <x v="97"/>
    </i>
    <i r="1">
      <x v="22"/>
    </i>
    <i r="1">
      <x v="33"/>
    </i>
    <i>
      <x v="58"/>
    </i>
    <i r="1">
      <x v="41"/>
    </i>
    <i r="1">
      <x v="56"/>
    </i>
    <i r="1">
      <x v="93"/>
    </i>
    <i r="1">
      <x v="81"/>
    </i>
    <i r="1">
      <x v="71"/>
    </i>
    <i r="1">
      <x v="43"/>
    </i>
    <i r="1">
      <x v="28"/>
    </i>
    <i r="1">
      <x v="52"/>
    </i>
    <i r="1">
      <x v="11"/>
    </i>
    <i r="1">
      <x v="40"/>
    </i>
    <i r="1">
      <x v="31"/>
    </i>
    <i r="1">
      <x v="36"/>
    </i>
    <i>
      <x v="59"/>
    </i>
    <i r="1">
      <x v="56"/>
    </i>
    <i r="1">
      <x v="41"/>
    </i>
    <i r="1">
      <x v="81"/>
    </i>
    <i r="1">
      <x v="11"/>
    </i>
    <i r="1">
      <x v="71"/>
    </i>
    <i r="1">
      <x v="33"/>
    </i>
    <i r="1">
      <x v="72"/>
    </i>
    <i>
      <x v="60"/>
    </i>
    <i r="1">
      <x v="56"/>
    </i>
    <i r="1">
      <x v="72"/>
    </i>
    <i r="1">
      <x v="87"/>
    </i>
    <i r="1">
      <x v="20"/>
    </i>
    <i r="1">
      <x v="59"/>
    </i>
    <i r="1">
      <x v="11"/>
    </i>
    <i r="1">
      <x v="88"/>
    </i>
    <i>
      <x v="61"/>
    </i>
    <i r="1">
      <x v="42"/>
    </i>
    <i r="1">
      <x v="64"/>
    </i>
    <i r="1">
      <x/>
    </i>
    <i r="1">
      <x v="11"/>
    </i>
    <i r="1">
      <x v="13"/>
    </i>
    <i r="1">
      <x v="83"/>
    </i>
    <i r="1">
      <x v="81"/>
    </i>
    <i r="1">
      <x v="30"/>
    </i>
    <i r="1">
      <x v="62"/>
    </i>
    <i r="1">
      <x v="52"/>
    </i>
    <i r="1">
      <x v="24"/>
    </i>
    <i>
      <x v="62"/>
    </i>
    <i r="1">
      <x v="83"/>
    </i>
    <i r="1">
      <x v="64"/>
    </i>
    <i r="1">
      <x v="49"/>
    </i>
    <i r="1">
      <x v="2"/>
    </i>
    <i r="1">
      <x v="62"/>
    </i>
    <i r="1">
      <x v="36"/>
    </i>
    <i r="1">
      <x v="11"/>
    </i>
    <i r="1">
      <x v="60"/>
    </i>
    <i r="1">
      <x/>
    </i>
    <i r="1">
      <x v="40"/>
    </i>
    <i>
      <x v="63"/>
    </i>
    <i r="1">
      <x v="54"/>
    </i>
    <i r="1">
      <x v="55"/>
    </i>
    <i r="1">
      <x v="42"/>
    </i>
    <i r="1">
      <x v="81"/>
    </i>
    <i r="1">
      <x v="90"/>
    </i>
    <i r="1">
      <x v="73"/>
    </i>
    <i r="1">
      <x v="1"/>
    </i>
    <i r="1">
      <x/>
    </i>
    <i r="1">
      <x v="95"/>
    </i>
    <i r="1">
      <x v="11"/>
    </i>
    <i r="1">
      <x v="34"/>
    </i>
    <i r="1">
      <x v="24"/>
    </i>
    <i r="1">
      <x v="29"/>
    </i>
    <i>
      <x v="64"/>
    </i>
    <i r="1">
      <x v="83"/>
    </i>
    <i r="1">
      <x v="54"/>
    </i>
    <i r="1">
      <x/>
    </i>
    <i r="1">
      <x v="55"/>
    </i>
    <i>
      <x v="65"/>
    </i>
    <i r="1">
      <x v="1"/>
    </i>
    <i r="1">
      <x v="85"/>
    </i>
    <i r="1">
      <x v="82"/>
    </i>
    <i r="1">
      <x v="11"/>
    </i>
    <i r="1">
      <x v="42"/>
    </i>
    <i r="1">
      <x v="90"/>
    </i>
    <i r="1">
      <x/>
    </i>
    <i r="1">
      <x v="73"/>
    </i>
    <i r="1">
      <x v="64"/>
    </i>
    <i>
      <x v="66"/>
    </i>
    <i r="1">
      <x v="64"/>
    </i>
    <i r="1">
      <x v="55"/>
    </i>
    <i r="1">
      <x v="11"/>
    </i>
    <i r="1">
      <x v="44"/>
    </i>
    <i r="1">
      <x v="27"/>
    </i>
    <i r="1">
      <x v="81"/>
    </i>
    <i r="1">
      <x v="52"/>
    </i>
    <i r="1">
      <x v="18"/>
    </i>
    <i r="1">
      <x v="53"/>
    </i>
    <i r="1">
      <x v="69"/>
    </i>
    <i>
      <x v="67"/>
    </i>
    <i r="1">
      <x v="54"/>
    </i>
    <i r="1">
      <x v="55"/>
    </i>
    <i r="1">
      <x v="23"/>
    </i>
    <i r="1">
      <x v="42"/>
    </i>
    <i r="1">
      <x v="59"/>
    </i>
    <i r="1">
      <x v="28"/>
    </i>
    <i r="1">
      <x v="34"/>
    </i>
    <i r="1">
      <x v="11"/>
    </i>
    <i r="1">
      <x v="58"/>
    </i>
    <i r="1">
      <x v="52"/>
    </i>
    <i>
      <x v="68"/>
    </i>
    <i r="1">
      <x v="65"/>
    </i>
    <i r="1">
      <x v="86"/>
    </i>
    <i r="1">
      <x v="2"/>
    </i>
    <i r="1">
      <x/>
    </i>
    <i r="1">
      <x v="11"/>
    </i>
    <i r="1">
      <x v="39"/>
    </i>
    <i r="1">
      <x v="81"/>
    </i>
    <i r="1">
      <x v="52"/>
    </i>
    <i>
      <x v="69"/>
    </i>
    <i r="1">
      <x v="55"/>
    </i>
    <i r="1">
      <x v="82"/>
    </i>
    <i r="1">
      <x v="42"/>
    </i>
    <i r="1">
      <x v="11"/>
    </i>
    <i r="1">
      <x v="59"/>
    </i>
    <i r="1">
      <x v="14"/>
    </i>
    <i r="1">
      <x/>
    </i>
    <i r="1">
      <x v="57"/>
    </i>
    <i r="1">
      <x v="83"/>
    </i>
    <i r="1">
      <x v="27"/>
    </i>
    <i r="1">
      <x v="68"/>
    </i>
    <i r="1">
      <x v="18"/>
    </i>
    <i r="1">
      <x v="53"/>
    </i>
    <i r="1">
      <x v="34"/>
    </i>
    <i r="1">
      <x v="7"/>
    </i>
    <i r="1">
      <x v="63"/>
    </i>
    <i r="1">
      <x v="72"/>
    </i>
    <i r="1">
      <x v="52"/>
    </i>
    <i>
      <x v="70"/>
    </i>
    <i r="1">
      <x v="85"/>
    </i>
    <i r="1">
      <x v="54"/>
    </i>
    <i r="1">
      <x v="55"/>
    </i>
    <i r="1">
      <x v="82"/>
    </i>
    <i r="1">
      <x v="11"/>
    </i>
    <i r="1">
      <x/>
    </i>
    <i r="1">
      <x v="86"/>
    </i>
    <i r="1">
      <x v="13"/>
    </i>
    <i r="1">
      <x v="34"/>
    </i>
    <i r="1">
      <x v="7"/>
    </i>
    <i>
      <x v="71"/>
    </i>
    <i r="1">
      <x v="54"/>
    </i>
    <i r="1">
      <x v="24"/>
    </i>
    <i r="1">
      <x v="34"/>
    </i>
    <i r="1">
      <x v="49"/>
    </i>
    <i r="1">
      <x v="82"/>
    </i>
    <i r="1">
      <x v="44"/>
    </i>
    <i r="1">
      <x v="47"/>
    </i>
    <i r="1">
      <x v="81"/>
    </i>
    <i r="1">
      <x v="11"/>
    </i>
    <i r="1">
      <x v="58"/>
    </i>
    <i r="1">
      <x v="7"/>
    </i>
    <i r="1">
      <x v="59"/>
    </i>
    <i r="1">
      <x v="72"/>
    </i>
    <i t="grand">
      <x/>
    </i>
  </rowItems>
  <colItems count="1">
    <i/>
  </colItems>
  <dataFields count="1">
    <dataField name="Soma de area.transv.cm2" fld="6" baseField="1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143">
    <format dxfId="145">
      <pivotArea dataOnly="0" labelOnly="1" fieldPosition="0">
        <references count="2">
          <reference field="0" count="1" selected="0">
            <x v="0"/>
          </reference>
          <reference field="1" count="4">
            <x v="40"/>
            <x v="62"/>
            <x v="81"/>
            <x v="83"/>
          </reference>
        </references>
      </pivotArea>
    </format>
    <format dxfId="144">
      <pivotArea dataOnly="0" labelOnly="1" fieldPosition="0">
        <references count="2">
          <reference field="0" count="1" selected="0">
            <x v="1"/>
          </reference>
          <reference field="1" count="3">
            <x v="14"/>
            <x v="40"/>
            <x v="81"/>
          </reference>
        </references>
      </pivotArea>
    </format>
    <format dxfId="143">
      <pivotArea dataOnly="0" labelOnly="1" fieldPosition="0">
        <references count="2">
          <reference field="0" count="1" selected="0">
            <x v="2"/>
          </reference>
          <reference field="1" count="5">
            <x v="40"/>
            <x v="62"/>
            <x v="78"/>
            <x v="81"/>
            <x v="83"/>
          </reference>
        </references>
      </pivotArea>
    </format>
    <format dxfId="142">
      <pivotArea dataOnly="0" labelOnly="1" fieldPosition="0">
        <references count="2">
          <reference field="0" count="1" selected="0">
            <x v="3"/>
          </reference>
          <reference field="1" count="6">
            <x v="9"/>
            <x v="10"/>
            <x v="40"/>
            <x v="62"/>
            <x v="65"/>
            <x v="81"/>
          </reference>
        </references>
      </pivotArea>
    </format>
    <format dxfId="141">
      <pivotArea dataOnly="0" labelOnly="1" fieldPosition="0">
        <references count="2">
          <reference field="0" count="1" selected="0">
            <x v="4"/>
          </reference>
          <reference field="1" count="7">
            <x v="2"/>
            <x v="9"/>
            <x v="28"/>
            <x v="42"/>
            <x v="48"/>
            <x v="65"/>
            <x v="83"/>
          </reference>
        </references>
      </pivotArea>
    </format>
    <format dxfId="140">
      <pivotArea dataOnly="0" labelOnly="1" fieldPosition="0">
        <references count="2">
          <reference field="0" count="1" selected="0">
            <x v="5"/>
          </reference>
          <reference field="1" count="4">
            <x v="40"/>
            <x v="81"/>
            <x v="82"/>
            <x v="83"/>
          </reference>
        </references>
      </pivotArea>
    </format>
    <format dxfId="139">
      <pivotArea dataOnly="0" labelOnly="1" fieldPosition="0">
        <references count="2">
          <reference field="0" count="1" selected="0">
            <x v="6"/>
          </reference>
          <reference field="1" count="4">
            <x v="40"/>
            <x v="67"/>
            <x v="81"/>
            <x v="83"/>
          </reference>
        </references>
      </pivotArea>
    </format>
    <format dxfId="138">
      <pivotArea dataOnly="0" labelOnly="1" fieldPosition="0">
        <references count="2">
          <reference field="0" count="1" selected="0">
            <x v="7"/>
          </reference>
          <reference field="1" count="5">
            <x v="2"/>
            <x v="37"/>
            <x v="38"/>
            <x v="54"/>
            <x v="88"/>
          </reference>
        </references>
      </pivotArea>
    </format>
    <format dxfId="137">
      <pivotArea dataOnly="0" labelOnly="1" fieldPosition="0">
        <references count="2">
          <reference field="0" count="1" selected="0">
            <x v="8"/>
          </reference>
          <reference field="1" count="5">
            <x v="42"/>
            <x v="46"/>
            <x v="54"/>
            <x v="81"/>
            <x v="88"/>
          </reference>
        </references>
      </pivotArea>
    </format>
    <format dxfId="136">
      <pivotArea dataOnly="0" labelOnly="1" fieldPosition="0">
        <references count="2">
          <reference field="0" count="1" selected="0">
            <x v="9"/>
          </reference>
          <reference field="1" count="4">
            <x v="42"/>
            <x v="44"/>
            <x v="54"/>
            <x v="81"/>
          </reference>
        </references>
      </pivotArea>
    </format>
    <format dxfId="135">
      <pivotArea dataOnly="0" labelOnly="1" fieldPosition="0">
        <references count="2">
          <reference field="0" count="1" selected="0">
            <x v="10"/>
          </reference>
          <reference field="1" count="5">
            <x v="41"/>
            <x v="42"/>
            <x v="44"/>
            <x v="54"/>
            <x v="88"/>
          </reference>
        </references>
      </pivotArea>
    </format>
    <format dxfId="134">
      <pivotArea dataOnly="0" labelOnly="1" fieldPosition="0">
        <references count="2">
          <reference field="0" count="1" selected="0">
            <x v="11"/>
          </reference>
          <reference field="1" count="4">
            <x v="44"/>
            <x v="46"/>
            <x v="54"/>
            <x v="81"/>
          </reference>
        </references>
      </pivotArea>
    </format>
    <format dxfId="133">
      <pivotArea dataOnly="0" labelOnly="1" fieldPosition="0">
        <references count="2">
          <reference field="0" count="1" selected="0">
            <x v="12"/>
          </reference>
          <reference field="1" count="2">
            <x v="41"/>
            <x v="81"/>
          </reference>
        </references>
      </pivotArea>
    </format>
    <format dxfId="132">
      <pivotArea dataOnly="0" labelOnly="1" fieldPosition="0">
        <references count="2">
          <reference field="0" count="1" selected="0">
            <x v="13"/>
          </reference>
          <reference field="1" count="5">
            <x v="0"/>
            <x v="41"/>
            <x v="54"/>
            <x v="82"/>
            <x v="85"/>
          </reference>
        </references>
      </pivotArea>
    </format>
    <format dxfId="131">
      <pivotArea dataOnly="0" labelOnly="1" fieldPosition="0">
        <references count="2">
          <reference field="0" count="1" selected="0">
            <x v="14"/>
          </reference>
          <reference field="1" count="4">
            <x v="2"/>
            <x v="13"/>
            <x v="38"/>
            <x v="44"/>
          </reference>
        </references>
      </pivotArea>
    </format>
    <format dxfId="130">
      <pivotArea dataOnly="0" labelOnly="1" fieldPosition="0">
        <references count="2">
          <reference field="0" count="1" selected="0">
            <x v="15"/>
          </reference>
          <reference field="1" count="5">
            <x v="13"/>
            <x v="38"/>
            <x v="44"/>
            <x v="81"/>
            <x v="82"/>
          </reference>
        </references>
      </pivotArea>
    </format>
    <format dxfId="129">
      <pivotArea dataOnly="0" labelOnly="1" fieldPosition="0">
        <references count="2">
          <reference field="0" count="1" selected="0">
            <x v="16"/>
          </reference>
          <reference field="1" count="3">
            <x v="2"/>
            <x v="38"/>
            <x v="44"/>
          </reference>
        </references>
      </pivotArea>
    </format>
    <format dxfId="128">
      <pivotArea collapsedLevelsAreSubtotals="1" fieldPosition="0">
        <references count="2">
          <reference field="0" count="1" selected="0">
            <x v="71"/>
          </reference>
          <reference field="1" count="5">
            <x v="24"/>
            <x v="34"/>
            <x v="49"/>
            <x v="54"/>
            <x v="82"/>
          </reference>
        </references>
      </pivotArea>
    </format>
    <format dxfId="127">
      <pivotArea dataOnly="0" labelOnly="1" fieldPosition="0">
        <references count="2">
          <reference field="0" count="1" selected="0">
            <x v="71"/>
          </reference>
          <reference field="1" count="5">
            <x v="24"/>
            <x v="34"/>
            <x v="49"/>
            <x v="54"/>
            <x v="82"/>
          </reference>
        </references>
      </pivotArea>
    </format>
    <format dxfId="126">
      <pivotArea collapsedLevelsAreSubtotals="1" fieldPosition="0">
        <references count="2">
          <reference field="0" count="1" selected="0">
            <x v="70"/>
          </reference>
          <reference field="1" count="2">
            <x v="54"/>
            <x v="85"/>
          </reference>
        </references>
      </pivotArea>
    </format>
    <format dxfId="125">
      <pivotArea dataOnly="0" labelOnly="1" fieldPosition="0">
        <references count="2">
          <reference field="0" count="1" selected="0">
            <x v="70"/>
          </reference>
          <reference field="1" count="2">
            <x v="54"/>
            <x v="85"/>
          </reference>
        </references>
      </pivotArea>
    </format>
    <format dxfId="124">
      <pivotArea collapsedLevelsAreSubtotals="1" fieldPosition="0">
        <references count="2">
          <reference field="0" count="1" selected="0">
            <x v="69"/>
          </reference>
          <reference field="1" count="6">
            <x v="11"/>
            <x v="14"/>
            <x v="42"/>
            <x v="55"/>
            <x v="59"/>
            <x v="82"/>
          </reference>
        </references>
      </pivotArea>
    </format>
    <format dxfId="123">
      <pivotArea dataOnly="0" labelOnly="1" fieldPosition="0">
        <references count="2">
          <reference field="0" count="1" selected="0">
            <x v="69"/>
          </reference>
          <reference field="1" count="6">
            <x v="11"/>
            <x v="14"/>
            <x v="42"/>
            <x v="55"/>
            <x v="59"/>
            <x v="82"/>
          </reference>
        </references>
      </pivotArea>
    </format>
    <format dxfId="122">
      <pivotArea collapsedLevelsAreSubtotals="1" fieldPosition="0">
        <references count="2">
          <reference field="0" count="1" selected="0">
            <x v="68"/>
          </reference>
          <reference field="1" count="2">
            <x v="65"/>
            <x v="86"/>
          </reference>
        </references>
      </pivotArea>
    </format>
    <format dxfId="121">
      <pivotArea dataOnly="0" labelOnly="1" fieldPosition="0">
        <references count="2">
          <reference field="0" count="1" selected="0">
            <x v="68"/>
          </reference>
          <reference field="1" count="2">
            <x v="65"/>
            <x v="86"/>
          </reference>
        </references>
      </pivotArea>
    </format>
    <format dxfId="120">
      <pivotArea collapsedLevelsAreSubtotals="1" fieldPosition="0">
        <references count="2">
          <reference field="0" count="1" selected="0">
            <x v="67"/>
          </reference>
          <reference field="1" count="3">
            <x v="23"/>
            <x v="54"/>
            <x v="55"/>
          </reference>
        </references>
      </pivotArea>
    </format>
    <format dxfId="119">
      <pivotArea dataOnly="0" labelOnly="1" fieldPosition="0">
        <references count="2">
          <reference field="0" count="1" selected="0">
            <x v="67"/>
          </reference>
          <reference field="1" count="3">
            <x v="23"/>
            <x v="54"/>
            <x v="55"/>
          </reference>
        </references>
      </pivotArea>
    </format>
    <format dxfId="118">
      <pivotArea collapsedLevelsAreSubtotals="1" fieldPosition="0">
        <references count="2">
          <reference field="0" count="1" selected="0">
            <x v="66"/>
          </reference>
          <reference field="1" count="2">
            <x v="55"/>
            <x v="64"/>
          </reference>
        </references>
      </pivotArea>
    </format>
    <format dxfId="117">
      <pivotArea dataOnly="0" labelOnly="1" fieldPosition="0">
        <references count="2">
          <reference field="0" count="1" selected="0">
            <x v="66"/>
          </reference>
          <reference field="1" count="2">
            <x v="55"/>
            <x v="64"/>
          </reference>
        </references>
      </pivotArea>
    </format>
    <format dxfId="116">
      <pivotArea collapsedLevelsAreSubtotals="1" fieldPosition="0">
        <references count="2">
          <reference field="0" count="1" selected="0">
            <x v="65"/>
          </reference>
          <reference field="1" count="4">
            <x v="1"/>
            <x v="11"/>
            <x v="82"/>
            <x v="85"/>
          </reference>
        </references>
      </pivotArea>
    </format>
    <format dxfId="115">
      <pivotArea dataOnly="0" labelOnly="1" fieldPosition="0">
        <references count="2">
          <reference field="0" count="1" selected="0">
            <x v="65"/>
          </reference>
          <reference field="1" count="4">
            <x v="1"/>
            <x v="11"/>
            <x v="82"/>
            <x v="85"/>
          </reference>
        </references>
      </pivotArea>
    </format>
    <format dxfId="114">
      <pivotArea collapsedLevelsAreSubtotals="1" fieldPosition="0">
        <references count="2">
          <reference field="0" count="1" selected="0">
            <x v="64"/>
          </reference>
          <reference field="1" count="2">
            <x v="54"/>
            <x v="83"/>
          </reference>
        </references>
      </pivotArea>
    </format>
    <format dxfId="113">
      <pivotArea dataOnly="0" labelOnly="1" fieldPosition="0">
        <references count="2">
          <reference field="0" count="1" selected="0">
            <x v="64"/>
          </reference>
          <reference field="1" count="2">
            <x v="54"/>
            <x v="83"/>
          </reference>
        </references>
      </pivotArea>
    </format>
    <format dxfId="112">
      <pivotArea collapsedLevelsAreSubtotals="1" fieldPosition="0">
        <references count="2">
          <reference field="0" count="1" selected="0">
            <x v="63"/>
          </reference>
          <reference field="1" count="5">
            <x v="42"/>
            <x v="54"/>
            <x v="55"/>
            <x v="81"/>
            <x v="90"/>
          </reference>
        </references>
      </pivotArea>
    </format>
    <format dxfId="111">
      <pivotArea dataOnly="0" labelOnly="1" fieldPosition="0">
        <references count="2">
          <reference field="0" count="1" selected="0">
            <x v="63"/>
          </reference>
          <reference field="1" count="5">
            <x v="42"/>
            <x v="54"/>
            <x v="55"/>
            <x v="81"/>
            <x v="90"/>
          </reference>
        </references>
      </pivotArea>
    </format>
    <format dxfId="110">
      <pivotArea collapsedLevelsAreSubtotals="1" fieldPosition="0">
        <references count="2">
          <reference field="0" count="1" selected="0">
            <x v="62"/>
          </reference>
          <reference field="1" count="3">
            <x v="49"/>
            <x v="64"/>
            <x v="83"/>
          </reference>
        </references>
      </pivotArea>
    </format>
    <format dxfId="109">
      <pivotArea dataOnly="0" labelOnly="1" fieldPosition="0">
        <references count="2">
          <reference field="0" count="1" selected="0">
            <x v="62"/>
          </reference>
          <reference field="1" count="3">
            <x v="49"/>
            <x v="64"/>
            <x v="83"/>
          </reference>
        </references>
      </pivotArea>
    </format>
    <format dxfId="108">
      <pivotArea collapsedLevelsAreSubtotals="1" fieldPosition="0">
        <references count="2">
          <reference field="0" count="1" selected="0">
            <x v="61"/>
          </reference>
          <reference field="1" count="5">
            <x v="0"/>
            <x v="11"/>
            <x v="13"/>
            <x v="42"/>
            <x v="64"/>
          </reference>
        </references>
      </pivotArea>
    </format>
    <format dxfId="107">
      <pivotArea dataOnly="0" labelOnly="1" fieldPosition="0">
        <references count="2">
          <reference field="0" count="1" selected="0">
            <x v="61"/>
          </reference>
          <reference field="1" count="5">
            <x v="0"/>
            <x v="11"/>
            <x v="13"/>
            <x v="42"/>
            <x v="64"/>
          </reference>
        </references>
      </pivotArea>
    </format>
    <format dxfId="106">
      <pivotArea collapsedLevelsAreSubtotals="1" fieldPosition="0">
        <references count="2">
          <reference field="0" count="1" selected="0">
            <x v="60"/>
          </reference>
          <reference field="1" count="2">
            <x v="56"/>
            <x v="72"/>
          </reference>
        </references>
      </pivotArea>
    </format>
    <format dxfId="105">
      <pivotArea dataOnly="0" labelOnly="1" fieldPosition="0">
        <references count="2">
          <reference field="0" count="1" selected="0">
            <x v="60"/>
          </reference>
          <reference field="1" count="2">
            <x v="56"/>
            <x v="72"/>
          </reference>
        </references>
      </pivotArea>
    </format>
    <format dxfId="104">
      <pivotArea collapsedLevelsAreSubtotals="1" fieldPosition="0">
        <references count="2">
          <reference field="0" count="1" selected="0">
            <x v="59"/>
          </reference>
          <reference field="1" count="3">
            <x v="41"/>
            <x v="56"/>
            <x v="81"/>
          </reference>
        </references>
      </pivotArea>
    </format>
    <format dxfId="103">
      <pivotArea dataOnly="0" labelOnly="1" fieldPosition="0">
        <references count="2">
          <reference field="0" count="1" selected="0">
            <x v="59"/>
          </reference>
          <reference field="1" count="3">
            <x v="41"/>
            <x v="56"/>
            <x v="81"/>
          </reference>
        </references>
      </pivotArea>
    </format>
    <format dxfId="102">
      <pivotArea collapsedLevelsAreSubtotals="1" fieldPosition="0">
        <references count="2">
          <reference field="0" count="1" selected="0">
            <x v="58"/>
          </reference>
          <reference field="1" count="4">
            <x v="41"/>
            <x v="56"/>
            <x v="81"/>
            <x v="93"/>
          </reference>
        </references>
      </pivotArea>
    </format>
    <format dxfId="101">
      <pivotArea dataOnly="0" labelOnly="1" fieldPosition="0">
        <references count="2">
          <reference field="0" count="1" selected="0">
            <x v="58"/>
          </reference>
          <reference field="1" count="4">
            <x v="41"/>
            <x v="56"/>
            <x v="81"/>
            <x v="93"/>
          </reference>
        </references>
      </pivotArea>
    </format>
    <format dxfId="100">
      <pivotArea collapsedLevelsAreSubtotals="1" fieldPosition="0">
        <references count="2">
          <reference field="0" count="1" selected="0">
            <x v="57"/>
          </reference>
          <reference field="1" count="5">
            <x v="13"/>
            <x v="20"/>
            <x v="56"/>
            <x v="71"/>
            <x v="81"/>
          </reference>
        </references>
      </pivotArea>
    </format>
    <format dxfId="99">
      <pivotArea dataOnly="0" labelOnly="1" fieldPosition="0">
        <references count="2">
          <reference field="0" count="1" selected="0">
            <x v="57"/>
          </reference>
          <reference field="1" count="5">
            <x v="13"/>
            <x v="20"/>
            <x v="56"/>
            <x v="71"/>
            <x v="81"/>
          </reference>
        </references>
      </pivotArea>
    </format>
    <format dxfId="98">
      <pivotArea collapsedLevelsAreSubtotals="1" fieldPosition="0">
        <references count="2">
          <reference field="0" count="1" selected="0">
            <x v="56"/>
          </reference>
          <reference field="1" count="4">
            <x v="13"/>
            <x v="27"/>
            <x v="56"/>
            <x v="68"/>
          </reference>
        </references>
      </pivotArea>
    </format>
    <format dxfId="97">
      <pivotArea dataOnly="0" labelOnly="1" fieldPosition="0">
        <references count="2">
          <reference field="0" count="1" selected="0">
            <x v="56"/>
          </reference>
          <reference field="1" count="4">
            <x v="13"/>
            <x v="27"/>
            <x v="56"/>
            <x v="68"/>
          </reference>
        </references>
      </pivotArea>
    </format>
    <format dxfId="96">
      <pivotArea collapsedLevelsAreSubtotals="1" fieldPosition="0">
        <references count="2">
          <reference field="0" count="1" selected="0">
            <x v="55"/>
          </reference>
          <reference field="1" count="6">
            <x v="20"/>
            <x v="43"/>
            <x v="65"/>
            <x v="71"/>
            <x v="82"/>
            <x v="93"/>
          </reference>
        </references>
      </pivotArea>
    </format>
    <format dxfId="95">
      <pivotArea dataOnly="0" labelOnly="1" fieldPosition="0">
        <references count="2">
          <reference field="0" count="1" selected="0">
            <x v="55"/>
          </reference>
          <reference field="1" count="6">
            <x v="20"/>
            <x v="43"/>
            <x v="65"/>
            <x v="71"/>
            <x v="82"/>
            <x v="93"/>
          </reference>
        </references>
      </pivotArea>
    </format>
    <format dxfId="94">
      <pivotArea collapsedLevelsAreSubtotals="1" fieldPosition="0">
        <references count="2">
          <reference field="0" count="1" selected="0">
            <x v="54"/>
          </reference>
          <reference field="1" count="4">
            <x v="39"/>
            <x v="43"/>
            <x v="85"/>
            <x v="93"/>
          </reference>
        </references>
      </pivotArea>
    </format>
    <format dxfId="93">
      <pivotArea dataOnly="0" labelOnly="1" fieldPosition="0">
        <references count="2">
          <reference field="0" count="1" selected="0">
            <x v="54"/>
          </reference>
          <reference field="1" count="4">
            <x v="39"/>
            <x v="43"/>
            <x v="85"/>
            <x v="93"/>
          </reference>
        </references>
      </pivotArea>
    </format>
    <format dxfId="92">
      <pivotArea collapsedLevelsAreSubtotals="1" fieldPosition="0">
        <references count="2">
          <reference field="0" count="1" selected="0">
            <x v="53"/>
          </reference>
          <reference field="1" count="5">
            <x v="20"/>
            <x v="56"/>
            <x v="67"/>
            <x v="71"/>
            <x v="85"/>
          </reference>
        </references>
      </pivotArea>
    </format>
    <format dxfId="91">
      <pivotArea dataOnly="0" labelOnly="1" fieldPosition="0">
        <references count="2">
          <reference field="0" count="1" selected="0">
            <x v="53"/>
          </reference>
          <reference field="1" count="5">
            <x v="20"/>
            <x v="56"/>
            <x v="67"/>
            <x v="71"/>
            <x v="85"/>
          </reference>
        </references>
      </pivotArea>
    </format>
    <format dxfId="90">
      <pivotArea collapsedLevelsAreSubtotals="1" fieldPosition="0">
        <references count="2">
          <reference field="0" count="1" selected="0">
            <x v="52"/>
          </reference>
          <reference field="1" count="3">
            <x v="13"/>
            <x v="41"/>
            <x v="68"/>
          </reference>
        </references>
      </pivotArea>
    </format>
    <format dxfId="89">
      <pivotArea dataOnly="0" labelOnly="1" fieldPosition="0">
        <references count="2">
          <reference field="0" count="1" selected="0">
            <x v="52"/>
          </reference>
          <reference field="1" count="3">
            <x v="13"/>
            <x v="41"/>
            <x v="68"/>
          </reference>
        </references>
      </pivotArea>
    </format>
    <format dxfId="88">
      <pivotArea collapsedLevelsAreSubtotals="1" fieldPosition="0">
        <references count="2">
          <reference field="0" count="1" selected="0">
            <x v="51"/>
          </reference>
          <reference field="1" count="3">
            <x v="0"/>
            <x v="13"/>
            <x v="14"/>
          </reference>
        </references>
      </pivotArea>
    </format>
    <format dxfId="87">
      <pivotArea dataOnly="0" labelOnly="1" fieldPosition="0">
        <references count="2">
          <reference field="0" count="1" selected="0">
            <x v="51"/>
          </reference>
          <reference field="1" count="3">
            <x v="0"/>
            <x v="13"/>
            <x v="14"/>
          </reference>
        </references>
      </pivotArea>
    </format>
    <format dxfId="86">
      <pivotArea collapsedLevelsAreSubtotals="1" fieldPosition="0">
        <references count="2">
          <reference field="0" count="1" selected="0">
            <x v="50"/>
          </reference>
          <reference field="1" count="5">
            <x v="13"/>
            <x v="20"/>
            <x v="41"/>
            <x v="62"/>
            <x v="68"/>
          </reference>
        </references>
      </pivotArea>
    </format>
    <format dxfId="85">
      <pivotArea dataOnly="0" labelOnly="1" fieldPosition="0">
        <references count="2">
          <reference field="0" count="1" selected="0">
            <x v="50"/>
          </reference>
          <reference field="1" count="5">
            <x v="13"/>
            <x v="20"/>
            <x v="41"/>
            <x v="62"/>
            <x v="68"/>
          </reference>
        </references>
      </pivotArea>
    </format>
    <format dxfId="84">
      <pivotArea collapsedLevelsAreSubtotals="1" fieldPosition="0">
        <references count="2">
          <reference field="0" count="1" selected="0">
            <x v="49"/>
          </reference>
          <reference field="1" count="6">
            <x v="2"/>
            <x v="11"/>
            <x v="14"/>
            <x v="36"/>
            <x v="41"/>
            <x v="82"/>
          </reference>
        </references>
      </pivotArea>
    </format>
    <format dxfId="83">
      <pivotArea dataOnly="0" labelOnly="1" fieldPosition="0">
        <references count="2">
          <reference field="0" count="1" selected="0">
            <x v="49"/>
          </reference>
          <reference field="1" count="6">
            <x v="2"/>
            <x v="11"/>
            <x v="14"/>
            <x v="36"/>
            <x v="41"/>
            <x v="82"/>
          </reference>
        </references>
      </pivotArea>
    </format>
    <format dxfId="82">
      <pivotArea collapsedLevelsAreSubtotals="1" fieldPosition="0">
        <references count="2">
          <reference field="0" count="1" selected="0">
            <x v="48"/>
          </reference>
          <reference field="1" count="6">
            <x v="20"/>
            <x v="27"/>
            <x v="28"/>
            <x v="36"/>
            <x v="68"/>
            <x v="81"/>
          </reference>
        </references>
      </pivotArea>
    </format>
    <format dxfId="81">
      <pivotArea dataOnly="0" labelOnly="1" fieldPosition="0">
        <references count="2">
          <reference field="0" count="1" selected="0">
            <x v="48"/>
          </reference>
          <reference field="1" count="6">
            <x v="20"/>
            <x v="27"/>
            <x v="28"/>
            <x v="36"/>
            <x v="68"/>
            <x v="81"/>
          </reference>
        </references>
      </pivotArea>
    </format>
    <format dxfId="80">
      <pivotArea collapsedLevelsAreSubtotals="1" fieldPosition="0">
        <references count="2">
          <reference field="0" count="1" selected="0">
            <x v="47"/>
          </reference>
          <reference field="1" count="1">
            <x v="56"/>
          </reference>
        </references>
      </pivotArea>
    </format>
    <format dxfId="79">
      <pivotArea dataOnly="0" labelOnly="1" fieldPosition="0">
        <references count="2">
          <reference field="0" count="1" selected="0">
            <x v="47"/>
          </reference>
          <reference field="1" count="1">
            <x v="56"/>
          </reference>
        </references>
      </pivotArea>
    </format>
    <format dxfId="78">
      <pivotArea collapsedLevelsAreSubtotals="1" fieldPosition="0">
        <references count="2">
          <reference field="0" count="1" selected="0">
            <x v="46"/>
          </reference>
          <reference field="1" count="3">
            <x v="42"/>
            <x v="56"/>
            <x v="83"/>
          </reference>
        </references>
      </pivotArea>
    </format>
    <format dxfId="77">
      <pivotArea dataOnly="0" labelOnly="1" fieldPosition="0">
        <references count="2">
          <reference field="0" count="1" selected="0">
            <x v="46"/>
          </reference>
          <reference field="1" count="3">
            <x v="42"/>
            <x v="56"/>
            <x v="83"/>
          </reference>
        </references>
      </pivotArea>
    </format>
    <format dxfId="76">
      <pivotArea collapsedLevelsAreSubtotals="1" fieldPosition="0">
        <references count="2">
          <reference field="0" count="1" selected="0">
            <x v="45"/>
          </reference>
          <reference field="1" count="2">
            <x v="42"/>
            <x v="55"/>
          </reference>
        </references>
      </pivotArea>
    </format>
    <format dxfId="75">
      <pivotArea dataOnly="0" labelOnly="1" fieldPosition="0">
        <references count="2">
          <reference field="0" count="1" selected="0">
            <x v="45"/>
          </reference>
          <reference field="1" count="2">
            <x v="42"/>
            <x v="55"/>
          </reference>
        </references>
      </pivotArea>
    </format>
    <format dxfId="74">
      <pivotArea collapsedLevelsAreSubtotals="1" fieldPosition="0">
        <references count="2">
          <reference field="0" count="1" selected="0">
            <x v="44"/>
          </reference>
          <reference field="1" count="4">
            <x v="2"/>
            <x v="34"/>
            <x v="56"/>
            <x v="80"/>
          </reference>
        </references>
      </pivotArea>
    </format>
    <format dxfId="73">
      <pivotArea dataOnly="0" labelOnly="1" fieldPosition="0">
        <references count="2">
          <reference field="0" count="1" selected="0">
            <x v="44"/>
          </reference>
          <reference field="1" count="4">
            <x v="2"/>
            <x v="34"/>
            <x v="56"/>
            <x v="80"/>
          </reference>
        </references>
      </pivotArea>
    </format>
    <format dxfId="72">
      <pivotArea collapsedLevelsAreSubtotals="1" fieldPosition="0">
        <references count="2">
          <reference field="0" count="1" selected="0">
            <x v="43"/>
          </reference>
          <reference field="1" count="3">
            <x v="42"/>
            <x v="55"/>
            <x v="83"/>
          </reference>
        </references>
      </pivotArea>
    </format>
    <format dxfId="71">
      <pivotArea dataOnly="0" labelOnly="1" fieldPosition="0">
        <references count="2">
          <reference field="0" count="1" selected="0">
            <x v="43"/>
          </reference>
          <reference field="1" count="3">
            <x v="42"/>
            <x v="55"/>
            <x v="83"/>
          </reference>
        </references>
      </pivotArea>
    </format>
    <format dxfId="70">
      <pivotArea collapsedLevelsAreSubtotals="1" fieldPosition="0">
        <references count="2">
          <reference field="0" count="1" selected="0">
            <x v="42"/>
          </reference>
          <reference field="1" count="2">
            <x v="42"/>
            <x v="56"/>
          </reference>
        </references>
      </pivotArea>
    </format>
    <format dxfId="69">
      <pivotArea dataOnly="0" labelOnly="1" fieldPosition="0">
        <references count="2">
          <reference field="0" count="1" selected="0">
            <x v="42"/>
          </reference>
          <reference field="1" count="2">
            <x v="42"/>
            <x v="56"/>
          </reference>
        </references>
      </pivotArea>
    </format>
    <format dxfId="68">
      <pivotArea collapsedLevelsAreSubtotals="1" fieldPosition="0">
        <references count="2">
          <reference field="0" count="1" selected="0">
            <x v="41"/>
          </reference>
          <reference field="1" count="1">
            <x v="84"/>
          </reference>
        </references>
      </pivotArea>
    </format>
    <format dxfId="67">
      <pivotArea dataOnly="0" labelOnly="1" fieldPosition="0">
        <references count="2">
          <reference field="0" count="1" selected="0">
            <x v="41"/>
          </reference>
          <reference field="1" count="1">
            <x v="84"/>
          </reference>
        </references>
      </pivotArea>
    </format>
    <format dxfId="66">
      <pivotArea collapsedLevelsAreSubtotals="1" fieldPosition="0">
        <references count="2">
          <reference field="0" count="1" selected="0">
            <x v="40"/>
          </reference>
          <reference field="1" count="4">
            <x v="23"/>
            <x v="40"/>
            <x v="67"/>
            <x v="84"/>
          </reference>
        </references>
      </pivotArea>
    </format>
    <format dxfId="65">
      <pivotArea dataOnly="0" labelOnly="1" fieldPosition="0">
        <references count="2">
          <reference field="0" count="1" selected="0">
            <x v="40"/>
          </reference>
          <reference field="1" count="4">
            <x v="23"/>
            <x v="40"/>
            <x v="67"/>
            <x v="84"/>
          </reference>
        </references>
      </pivotArea>
    </format>
    <format dxfId="64">
      <pivotArea collapsedLevelsAreSubtotals="1" fieldPosition="0">
        <references count="2">
          <reference field="0" count="1" selected="0">
            <x v="39"/>
          </reference>
          <reference field="1" count="1">
            <x v="40"/>
          </reference>
        </references>
      </pivotArea>
    </format>
    <format dxfId="63">
      <pivotArea dataOnly="0" labelOnly="1" fieldPosition="0">
        <references count="2">
          <reference field="0" count="1" selected="0">
            <x v="39"/>
          </reference>
          <reference field="1" count="1">
            <x v="40"/>
          </reference>
        </references>
      </pivotArea>
    </format>
    <format dxfId="62">
      <pivotArea collapsedLevelsAreSubtotals="1" fieldPosition="0">
        <references count="2">
          <reference field="0" count="1" selected="0">
            <x v="38"/>
          </reference>
          <reference field="1" count="4">
            <x v="44"/>
            <x v="56"/>
            <x v="75"/>
            <x v="91"/>
          </reference>
        </references>
      </pivotArea>
    </format>
    <format dxfId="61">
      <pivotArea dataOnly="0" labelOnly="1" fieldPosition="0">
        <references count="2">
          <reference field="0" count="1" selected="0">
            <x v="38"/>
          </reference>
          <reference field="1" count="4">
            <x v="44"/>
            <x v="56"/>
            <x v="75"/>
            <x v="91"/>
          </reference>
        </references>
      </pivotArea>
    </format>
    <format dxfId="60">
      <pivotArea collapsedLevelsAreSubtotals="1" fieldPosition="0">
        <references count="2">
          <reference field="0" count="1" selected="0">
            <x v="37"/>
          </reference>
          <reference field="1" count="4">
            <x v="40"/>
            <x v="44"/>
            <x v="68"/>
            <x v="84"/>
          </reference>
        </references>
      </pivotArea>
    </format>
    <format dxfId="59">
      <pivotArea dataOnly="0" labelOnly="1" fieldPosition="0">
        <references count="2">
          <reference field="0" count="1" selected="0">
            <x v="37"/>
          </reference>
          <reference field="1" count="4">
            <x v="40"/>
            <x v="44"/>
            <x v="68"/>
            <x v="84"/>
          </reference>
        </references>
      </pivotArea>
    </format>
    <format dxfId="58">
      <pivotArea collapsedLevelsAreSubtotals="1" fieldPosition="0">
        <references count="2">
          <reference field="0" count="1" selected="0">
            <x v="36"/>
          </reference>
          <reference field="1" count="2">
            <x v="23"/>
            <x v="65"/>
          </reference>
        </references>
      </pivotArea>
    </format>
    <format dxfId="57">
      <pivotArea dataOnly="0" labelOnly="1" fieldPosition="0">
        <references count="2">
          <reference field="0" count="1" selected="0">
            <x v="36"/>
          </reference>
          <reference field="1" count="2">
            <x v="23"/>
            <x v="65"/>
          </reference>
        </references>
      </pivotArea>
    </format>
    <format dxfId="56">
      <pivotArea collapsedLevelsAreSubtotals="1" fieldPosition="0">
        <references count="2">
          <reference field="0" count="1" selected="0">
            <x v="35"/>
          </reference>
          <reference field="1" count="2">
            <x v="44"/>
            <x v="65"/>
          </reference>
        </references>
      </pivotArea>
    </format>
    <format dxfId="55">
      <pivotArea dataOnly="0" labelOnly="1" fieldPosition="0">
        <references count="2">
          <reference field="0" count="1" selected="0">
            <x v="35"/>
          </reference>
          <reference field="1" count="2">
            <x v="44"/>
            <x v="65"/>
          </reference>
        </references>
      </pivotArea>
    </format>
    <format dxfId="54">
      <pivotArea collapsedLevelsAreSubtotals="1" fieldPosition="0">
        <references count="2">
          <reference field="0" count="1" selected="0">
            <x v="34"/>
          </reference>
          <reference field="1" count="2">
            <x v="2"/>
            <x v="44"/>
          </reference>
        </references>
      </pivotArea>
    </format>
    <format dxfId="53">
      <pivotArea dataOnly="0" labelOnly="1" fieldPosition="0">
        <references count="2">
          <reference field="0" count="1" selected="0">
            <x v="34"/>
          </reference>
          <reference field="1" count="2">
            <x v="2"/>
            <x v="44"/>
          </reference>
        </references>
      </pivotArea>
    </format>
    <format dxfId="52">
      <pivotArea collapsedLevelsAreSubtotals="1" fieldPosition="0">
        <references count="2">
          <reference field="0" count="1" selected="0">
            <x v="33"/>
          </reference>
          <reference field="1" count="2">
            <x v="65"/>
            <x v="71"/>
          </reference>
        </references>
      </pivotArea>
    </format>
    <format dxfId="51">
      <pivotArea dataOnly="0" labelOnly="1" fieldPosition="0">
        <references count="2">
          <reference field="0" count="1" selected="0">
            <x v="33"/>
          </reference>
          <reference field="1" count="2">
            <x v="65"/>
            <x v="71"/>
          </reference>
        </references>
      </pivotArea>
    </format>
    <format dxfId="50">
      <pivotArea collapsedLevelsAreSubtotals="1" fieldPosition="0">
        <references count="2">
          <reference field="0" count="1" selected="0">
            <x v="32"/>
          </reference>
          <reference field="1" count="2">
            <x v="2"/>
            <x v="65"/>
          </reference>
        </references>
      </pivotArea>
    </format>
    <format dxfId="49">
      <pivotArea dataOnly="0" labelOnly="1" fieldPosition="0">
        <references count="2">
          <reference field="0" count="1" selected="0">
            <x v="32"/>
          </reference>
          <reference field="1" count="2">
            <x v="2"/>
            <x v="65"/>
          </reference>
        </references>
      </pivotArea>
    </format>
    <format dxfId="48">
      <pivotArea collapsedLevelsAreSubtotals="1" fieldPosition="0">
        <references count="2">
          <reference field="0" count="1" selected="0">
            <x v="31"/>
          </reference>
          <reference field="1" count="1">
            <x v="44"/>
          </reference>
        </references>
      </pivotArea>
    </format>
    <format dxfId="47">
      <pivotArea dataOnly="0" labelOnly="1" fieldPosition="0">
        <references count="2">
          <reference field="0" count="1" selected="0">
            <x v="31"/>
          </reference>
          <reference field="1" count="1">
            <x v="44"/>
          </reference>
        </references>
      </pivotArea>
    </format>
    <format dxfId="46">
      <pivotArea collapsedLevelsAreSubtotals="1" fieldPosition="0">
        <references count="2">
          <reference field="0" count="1" selected="0">
            <x v="30"/>
          </reference>
          <reference field="1" count="4">
            <x v="0"/>
            <x v="2"/>
            <x v="6"/>
            <x v="85"/>
          </reference>
        </references>
      </pivotArea>
    </format>
    <format dxfId="45">
      <pivotArea dataOnly="0" labelOnly="1" fieldPosition="0">
        <references count="2">
          <reference field="0" count="1" selected="0">
            <x v="30"/>
          </reference>
          <reference field="1" count="4">
            <x v="0"/>
            <x v="2"/>
            <x v="6"/>
            <x v="85"/>
          </reference>
        </references>
      </pivotArea>
    </format>
    <format dxfId="44">
      <pivotArea collapsedLevelsAreSubtotals="1" fieldPosition="0">
        <references count="2">
          <reference field="0" count="1" selected="0">
            <x v="29"/>
          </reference>
          <reference field="1" count="3">
            <x v="2"/>
            <x v="44"/>
            <x v="65"/>
          </reference>
        </references>
      </pivotArea>
    </format>
    <format dxfId="43">
      <pivotArea dataOnly="0" labelOnly="1" fieldPosition="0">
        <references count="2">
          <reference field="0" count="1" selected="0">
            <x v="29"/>
          </reference>
          <reference field="1" count="3">
            <x v="2"/>
            <x v="44"/>
            <x v="65"/>
          </reference>
        </references>
      </pivotArea>
    </format>
    <format dxfId="42">
      <pivotArea collapsedLevelsAreSubtotals="1" fieldPosition="0">
        <references count="2">
          <reference field="0" count="1" selected="0">
            <x v="28"/>
          </reference>
          <reference field="1" count="3">
            <x v="6"/>
            <x v="42"/>
            <x v="85"/>
          </reference>
        </references>
      </pivotArea>
    </format>
    <format dxfId="41">
      <pivotArea dataOnly="0" labelOnly="1" fieldPosition="0">
        <references count="2">
          <reference field="0" count="1" selected="0">
            <x v="28"/>
          </reference>
          <reference field="1" count="3">
            <x v="6"/>
            <x v="42"/>
            <x v="85"/>
          </reference>
        </references>
      </pivotArea>
    </format>
    <format dxfId="40">
      <pivotArea collapsedLevelsAreSubtotals="1" fieldPosition="0">
        <references count="2">
          <reference field="0" count="1" selected="0">
            <x v="27"/>
          </reference>
          <reference field="1" count="4">
            <x v="6"/>
            <x v="42"/>
            <x v="44"/>
            <x v="50"/>
          </reference>
        </references>
      </pivotArea>
    </format>
    <format dxfId="39">
      <pivotArea dataOnly="0" labelOnly="1" fieldPosition="0">
        <references count="2">
          <reference field="0" count="1" selected="0">
            <x v="27"/>
          </reference>
          <reference field="1" count="4">
            <x v="6"/>
            <x v="42"/>
            <x v="44"/>
            <x v="50"/>
          </reference>
        </references>
      </pivotArea>
    </format>
    <format dxfId="38">
      <pivotArea collapsedLevelsAreSubtotals="1" fieldPosition="0">
        <references count="2">
          <reference field="0" count="1" selected="0">
            <x v="26"/>
          </reference>
          <reference field="1" count="2">
            <x v="44"/>
            <x v="85"/>
          </reference>
        </references>
      </pivotArea>
    </format>
    <format dxfId="37">
      <pivotArea dataOnly="0" labelOnly="1" fieldPosition="0">
        <references count="2">
          <reference field="0" count="1" selected="0">
            <x v="26"/>
          </reference>
          <reference field="1" count="2">
            <x v="44"/>
            <x v="85"/>
          </reference>
        </references>
      </pivotArea>
    </format>
    <format dxfId="36">
      <pivotArea collapsedLevelsAreSubtotals="1" fieldPosition="0">
        <references count="2">
          <reference field="0" count="1" selected="0">
            <x v="25"/>
          </reference>
          <reference field="1" count="2">
            <x v="42"/>
            <x v="44"/>
          </reference>
        </references>
      </pivotArea>
    </format>
    <format dxfId="35">
      <pivotArea dataOnly="0" labelOnly="1" fieldPosition="0">
        <references count="2">
          <reference field="0" count="1" selected="0">
            <x v="25"/>
          </reference>
          <reference field="1" count="2">
            <x v="42"/>
            <x v="44"/>
          </reference>
        </references>
      </pivotArea>
    </format>
    <format dxfId="34">
      <pivotArea collapsedLevelsAreSubtotals="1" fieldPosition="0">
        <references count="2">
          <reference field="0" count="1" selected="0">
            <x v="24"/>
          </reference>
          <reference field="1" count="2">
            <x v="85"/>
            <x v="97"/>
          </reference>
        </references>
      </pivotArea>
    </format>
    <format dxfId="33">
      <pivotArea dataOnly="0" labelOnly="1" fieldPosition="0">
        <references count="2">
          <reference field="0" count="1" selected="0">
            <x v="24"/>
          </reference>
          <reference field="1" count="2">
            <x v="85"/>
            <x v="97"/>
          </reference>
        </references>
      </pivotArea>
    </format>
    <format dxfId="32">
      <pivotArea collapsedLevelsAreSubtotals="1" fieldPosition="0">
        <references count="2">
          <reference field="0" count="1" selected="0">
            <x v="23"/>
          </reference>
          <reference field="1" count="3">
            <x v="6"/>
            <x v="44"/>
            <x v="85"/>
          </reference>
        </references>
      </pivotArea>
    </format>
    <format dxfId="31">
      <pivotArea dataOnly="0" labelOnly="1" fieldPosition="0">
        <references count="2">
          <reference field="0" count="1" selected="0">
            <x v="23"/>
          </reference>
          <reference field="1" count="3">
            <x v="6"/>
            <x v="44"/>
            <x v="85"/>
          </reference>
        </references>
      </pivotArea>
    </format>
    <format dxfId="30">
      <pivotArea collapsedLevelsAreSubtotals="1" fieldPosition="0">
        <references count="2">
          <reference field="0" count="1" selected="0">
            <x v="22"/>
          </reference>
          <reference field="1" count="5">
            <x v="6"/>
            <x v="11"/>
            <x v="47"/>
            <x v="82"/>
            <x v="93"/>
          </reference>
        </references>
      </pivotArea>
    </format>
    <format dxfId="29">
      <pivotArea dataOnly="0" labelOnly="1" fieldPosition="0">
        <references count="2">
          <reference field="0" count="1" selected="0">
            <x v="22"/>
          </reference>
          <reference field="1" count="5">
            <x v="6"/>
            <x v="11"/>
            <x v="47"/>
            <x v="82"/>
            <x v="93"/>
          </reference>
        </references>
      </pivotArea>
    </format>
    <format dxfId="28">
      <pivotArea collapsedLevelsAreSubtotals="1" fieldPosition="0">
        <references count="2">
          <reference field="0" count="1" selected="0">
            <x v="21"/>
          </reference>
          <reference field="1" count="2">
            <x v="41"/>
            <x v="89"/>
          </reference>
        </references>
      </pivotArea>
    </format>
    <format dxfId="27">
      <pivotArea dataOnly="0" labelOnly="1" fieldPosition="0">
        <references count="2">
          <reference field="0" count="1" selected="0">
            <x v="21"/>
          </reference>
          <reference field="1" count="2">
            <x v="41"/>
            <x v="89"/>
          </reference>
        </references>
      </pivotArea>
    </format>
    <format dxfId="26">
      <pivotArea collapsedLevelsAreSubtotals="1" fieldPosition="0">
        <references count="2">
          <reference field="0" count="1" selected="0">
            <x v="20"/>
          </reference>
          <reference field="1" count="6">
            <x v="13"/>
            <x v="20"/>
            <x v="38"/>
            <x v="46"/>
            <x v="47"/>
            <x v="89"/>
          </reference>
        </references>
      </pivotArea>
    </format>
    <format dxfId="25">
      <pivotArea dataOnly="0" labelOnly="1" fieldPosition="0">
        <references count="2">
          <reference field="0" count="1" selected="0">
            <x v="20"/>
          </reference>
          <reference field="1" count="6">
            <x v="13"/>
            <x v="20"/>
            <x v="38"/>
            <x v="46"/>
            <x v="47"/>
            <x v="89"/>
          </reference>
        </references>
      </pivotArea>
    </format>
    <format dxfId="24">
      <pivotArea collapsedLevelsAreSubtotals="1" fieldPosition="0">
        <references count="2">
          <reference field="0" count="1" selected="0">
            <x v="19"/>
          </reference>
          <reference field="1" count="1">
            <x v="41"/>
          </reference>
        </references>
      </pivotArea>
    </format>
    <format dxfId="23">
      <pivotArea dataOnly="0" labelOnly="1" fieldPosition="0">
        <references count="2">
          <reference field="0" count="1" selected="0">
            <x v="19"/>
          </reference>
          <reference field="1" count="1">
            <x v="41"/>
          </reference>
        </references>
      </pivotArea>
    </format>
    <format dxfId="22">
      <pivotArea collapsedLevelsAreSubtotals="1" fieldPosition="0">
        <references count="2">
          <reference field="0" count="1" selected="0">
            <x v="18"/>
          </reference>
          <reference field="1" count="1">
            <x v="41"/>
          </reference>
        </references>
      </pivotArea>
    </format>
    <format dxfId="21">
      <pivotArea dataOnly="0" labelOnly="1" fieldPosition="0">
        <references count="2">
          <reference field="0" count="1" selected="0">
            <x v="18"/>
          </reference>
          <reference field="1" count="1">
            <x v="41"/>
          </reference>
        </references>
      </pivotArea>
    </format>
    <format dxfId="20">
      <pivotArea collapsedLevelsAreSubtotals="1" fieldPosition="0">
        <references count="2">
          <reference field="0" count="1" selected="0">
            <x v="17"/>
          </reference>
          <reference field="1" count="3">
            <x v="41"/>
            <x v="44"/>
            <x v="82"/>
          </reference>
        </references>
      </pivotArea>
    </format>
    <format dxfId="19">
      <pivotArea dataOnly="0" labelOnly="1" fieldPosition="0">
        <references count="2">
          <reference field="0" count="1" selected="0">
            <x v="17"/>
          </reference>
          <reference field="1" count="3">
            <x v="41"/>
            <x v="44"/>
            <x v="82"/>
          </reference>
        </references>
      </pivotArea>
    </format>
    <format dxfId="18">
      <pivotArea collapsedLevelsAreSubtotals="1" fieldPosition="0">
        <references count="2">
          <reference field="0" count="1" selected="0">
            <x v="3"/>
          </reference>
          <reference field="1" count="3">
            <x v="40"/>
            <x v="65"/>
            <x v="81"/>
          </reference>
        </references>
      </pivotArea>
    </format>
    <format dxfId="17">
      <pivotArea dataOnly="0" labelOnly="1" fieldPosition="0">
        <references count="2">
          <reference field="0" count="1" selected="0">
            <x v="3"/>
          </reference>
          <reference field="1" count="3">
            <x v="40"/>
            <x v="65"/>
            <x v="81"/>
          </reference>
        </references>
      </pivotArea>
    </format>
    <format dxfId="16">
      <pivotArea dataOnly="0" labelOnly="1" fieldPosition="0">
        <references count="2">
          <reference field="0" count="1" selected="0">
            <x v="3"/>
          </reference>
          <reference field="1" count="3">
            <x v="9"/>
            <x v="10"/>
            <x v="62"/>
          </reference>
        </references>
      </pivotArea>
    </format>
    <format dxfId="15">
      <pivotArea collapsedLevelsAreSubtotals="1" fieldPosition="0">
        <references count="2">
          <reference field="0" count="1" selected="0">
            <x v="4"/>
          </reference>
          <reference field="1" count="5">
            <x v="2"/>
            <x v="9"/>
            <x v="42"/>
            <x v="65"/>
            <x v="83"/>
          </reference>
        </references>
      </pivotArea>
    </format>
    <format dxfId="14">
      <pivotArea dataOnly="0" labelOnly="1" fieldPosition="0">
        <references count="2">
          <reference field="0" count="1" selected="0">
            <x v="4"/>
          </reference>
          <reference field="1" count="5">
            <x v="2"/>
            <x v="9"/>
            <x v="42"/>
            <x v="65"/>
            <x v="83"/>
          </reference>
        </references>
      </pivotArea>
    </format>
    <format dxfId="13">
      <pivotArea dataOnly="0" labelOnly="1" fieldPosition="0">
        <references count="2">
          <reference field="0" count="1" selected="0">
            <x v="4"/>
          </reference>
          <reference field="1" count="2">
            <x v="28"/>
            <x v="48"/>
          </reference>
        </references>
      </pivotArea>
    </format>
    <format dxfId="12">
      <pivotArea dataOnly="0" labelOnly="1" fieldPosition="0">
        <references count="2">
          <reference field="0" count="1" selected="0">
            <x v="8"/>
          </reference>
          <reference field="1" count="2">
            <x v="42"/>
            <x v="46"/>
          </reference>
        </references>
      </pivotArea>
    </format>
    <format dxfId="11">
      <pivotArea collapsedLevelsAreSubtotals="1" fieldPosition="0">
        <references count="2">
          <reference field="0" count="1" selected="0">
            <x v="8"/>
          </reference>
          <reference field="1" count="3">
            <x v="54"/>
            <x v="81"/>
            <x v="88"/>
          </reference>
        </references>
      </pivotArea>
    </format>
    <format dxfId="10">
      <pivotArea collapsedLevelsAreSubtotals="1" fieldPosition="0">
        <references count="2">
          <reference field="0" count="1" selected="0">
            <x v="6"/>
          </reference>
          <reference field="1" count="1">
            <x v="40"/>
          </reference>
        </references>
      </pivotArea>
    </format>
    <format dxfId="9">
      <pivotArea dataOnly="0" labelOnly="1" fieldPosition="0">
        <references count="2">
          <reference field="0" count="1" selected="0">
            <x v="6"/>
          </reference>
          <reference field="1" count="1">
            <x v="40"/>
          </reference>
        </references>
      </pivotArea>
    </format>
    <format dxfId="8">
      <pivotArea dataOnly="0" labelOnly="1" fieldPosition="0">
        <references count="2">
          <reference field="0" count="1" selected="0">
            <x v="6"/>
          </reference>
          <reference field="1" count="3">
            <x v="67"/>
            <x v="81"/>
            <x v="83"/>
          </reference>
        </references>
      </pivotArea>
    </format>
    <format dxfId="7">
      <pivotArea collapsedLevelsAreSubtotals="1" fieldPosition="0">
        <references count="2">
          <reference field="0" count="1" selected="0">
            <x v="5"/>
          </reference>
          <reference field="1" count="2">
            <x v="40"/>
            <x v="81"/>
          </reference>
        </references>
      </pivotArea>
    </format>
    <format dxfId="6">
      <pivotArea collapsedLevelsAreSubtotals="1" fieldPosition="0">
        <references count="2">
          <reference field="0" count="1" selected="0">
            <x v="2"/>
          </reference>
          <reference field="1" count="3">
            <x v="40"/>
            <x v="81"/>
            <x v="83"/>
          </reference>
        </references>
      </pivotArea>
    </format>
    <format dxfId="5">
      <pivotArea dataOnly="0" labelOnly="1" fieldPosition="0">
        <references count="2">
          <reference field="0" count="1" selected="0">
            <x v="2"/>
          </reference>
          <reference field="1" count="2">
            <x v="62"/>
            <x v="78"/>
          </reference>
        </references>
      </pivotArea>
    </format>
    <format dxfId="4">
      <pivotArea collapsedLevelsAreSubtotals="1" fieldPosition="0">
        <references count="2">
          <reference field="0" count="1" selected="0">
            <x v="1"/>
          </reference>
          <reference field="1" count="1">
            <x v="40"/>
          </reference>
        </references>
      </pivotArea>
    </format>
    <format dxfId="3">
      <pivotArea collapsedLevelsAreSubtotals="1" fieldPosition="0">
        <references count="2">
          <reference field="0" count="1" selected="0">
            <x v="0"/>
          </reference>
          <reference field="1" count="2">
            <x v="40"/>
            <x v="8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abela dinâmica4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50" firstHeaderRow="1" firstDataRow="1" firstDataCol="1"/>
  <pivotFields count="7">
    <pivotField showAll="0"/>
    <pivotField axis="axisRow" showAll="0" sortType="descending">
      <items count="47">
        <item x="23"/>
        <item x="12"/>
        <item x="0"/>
        <item x="38"/>
        <item x="13"/>
        <item x="14"/>
        <item x="15"/>
        <item x="1"/>
        <item x="2"/>
        <item x="42"/>
        <item x="3"/>
        <item x="4"/>
        <item x="39"/>
        <item x="25"/>
        <item x="16"/>
        <item x="26"/>
        <item x="5"/>
        <item x="6"/>
        <item x="17"/>
        <item x="7"/>
        <item x="8"/>
        <item x="35"/>
        <item x="40"/>
        <item x="27"/>
        <item x="18"/>
        <item x="43"/>
        <item x="28"/>
        <item x="24"/>
        <item x="29"/>
        <item x="22"/>
        <item x="9"/>
        <item x="30"/>
        <item x="10"/>
        <item x="19"/>
        <item x="31"/>
        <item x="36"/>
        <item x="20"/>
        <item x="32"/>
        <item x="11"/>
        <item x="21"/>
        <item x="33"/>
        <item x="34"/>
        <item x="44"/>
        <item x="45"/>
        <item x="37"/>
        <item x="4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5" showAll="0"/>
    <pivotField showAll="0"/>
    <pivotField numFmtId="164" showAll="0"/>
    <pivotField dataField="1" numFmtId="164" showAll="0"/>
  </pivotFields>
  <rowFields count="1">
    <field x="1"/>
  </rowFields>
  <rowItems count="47">
    <i>
      <x v="5"/>
    </i>
    <i>
      <x v="26"/>
    </i>
    <i>
      <x v="20"/>
    </i>
    <i>
      <x v="32"/>
    </i>
    <i>
      <x v="6"/>
    </i>
    <i>
      <x v="38"/>
    </i>
    <i>
      <x v="30"/>
    </i>
    <i>
      <x v="40"/>
    </i>
    <i>
      <x v="31"/>
    </i>
    <i>
      <x v="8"/>
    </i>
    <i>
      <x v="44"/>
    </i>
    <i>
      <x v="1"/>
    </i>
    <i>
      <x v="33"/>
    </i>
    <i>
      <x/>
    </i>
    <i>
      <x v="21"/>
    </i>
    <i>
      <x v="4"/>
    </i>
    <i>
      <x v="39"/>
    </i>
    <i>
      <x v="10"/>
    </i>
    <i>
      <x v="17"/>
    </i>
    <i>
      <x v="11"/>
    </i>
    <i>
      <x v="15"/>
    </i>
    <i>
      <x v="19"/>
    </i>
    <i>
      <x v="24"/>
    </i>
    <i>
      <x v="27"/>
    </i>
    <i>
      <x v="18"/>
    </i>
    <i>
      <x v="34"/>
    </i>
    <i>
      <x v="45"/>
    </i>
    <i>
      <x v="29"/>
    </i>
    <i>
      <x v="13"/>
    </i>
    <i>
      <x v="36"/>
    </i>
    <i>
      <x v="9"/>
    </i>
    <i>
      <x v="35"/>
    </i>
    <i>
      <x v="42"/>
    </i>
    <i>
      <x v="14"/>
    </i>
    <i>
      <x v="12"/>
    </i>
    <i>
      <x v="25"/>
    </i>
    <i>
      <x v="23"/>
    </i>
    <i>
      <x v="43"/>
    </i>
    <i>
      <x v="7"/>
    </i>
    <i>
      <x v="37"/>
    </i>
    <i>
      <x v="2"/>
    </i>
    <i>
      <x v="28"/>
    </i>
    <i>
      <x v="16"/>
    </i>
    <i>
      <x v="41"/>
    </i>
    <i>
      <x v="3"/>
    </i>
    <i>
      <x v="22"/>
    </i>
    <i t="grand">
      <x/>
    </i>
  </rowItems>
  <colItems count="1">
    <i/>
  </colItems>
  <dataFields count="1">
    <dataField name="Soma de area.transv.cm2" fld="6" baseField="1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Tabela dinâ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38" firstHeaderRow="1" firstDataRow="1" firstDataCol="1"/>
  <pivotFields count="7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 sortType="descending">
      <items count="35">
        <item x="21"/>
        <item x="22"/>
        <item x="0"/>
        <item x="12"/>
        <item x="26"/>
        <item x="8"/>
        <item x="10"/>
        <item x="27"/>
        <item x="13"/>
        <item x="14"/>
        <item x="6"/>
        <item x="11"/>
        <item x="28"/>
        <item x="29"/>
        <item x="15"/>
        <item x="3"/>
        <item x="7"/>
        <item x="33"/>
        <item x="16"/>
        <item x="23"/>
        <item x="17"/>
        <item x="1"/>
        <item x="2"/>
        <item x="30"/>
        <item x="18"/>
        <item x="4"/>
        <item x="31"/>
        <item x="32"/>
        <item x="24"/>
        <item x="9"/>
        <item x="19"/>
        <item x="20"/>
        <item x="5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numFmtId="165" showAll="0"/>
    <pivotField showAll="0"/>
    <pivotField showAll="0"/>
    <pivotField dataField="1" numFmtId="164" showAll="0"/>
  </pivotFields>
  <rowFields count="1">
    <field x="1"/>
  </rowFields>
  <rowItems count="35">
    <i>
      <x v="21"/>
    </i>
    <i>
      <x v="14"/>
    </i>
    <i>
      <x v="30"/>
    </i>
    <i>
      <x v="16"/>
    </i>
    <i>
      <x v="2"/>
    </i>
    <i>
      <x v="11"/>
    </i>
    <i>
      <x v="19"/>
    </i>
    <i>
      <x v="28"/>
    </i>
    <i>
      <x v="25"/>
    </i>
    <i>
      <x v="32"/>
    </i>
    <i>
      <x v="24"/>
    </i>
    <i>
      <x v="23"/>
    </i>
    <i>
      <x v="22"/>
    </i>
    <i>
      <x v="15"/>
    </i>
    <i>
      <x v="8"/>
    </i>
    <i>
      <x v="29"/>
    </i>
    <i>
      <x v="6"/>
    </i>
    <i>
      <x v="18"/>
    </i>
    <i>
      <x v="1"/>
    </i>
    <i>
      <x v="31"/>
    </i>
    <i>
      <x v="9"/>
    </i>
    <i>
      <x v="10"/>
    </i>
    <i>
      <x/>
    </i>
    <i>
      <x v="27"/>
    </i>
    <i>
      <x v="20"/>
    </i>
    <i>
      <x v="7"/>
    </i>
    <i>
      <x v="13"/>
    </i>
    <i>
      <x v="5"/>
    </i>
    <i>
      <x v="26"/>
    </i>
    <i>
      <x v="33"/>
    </i>
    <i>
      <x v="4"/>
    </i>
    <i>
      <x v="3"/>
    </i>
    <i>
      <x v="17"/>
    </i>
    <i>
      <x v="12"/>
    </i>
    <i t="grand">
      <x/>
    </i>
  </rowItems>
  <colItems count="1">
    <i/>
  </colItems>
  <dataFields count="1">
    <dataField name="Soma de area.transv.cm2" fld="6" baseField="1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3">
    <format dxfId="2">
      <pivotArea dataOnly="0" labelOnly="1" fieldPosition="0">
        <references count="1">
          <reference field="1" count="11">
            <x v="2"/>
            <x v="11"/>
            <x v="14"/>
            <x v="16"/>
            <x v="19"/>
            <x v="21"/>
            <x v="24"/>
            <x v="25"/>
            <x v="28"/>
            <x v="30"/>
            <x v="32"/>
          </reference>
        </references>
      </pivotArea>
    </format>
    <format dxfId="1">
      <pivotArea outline="0" fieldPosition="0">
        <references count="1">
          <reference field="4294967294" count="1">
            <x v="0"/>
          </reference>
        </references>
      </pivotArea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Tabela dinâmica1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102" firstHeaderRow="1" firstDataRow="1" firstDataCol="1"/>
  <pivotFields count="5">
    <pivotField axis="axisRow" showAll="0">
      <items count="99">
        <item x="49"/>
        <item x="31"/>
        <item x="12"/>
        <item x="44"/>
        <item x="47"/>
        <item x="32"/>
        <item x="57"/>
        <item x="85"/>
        <item x="42"/>
        <item x="0"/>
        <item x="20"/>
        <item x="39"/>
        <item x="56"/>
        <item x="45"/>
        <item x="1"/>
        <item x="61"/>
        <item x="72"/>
        <item x="65"/>
        <item x="92"/>
        <item x="66"/>
        <item x="53"/>
        <item x="60"/>
        <item x="26"/>
        <item x="64"/>
        <item x="88"/>
        <item x="73"/>
        <item x="54"/>
        <item x="80"/>
        <item x="21"/>
        <item x="90"/>
        <item x="27"/>
        <item x="2"/>
        <item x="33"/>
        <item x="74"/>
        <item x="46"/>
        <item x="40"/>
        <item x="3"/>
        <item x="34"/>
        <item x="35"/>
        <item x="4"/>
        <item x="5"/>
        <item x="43"/>
        <item x="24"/>
        <item x="84"/>
        <item x="36"/>
        <item x="58"/>
        <item x="22"/>
        <item x="50"/>
        <item x="15"/>
        <item x="16"/>
        <item x="51"/>
        <item x="67"/>
        <item x="86"/>
        <item x="93"/>
        <item x="37"/>
        <item x="79"/>
        <item x="71"/>
        <item x="96"/>
        <item x="95"/>
        <item x="68"/>
        <item x="6"/>
        <item x="82"/>
        <item x="7"/>
        <item x="97"/>
        <item x="89"/>
        <item x="23"/>
        <item x="62"/>
        <item x="13"/>
        <item x="69"/>
        <item x="94"/>
        <item x="25"/>
        <item x="48"/>
        <item x="28"/>
        <item x="17"/>
        <item x="75"/>
        <item x="14"/>
        <item x="18"/>
        <item x="81"/>
        <item x="19"/>
        <item x="8"/>
        <item x="76"/>
        <item x="9"/>
        <item x="29"/>
        <item x="10"/>
        <item x="70"/>
        <item x="30"/>
        <item x="83"/>
        <item x="87"/>
        <item x="38"/>
        <item x="41"/>
        <item x="91"/>
        <item x="63"/>
        <item x="52"/>
        <item x="59"/>
        <item x="11"/>
        <item x="77"/>
        <item x="78"/>
        <item x="55"/>
        <item t="default"/>
      </items>
    </pivotField>
    <pivotField numFmtId="165" showAll="0"/>
    <pivotField numFmtId="165" showAll="0"/>
    <pivotField showAll="0"/>
    <pivotField dataField="1" showAll="0"/>
  </pivotFields>
  <rowFields count="1">
    <field x="0"/>
  </rowFields>
  <rowItems count="9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 t="grand">
      <x/>
    </i>
  </rowItems>
  <colItems count="1">
    <i/>
  </colItems>
  <dataFields count="1">
    <dataField name="Média de dap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6" firstHeaderRow="1" firstDataRow="1" firstDataCol="1"/>
  <pivotFields count="6">
    <pivotField axis="axisRow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>
      <items count="99">
        <item x="49"/>
        <item x="31"/>
        <item x="12"/>
        <item x="44"/>
        <item x="47"/>
        <item x="32"/>
        <item x="57"/>
        <item x="85"/>
        <item x="42"/>
        <item x="0"/>
        <item x="20"/>
        <item x="39"/>
        <item x="56"/>
        <item x="45"/>
        <item x="1"/>
        <item x="61"/>
        <item x="72"/>
        <item x="65"/>
        <item x="92"/>
        <item x="66"/>
        <item x="53"/>
        <item x="60"/>
        <item x="26"/>
        <item x="64"/>
        <item x="88"/>
        <item x="73"/>
        <item x="54"/>
        <item x="80"/>
        <item x="21"/>
        <item x="90"/>
        <item x="27"/>
        <item x="2"/>
        <item x="33"/>
        <item x="74"/>
        <item x="46"/>
        <item x="40"/>
        <item x="3"/>
        <item x="34"/>
        <item x="35"/>
        <item x="4"/>
        <item x="5"/>
        <item x="43"/>
        <item x="24"/>
        <item x="84"/>
        <item x="36"/>
        <item x="58"/>
        <item x="22"/>
        <item x="50"/>
        <item x="15"/>
        <item x="16"/>
        <item x="51"/>
        <item x="67"/>
        <item x="86"/>
        <item x="93"/>
        <item x="37"/>
        <item x="79"/>
        <item x="71"/>
        <item x="96"/>
        <item x="95"/>
        <item x="68"/>
        <item x="6"/>
        <item x="82"/>
        <item x="7"/>
        <item x="97"/>
        <item x="89"/>
        <item x="23"/>
        <item x="62"/>
        <item x="13"/>
        <item x="69"/>
        <item x="94"/>
        <item x="25"/>
        <item x="48"/>
        <item x="28"/>
        <item x="17"/>
        <item x="75"/>
        <item x="14"/>
        <item x="18"/>
        <item x="81"/>
        <item x="19"/>
        <item x="8"/>
        <item x="76"/>
        <item x="9"/>
        <item x="29"/>
        <item x="10"/>
        <item x="70"/>
        <item x="30"/>
        <item x="83"/>
        <item x="87"/>
        <item x="38"/>
        <item x="41"/>
        <item x="91"/>
        <item x="63"/>
        <item x="52"/>
        <item x="59"/>
        <item x="11"/>
        <item x="77"/>
        <item x="78"/>
        <item x="55"/>
        <item t="default"/>
      </items>
    </pivotField>
    <pivotField numFmtId="165" showAll="0"/>
    <pivotField numFmtId="165" showAll="0"/>
    <pivotField showAll="0"/>
    <pivotField dataField="1" showAll="0"/>
  </pivotFields>
  <rowFields count="1">
    <field x="0"/>
  </rowFields>
  <rowItems count="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Items count="1">
    <i/>
  </colItems>
  <dataFields count="1">
    <dataField name="Count of dap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1315"/>
  <sheetViews>
    <sheetView topLeftCell="A280" workbookViewId="0">
      <selection activeCell="F112" sqref="F112"/>
    </sheetView>
  </sheetViews>
  <sheetFormatPr defaultRowHeight="14.4" x14ac:dyDescent="0.3"/>
  <cols>
    <col min="2" max="2" width="26.21875" bestFit="1" customWidth="1"/>
    <col min="3" max="3" width="14.77734375" hidden="1" customWidth="1"/>
    <col min="4" max="4" width="12.21875" hidden="1" customWidth="1"/>
    <col min="6" max="6" width="14.5546875" customWidth="1"/>
    <col min="7" max="7" width="19.21875" bestFit="1" customWidth="1"/>
    <col min="8" max="11" width="19.21875" customWidth="1"/>
    <col min="12" max="12" width="19.441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t="s">
        <v>11</v>
      </c>
    </row>
    <row r="2" spans="1:14" hidden="1" x14ac:dyDescent="0.3">
      <c r="A2" t="s">
        <v>12</v>
      </c>
      <c r="B2" t="s">
        <v>13</v>
      </c>
      <c r="C2" s="4">
        <v>0.36</v>
      </c>
      <c r="D2" s="4">
        <v>0.35</v>
      </c>
      <c r="E2">
        <v>4</v>
      </c>
      <c r="F2" s="2">
        <v>3.9808917197452227</v>
      </c>
      <c r="G2" s="2">
        <f>PI()*(F2/2)^2</f>
        <v>12.446596518200664</v>
      </c>
      <c r="H2" s="2">
        <f>0.0673 * ((D2 * F2^2 * E2)^0.976)</f>
        <v>1.3861100085364575</v>
      </c>
      <c r="I2" s="2">
        <f t="shared" ref="I2:I65" si="0">(H2*1000)/L2</f>
        <v>173.2637510670572</v>
      </c>
      <c r="J2" s="4">
        <f>8.9857 + 0.0035 * F2^2 * E2</f>
        <v>9.2075649843807046</v>
      </c>
      <c r="K2" s="4">
        <f t="shared" ref="K2:K65" si="1">(J2*1000)/L2</f>
        <v>1150.945623047588</v>
      </c>
      <c r="L2">
        <v>8</v>
      </c>
      <c r="N2" s="1"/>
    </row>
    <row r="3" spans="1:14" hidden="1" x14ac:dyDescent="0.3">
      <c r="A3" t="s">
        <v>12</v>
      </c>
      <c r="B3" t="s">
        <v>13</v>
      </c>
      <c r="C3" s="4">
        <v>0.36</v>
      </c>
      <c r="D3" s="4">
        <v>0.35</v>
      </c>
      <c r="E3">
        <v>4</v>
      </c>
      <c r="F3" s="2">
        <v>3.6624203821656049</v>
      </c>
      <c r="G3" s="2">
        <f>PI()*(F3/2)^2</f>
        <v>10.534799293005044</v>
      </c>
      <c r="H3" s="2">
        <f>0.0673 * ((D3 * F3^2 * E3)^0.976)</f>
        <v>1.1779084529054955</v>
      </c>
      <c r="I3" s="2">
        <f t="shared" si="0"/>
        <v>147.23855661318694</v>
      </c>
      <c r="J3" s="4">
        <f t="shared" ref="J3:J66" si="2">8.9857 + 0.0035 * F3^2 * E3</f>
        <v>9.1734865227798288</v>
      </c>
      <c r="K3" s="4">
        <f t="shared" si="1"/>
        <v>1146.6858153474786</v>
      </c>
      <c r="L3">
        <v>8</v>
      </c>
    </row>
    <row r="4" spans="1:14" hidden="1" x14ac:dyDescent="0.3">
      <c r="A4" t="s">
        <v>12</v>
      </c>
      <c r="B4" t="s">
        <v>13</v>
      </c>
      <c r="C4" s="4">
        <v>0.36</v>
      </c>
      <c r="D4" s="4">
        <v>0.35</v>
      </c>
      <c r="E4">
        <v>4</v>
      </c>
      <c r="F4" s="2">
        <v>3.9808917197452227</v>
      </c>
      <c r="G4" s="2">
        <f t="shared" ref="G4:G67" si="3">PI()*(F4/2)^2</f>
        <v>12.446596518200664</v>
      </c>
      <c r="H4" s="2">
        <f t="shared" ref="H4:H67" si="4">0.0673 * ((D4 * F4^2 * E4)^0.976)</f>
        <v>1.3861100085364575</v>
      </c>
      <c r="I4" s="2">
        <f t="shared" si="0"/>
        <v>173.2637510670572</v>
      </c>
      <c r="J4" s="4">
        <f t="shared" si="2"/>
        <v>9.2075649843807046</v>
      </c>
      <c r="K4" s="4">
        <f t="shared" si="1"/>
        <v>1150.945623047588</v>
      </c>
      <c r="L4">
        <v>8</v>
      </c>
    </row>
    <row r="5" spans="1:14" hidden="1" x14ac:dyDescent="0.3">
      <c r="A5" t="s">
        <v>12</v>
      </c>
      <c r="B5" t="s">
        <v>13</v>
      </c>
      <c r="C5" s="4">
        <v>0.36</v>
      </c>
      <c r="D5" s="4">
        <v>0.35</v>
      </c>
      <c r="E5">
        <v>2.5</v>
      </c>
      <c r="F5" s="2">
        <v>2.2292993630573248</v>
      </c>
      <c r="G5" s="2">
        <f t="shared" si="3"/>
        <v>3.9032526681077284</v>
      </c>
      <c r="H5" s="2">
        <f t="shared" si="4"/>
        <v>0.28251377288151469</v>
      </c>
      <c r="I5" s="2">
        <f t="shared" si="0"/>
        <v>35.314221610189335</v>
      </c>
      <c r="J5" s="4">
        <f t="shared" si="2"/>
        <v>9.029185536938618</v>
      </c>
      <c r="K5" s="4">
        <f t="shared" si="1"/>
        <v>1128.6481921173272</v>
      </c>
      <c r="L5">
        <v>8</v>
      </c>
    </row>
    <row r="6" spans="1:14" hidden="1" x14ac:dyDescent="0.3">
      <c r="A6" t="s">
        <v>12</v>
      </c>
      <c r="B6" t="s">
        <v>14</v>
      </c>
      <c r="C6" s="4">
        <v>0.766138345</v>
      </c>
      <c r="D6" s="4">
        <v>0.90500000000000003</v>
      </c>
      <c r="E6">
        <v>7</v>
      </c>
      <c r="F6" s="2">
        <v>5.5732484076433115</v>
      </c>
      <c r="G6" s="2">
        <f t="shared" si="3"/>
        <v>24.395329175673304</v>
      </c>
      <c r="H6" s="2">
        <f t="shared" si="4"/>
        <v>11.666037351206468</v>
      </c>
      <c r="I6" s="2">
        <f t="shared" si="0"/>
        <v>1458.2546689008084</v>
      </c>
      <c r="J6" s="4">
        <f t="shared" si="2"/>
        <v>9.7466968964258172</v>
      </c>
      <c r="K6" s="4">
        <f t="shared" si="1"/>
        <v>1218.3371120532272</v>
      </c>
      <c r="L6">
        <v>8</v>
      </c>
    </row>
    <row r="7" spans="1:14" hidden="1" x14ac:dyDescent="0.3">
      <c r="A7" t="s">
        <v>12</v>
      </c>
      <c r="B7" t="s">
        <v>14</v>
      </c>
      <c r="C7" s="4">
        <v>0.766138345</v>
      </c>
      <c r="D7" s="4">
        <v>0.90500000000000003</v>
      </c>
      <c r="E7">
        <v>6</v>
      </c>
      <c r="F7" s="2">
        <v>11.942675159235668</v>
      </c>
      <c r="G7" s="2">
        <f t="shared" si="3"/>
        <v>112.01936866380598</v>
      </c>
      <c r="H7" s="2">
        <f t="shared" si="4"/>
        <v>44.430587865108954</v>
      </c>
      <c r="I7" s="2">
        <f t="shared" si="0"/>
        <v>5553.8234831386189</v>
      </c>
      <c r="J7" s="4">
        <f t="shared" si="2"/>
        <v>11.980877289139517</v>
      </c>
      <c r="K7" s="4">
        <f t="shared" si="1"/>
        <v>1497.6096611424396</v>
      </c>
      <c r="L7">
        <v>8</v>
      </c>
    </row>
    <row r="8" spans="1:14" hidden="1" x14ac:dyDescent="0.3">
      <c r="A8" t="s">
        <v>12</v>
      </c>
      <c r="B8" t="s">
        <v>15</v>
      </c>
      <c r="C8" s="4">
        <v>0.47982689899999997</v>
      </c>
      <c r="D8" s="4">
        <v>0.51</v>
      </c>
      <c r="E8">
        <v>4</v>
      </c>
      <c r="F8" s="2">
        <v>1.910828025477707</v>
      </c>
      <c r="G8" s="2">
        <f t="shared" si="3"/>
        <v>2.8676958377934336</v>
      </c>
      <c r="H8" s="2">
        <f t="shared" si="4"/>
        <v>0.47770377728979629</v>
      </c>
      <c r="I8" s="2">
        <f t="shared" si="0"/>
        <v>59.712972161224535</v>
      </c>
      <c r="J8" s="4">
        <f t="shared" si="2"/>
        <v>9.0368176924013142</v>
      </c>
      <c r="K8" s="4">
        <f t="shared" si="1"/>
        <v>1129.6022115501642</v>
      </c>
      <c r="L8">
        <v>8</v>
      </c>
    </row>
    <row r="9" spans="1:14" hidden="1" x14ac:dyDescent="0.3">
      <c r="A9" t="s">
        <v>12</v>
      </c>
      <c r="B9" t="s">
        <v>15</v>
      </c>
      <c r="C9" s="4">
        <v>0.47982689899999997</v>
      </c>
      <c r="D9" s="4">
        <v>0.51</v>
      </c>
      <c r="E9">
        <v>3</v>
      </c>
      <c r="F9" s="2">
        <v>1.7515923566878979</v>
      </c>
      <c r="G9" s="2">
        <f t="shared" si="3"/>
        <v>2.4096610859236485</v>
      </c>
      <c r="H9" s="2">
        <f t="shared" si="4"/>
        <v>0.30440739427722058</v>
      </c>
      <c r="I9" s="2">
        <f t="shared" si="0"/>
        <v>38.050924284652574</v>
      </c>
      <c r="J9" s="4">
        <f t="shared" si="2"/>
        <v>9.0179147957320787</v>
      </c>
      <c r="K9" s="4">
        <f t="shared" si="1"/>
        <v>1127.2393494665098</v>
      </c>
      <c r="L9">
        <v>8</v>
      </c>
    </row>
    <row r="10" spans="1:14" hidden="1" x14ac:dyDescent="0.3">
      <c r="A10" t="s">
        <v>12</v>
      </c>
      <c r="B10" t="s">
        <v>16</v>
      </c>
      <c r="C10" s="4">
        <v>0.89361000000000002</v>
      </c>
      <c r="D10" s="4">
        <v>0.61247410899999999</v>
      </c>
      <c r="E10">
        <v>4</v>
      </c>
      <c r="F10" s="2">
        <v>4.4585987261146496</v>
      </c>
      <c r="G10" s="2">
        <f t="shared" si="3"/>
        <v>15.613010672430914</v>
      </c>
      <c r="H10" s="2">
        <f t="shared" si="4"/>
        <v>2.9857847622336413</v>
      </c>
      <c r="I10" s="2">
        <f t="shared" si="0"/>
        <v>373.22309527920515</v>
      </c>
      <c r="J10" s="4">
        <f t="shared" si="2"/>
        <v>9.2640074364071552</v>
      </c>
      <c r="K10" s="4">
        <f t="shared" si="1"/>
        <v>1158.0009295508944</v>
      </c>
      <c r="L10">
        <v>8</v>
      </c>
    </row>
    <row r="11" spans="1:14" hidden="1" x14ac:dyDescent="0.3">
      <c r="A11" t="s">
        <v>12</v>
      </c>
      <c r="B11" t="s">
        <v>17</v>
      </c>
      <c r="C11" s="4">
        <v>0.708787469</v>
      </c>
      <c r="D11" s="4">
        <v>0.80167708299999996</v>
      </c>
      <c r="E11">
        <v>9</v>
      </c>
      <c r="F11" s="2">
        <v>9.3949044585987256</v>
      </c>
      <c r="G11" s="2">
        <f t="shared" si="3"/>
        <v>69.322563967770421</v>
      </c>
      <c r="H11" s="2">
        <f t="shared" si="4"/>
        <v>36.706682659982548</v>
      </c>
      <c r="I11" s="2">
        <f t="shared" si="0"/>
        <v>4588.3353324978189</v>
      </c>
      <c r="J11" s="4">
        <f t="shared" si="2"/>
        <v>11.766023238265245</v>
      </c>
      <c r="K11" s="4">
        <f t="shared" si="1"/>
        <v>1470.7529047831556</v>
      </c>
      <c r="L11">
        <v>8</v>
      </c>
    </row>
    <row r="12" spans="1:14" hidden="1" x14ac:dyDescent="0.3">
      <c r="A12" t="s">
        <v>12</v>
      </c>
      <c r="B12" t="s">
        <v>17</v>
      </c>
      <c r="C12" s="4">
        <v>0.708787469</v>
      </c>
      <c r="D12" s="4">
        <v>0.80167708299999996</v>
      </c>
      <c r="E12">
        <v>9</v>
      </c>
      <c r="F12" s="2">
        <v>12.898089171974522</v>
      </c>
      <c r="G12" s="2">
        <f t="shared" si="3"/>
        <v>130.65939160946331</v>
      </c>
      <c r="H12" s="2">
        <f t="shared" si="4"/>
        <v>68.140413917417519</v>
      </c>
      <c r="I12" s="2">
        <f t="shared" si="0"/>
        <v>8517.5517396771902</v>
      </c>
      <c r="J12" s="4">
        <f t="shared" si="2"/>
        <v>14.226062185078501</v>
      </c>
      <c r="K12" s="4">
        <f t="shared" si="1"/>
        <v>1778.2577731348126</v>
      </c>
      <c r="L12">
        <v>8</v>
      </c>
    </row>
    <row r="13" spans="1:14" hidden="1" x14ac:dyDescent="0.3">
      <c r="A13" t="s">
        <v>12</v>
      </c>
      <c r="B13" t="s">
        <v>17</v>
      </c>
      <c r="C13" s="4">
        <v>0.708787469</v>
      </c>
      <c r="D13" s="4">
        <v>0.80167708299999996</v>
      </c>
      <c r="E13">
        <v>8</v>
      </c>
      <c r="F13" s="2">
        <v>4.2993630573248405</v>
      </c>
      <c r="G13" s="2">
        <f t="shared" si="3"/>
        <v>14.517710178829255</v>
      </c>
      <c r="H13" s="2">
        <f t="shared" si="4"/>
        <v>7.1144153482303318</v>
      </c>
      <c r="I13" s="2">
        <f t="shared" si="0"/>
        <v>889.30191852879148</v>
      </c>
      <c r="J13" s="4">
        <f t="shared" si="2"/>
        <v>9.5032666355633086</v>
      </c>
      <c r="K13" s="4">
        <f t="shared" si="1"/>
        <v>1187.9083294454135</v>
      </c>
      <c r="L13">
        <v>8</v>
      </c>
    </row>
    <row r="14" spans="1:14" hidden="1" x14ac:dyDescent="0.3">
      <c r="A14" t="s">
        <v>12</v>
      </c>
      <c r="B14" t="s">
        <v>17</v>
      </c>
      <c r="C14" s="4">
        <v>0.708787469</v>
      </c>
      <c r="D14" s="4">
        <v>0.80167708299999996</v>
      </c>
      <c r="E14">
        <v>7</v>
      </c>
      <c r="F14" s="2">
        <v>4.7770700636942669</v>
      </c>
      <c r="G14" s="2">
        <f t="shared" si="3"/>
        <v>17.923098986208956</v>
      </c>
      <c r="H14" s="2">
        <f t="shared" si="4"/>
        <v>7.6711009420756602</v>
      </c>
      <c r="I14" s="2">
        <f t="shared" si="0"/>
        <v>958.8876177594575</v>
      </c>
      <c r="J14" s="4">
        <f t="shared" si="2"/>
        <v>9.5447997606393766</v>
      </c>
      <c r="K14" s="4">
        <f t="shared" si="1"/>
        <v>1193.0999700799221</v>
      </c>
      <c r="L14">
        <v>8</v>
      </c>
    </row>
    <row r="15" spans="1:14" hidden="1" x14ac:dyDescent="0.3">
      <c r="A15" t="s">
        <v>12</v>
      </c>
      <c r="B15" t="s">
        <v>18</v>
      </c>
      <c r="C15" s="4">
        <v>0.45255480399999998</v>
      </c>
      <c r="D15" s="4">
        <v>0.57808694400000005</v>
      </c>
      <c r="E15">
        <v>9</v>
      </c>
      <c r="F15" s="2">
        <v>23.544585987261144</v>
      </c>
      <c r="G15" s="2">
        <f t="shared" si="3"/>
        <v>435.38353140519177</v>
      </c>
      <c r="H15" s="2">
        <f t="shared" si="4"/>
        <v>160.321742347585</v>
      </c>
      <c r="I15" s="2">
        <f t="shared" si="0"/>
        <v>20040.217793448126</v>
      </c>
      <c r="J15" s="4">
        <f t="shared" si="2"/>
        <v>26.447647173313314</v>
      </c>
      <c r="K15" s="4">
        <f t="shared" si="1"/>
        <v>3305.9558966641644</v>
      </c>
      <c r="L15">
        <v>8</v>
      </c>
    </row>
    <row r="16" spans="1:14" hidden="1" x14ac:dyDescent="0.3">
      <c r="A16" t="s">
        <v>12</v>
      </c>
      <c r="B16" t="s">
        <v>18</v>
      </c>
      <c r="C16" s="4">
        <v>0.45255480399999998</v>
      </c>
      <c r="D16" s="4">
        <v>0.57808694400000005</v>
      </c>
      <c r="E16">
        <v>9</v>
      </c>
      <c r="F16" s="2">
        <v>47.611464968152866</v>
      </c>
      <c r="G16" s="2">
        <f t="shared" si="3"/>
        <v>1780.3810805178525</v>
      </c>
      <c r="H16" s="2">
        <f t="shared" si="4"/>
        <v>633.80259590057665</v>
      </c>
      <c r="I16" s="2">
        <f t="shared" si="0"/>
        <v>79225.324487572085</v>
      </c>
      <c r="J16" s="4">
        <f t="shared" si="2"/>
        <v>80.391525287029893</v>
      </c>
      <c r="K16" s="4">
        <f t="shared" si="1"/>
        <v>10048.940660878736</v>
      </c>
      <c r="L16">
        <v>8</v>
      </c>
    </row>
    <row r="17" spans="1:12" hidden="1" x14ac:dyDescent="0.3">
      <c r="A17" t="s">
        <v>12</v>
      </c>
      <c r="B17" t="s">
        <v>18</v>
      </c>
      <c r="C17" s="4">
        <v>0.45255480399999998</v>
      </c>
      <c r="D17" s="4">
        <v>0.57808694400000005</v>
      </c>
      <c r="E17">
        <v>8</v>
      </c>
      <c r="F17" s="2">
        <v>13.535031847133757</v>
      </c>
      <c r="G17" s="2">
        <f t="shared" si="3"/>
        <v>143.88265575039969</v>
      </c>
      <c r="H17" s="2">
        <f t="shared" si="4"/>
        <v>48.500334635987954</v>
      </c>
      <c r="I17" s="2">
        <f t="shared" si="0"/>
        <v>6062.5418294984947</v>
      </c>
      <c r="J17" s="4">
        <f t="shared" si="2"/>
        <v>14.1152184388819</v>
      </c>
      <c r="K17" s="4">
        <f t="shared" si="1"/>
        <v>1764.4023048602376</v>
      </c>
      <c r="L17">
        <v>8</v>
      </c>
    </row>
    <row r="18" spans="1:12" hidden="1" x14ac:dyDescent="0.3">
      <c r="A18" t="s">
        <v>12</v>
      </c>
      <c r="B18" t="s">
        <v>18</v>
      </c>
      <c r="C18" s="4">
        <v>0.45255480399999998</v>
      </c>
      <c r="D18" s="4">
        <v>0.57808694400000005</v>
      </c>
      <c r="E18">
        <v>8</v>
      </c>
      <c r="F18" s="2">
        <v>49.044585987261144</v>
      </c>
      <c r="G18" s="2">
        <f t="shared" si="3"/>
        <v>1889.1742913641408</v>
      </c>
      <c r="H18" s="2">
        <f t="shared" si="4"/>
        <v>598.64587002559119</v>
      </c>
      <c r="I18" s="2">
        <f t="shared" si="0"/>
        <v>74830.733753198903</v>
      </c>
      <c r="J18" s="4">
        <f t="shared" si="2"/>
        <v>76.336099610531861</v>
      </c>
      <c r="K18" s="4">
        <f t="shared" si="1"/>
        <v>9542.0124513164828</v>
      </c>
      <c r="L18">
        <v>8</v>
      </c>
    </row>
    <row r="19" spans="1:12" hidden="1" x14ac:dyDescent="0.3">
      <c r="A19" t="s">
        <v>12</v>
      </c>
      <c r="B19" t="s">
        <v>19</v>
      </c>
      <c r="C19" s="4">
        <v>0.374</v>
      </c>
      <c r="D19" s="4">
        <v>0.47945833300000001</v>
      </c>
      <c r="E19">
        <v>6</v>
      </c>
      <c r="F19" s="2">
        <v>4.936305732484076</v>
      </c>
      <c r="G19" s="2">
        <f t="shared" si="3"/>
        <v>19.137886806385342</v>
      </c>
      <c r="H19" s="2">
        <f t="shared" si="4"/>
        <v>4.2601445623777083</v>
      </c>
      <c r="I19" s="2">
        <f t="shared" si="0"/>
        <v>532.51807029721351</v>
      </c>
      <c r="J19" s="4">
        <f t="shared" si="2"/>
        <v>9.4974093999756573</v>
      </c>
      <c r="K19" s="4">
        <f t="shared" si="1"/>
        <v>1187.1761749969571</v>
      </c>
      <c r="L19">
        <v>8</v>
      </c>
    </row>
    <row r="20" spans="1:12" hidden="1" x14ac:dyDescent="0.3">
      <c r="A20" t="s">
        <v>12</v>
      </c>
      <c r="B20" t="s">
        <v>19</v>
      </c>
      <c r="C20" s="4">
        <v>0.374</v>
      </c>
      <c r="D20" s="4">
        <v>0.47945833300000001</v>
      </c>
      <c r="E20">
        <v>5</v>
      </c>
      <c r="F20" s="2">
        <v>3.6624203821656049</v>
      </c>
      <c r="G20" s="2">
        <f t="shared" si="3"/>
        <v>10.534799293005044</v>
      </c>
      <c r="H20" s="2">
        <f t="shared" si="4"/>
        <v>1.9911232792925877</v>
      </c>
      <c r="I20" s="2">
        <f t="shared" si="0"/>
        <v>248.89040991157347</v>
      </c>
      <c r="J20" s="4">
        <f t="shared" si="2"/>
        <v>9.2204331534747848</v>
      </c>
      <c r="K20" s="4">
        <f t="shared" si="1"/>
        <v>1152.5541441843482</v>
      </c>
      <c r="L20">
        <v>8</v>
      </c>
    </row>
    <row r="21" spans="1:12" hidden="1" x14ac:dyDescent="0.3">
      <c r="A21" t="s">
        <v>12</v>
      </c>
      <c r="B21" t="s">
        <v>20</v>
      </c>
      <c r="C21" s="4">
        <v>0.74387999999999999</v>
      </c>
      <c r="D21" s="4">
        <v>0.59130000000000005</v>
      </c>
      <c r="E21">
        <v>6</v>
      </c>
      <c r="F21" s="2">
        <v>3.8216560509554141</v>
      </c>
      <c r="G21" s="2">
        <f t="shared" si="3"/>
        <v>11.470783351173734</v>
      </c>
      <c r="H21" s="2">
        <f t="shared" si="4"/>
        <v>3.1719789293523761</v>
      </c>
      <c r="I21" s="2">
        <f t="shared" si="0"/>
        <v>396.49736616904704</v>
      </c>
      <c r="J21" s="4">
        <f t="shared" si="2"/>
        <v>9.2924061544078871</v>
      </c>
      <c r="K21" s="4">
        <f t="shared" si="1"/>
        <v>1161.5507693009858</v>
      </c>
      <c r="L21">
        <v>8</v>
      </c>
    </row>
    <row r="22" spans="1:12" hidden="1" x14ac:dyDescent="0.3">
      <c r="A22" t="s">
        <v>12</v>
      </c>
      <c r="B22" t="s">
        <v>20</v>
      </c>
      <c r="C22" s="4">
        <v>0.74387999999999999</v>
      </c>
      <c r="D22" s="4">
        <v>0.59130000000000005</v>
      </c>
      <c r="E22">
        <v>10.1</v>
      </c>
      <c r="F22" s="2">
        <v>18.312101910828027</v>
      </c>
      <c r="G22" s="2">
        <f t="shared" si="3"/>
        <v>263.3699823251261</v>
      </c>
      <c r="H22" s="2">
        <f t="shared" si="4"/>
        <v>112.30062537116449</v>
      </c>
      <c r="I22" s="2">
        <f t="shared" si="0"/>
        <v>14037.57817139556</v>
      </c>
      <c r="J22" s="4">
        <f t="shared" si="2"/>
        <v>20.839724250476692</v>
      </c>
      <c r="K22" s="4">
        <f t="shared" si="1"/>
        <v>2604.9655313095864</v>
      </c>
      <c r="L22">
        <v>8</v>
      </c>
    </row>
    <row r="23" spans="1:12" hidden="1" x14ac:dyDescent="0.3">
      <c r="A23" t="s">
        <v>12</v>
      </c>
      <c r="B23" t="s">
        <v>21</v>
      </c>
      <c r="C23" s="4">
        <v>0.66608171000000005</v>
      </c>
      <c r="D23" s="4">
        <v>0.68661666700000001</v>
      </c>
      <c r="E23">
        <v>5</v>
      </c>
      <c r="F23" s="2">
        <v>2.7070063694267517</v>
      </c>
      <c r="G23" s="2">
        <f t="shared" si="3"/>
        <v>5.7553062300159885</v>
      </c>
      <c r="H23" s="2">
        <f t="shared" si="4"/>
        <v>1.5669749562967354</v>
      </c>
      <c r="I23" s="2">
        <f t="shared" si="0"/>
        <v>195.87186953709192</v>
      </c>
      <c r="J23" s="4">
        <f t="shared" si="2"/>
        <v>9.1139379609720468</v>
      </c>
      <c r="K23" s="4">
        <f t="shared" si="1"/>
        <v>1139.2422451215059</v>
      </c>
      <c r="L23">
        <v>8</v>
      </c>
    </row>
    <row r="24" spans="1:12" hidden="1" x14ac:dyDescent="0.3">
      <c r="A24" t="s">
        <v>12</v>
      </c>
      <c r="B24" t="s">
        <v>21</v>
      </c>
      <c r="C24" s="4">
        <v>0.66608171000000005</v>
      </c>
      <c r="D24" s="4">
        <v>0.68661666700000001</v>
      </c>
      <c r="E24">
        <v>5</v>
      </c>
      <c r="F24" s="2">
        <v>3.5031847133757958</v>
      </c>
      <c r="G24" s="2">
        <f t="shared" si="3"/>
        <v>9.6386443436945939</v>
      </c>
      <c r="H24" s="2">
        <f t="shared" si="4"/>
        <v>2.5919990258533456</v>
      </c>
      <c r="I24" s="2">
        <f t="shared" si="0"/>
        <v>323.99987823166822</v>
      </c>
      <c r="J24" s="4">
        <f t="shared" si="2"/>
        <v>9.2004653048805221</v>
      </c>
      <c r="K24" s="4">
        <f t="shared" si="1"/>
        <v>1150.0581631100652</v>
      </c>
      <c r="L24">
        <v>8</v>
      </c>
    </row>
    <row r="25" spans="1:12" hidden="1" x14ac:dyDescent="0.3">
      <c r="A25" t="s">
        <v>12</v>
      </c>
      <c r="B25" t="s">
        <v>21</v>
      </c>
      <c r="C25" s="4">
        <v>0.66608171000000005</v>
      </c>
      <c r="D25" s="4">
        <v>0.68661666700000001</v>
      </c>
      <c r="E25">
        <v>5</v>
      </c>
      <c r="F25" s="2">
        <v>6.2101910828025479</v>
      </c>
      <c r="G25" s="2">
        <f t="shared" si="3"/>
        <v>30.290037286693146</v>
      </c>
      <c r="H25" s="2">
        <f t="shared" si="4"/>
        <v>7.9247190414458375</v>
      </c>
      <c r="I25" s="2">
        <f t="shared" si="0"/>
        <v>990.58988018072966</v>
      </c>
      <c r="J25" s="4">
        <f t="shared" si="2"/>
        <v>9.6606132824861053</v>
      </c>
      <c r="K25" s="4">
        <f t="shared" si="1"/>
        <v>1207.5766603107631</v>
      </c>
      <c r="L25">
        <v>8</v>
      </c>
    </row>
    <row r="26" spans="1:12" hidden="1" x14ac:dyDescent="0.3">
      <c r="A26" t="s">
        <v>12</v>
      </c>
      <c r="B26" t="s">
        <v>21</v>
      </c>
      <c r="C26" s="4">
        <v>0.66608171000000005</v>
      </c>
      <c r="D26" s="4">
        <v>0.68661666700000001</v>
      </c>
      <c r="E26">
        <v>4</v>
      </c>
      <c r="F26" s="2">
        <v>3.3439490445859872</v>
      </c>
      <c r="G26" s="2">
        <f t="shared" si="3"/>
        <v>8.7823185032423901</v>
      </c>
      <c r="H26" s="2">
        <f t="shared" si="4"/>
        <v>1.9037663739053985</v>
      </c>
      <c r="I26" s="2">
        <f t="shared" si="0"/>
        <v>237.97079673817481</v>
      </c>
      <c r="J26" s="4">
        <f t="shared" si="2"/>
        <v>9.1422479329790249</v>
      </c>
      <c r="K26" s="4">
        <f t="shared" si="1"/>
        <v>1142.7809916223782</v>
      </c>
      <c r="L26">
        <v>8</v>
      </c>
    </row>
    <row r="27" spans="1:12" hidden="1" x14ac:dyDescent="0.3">
      <c r="A27" t="s">
        <v>12</v>
      </c>
      <c r="B27" t="s">
        <v>22</v>
      </c>
      <c r="C27" s="4">
        <v>0.43836446099999998</v>
      </c>
      <c r="D27" s="4">
        <v>0.58666666700000003</v>
      </c>
      <c r="E27">
        <v>7</v>
      </c>
      <c r="F27" s="2">
        <v>19.936305732484072</v>
      </c>
      <c r="G27" s="2">
        <f t="shared" si="3"/>
        <v>312.16143725864976</v>
      </c>
      <c r="H27" s="2">
        <f t="shared" si="4"/>
        <v>91.978684962229181</v>
      </c>
      <c r="I27" s="2">
        <f t="shared" si="0"/>
        <v>11497.335620278647</v>
      </c>
      <c r="J27" s="4">
        <f t="shared" si="2"/>
        <v>18.723379013347394</v>
      </c>
      <c r="K27" s="4">
        <f t="shared" si="1"/>
        <v>2340.422376668424</v>
      </c>
      <c r="L27">
        <v>8</v>
      </c>
    </row>
    <row r="28" spans="1:12" hidden="1" x14ac:dyDescent="0.3">
      <c r="A28" t="s">
        <v>12</v>
      </c>
      <c r="B28" t="s">
        <v>22</v>
      </c>
      <c r="C28" s="4">
        <v>0.43836446099999998</v>
      </c>
      <c r="D28" s="4">
        <v>0.58666666700000003</v>
      </c>
      <c r="E28">
        <v>7</v>
      </c>
      <c r="F28" s="2">
        <v>6.5286624203821653</v>
      </c>
      <c r="G28" s="2">
        <f t="shared" si="3"/>
        <v>33.476365995352509</v>
      </c>
      <c r="H28" s="2">
        <f t="shared" si="4"/>
        <v>10.40681021185018</v>
      </c>
      <c r="I28" s="2">
        <f t="shared" si="0"/>
        <v>1300.8512764812726</v>
      </c>
      <c r="J28" s="4">
        <f t="shared" si="2"/>
        <v>10.029974108483103</v>
      </c>
      <c r="K28" s="4">
        <f t="shared" si="1"/>
        <v>1253.7467635603878</v>
      </c>
      <c r="L28">
        <v>8</v>
      </c>
    </row>
    <row r="29" spans="1:12" hidden="1" x14ac:dyDescent="0.3">
      <c r="A29" t="s">
        <v>12</v>
      </c>
      <c r="B29" t="s">
        <v>22</v>
      </c>
      <c r="C29" s="4">
        <v>0.43836446099999998</v>
      </c>
      <c r="D29" s="4">
        <v>0.58666666700000003</v>
      </c>
      <c r="E29">
        <v>4</v>
      </c>
      <c r="F29" s="2">
        <v>10.764331210191081</v>
      </c>
      <c r="G29" s="2">
        <f t="shared" si="3"/>
        <v>91.004734248020256</v>
      </c>
      <c r="H29" s="2">
        <f t="shared" si="4"/>
        <v>15.9961092306367</v>
      </c>
      <c r="I29" s="2">
        <f t="shared" si="0"/>
        <v>1999.5136538295874</v>
      </c>
      <c r="J29" s="4">
        <f t="shared" si="2"/>
        <v>10.607891569637712</v>
      </c>
      <c r="K29" s="4">
        <f t="shared" si="1"/>
        <v>1325.986446204714</v>
      </c>
      <c r="L29">
        <v>8</v>
      </c>
    </row>
    <row r="30" spans="1:12" hidden="1" x14ac:dyDescent="0.3">
      <c r="A30" t="s">
        <v>12</v>
      </c>
      <c r="B30" t="s">
        <v>23</v>
      </c>
      <c r="C30" s="4">
        <v>0.76500000000000001</v>
      </c>
      <c r="D30" s="4">
        <v>0.61247410899999999</v>
      </c>
      <c r="E30">
        <v>10</v>
      </c>
      <c r="F30" s="2">
        <v>21.815286624203821</v>
      </c>
      <c r="G30" s="2">
        <f t="shared" si="3"/>
        <v>373.77627208017333</v>
      </c>
      <c r="H30" s="2">
        <f t="shared" si="4"/>
        <v>161.98470737818045</v>
      </c>
      <c r="I30" s="2">
        <f t="shared" si="0"/>
        <v>20248.088422272554</v>
      </c>
      <c r="J30" s="4">
        <f t="shared" si="2"/>
        <v>25.642435567365816</v>
      </c>
      <c r="K30" s="4">
        <f t="shared" si="1"/>
        <v>3205.3044459207267</v>
      </c>
      <c r="L30">
        <v>8</v>
      </c>
    </row>
    <row r="31" spans="1:12" hidden="1" x14ac:dyDescent="0.3">
      <c r="A31" t="s">
        <v>12</v>
      </c>
      <c r="B31" t="s">
        <v>23</v>
      </c>
      <c r="C31" s="4">
        <v>0.76500000000000001</v>
      </c>
      <c r="D31" s="4">
        <v>0.61247410899999999</v>
      </c>
      <c r="E31">
        <v>10</v>
      </c>
      <c r="F31" s="2">
        <v>21.592356687898086</v>
      </c>
      <c r="G31" s="2">
        <f t="shared" si="3"/>
        <v>366.17608152784345</v>
      </c>
      <c r="H31" s="2">
        <f t="shared" si="4"/>
        <v>158.76924609177664</v>
      </c>
      <c r="I31" s="2">
        <f t="shared" si="0"/>
        <v>19846.15576147208</v>
      </c>
      <c r="J31" s="4">
        <f t="shared" si="2"/>
        <v>25.3037453568096</v>
      </c>
      <c r="K31" s="4">
        <f t="shared" si="1"/>
        <v>3162.9681696011999</v>
      </c>
      <c r="L31">
        <v>8</v>
      </c>
    </row>
    <row r="32" spans="1:12" hidden="1" x14ac:dyDescent="0.3">
      <c r="A32" t="s">
        <v>12</v>
      </c>
      <c r="B32" t="s">
        <v>23</v>
      </c>
      <c r="C32" s="4">
        <v>0.76500000000000001</v>
      </c>
      <c r="D32" s="4">
        <v>0.61247410899999999</v>
      </c>
      <c r="E32">
        <v>10</v>
      </c>
      <c r="F32" s="2">
        <v>27.133757961783438</v>
      </c>
      <c r="G32" s="2">
        <f t="shared" si="3"/>
        <v>578.24218873266784</v>
      </c>
      <c r="H32" s="2">
        <f t="shared" si="4"/>
        <v>247.98425592077845</v>
      </c>
      <c r="I32" s="2">
        <f t="shared" si="0"/>
        <v>30998.031990097308</v>
      </c>
      <c r="J32" s="4">
        <f t="shared" si="2"/>
        <v>34.754128739502612</v>
      </c>
      <c r="K32" s="4">
        <f t="shared" si="1"/>
        <v>4344.266092437826</v>
      </c>
      <c r="L32">
        <v>8</v>
      </c>
    </row>
    <row r="33" spans="1:12" hidden="1" x14ac:dyDescent="0.3">
      <c r="A33" t="s">
        <v>12</v>
      </c>
      <c r="B33" t="s">
        <v>24</v>
      </c>
      <c r="C33" s="4">
        <v>0.41240947999999999</v>
      </c>
      <c r="D33" s="4">
        <v>0.52705000000000002</v>
      </c>
      <c r="E33">
        <v>9</v>
      </c>
      <c r="F33" s="2">
        <v>6.2101910828025479</v>
      </c>
      <c r="G33" s="2">
        <f t="shared" si="3"/>
        <v>30.290037286693146</v>
      </c>
      <c r="H33" s="2">
        <f t="shared" si="4"/>
        <v>10.864857029557426</v>
      </c>
      <c r="I33" s="2">
        <f t="shared" si="0"/>
        <v>1358.1071286946783</v>
      </c>
      <c r="J33" s="4">
        <f t="shared" si="2"/>
        <v>10.200543908474989</v>
      </c>
      <c r="K33" s="4">
        <f t="shared" si="1"/>
        <v>1275.0679885593736</v>
      </c>
      <c r="L33">
        <v>8</v>
      </c>
    </row>
    <row r="34" spans="1:12" hidden="1" x14ac:dyDescent="0.3">
      <c r="A34" t="s">
        <v>12</v>
      </c>
      <c r="B34" t="s">
        <v>24</v>
      </c>
      <c r="C34" s="4">
        <v>0.41240947999999999</v>
      </c>
      <c r="D34" s="4">
        <v>0.52705000000000002</v>
      </c>
      <c r="E34">
        <v>8.5</v>
      </c>
      <c r="F34" s="2">
        <v>7.484076433121019</v>
      </c>
      <c r="G34" s="2">
        <f t="shared" si="3"/>
        <v>43.991250733928432</v>
      </c>
      <c r="H34" s="2">
        <f t="shared" si="4"/>
        <v>14.790167889295736</v>
      </c>
      <c r="I34" s="2">
        <f t="shared" si="0"/>
        <v>1848.7709861619669</v>
      </c>
      <c r="J34" s="4">
        <f t="shared" si="2"/>
        <v>10.652039151689724</v>
      </c>
      <c r="K34" s="4">
        <f t="shared" si="1"/>
        <v>1331.5048939612154</v>
      </c>
      <c r="L34">
        <v>8</v>
      </c>
    </row>
    <row r="35" spans="1:12" hidden="1" x14ac:dyDescent="0.3">
      <c r="A35" t="s">
        <v>12</v>
      </c>
      <c r="B35" t="s">
        <v>24</v>
      </c>
      <c r="C35" s="4">
        <v>0.41240947999999999</v>
      </c>
      <c r="D35" s="4">
        <v>0.52705000000000002</v>
      </c>
      <c r="E35">
        <v>8.5</v>
      </c>
      <c r="F35" s="2">
        <v>5.5732484076433115</v>
      </c>
      <c r="G35" s="2">
        <f t="shared" si="3"/>
        <v>24.395329175673304</v>
      </c>
      <c r="H35" s="2">
        <f t="shared" si="4"/>
        <v>8.3187659930417581</v>
      </c>
      <c r="I35" s="2">
        <f t="shared" si="0"/>
        <v>1039.8457491302197</v>
      </c>
      <c r="J35" s="4">
        <f t="shared" si="2"/>
        <v>9.9097676599456364</v>
      </c>
      <c r="K35" s="4">
        <f t="shared" si="1"/>
        <v>1238.7209574932047</v>
      </c>
      <c r="L35">
        <v>8</v>
      </c>
    </row>
    <row r="36" spans="1:12" hidden="1" x14ac:dyDescent="0.3">
      <c r="A36" t="s">
        <v>12</v>
      </c>
      <c r="B36" t="s">
        <v>24</v>
      </c>
      <c r="C36" s="4">
        <v>0.41240947999999999</v>
      </c>
      <c r="D36" s="4">
        <v>0.52705000000000002</v>
      </c>
      <c r="E36">
        <v>4</v>
      </c>
      <c r="F36" s="2">
        <v>5.8917197452229297</v>
      </c>
      <c r="G36" s="2">
        <f t="shared" si="3"/>
        <v>27.263025013466741</v>
      </c>
      <c r="H36" s="2">
        <f t="shared" si="4"/>
        <v>4.4428896908761519</v>
      </c>
      <c r="I36" s="2">
        <f t="shared" si="0"/>
        <v>555.36121135951896</v>
      </c>
      <c r="J36" s="4">
        <f t="shared" si="2"/>
        <v>9.4716730617874951</v>
      </c>
      <c r="K36" s="4">
        <f t="shared" si="1"/>
        <v>1183.9591327234368</v>
      </c>
      <c r="L36">
        <v>8</v>
      </c>
    </row>
    <row r="37" spans="1:12" hidden="1" x14ac:dyDescent="0.3">
      <c r="A37" t="s">
        <v>12</v>
      </c>
      <c r="B37" t="s">
        <v>24</v>
      </c>
      <c r="C37" s="4">
        <v>0.41240947999999999</v>
      </c>
      <c r="D37" s="4">
        <v>0.52705000000000002</v>
      </c>
      <c r="E37">
        <v>2.7</v>
      </c>
      <c r="F37" s="2">
        <v>2.0700636942675157</v>
      </c>
      <c r="G37" s="2">
        <f t="shared" si="3"/>
        <v>3.3655596985214595</v>
      </c>
      <c r="H37" s="2">
        <f t="shared" si="4"/>
        <v>0.39296481920279069</v>
      </c>
      <c r="I37" s="2">
        <f t="shared" si="0"/>
        <v>49.120602400348837</v>
      </c>
      <c r="J37" s="4">
        <f t="shared" si="2"/>
        <v>9.0261947969491665</v>
      </c>
      <c r="K37" s="4">
        <f t="shared" si="1"/>
        <v>1128.2743496186458</v>
      </c>
      <c r="L37">
        <v>8</v>
      </c>
    </row>
    <row r="38" spans="1:12" hidden="1" x14ac:dyDescent="0.3">
      <c r="A38" t="s">
        <v>25</v>
      </c>
      <c r="B38" t="s">
        <v>26</v>
      </c>
      <c r="C38" s="4">
        <v>0.80908761900000004</v>
      </c>
      <c r="D38" s="4">
        <v>0.87473809499999999</v>
      </c>
      <c r="E38">
        <v>7</v>
      </c>
      <c r="F38" s="2">
        <v>5.8917197452229297</v>
      </c>
      <c r="G38" s="2">
        <f t="shared" si="3"/>
        <v>27.263025013466741</v>
      </c>
      <c r="H38" s="2">
        <f t="shared" si="4"/>
        <v>12.578135231310311</v>
      </c>
      <c r="I38" s="2">
        <f t="shared" si="0"/>
        <v>1572.2669039137888</v>
      </c>
      <c r="J38" s="4">
        <f t="shared" si="2"/>
        <v>9.8361528581281181</v>
      </c>
      <c r="K38" s="4">
        <f t="shared" si="1"/>
        <v>1229.5191072660148</v>
      </c>
      <c r="L38">
        <v>8</v>
      </c>
    </row>
    <row r="39" spans="1:12" hidden="1" x14ac:dyDescent="0.3">
      <c r="A39" t="s">
        <v>25</v>
      </c>
      <c r="B39" t="s">
        <v>13</v>
      </c>
      <c r="C39" s="4">
        <v>0.36</v>
      </c>
      <c r="D39" s="4">
        <v>0.35</v>
      </c>
      <c r="E39">
        <v>5</v>
      </c>
      <c r="F39" s="2">
        <v>5.5095541401273884</v>
      </c>
      <c r="G39" s="2">
        <f t="shared" si="3"/>
        <v>23.840907980366573</v>
      </c>
      <c r="H39" s="2">
        <f t="shared" si="4"/>
        <v>3.2499712566168633</v>
      </c>
      <c r="I39" s="2">
        <f t="shared" si="0"/>
        <v>406.2464070771079</v>
      </c>
      <c r="J39" s="4">
        <f t="shared" si="2"/>
        <v>9.5169157694024094</v>
      </c>
      <c r="K39" s="4">
        <f t="shared" si="1"/>
        <v>1189.6144711753011</v>
      </c>
      <c r="L39">
        <v>8</v>
      </c>
    </row>
    <row r="40" spans="1:12" hidden="1" x14ac:dyDescent="0.3">
      <c r="A40" t="s">
        <v>25</v>
      </c>
      <c r="B40" t="s">
        <v>13</v>
      </c>
      <c r="C40" s="4">
        <v>0.36</v>
      </c>
      <c r="D40" s="4">
        <v>0.35</v>
      </c>
      <c r="E40">
        <v>2.2999999999999998</v>
      </c>
      <c r="F40" s="2">
        <v>4.4585987261146496</v>
      </c>
      <c r="G40" s="2">
        <f t="shared" si="3"/>
        <v>15.613010672430914</v>
      </c>
      <c r="H40" s="2">
        <f t="shared" si="4"/>
        <v>1.0076439369639711</v>
      </c>
      <c r="I40" s="2">
        <f t="shared" si="0"/>
        <v>125.95549212049639</v>
      </c>
      <c r="J40" s="4">
        <f t="shared" si="2"/>
        <v>9.145726775934115</v>
      </c>
      <c r="K40" s="4">
        <f t="shared" si="1"/>
        <v>1143.2158469917645</v>
      </c>
      <c r="L40">
        <v>8</v>
      </c>
    </row>
    <row r="41" spans="1:12" hidden="1" x14ac:dyDescent="0.3">
      <c r="A41" t="s">
        <v>25</v>
      </c>
      <c r="B41" t="s">
        <v>14</v>
      </c>
      <c r="C41" s="4">
        <v>0.766138345</v>
      </c>
      <c r="D41" s="4">
        <v>0.90500000000000003</v>
      </c>
      <c r="E41">
        <v>7</v>
      </c>
      <c r="F41" s="2">
        <v>9.0764331210191074</v>
      </c>
      <c r="G41" s="2">
        <f t="shared" si="3"/>
        <v>64.702387340214344</v>
      </c>
      <c r="H41" s="2">
        <f t="shared" si="4"/>
        <v>30.225274816805985</v>
      </c>
      <c r="I41" s="2">
        <f t="shared" si="0"/>
        <v>3778.159352100748</v>
      </c>
      <c r="J41" s="4">
        <f t="shared" si="2"/>
        <v>11.00405013590815</v>
      </c>
      <c r="K41" s="4">
        <f t="shared" si="1"/>
        <v>1375.5062669885187</v>
      </c>
      <c r="L41">
        <v>8</v>
      </c>
    </row>
    <row r="42" spans="1:12" hidden="1" x14ac:dyDescent="0.3">
      <c r="A42" t="s">
        <v>25</v>
      </c>
      <c r="B42" t="s">
        <v>14</v>
      </c>
      <c r="C42" s="4">
        <v>0.766138345</v>
      </c>
      <c r="D42" s="4">
        <v>0.90500000000000003</v>
      </c>
      <c r="E42">
        <v>5.5</v>
      </c>
      <c r="F42" s="2">
        <v>8.7579617834394909</v>
      </c>
      <c r="G42" s="2">
        <f t="shared" si="3"/>
        <v>60.241527148091237</v>
      </c>
      <c r="H42" s="2">
        <f t="shared" si="4"/>
        <v>22.277620825237975</v>
      </c>
      <c r="I42" s="2">
        <f t="shared" si="0"/>
        <v>2784.7026031547466</v>
      </c>
      <c r="J42" s="4">
        <f t="shared" si="2"/>
        <v>10.462211471053593</v>
      </c>
      <c r="K42" s="4">
        <f t="shared" si="1"/>
        <v>1307.7764338816992</v>
      </c>
      <c r="L42">
        <v>8</v>
      </c>
    </row>
    <row r="43" spans="1:12" hidden="1" x14ac:dyDescent="0.3">
      <c r="A43" t="s">
        <v>25</v>
      </c>
      <c r="B43" t="s">
        <v>14</v>
      </c>
      <c r="C43" s="4">
        <v>0.766138345</v>
      </c>
      <c r="D43" s="4">
        <v>0.90500000000000003</v>
      </c>
      <c r="E43">
        <v>5</v>
      </c>
      <c r="F43" s="2">
        <v>4.936305732484076</v>
      </c>
      <c r="G43" s="2">
        <f t="shared" si="3"/>
        <v>19.137886806385342</v>
      </c>
      <c r="H43" s="2">
        <f t="shared" si="4"/>
        <v>6.6285662851316234</v>
      </c>
      <c r="I43" s="2">
        <f t="shared" si="0"/>
        <v>828.57078564145297</v>
      </c>
      <c r="J43" s="4">
        <f t="shared" si="2"/>
        <v>9.4121244999797149</v>
      </c>
      <c r="K43" s="4">
        <f t="shared" si="1"/>
        <v>1176.5155624974643</v>
      </c>
      <c r="L43">
        <v>8</v>
      </c>
    </row>
    <row r="44" spans="1:12" hidden="1" x14ac:dyDescent="0.3">
      <c r="A44" t="s">
        <v>25</v>
      </c>
      <c r="B44" t="s">
        <v>18</v>
      </c>
      <c r="C44" s="4">
        <v>0.45255480399999998</v>
      </c>
      <c r="D44" s="4">
        <v>0.57808694400000005</v>
      </c>
      <c r="E44">
        <v>9</v>
      </c>
      <c r="F44" s="2">
        <v>44.904458598726116</v>
      </c>
      <c r="G44" s="2">
        <f t="shared" si="3"/>
        <v>1583.6850264214238</v>
      </c>
      <c r="H44" s="2">
        <f t="shared" si="4"/>
        <v>565.36655473751841</v>
      </c>
      <c r="I44" s="2">
        <f t="shared" si="0"/>
        <v>70670.819342189803</v>
      </c>
      <c r="J44" s="4">
        <f t="shared" si="2"/>
        <v>72.502627664408294</v>
      </c>
      <c r="K44" s="4">
        <f t="shared" si="1"/>
        <v>9062.8284580510372</v>
      </c>
      <c r="L44">
        <v>8</v>
      </c>
    </row>
    <row r="45" spans="1:12" hidden="1" x14ac:dyDescent="0.3">
      <c r="A45" t="s">
        <v>25</v>
      </c>
      <c r="B45" t="s">
        <v>18</v>
      </c>
      <c r="C45" s="4">
        <v>0.45255480399999998</v>
      </c>
      <c r="D45" s="4">
        <v>0.57808694400000005</v>
      </c>
      <c r="E45">
        <v>8</v>
      </c>
      <c r="F45" s="2">
        <v>26.273885350318469</v>
      </c>
      <c r="G45" s="2">
        <f t="shared" si="3"/>
        <v>542.173744332821</v>
      </c>
      <c r="H45" s="2">
        <f t="shared" si="4"/>
        <v>177.03031870356764</v>
      </c>
      <c r="I45" s="2">
        <f t="shared" si="0"/>
        <v>22128.789837945955</v>
      </c>
      <c r="J45" s="4">
        <f t="shared" si="2"/>
        <v>28.314577439247024</v>
      </c>
      <c r="K45" s="4">
        <f t="shared" si="1"/>
        <v>3539.3221799058779</v>
      </c>
      <c r="L45">
        <v>8</v>
      </c>
    </row>
    <row r="46" spans="1:12" hidden="1" x14ac:dyDescent="0.3">
      <c r="A46" t="s">
        <v>25</v>
      </c>
      <c r="B46" t="s">
        <v>18</v>
      </c>
      <c r="C46" s="4">
        <v>0.45255480399999998</v>
      </c>
      <c r="D46" s="4">
        <v>0.57808694400000005</v>
      </c>
      <c r="E46">
        <v>7</v>
      </c>
      <c r="F46" s="2">
        <v>47.133757961783438</v>
      </c>
      <c r="G46" s="2">
        <f t="shared" si="3"/>
        <v>1744.8336008618714</v>
      </c>
      <c r="H46" s="2">
        <f t="shared" si="4"/>
        <v>486.27312935614452</v>
      </c>
      <c r="I46" s="2">
        <f t="shared" si="0"/>
        <v>60784.141169518065</v>
      </c>
      <c r="J46" s="4">
        <f t="shared" si="2"/>
        <v>63.414682920199603</v>
      </c>
      <c r="K46" s="4">
        <f t="shared" si="1"/>
        <v>7926.8353650249501</v>
      </c>
      <c r="L46">
        <v>8</v>
      </c>
    </row>
    <row r="47" spans="1:12" hidden="1" x14ac:dyDescent="0.3">
      <c r="A47" t="s">
        <v>25</v>
      </c>
      <c r="B47" t="s">
        <v>20</v>
      </c>
      <c r="C47" s="4">
        <v>0.74387999999999999</v>
      </c>
      <c r="D47" s="4">
        <v>0.59130000000000005</v>
      </c>
      <c r="E47">
        <v>7</v>
      </c>
      <c r="F47" s="2">
        <v>6.3694267515923562</v>
      </c>
      <c r="G47" s="2">
        <f t="shared" si="3"/>
        <v>31.863287086593701</v>
      </c>
      <c r="H47" s="2">
        <f t="shared" si="4"/>
        <v>9.993534582563397</v>
      </c>
      <c r="I47" s="2">
        <f t="shared" si="0"/>
        <v>1249.1918228204247</v>
      </c>
      <c r="J47" s="4">
        <f t="shared" si="2"/>
        <v>9.9796551300255576</v>
      </c>
      <c r="K47" s="4">
        <f t="shared" si="1"/>
        <v>1247.4568912531947</v>
      </c>
      <c r="L47">
        <v>8</v>
      </c>
    </row>
    <row r="48" spans="1:12" hidden="1" x14ac:dyDescent="0.3">
      <c r="A48" t="s">
        <v>25</v>
      </c>
      <c r="B48" t="s">
        <v>20</v>
      </c>
      <c r="C48" s="4">
        <v>0.74387999999999999</v>
      </c>
      <c r="D48" s="4">
        <v>0.59130000000000005</v>
      </c>
      <c r="E48">
        <v>6</v>
      </c>
      <c r="F48" s="2">
        <v>3.8216560509554141</v>
      </c>
      <c r="G48" s="2">
        <f t="shared" si="3"/>
        <v>11.470783351173734</v>
      </c>
      <c r="H48" s="2">
        <f t="shared" si="4"/>
        <v>3.1719789293523761</v>
      </c>
      <c r="I48" s="2">
        <f t="shared" si="0"/>
        <v>396.49736616904704</v>
      </c>
      <c r="J48" s="4">
        <f t="shared" si="2"/>
        <v>9.2924061544078871</v>
      </c>
      <c r="K48" s="4">
        <f t="shared" si="1"/>
        <v>1161.5507693009858</v>
      </c>
      <c r="L48">
        <v>8</v>
      </c>
    </row>
    <row r="49" spans="1:12" hidden="1" x14ac:dyDescent="0.3">
      <c r="A49" t="s">
        <v>25</v>
      </c>
      <c r="B49" t="s">
        <v>20</v>
      </c>
      <c r="C49" s="4">
        <v>0.74387999999999999</v>
      </c>
      <c r="D49" s="4">
        <v>0.59130000000000005</v>
      </c>
      <c r="E49">
        <v>5</v>
      </c>
      <c r="F49" s="2">
        <v>5.0955414012738851</v>
      </c>
      <c r="G49" s="2">
        <f t="shared" si="3"/>
        <v>20.392503735419968</v>
      </c>
      <c r="H49" s="2">
        <f t="shared" si="4"/>
        <v>4.6551085387138649</v>
      </c>
      <c r="I49" s="2">
        <f t="shared" si="0"/>
        <v>581.88856733923308</v>
      </c>
      <c r="J49" s="4">
        <f t="shared" si="2"/>
        <v>9.4400794880116834</v>
      </c>
      <c r="K49" s="4">
        <f t="shared" si="1"/>
        <v>1180.0099360014603</v>
      </c>
      <c r="L49">
        <v>8</v>
      </c>
    </row>
    <row r="50" spans="1:12" hidden="1" x14ac:dyDescent="0.3">
      <c r="A50" t="s">
        <v>25</v>
      </c>
      <c r="B50" t="s">
        <v>20</v>
      </c>
      <c r="C50" s="4">
        <v>0.74387999999999999</v>
      </c>
      <c r="D50" s="4">
        <v>0.59130000000000005</v>
      </c>
      <c r="E50">
        <v>5</v>
      </c>
      <c r="F50" s="2">
        <v>3.3757961783439487</v>
      </c>
      <c r="G50" s="2">
        <f t="shared" si="3"/>
        <v>8.9503973426241696</v>
      </c>
      <c r="H50" s="2">
        <f t="shared" si="4"/>
        <v>2.0839373299017248</v>
      </c>
      <c r="I50" s="2">
        <f t="shared" si="0"/>
        <v>260.49216623771559</v>
      </c>
      <c r="J50" s="4">
        <f t="shared" si="2"/>
        <v>9.1851299971601286</v>
      </c>
      <c r="K50" s="4">
        <f t="shared" si="1"/>
        <v>1148.1412496450162</v>
      </c>
      <c r="L50">
        <v>8</v>
      </c>
    </row>
    <row r="51" spans="1:12" hidden="1" x14ac:dyDescent="0.3">
      <c r="A51" t="s">
        <v>25</v>
      </c>
      <c r="B51" t="s">
        <v>27</v>
      </c>
      <c r="C51" s="4">
        <v>0.50857142899999996</v>
      </c>
      <c r="D51" s="4">
        <v>0.49666666700000001</v>
      </c>
      <c r="E51">
        <v>10</v>
      </c>
      <c r="F51" s="2">
        <v>6.5286624203821653</v>
      </c>
      <c r="G51" s="2">
        <f t="shared" si="3"/>
        <v>33.476365995352509</v>
      </c>
      <c r="H51" s="2">
        <f t="shared" si="4"/>
        <v>12.528854958499005</v>
      </c>
      <c r="I51" s="2">
        <f t="shared" si="0"/>
        <v>1566.1068698123756</v>
      </c>
      <c r="J51" s="4">
        <f t="shared" si="2"/>
        <v>10.47752015497586</v>
      </c>
      <c r="K51" s="4">
        <f t="shared" si="1"/>
        <v>1309.6900193719825</v>
      </c>
      <c r="L51">
        <v>8</v>
      </c>
    </row>
    <row r="52" spans="1:12" hidden="1" x14ac:dyDescent="0.3">
      <c r="A52" t="s">
        <v>25</v>
      </c>
      <c r="B52" t="s">
        <v>27</v>
      </c>
      <c r="C52" s="4">
        <v>0.50857142899999996</v>
      </c>
      <c r="D52" s="4">
        <v>0.49666666700000001</v>
      </c>
      <c r="E52">
        <v>9</v>
      </c>
      <c r="F52" s="2">
        <v>8.9171974522292992</v>
      </c>
      <c r="G52" s="2">
        <f t="shared" si="3"/>
        <v>62.452042689723655</v>
      </c>
      <c r="H52" s="2">
        <f t="shared" si="4"/>
        <v>20.775955730534701</v>
      </c>
      <c r="I52" s="2">
        <f t="shared" si="0"/>
        <v>2596.9944663168376</v>
      </c>
      <c r="J52" s="4">
        <f t="shared" si="2"/>
        <v>11.490466927664407</v>
      </c>
      <c r="K52" s="4">
        <f t="shared" si="1"/>
        <v>1436.3083659580509</v>
      </c>
      <c r="L52">
        <v>8</v>
      </c>
    </row>
    <row r="53" spans="1:12" hidden="1" x14ac:dyDescent="0.3">
      <c r="A53" t="s">
        <v>25</v>
      </c>
      <c r="B53" t="s">
        <v>27</v>
      </c>
      <c r="C53" s="4">
        <v>0.50857142899999996</v>
      </c>
      <c r="D53" s="4">
        <v>0.49666666700000001</v>
      </c>
      <c r="E53">
        <v>9</v>
      </c>
      <c r="F53" s="2">
        <v>7.1656050955414008</v>
      </c>
      <c r="G53" s="2">
        <f t="shared" si="3"/>
        <v>40.326972718970154</v>
      </c>
      <c r="H53" s="2">
        <f t="shared" si="4"/>
        <v>13.557162741635373</v>
      </c>
      <c r="I53" s="2">
        <f t="shared" si="0"/>
        <v>1694.6453427044216</v>
      </c>
      <c r="J53" s="4">
        <f t="shared" si="2"/>
        <v>10.603095736135339</v>
      </c>
      <c r="K53" s="4">
        <f t="shared" si="1"/>
        <v>1325.3869670169174</v>
      </c>
      <c r="L53">
        <v>8</v>
      </c>
    </row>
    <row r="54" spans="1:12" hidden="1" x14ac:dyDescent="0.3">
      <c r="A54" t="s">
        <v>25</v>
      </c>
      <c r="B54" t="s">
        <v>28</v>
      </c>
      <c r="C54" s="4">
        <v>0.48464433800000001</v>
      </c>
      <c r="D54" s="4">
        <v>0.62688577999999995</v>
      </c>
      <c r="E54">
        <v>5</v>
      </c>
      <c r="F54" s="2">
        <v>2.5477707006369426</v>
      </c>
      <c r="G54" s="2">
        <f t="shared" si="3"/>
        <v>5.098125933854992</v>
      </c>
      <c r="H54" s="2">
        <f t="shared" si="4"/>
        <v>1.273768974860543</v>
      </c>
      <c r="I54" s="2">
        <f t="shared" si="0"/>
        <v>159.22112185756788</v>
      </c>
      <c r="J54" s="4">
        <f t="shared" si="2"/>
        <v>9.0992948720029201</v>
      </c>
      <c r="K54" s="4">
        <f t="shared" si="1"/>
        <v>1137.411859000365</v>
      </c>
      <c r="L54">
        <v>8</v>
      </c>
    </row>
    <row r="55" spans="1:12" hidden="1" x14ac:dyDescent="0.3">
      <c r="A55" t="s">
        <v>25</v>
      </c>
      <c r="B55" t="s">
        <v>21</v>
      </c>
      <c r="C55" s="4">
        <v>0.66608171000000005</v>
      </c>
      <c r="D55" s="4">
        <v>0.68661666700000001</v>
      </c>
      <c r="E55">
        <v>5</v>
      </c>
      <c r="F55" s="2">
        <v>4.2993630573248405</v>
      </c>
      <c r="G55" s="2">
        <f t="shared" si="3"/>
        <v>14.517710178829255</v>
      </c>
      <c r="H55" s="2">
        <f t="shared" si="4"/>
        <v>3.8658751895990231</v>
      </c>
      <c r="I55" s="2">
        <f t="shared" si="0"/>
        <v>483.23439869987789</v>
      </c>
      <c r="J55" s="4">
        <f t="shared" si="2"/>
        <v>9.3091791472270682</v>
      </c>
      <c r="K55" s="4">
        <f t="shared" si="1"/>
        <v>1163.6473934033836</v>
      </c>
      <c r="L55">
        <v>8</v>
      </c>
    </row>
    <row r="56" spans="1:12" hidden="1" x14ac:dyDescent="0.3">
      <c r="A56" t="s">
        <v>25</v>
      </c>
      <c r="B56" t="s">
        <v>21</v>
      </c>
      <c r="C56" s="4">
        <v>0.66608171000000005</v>
      </c>
      <c r="D56" s="4">
        <v>0.68661666700000001</v>
      </c>
      <c r="E56">
        <v>3.5</v>
      </c>
      <c r="F56" s="2">
        <v>2.8025477707006372</v>
      </c>
      <c r="G56" s="2">
        <f t="shared" si="3"/>
        <v>6.1687323799645428</v>
      </c>
      <c r="H56" s="2">
        <f t="shared" si="4"/>
        <v>1.1838104671321783</v>
      </c>
      <c r="I56" s="2">
        <f t="shared" si="0"/>
        <v>147.97630839152228</v>
      </c>
      <c r="J56" s="4">
        <f t="shared" si="2"/>
        <v>9.081914856586474</v>
      </c>
      <c r="K56" s="4">
        <f t="shared" si="1"/>
        <v>1135.2393570733093</v>
      </c>
      <c r="L56">
        <v>8</v>
      </c>
    </row>
    <row r="57" spans="1:12" hidden="1" x14ac:dyDescent="0.3">
      <c r="A57" t="s">
        <v>25</v>
      </c>
      <c r="B57" t="s">
        <v>22</v>
      </c>
      <c r="C57" s="4">
        <v>0.43836446099999998</v>
      </c>
      <c r="D57" s="4">
        <v>0.58666666700000003</v>
      </c>
      <c r="E57">
        <v>8</v>
      </c>
      <c r="F57" s="2">
        <v>3.5031847133757958</v>
      </c>
      <c r="G57" s="2">
        <f t="shared" si="3"/>
        <v>9.6386443436945939</v>
      </c>
      <c r="H57" s="2">
        <f t="shared" si="4"/>
        <v>3.5170031665739172</v>
      </c>
      <c r="I57" s="2">
        <f t="shared" si="0"/>
        <v>439.62539582173963</v>
      </c>
      <c r="J57" s="4">
        <f t="shared" si="2"/>
        <v>9.3293244878088348</v>
      </c>
      <c r="K57" s="4">
        <f t="shared" si="1"/>
        <v>1166.1655609761044</v>
      </c>
      <c r="L57">
        <v>8</v>
      </c>
    </row>
    <row r="58" spans="1:12" hidden="1" x14ac:dyDescent="0.3">
      <c r="A58" t="s">
        <v>25</v>
      </c>
      <c r="B58" t="s">
        <v>22</v>
      </c>
      <c r="C58" s="4">
        <v>0.43836446099999998</v>
      </c>
      <c r="D58" s="4">
        <v>0.58666666700000003</v>
      </c>
      <c r="E58">
        <v>7</v>
      </c>
      <c r="F58" s="2">
        <v>14.936305732484076</v>
      </c>
      <c r="G58" s="2">
        <f t="shared" si="3"/>
        <v>175.21701227135594</v>
      </c>
      <c r="H58" s="2">
        <f t="shared" si="4"/>
        <v>52.348408967166279</v>
      </c>
      <c r="I58" s="2">
        <f t="shared" si="0"/>
        <v>6543.5511208957851</v>
      </c>
      <c r="J58" s="4">
        <f t="shared" si="2"/>
        <v>14.451484108888799</v>
      </c>
      <c r="K58" s="4">
        <f t="shared" si="1"/>
        <v>1806.4355136110999</v>
      </c>
      <c r="L58">
        <v>8</v>
      </c>
    </row>
    <row r="59" spans="1:12" hidden="1" x14ac:dyDescent="0.3">
      <c r="A59" t="s">
        <v>25</v>
      </c>
      <c r="B59" t="s">
        <v>22</v>
      </c>
      <c r="C59" s="4">
        <v>0.43836446099999998</v>
      </c>
      <c r="D59" s="4">
        <v>0.58666666700000003</v>
      </c>
      <c r="E59">
        <v>6.5</v>
      </c>
      <c r="F59" s="2">
        <v>15.445859872611464</v>
      </c>
      <c r="G59" s="2">
        <f t="shared" si="3"/>
        <v>187.37604262360011</v>
      </c>
      <c r="H59" s="2">
        <f t="shared" si="4"/>
        <v>51.991185516408244</v>
      </c>
      <c r="I59" s="2">
        <f t="shared" si="0"/>
        <v>6498.8981895510306</v>
      </c>
      <c r="J59" s="4">
        <f t="shared" si="2"/>
        <v>14.413271858898941</v>
      </c>
      <c r="K59" s="4">
        <f t="shared" si="1"/>
        <v>1801.6589823623676</v>
      </c>
      <c r="L59">
        <v>8</v>
      </c>
    </row>
    <row r="60" spans="1:12" hidden="1" x14ac:dyDescent="0.3">
      <c r="A60" t="s">
        <v>25</v>
      </c>
      <c r="B60" t="s">
        <v>23</v>
      </c>
      <c r="C60" s="4">
        <v>0.76500000000000001</v>
      </c>
      <c r="D60" s="4">
        <v>0.61247410899999999</v>
      </c>
      <c r="E60">
        <v>8</v>
      </c>
      <c r="F60" s="2">
        <v>10.19108280254777</v>
      </c>
      <c r="G60" s="2">
        <f t="shared" si="3"/>
        <v>81.570014941679872</v>
      </c>
      <c r="H60" s="2">
        <f t="shared" si="4"/>
        <v>29.489988630667401</v>
      </c>
      <c r="I60" s="2">
        <f t="shared" si="0"/>
        <v>3686.2485788334252</v>
      </c>
      <c r="J60" s="4">
        <f t="shared" si="2"/>
        <v>11.893728723274776</v>
      </c>
      <c r="K60" s="4">
        <f t="shared" si="1"/>
        <v>1486.7160904093471</v>
      </c>
      <c r="L60">
        <v>8</v>
      </c>
    </row>
    <row r="61" spans="1:12" hidden="1" x14ac:dyDescent="0.3">
      <c r="A61" t="s">
        <v>25</v>
      </c>
      <c r="B61" t="s">
        <v>24</v>
      </c>
      <c r="C61" s="4">
        <v>0.41240947999999999</v>
      </c>
      <c r="D61" s="4">
        <v>0.52705000000000002</v>
      </c>
      <c r="E61">
        <v>6.5</v>
      </c>
      <c r="F61" s="2">
        <v>4.7770700636942669</v>
      </c>
      <c r="G61" s="2">
        <f t="shared" si="3"/>
        <v>17.923098986208956</v>
      </c>
      <c r="H61" s="2">
        <f t="shared" si="4"/>
        <v>4.7388104663678314</v>
      </c>
      <c r="I61" s="2">
        <f t="shared" si="0"/>
        <v>592.35130829597892</v>
      </c>
      <c r="J61" s="4">
        <f t="shared" si="2"/>
        <v>9.5048640634508494</v>
      </c>
      <c r="K61" s="4">
        <f t="shared" si="1"/>
        <v>1188.1080079313563</v>
      </c>
      <c r="L61">
        <v>8</v>
      </c>
    </row>
    <row r="62" spans="1:12" hidden="1" x14ac:dyDescent="0.3">
      <c r="A62" t="s">
        <v>25</v>
      </c>
      <c r="B62" t="s">
        <v>24</v>
      </c>
      <c r="C62" s="4">
        <v>0.41240947999999999</v>
      </c>
      <c r="D62" s="4">
        <v>0.52705000000000002</v>
      </c>
      <c r="E62">
        <v>6</v>
      </c>
      <c r="F62" s="2">
        <v>4.0764331210191083</v>
      </c>
      <c r="G62" s="2">
        <f t="shared" si="3"/>
        <v>13.051202390668783</v>
      </c>
      <c r="H62" s="2">
        <f t="shared" si="4"/>
        <v>3.2157719770855806</v>
      </c>
      <c r="I62" s="2">
        <f t="shared" si="0"/>
        <v>401.97149713569758</v>
      </c>
      <c r="J62" s="4">
        <f t="shared" si="2"/>
        <v>9.3346634467929732</v>
      </c>
      <c r="K62" s="4">
        <f t="shared" si="1"/>
        <v>1166.8329308491216</v>
      </c>
      <c r="L62">
        <v>8</v>
      </c>
    </row>
    <row r="63" spans="1:12" hidden="1" x14ac:dyDescent="0.3">
      <c r="A63" t="s">
        <v>25</v>
      </c>
      <c r="B63" t="s">
        <v>24</v>
      </c>
      <c r="C63" s="4">
        <v>0.41240947999999999</v>
      </c>
      <c r="D63" s="4">
        <v>0.52705000000000002</v>
      </c>
      <c r="E63">
        <v>4.5</v>
      </c>
      <c r="F63" s="2">
        <v>4.3949044585987265</v>
      </c>
      <c r="G63" s="2">
        <f t="shared" si="3"/>
        <v>15.170110981927266</v>
      </c>
      <c r="H63" s="2">
        <f t="shared" si="4"/>
        <v>2.812646518663243</v>
      </c>
      <c r="I63" s="2">
        <f t="shared" si="0"/>
        <v>351.58081483290539</v>
      </c>
      <c r="J63" s="4">
        <f t="shared" si="2"/>
        <v>9.2899141669033227</v>
      </c>
      <c r="K63" s="4">
        <f t="shared" si="1"/>
        <v>1161.2392708629154</v>
      </c>
      <c r="L63">
        <v>8</v>
      </c>
    </row>
    <row r="64" spans="1:12" hidden="1" x14ac:dyDescent="0.3">
      <c r="A64" t="s">
        <v>29</v>
      </c>
      <c r="B64" t="s">
        <v>13</v>
      </c>
      <c r="C64" s="4">
        <v>0.36</v>
      </c>
      <c r="D64" s="4">
        <v>0.35</v>
      </c>
      <c r="E64">
        <v>4</v>
      </c>
      <c r="F64" s="2">
        <v>3.1847133757961781</v>
      </c>
      <c r="G64" s="2">
        <f t="shared" si="3"/>
        <v>7.9658217716484252</v>
      </c>
      <c r="H64" s="2">
        <f t="shared" si="4"/>
        <v>0.8966632160717094</v>
      </c>
      <c r="I64" s="2">
        <f t="shared" si="0"/>
        <v>112.08290200896367</v>
      </c>
      <c r="J64" s="4">
        <f t="shared" si="2"/>
        <v>9.1276935900036502</v>
      </c>
      <c r="K64" s="4">
        <f t="shared" si="1"/>
        <v>1140.9616987504562</v>
      </c>
      <c r="L64">
        <v>8</v>
      </c>
    </row>
    <row r="65" spans="1:12" hidden="1" x14ac:dyDescent="0.3">
      <c r="A65" t="s">
        <v>29</v>
      </c>
      <c r="B65" t="s">
        <v>14</v>
      </c>
      <c r="C65" s="4">
        <v>0.766138345</v>
      </c>
      <c r="D65" s="4">
        <v>0.90500000000000003</v>
      </c>
      <c r="E65">
        <v>6</v>
      </c>
      <c r="F65" s="2">
        <v>6.7515923566878975</v>
      </c>
      <c r="G65" s="2">
        <f t="shared" si="3"/>
        <v>35.801589370496679</v>
      </c>
      <c r="H65" s="2">
        <f t="shared" si="4"/>
        <v>14.594211151131432</v>
      </c>
      <c r="I65" s="2">
        <f t="shared" si="0"/>
        <v>1824.2763938914291</v>
      </c>
      <c r="J65" s="4">
        <f t="shared" si="2"/>
        <v>9.9429639863686141</v>
      </c>
      <c r="K65" s="4">
        <f t="shared" si="1"/>
        <v>1242.8704982960767</v>
      </c>
      <c r="L65">
        <v>8</v>
      </c>
    </row>
    <row r="66" spans="1:12" hidden="1" x14ac:dyDescent="0.3">
      <c r="A66" t="s">
        <v>29</v>
      </c>
      <c r="B66" t="s">
        <v>17</v>
      </c>
      <c r="C66" s="4">
        <v>0.708787469</v>
      </c>
      <c r="D66" s="4">
        <v>0.80167708299999996</v>
      </c>
      <c r="E66">
        <v>7</v>
      </c>
      <c r="F66" s="2">
        <v>8.9171974522292992</v>
      </c>
      <c r="G66" s="2">
        <f t="shared" si="3"/>
        <v>62.452042689723655</v>
      </c>
      <c r="H66" s="2">
        <f t="shared" si="4"/>
        <v>25.94060119844589</v>
      </c>
      <c r="I66" s="2">
        <f t="shared" ref="I66:I129" si="5">(H66*1000)/L66</f>
        <v>3242.5751498057361</v>
      </c>
      <c r="J66" s="4">
        <f t="shared" si="2"/>
        <v>10.933852054850094</v>
      </c>
      <c r="K66" s="4">
        <f t="shared" ref="K66:K129" si="6">(J66*1000)/L66</f>
        <v>1366.7315068562618</v>
      </c>
      <c r="L66">
        <v>8</v>
      </c>
    </row>
    <row r="67" spans="1:12" hidden="1" x14ac:dyDescent="0.3">
      <c r="A67" t="s">
        <v>29</v>
      </c>
      <c r="B67" t="s">
        <v>18</v>
      </c>
      <c r="C67" s="4">
        <v>0.45255480399999998</v>
      </c>
      <c r="D67" s="4">
        <v>0.57808694400000005</v>
      </c>
      <c r="E67">
        <v>8</v>
      </c>
      <c r="F67" s="2">
        <v>30.573248407643312</v>
      </c>
      <c r="G67" s="2">
        <f t="shared" si="3"/>
        <v>734.13013447511901</v>
      </c>
      <c r="H67" s="2">
        <f t="shared" si="4"/>
        <v>237.97042735965869</v>
      </c>
      <c r="I67" s="2">
        <f t="shared" si="5"/>
        <v>29746.303419957334</v>
      </c>
      <c r="J67" s="4">
        <f t="shared" ref="J67:J130" si="7">8.9857 + 0.0035 * F67^2 * E67</f>
        <v>35.157958509472998</v>
      </c>
      <c r="K67" s="4">
        <f t="shared" si="6"/>
        <v>4394.7448136841249</v>
      </c>
      <c r="L67">
        <v>8</v>
      </c>
    </row>
    <row r="68" spans="1:12" hidden="1" x14ac:dyDescent="0.3">
      <c r="A68" t="s">
        <v>29</v>
      </c>
      <c r="B68" t="s">
        <v>18</v>
      </c>
      <c r="C68" s="4">
        <v>0.45255480399999998</v>
      </c>
      <c r="D68" s="4">
        <v>0.57808694400000005</v>
      </c>
      <c r="E68">
        <v>7</v>
      </c>
      <c r="F68" s="2">
        <v>25.796178343949045</v>
      </c>
      <c r="G68" s="2">
        <f t="shared" ref="G68:G131" si="8">PI()*(F68/2)^2</f>
        <v>522.63756643785325</v>
      </c>
      <c r="H68" s="2">
        <f t="shared" ref="H68:H131" si="9">0.0673 * ((D68 * F68^2 * E68)^0.976)</f>
        <v>149.93124946588696</v>
      </c>
      <c r="I68" s="2">
        <f t="shared" si="5"/>
        <v>18741.406183235871</v>
      </c>
      <c r="J68" s="4">
        <f t="shared" si="7"/>
        <v>25.289049020244228</v>
      </c>
      <c r="K68" s="4">
        <f t="shared" si="6"/>
        <v>3161.1311275305284</v>
      </c>
      <c r="L68">
        <v>8</v>
      </c>
    </row>
    <row r="69" spans="1:12" hidden="1" x14ac:dyDescent="0.3">
      <c r="A69" t="s">
        <v>29</v>
      </c>
      <c r="B69" t="s">
        <v>18</v>
      </c>
      <c r="C69" s="4">
        <v>0.45255480399999998</v>
      </c>
      <c r="D69" s="4">
        <v>0.57808694400000005</v>
      </c>
      <c r="E69">
        <v>5</v>
      </c>
      <c r="F69" s="2">
        <v>5.7324840764331206</v>
      </c>
      <c r="G69" s="2">
        <f t="shared" si="8"/>
        <v>25.809262540140899</v>
      </c>
      <c r="H69" s="2">
        <f t="shared" si="9"/>
        <v>5.7306036297489085</v>
      </c>
      <c r="I69" s="2">
        <f t="shared" si="5"/>
        <v>716.32545371861352</v>
      </c>
      <c r="J69" s="4">
        <f t="shared" si="7"/>
        <v>9.5607740395147864</v>
      </c>
      <c r="K69" s="4">
        <f t="shared" si="6"/>
        <v>1195.0967549393483</v>
      </c>
      <c r="L69">
        <v>8</v>
      </c>
    </row>
    <row r="70" spans="1:12" hidden="1" x14ac:dyDescent="0.3">
      <c r="A70" t="s">
        <v>29</v>
      </c>
      <c r="B70" t="s">
        <v>30</v>
      </c>
      <c r="C70" s="4">
        <v>0.372</v>
      </c>
      <c r="D70" s="4">
        <v>0.73247777800000002</v>
      </c>
      <c r="E70">
        <v>6</v>
      </c>
      <c r="F70" s="2">
        <v>4.0445859872611463</v>
      </c>
      <c r="G70" s="2">
        <f t="shared" si="8"/>
        <v>12.848073935491747</v>
      </c>
      <c r="H70" s="2">
        <f t="shared" si="9"/>
        <v>4.3666487754235765</v>
      </c>
      <c r="I70" s="2">
        <f t="shared" si="5"/>
        <v>545.8310969279471</v>
      </c>
      <c r="J70" s="4">
        <f t="shared" si="7"/>
        <v>9.3292321919753327</v>
      </c>
      <c r="K70" s="4">
        <f t="shared" si="6"/>
        <v>1166.1540239969165</v>
      </c>
      <c r="L70">
        <v>8</v>
      </c>
    </row>
    <row r="71" spans="1:12" hidden="1" x14ac:dyDescent="0.3">
      <c r="A71" t="s">
        <v>29</v>
      </c>
      <c r="B71" t="s">
        <v>31</v>
      </c>
      <c r="C71" s="4">
        <v>0.63400000000000001</v>
      </c>
      <c r="D71" s="4">
        <v>0.73247777800000002</v>
      </c>
      <c r="E71">
        <v>6</v>
      </c>
      <c r="F71" s="2">
        <v>4.3949044585987265</v>
      </c>
      <c r="G71" s="2">
        <f t="shared" si="8"/>
        <v>15.170110981927266</v>
      </c>
      <c r="H71" s="2">
        <f t="shared" si="9"/>
        <v>5.135318387975941</v>
      </c>
      <c r="I71" s="2">
        <f t="shared" si="5"/>
        <v>641.9147984969926</v>
      </c>
      <c r="J71" s="4">
        <f t="shared" si="7"/>
        <v>9.3913188892044293</v>
      </c>
      <c r="K71" s="4">
        <f t="shared" si="6"/>
        <v>1173.9148611505536</v>
      </c>
      <c r="L71">
        <v>8</v>
      </c>
    </row>
    <row r="72" spans="1:12" hidden="1" x14ac:dyDescent="0.3">
      <c r="A72" t="s">
        <v>29</v>
      </c>
      <c r="B72" t="s">
        <v>31</v>
      </c>
      <c r="C72" s="4">
        <v>0.63400000000000001</v>
      </c>
      <c r="D72" s="4">
        <v>0.73247777800000002</v>
      </c>
      <c r="E72">
        <v>5</v>
      </c>
      <c r="F72" s="2">
        <v>5.8280254777070066</v>
      </c>
      <c r="G72" s="2">
        <f t="shared" si="8"/>
        <v>26.676740531073417</v>
      </c>
      <c r="H72" s="2">
        <f t="shared" si="9"/>
        <v>7.4567061543982396</v>
      </c>
      <c r="I72" s="2">
        <f t="shared" si="5"/>
        <v>932.08826929977999</v>
      </c>
      <c r="J72" s="4">
        <f t="shared" si="7"/>
        <v>9.5801029169540346</v>
      </c>
      <c r="K72" s="4">
        <f t="shared" si="6"/>
        <v>1197.5128646192543</v>
      </c>
      <c r="L72">
        <v>8</v>
      </c>
    </row>
    <row r="73" spans="1:12" hidden="1" x14ac:dyDescent="0.3">
      <c r="A73" t="s">
        <v>29</v>
      </c>
      <c r="B73" t="s">
        <v>20</v>
      </c>
      <c r="C73" s="4">
        <v>0.74387999999999999</v>
      </c>
      <c r="D73" s="4">
        <v>0.59130000000000005</v>
      </c>
      <c r="E73">
        <v>9</v>
      </c>
      <c r="F73" s="2">
        <v>9.872611464968152</v>
      </c>
      <c r="G73" s="2">
        <f t="shared" si="8"/>
        <v>76.55154722554137</v>
      </c>
      <c r="H73" s="2">
        <f t="shared" si="9"/>
        <v>30.044957683030223</v>
      </c>
      <c r="I73" s="2">
        <f t="shared" si="5"/>
        <v>3755.6197103787777</v>
      </c>
      <c r="J73" s="4">
        <f t="shared" si="7"/>
        <v>12.055956399853949</v>
      </c>
      <c r="K73" s="4">
        <f t="shared" si="6"/>
        <v>1506.9945499817436</v>
      </c>
      <c r="L73">
        <v>8</v>
      </c>
    </row>
    <row r="74" spans="1:12" hidden="1" x14ac:dyDescent="0.3">
      <c r="A74" t="s">
        <v>29</v>
      </c>
      <c r="B74" t="s">
        <v>20</v>
      </c>
      <c r="C74" s="4">
        <v>0.74387999999999999</v>
      </c>
      <c r="D74" s="4">
        <v>0.59130000000000005</v>
      </c>
      <c r="E74">
        <v>8</v>
      </c>
      <c r="F74" s="2">
        <v>5.7324840764331206</v>
      </c>
      <c r="G74" s="2">
        <f t="shared" si="8"/>
        <v>25.809262540140899</v>
      </c>
      <c r="H74" s="2">
        <f t="shared" si="9"/>
        <v>9.2683118569447167</v>
      </c>
      <c r="I74" s="2">
        <f t="shared" si="5"/>
        <v>1158.5389821180895</v>
      </c>
      <c r="J74" s="4">
        <f t="shared" si="7"/>
        <v>9.9058184632236603</v>
      </c>
      <c r="K74" s="4">
        <f t="shared" si="6"/>
        <v>1238.2273079029576</v>
      </c>
      <c r="L74">
        <v>8</v>
      </c>
    </row>
    <row r="75" spans="1:12" hidden="1" x14ac:dyDescent="0.3">
      <c r="A75" t="s">
        <v>29</v>
      </c>
      <c r="B75" t="s">
        <v>20</v>
      </c>
      <c r="C75" s="4">
        <v>0.74387999999999999</v>
      </c>
      <c r="D75" s="4">
        <v>0.59130000000000005</v>
      </c>
      <c r="E75">
        <v>6</v>
      </c>
      <c r="F75" s="2">
        <v>9.5541401273885338</v>
      </c>
      <c r="G75" s="2">
        <f t="shared" si="8"/>
        <v>71.692395944835823</v>
      </c>
      <c r="H75" s="2">
        <f t="shared" si="9"/>
        <v>18.97182852524687</v>
      </c>
      <c r="I75" s="2">
        <f t="shared" si="5"/>
        <v>2371.4785656558588</v>
      </c>
      <c r="J75" s="4">
        <f t="shared" si="7"/>
        <v>10.902613465049292</v>
      </c>
      <c r="K75" s="4">
        <f t="shared" si="6"/>
        <v>1362.8266831311614</v>
      </c>
      <c r="L75">
        <v>8</v>
      </c>
    </row>
    <row r="76" spans="1:12" hidden="1" x14ac:dyDescent="0.3">
      <c r="A76" t="s">
        <v>29</v>
      </c>
      <c r="B76" t="s">
        <v>32</v>
      </c>
      <c r="C76" s="4">
        <v>0.65716857299999998</v>
      </c>
      <c r="D76" s="4">
        <v>0.85527777800000004</v>
      </c>
      <c r="E76">
        <v>6</v>
      </c>
      <c r="F76" s="2">
        <v>12.961783439490446</v>
      </c>
      <c r="G76" s="2">
        <f t="shared" si="8"/>
        <v>131.95304106517904</v>
      </c>
      <c r="H76" s="2">
        <f t="shared" si="9"/>
        <v>49.334293602440439</v>
      </c>
      <c r="I76" s="2">
        <f t="shared" si="5"/>
        <v>6166.7867003050551</v>
      </c>
      <c r="J76" s="4">
        <f t="shared" si="7"/>
        <v>12.513864428577225</v>
      </c>
      <c r="K76" s="4">
        <f t="shared" si="6"/>
        <v>1564.233053572153</v>
      </c>
      <c r="L76">
        <v>8</v>
      </c>
    </row>
    <row r="77" spans="1:12" hidden="1" x14ac:dyDescent="0.3">
      <c r="A77" t="s">
        <v>29</v>
      </c>
      <c r="B77" t="s">
        <v>28</v>
      </c>
      <c r="C77" s="4">
        <v>0.48464433800000001</v>
      </c>
      <c r="D77" s="4">
        <v>0.62688577999999995</v>
      </c>
      <c r="E77">
        <v>3.5</v>
      </c>
      <c r="F77" s="2">
        <v>2.2292993630573248</v>
      </c>
      <c r="G77" s="2">
        <f t="shared" si="8"/>
        <v>3.9032526681077284</v>
      </c>
      <c r="H77" s="2">
        <f t="shared" si="9"/>
        <v>0.69295666002449408</v>
      </c>
      <c r="I77" s="2">
        <f t="shared" si="5"/>
        <v>86.619582503061764</v>
      </c>
      <c r="J77" s="4">
        <f t="shared" si="7"/>
        <v>9.0465797517140647</v>
      </c>
      <c r="K77" s="4">
        <f t="shared" si="6"/>
        <v>1130.8224689642582</v>
      </c>
      <c r="L77">
        <v>8</v>
      </c>
    </row>
    <row r="78" spans="1:12" hidden="1" x14ac:dyDescent="0.3">
      <c r="A78" t="s">
        <v>29</v>
      </c>
      <c r="B78" t="s">
        <v>33</v>
      </c>
      <c r="C78" s="4">
        <v>0.69835862100000001</v>
      </c>
      <c r="D78" s="4">
        <v>0.69262500000000005</v>
      </c>
      <c r="E78">
        <v>8</v>
      </c>
      <c r="F78" s="2">
        <v>8.4394904458598727</v>
      </c>
      <c r="G78" s="2">
        <f t="shared" si="8"/>
        <v>55.939983391401071</v>
      </c>
      <c r="H78" s="2">
        <f t="shared" si="9"/>
        <v>23.010516743806956</v>
      </c>
      <c r="I78" s="2">
        <f t="shared" si="5"/>
        <v>2876.3145929758693</v>
      </c>
      <c r="J78" s="4">
        <f t="shared" si="7"/>
        <v>10.979999971601281</v>
      </c>
      <c r="K78" s="4">
        <f t="shared" si="6"/>
        <v>1372.4999964501601</v>
      </c>
      <c r="L78">
        <v>8</v>
      </c>
    </row>
    <row r="79" spans="1:12" hidden="1" x14ac:dyDescent="0.3">
      <c r="A79" t="s">
        <v>29</v>
      </c>
      <c r="B79" t="s">
        <v>34</v>
      </c>
      <c r="C79" s="4">
        <v>0.54326798300000001</v>
      </c>
      <c r="D79" s="4">
        <v>0.61247410899999999</v>
      </c>
      <c r="E79">
        <v>8</v>
      </c>
      <c r="F79" s="2">
        <v>14.968152866242038</v>
      </c>
      <c r="G79" s="2">
        <f t="shared" si="8"/>
        <v>175.96500293571373</v>
      </c>
      <c r="H79" s="2">
        <f t="shared" si="9"/>
        <v>62.45351209919788</v>
      </c>
      <c r="I79" s="2">
        <f t="shared" si="5"/>
        <v>7806.6890123997346</v>
      </c>
      <c r="J79" s="4">
        <f t="shared" si="7"/>
        <v>15.258976806361312</v>
      </c>
      <c r="K79" s="4">
        <f t="shared" si="6"/>
        <v>1907.372100795164</v>
      </c>
      <c r="L79">
        <v>8</v>
      </c>
    </row>
    <row r="80" spans="1:12" hidden="1" x14ac:dyDescent="0.3">
      <c r="A80" t="s">
        <v>29</v>
      </c>
      <c r="B80" t="s">
        <v>34</v>
      </c>
      <c r="C80" s="4">
        <v>0.54326798300000001</v>
      </c>
      <c r="D80" s="4">
        <v>0.61247410899999999</v>
      </c>
      <c r="E80">
        <v>5.5</v>
      </c>
      <c r="F80" s="2">
        <v>5.2547770700636942</v>
      </c>
      <c r="G80" s="2">
        <f t="shared" si="8"/>
        <v>21.68694977331284</v>
      </c>
      <c r="H80" s="2">
        <f t="shared" si="9"/>
        <v>5.6147272507820185</v>
      </c>
      <c r="I80" s="2">
        <f t="shared" si="5"/>
        <v>701.84090634775237</v>
      </c>
      <c r="J80" s="4">
        <f t="shared" si="7"/>
        <v>9.5172441295792929</v>
      </c>
      <c r="K80" s="4">
        <f t="shared" si="6"/>
        <v>1189.6555161974115</v>
      </c>
      <c r="L80">
        <v>8</v>
      </c>
    </row>
    <row r="81" spans="1:12" hidden="1" x14ac:dyDescent="0.3">
      <c r="A81" t="s">
        <v>29</v>
      </c>
      <c r="B81" t="s">
        <v>22</v>
      </c>
      <c r="C81" s="4">
        <v>0.43836446099999998</v>
      </c>
      <c r="D81" s="4">
        <v>0.58666666700000003</v>
      </c>
      <c r="E81">
        <v>9</v>
      </c>
      <c r="F81" s="2">
        <v>10.828025477707007</v>
      </c>
      <c r="G81" s="2">
        <f t="shared" si="8"/>
        <v>92.084899680255816</v>
      </c>
      <c r="H81" s="2">
        <f t="shared" si="9"/>
        <v>35.70639013702214</v>
      </c>
      <c r="I81" s="2">
        <f t="shared" si="5"/>
        <v>4463.2987671277679</v>
      </c>
      <c r="J81" s="4">
        <f t="shared" si="7"/>
        <v>12.678953275994969</v>
      </c>
      <c r="K81" s="4">
        <f t="shared" si="6"/>
        <v>1584.8691594993711</v>
      </c>
      <c r="L81">
        <v>8</v>
      </c>
    </row>
    <row r="82" spans="1:12" hidden="1" x14ac:dyDescent="0.3">
      <c r="A82" t="s">
        <v>29</v>
      </c>
      <c r="B82" t="s">
        <v>22</v>
      </c>
      <c r="C82" s="4">
        <v>0.43836446099999998</v>
      </c>
      <c r="D82" s="4">
        <v>0.58666666700000003</v>
      </c>
      <c r="E82">
        <v>8</v>
      </c>
      <c r="F82" s="2">
        <v>13.152866242038215</v>
      </c>
      <c r="G82" s="2">
        <f t="shared" si="8"/>
        <v>135.87222537683002</v>
      </c>
      <c r="H82" s="2">
        <f t="shared" si="9"/>
        <v>46.527395110886523</v>
      </c>
      <c r="I82" s="2">
        <f t="shared" si="5"/>
        <v>5815.9243888608153</v>
      </c>
      <c r="J82" s="4">
        <f t="shared" si="7"/>
        <v>13.829640930666557</v>
      </c>
      <c r="K82" s="4">
        <f t="shared" si="6"/>
        <v>1728.7051163333197</v>
      </c>
      <c r="L82">
        <v>8</v>
      </c>
    </row>
    <row r="83" spans="1:12" hidden="1" x14ac:dyDescent="0.3">
      <c r="A83" t="s">
        <v>29</v>
      </c>
      <c r="B83" t="s">
        <v>22</v>
      </c>
      <c r="C83" s="4">
        <v>0.43836446099999998</v>
      </c>
      <c r="D83" s="4">
        <v>0.58666666700000003</v>
      </c>
      <c r="E83">
        <v>8</v>
      </c>
      <c r="F83" s="2">
        <v>13.343949044585989</v>
      </c>
      <c r="G83" s="2">
        <f t="shared" si="8"/>
        <v>139.84876360523697</v>
      </c>
      <c r="H83" s="2">
        <f t="shared" si="9"/>
        <v>47.855957581765985</v>
      </c>
      <c r="I83" s="2">
        <f t="shared" si="5"/>
        <v>5981.9946977207483</v>
      </c>
      <c r="J83" s="4">
        <f t="shared" si="7"/>
        <v>13.971407330926205</v>
      </c>
      <c r="K83" s="4">
        <f t="shared" si="6"/>
        <v>1746.4259163657755</v>
      </c>
      <c r="L83">
        <v>8</v>
      </c>
    </row>
    <row r="84" spans="1:12" hidden="1" x14ac:dyDescent="0.3">
      <c r="A84" t="s">
        <v>29</v>
      </c>
      <c r="B84" t="s">
        <v>22</v>
      </c>
      <c r="C84" s="4">
        <v>0.43836446099999998</v>
      </c>
      <c r="D84" s="4">
        <v>0.58666666700000003</v>
      </c>
      <c r="E84">
        <v>6.5</v>
      </c>
      <c r="F84" s="2">
        <v>39.36305732484076</v>
      </c>
      <c r="G84" s="2">
        <f t="shared" si="8"/>
        <v>1216.9354057260214</v>
      </c>
      <c r="H84" s="2">
        <f t="shared" si="9"/>
        <v>322.83595831306661</v>
      </c>
      <c r="I84" s="2">
        <f t="shared" si="5"/>
        <v>40354.494789133329</v>
      </c>
      <c r="J84" s="4">
        <f t="shared" si="7"/>
        <v>44.235693914560422</v>
      </c>
      <c r="K84" s="4">
        <f t="shared" si="6"/>
        <v>5529.4617393200524</v>
      </c>
      <c r="L84">
        <v>8</v>
      </c>
    </row>
    <row r="85" spans="1:12" hidden="1" x14ac:dyDescent="0.3">
      <c r="A85" t="s">
        <v>29</v>
      </c>
      <c r="B85" t="s">
        <v>22</v>
      </c>
      <c r="C85" s="4">
        <v>0.43836446099999998</v>
      </c>
      <c r="D85" s="4">
        <v>0.58666666700000003</v>
      </c>
      <c r="E85">
        <v>6</v>
      </c>
      <c r="F85" s="2">
        <v>10.987261146496815</v>
      </c>
      <c r="G85" s="2">
        <f t="shared" si="8"/>
        <v>94.813193637045387</v>
      </c>
      <c r="H85" s="2">
        <f t="shared" si="9"/>
        <v>24.73186712676727</v>
      </c>
      <c r="I85" s="2">
        <f t="shared" si="5"/>
        <v>3091.4833908459086</v>
      </c>
      <c r="J85" s="4">
        <f t="shared" si="7"/>
        <v>11.520818057527688</v>
      </c>
      <c r="K85" s="4">
        <f t="shared" si="6"/>
        <v>1440.1022571909609</v>
      </c>
      <c r="L85">
        <v>8</v>
      </c>
    </row>
    <row r="86" spans="1:12" hidden="1" x14ac:dyDescent="0.3">
      <c r="A86" t="s">
        <v>29</v>
      </c>
      <c r="B86" t="s">
        <v>23</v>
      </c>
      <c r="C86" s="4">
        <v>0.76500000000000001</v>
      </c>
      <c r="D86" s="4">
        <v>0.61247410899999999</v>
      </c>
      <c r="E86">
        <v>9</v>
      </c>
      <c r="F86" s="2">
        <v>28.980891719745223</v>
      </c>
      <c r="G86" s="2">
        <f t="shared" si="8"/>
        <v>659.64970091020621</v>
      </c>
      <c r="H86" s="2">
        <f t="shared" si="9"/>
        <v>254.44592921854627</v>
      </c>
      <c r="I86" s="2">
        <f t="shared" si="5"/>
        <v>31805.741152318282</v>
      </c>
      <c r="J86" s="4">
        <f t="shared" si="7"/>
        <v>35.442300673455314</v>
      </c>
      <c r="K86" s="4">
        <f t="shared" si="6"/>
        <v>4430.2875841819141</v>
      </c>
      <c r="L86">
        <v>8</v>
      </c>
    </row>
    <row r="87" spans="1:12" hidden="1" x14ac:dyDescent="0.3">
      <c r="A87" t="s">
        <v>29</v>
      </c>
      <c r="B87" t="s">
        <v>23</v>
      </c>
      <c r="C87" s="4">
        <v>0.76500000000000001</v>
      </c>
      <c r="D87" s="4">
        <v>0.61247410899999999</v>
      </c>
      <c r="E87">
        <v>10.4</v>
      </c>
      <c r="F87" s="2">
        <v>13.503184713375795</v>
      </c>
      <c r="G87" s="2">
        <f t="shared" si="8"/>
        <v>143.20635748198671</v>
      </c>
      <c r="H87" s="2">
        <f t="shared" si="9"/>
        <v>65.985530308408244</v>
      </c>
      <c r="I87" s="2">
        <f t="shared" si="5"/>
        <v>8248.1912885510301</v>
      </c>
      <c r="J87" s="4">
        <f t="shared" si="7"/>
        <v>15.622730305489066</v>
      </c>
      <c r="K87" s="4">
        <f t="shared" si="6"/>
        <v>1952.8412881861332</v>
      </c>
      <c r="L87">
        <v>8</v>
      </c>
    </row>
    <row r="88" spans="1:12" hidden="1" x14ac:dyDescent="0.3">
      <c r="A88" t="s">
        <v>29</v>
      </c>
      <c r="B88" t="s">
        <v>23</v>
      </c>
      <c r="C88" s="4">
        <v>0.76500000000000001</v>
      </c>
      <c r="D88" s="4">
        <v>0.61247410899999999</v>
      </c>
      <c r="E88">
        <v>9.1</v>
      </c>
      <c r="F88" s="2">
        <v>14.872611464968154</v>
      </c>
      <c r="G88" s="2">
        <f t="shared" si="8"/>
        <v>173.72581043570338</v>
      </c>
      <c r="H88" s="2">
        <f t="shared" si="9"/>
        <v>69.941826560040184</v>
      </c>
      <c r="I88" s="2">
        <f t="shared" si="5"/>
        <v>8742.7283200050224</v>
      </c>
      <c r="J88" s="4">
        <f t="shared" si="7"/>
        <v>16.030747111444683</v>
      </c>
      <c r="K88" s="4">
        <f t="shared" si="6"/>
        <v>2003.8433889305854</v>
      </c>
      <c r="L88">
        <v>8</v>
      </c>
    </row>
    <row r="89" spans="1:12" hidden="1" x14ac:dyDescent="0.3">
      <c r="A89" t="s">
        <v>29</v>
      </c>
      <c r="B89" t="s">
        <v>24</v>
      </c>
      <c r="C89" s="4">
        <v>0.41240947999999999</v>
      </c>
      <c r="D89" s="4">
        <v>0.52705000000000002</v>
      </c>
      <c r="E89">
        <v>6</v>
      </c>
      <c r="F89" s="2">
        <v>4.3949044585987265</v>
      </c>
      <c r="G89" s="2">
        <f t="shared" si="8"/>
        <v>15.170110981927266</v>
      </c>
      <c r="H89" s="2">
        <f t="shared" si="9"/>
        <v>3.7243918040162489</v>
      </c>
      <c r="I89" s="2">
        <f t="shared" si="5"/>
        <v>465.54897550203111</v>
      </c>
      <c r="J89" s="4">
        <f t="shared" si="7"/>
        <v>9.3913188892044293</v>
      </c>
      <c r="K89" s="4">
        <f t="shared" si="6"/>
        <v>1173.9148611505536</v>
      </c>
      <c r="L89">
        <v>8</v>
      </c>
    </row>
    <row r="90" spans="1:12" hidden="1" x14ac:dyDescent="0.3">
      <c r="A90" t="s">
        <v>35</v>
      </c>
      <c r="B90" t="s">
        <v>13</v>
      </c>
      <c r="C90" s="4">
        <v>0.36</v>
      </c>
      <c r="D90" s="4">
        <v>0.35</v>
      </c>
      <c r="E90">
        <v>4.5</v>
      </c>
      <c r="F90" s="2">
        <v>16.464968152866241</v>
      </c>
      <c r="G90" s="2">
        <f t="shared" si="8"/>
        <v>212.91765355221364</v>
      </c>
      <c r="H90" s="2">
        <f t="shared" si="9"/>
        <v>24.847789316616161</v>
      </c>
      <c r="I90" s="2">
        <f t="shared" si="5"/>
        <v>3105.9736645770204</v>
      </c>
      <c r="J90" s="4">
        <f t="shared" si="7"/>
        <v>13.255449026329668</v>
      </c>
      <c r="K90" s="4">
        <f t="shared" si="6"/>
        <v>1656.9311282912086</v>
      </c>
      <c r="L90">
        <v>8</v>
      </c>
    </row>
    <row r="91" spans="1:12" hidden="1" x14ac:dyDescent="0.3">
      <c r="A91" t="s">
        <v>35</v>
      </c>
      <c r="B91" t="s">
        <v>13</v>
      </c>
      <c r="C91" s="4">
        <v>0.36</v>
      </c>
      <c r="D91" s="4">
        <v>0.35</v>
      </c>
      <c r="E91">
        <v>4</v>
      </c>
      <c r="F91" s="2">
        <v>4.4585987261146496</v>
      </c>
      <c r="G91" s="2">
        <f t="shared" si="8"/>
        <v>15.613010672430914</v>
      </c>
      <c r="H91" s="2">
        <f t="shared" si="9"/>
        <v>1.729303735682749</v>
      </c>
      <c r="I91" s="2">
        <f t="shared" si="5"/>
        <v>216.16296696034362</v>
      </c>
      <c r="J91" s="4">
        <f t="shared" si="7"/>
        <v>9.2640074364071552</v>
      </c>
      <c r="K91" s="4">
        <f t="shared" si="6"/>
        <v>1158.0009295508944</v>
      </c>
      <c r="L91">
        <v>8</v>
      </c>
    </row>
    <row r="92" spans="1:12" hidden="1" x14ac:dyDescent="0.3">
      <c r="A92" t="s">
        <v>35</v>
      </c>
      <c r="B92" t="s">
        <v>13</v>
      </c>
      <c r="C92" s="4">
        <v>0.36</v>
      </c>
      <c r="D92" s="4">
        <v>0.35</v>
      </c>
      <c r="E92">
        <v>3.2</v>
      </c>
      <c r="F92" s="2">
        <v>5.4140127388535033</v>
      </c>
      <c r="G92" s="2">
        <f t="shared" si="8"/>
        <v>23.021224920063954</v>
      </c>
      <c r="H92" s="2">
        <f t="shared" si="9"/>
        <v>2.0318024320791621</v>
      </c>
      <c r="I92" s="2">
        <f t="shared" si="5"/>
        <v>253.97530400989527</v>
      </c>
      <c r="J92" s="4">
        <f t="shared" si="7"/>
        <v>9.3139891800884413</v>
      </c>
      <c r="K92" s="4">
        <f t="shared" si="6"/>
        <v>1164.2486475110552</v>
      </c>
      <c r="L92">
        <v>8</v>
      </c>
    </row>
    <row r="93" spans="1:12" hidden="1" x14ac:dyDescent="0.3">
      <c r="A93" t="s">
        <v>35</v>
      </c>
      <c r="B93" t="s">
        <v>36</v>
      </c>
      <c r="C93" s="4">
        <v>0.86599999999999999</v>
      </c>
      <c r="D93" s="4">
        <v>0.73582777799999999</v>
      </c>
      <c r="E93">
        <v>9</v>
      </c>
      <c r="F93" s="2">
        <v>17.038216560509554</v>
      </c>
      <c r="G93" s="2">
        <f t="shared" si="8"/>
        <v>228.0017336590071</v>
      </c>
      <c r="H93" s="2">
        <f t="shared" si="9"/>
        <v>107.91186872235879</v>
      </c>
      <c r="I93" s="2">
        <f t="shared" si="5"/>
        <v>13488.983590294849</v>
      </c>
      <c r="J93" s="4">
        <f t="shared" si="7"/>
        <v>18.130175942228895</v>
      </c>
      <c r="K93" s="4">
        <f t="shared" si="6"/>
        <v>2266.271992778612</v>
      </c>
      <c r="L93">
        <v>8</v>
      </c>
    </row>
    <row r="94" spans="1:12" hidden="1" x14ac:dyDescent="0.3">
      <c r="A94" t="s">
        <v>35</v>
      </c>
      <c r="B94" t="s">
        <v>37</v>
      </c>
      <c r="C94" s="4">
        <v>0.39790071399999999</v>
      </c>
      <c r="D94" s="4">
        <v>0.50565277799999997</v>
      </c>
      <c r="E94">
        <v>7</v>
      </c>
      <c r="F94" s="2">
        <v>11.305732484076433</v>
      </c>
      <c r="G94" s="2">
        <f t="shared" si="8"/>
        <v>100.3892688771993</v>
      </c>
      <c r="H94" s="2">
        <f t="shared" si="9"/>
        <v>26.292371703565664</v>
      </c>
      <c r="I94" s="2">
        <f t="shared" si="5"/>
        <v>3286.5464629457078</v>
      </c>
      <c r="J94" s="4">
        <f t="shared" si="7"/>
        <v>12.117279881536776</v>
      </c>
      <c r="K94" s="4">
        <f t="shared" si="6"/>
        <v>1514.6599851920969</v>
      </c>
      <c r="L94">
        <v>8</v>
      </c>
    </row>
    <row r="95" spans="1:12" hidden="1" x14ac:dyDescent="0.3">
      <c r="A95" t="s">
        <v>35</v>
      </c>
      <c r="B95" t="s">
        <v>18</v>
      </c>
      <c r="C95" s="4">
        <v>0.45255480399999998</v>
      </c>
      <c r="D95" s="4">
        <v>0.57808694400000005</v>
      </c>
      <c r="E95">
        <v>8</v>
      </c>
      <c r="F95" s="2">
        <v>36.783439490445858</v>
      </c>
      <c r="G95" s="2">
        <f t="shared" si="8"/>
        <v>1062.6605388923292</v>
      </c>
      <c r="H95" s="2">
        <f t="shared" si="9"/>
        <v>341.42048650594387</v>
      </c>
      <c r="I95" s="2">
        <f t="shared" si="5"/>
        <v>42677.560813242984</v>
      </c>
      <c r="J95" s="4">
        <f t="shared" si="7"/>
        <v>46.870299780924171</v>
      </c>
      <c r="K95" s="4">
        <f t="shared" si="6"/>
        <v>5858.7874726155214</v>
      </c>
      <c r="L95">
        <v>8</v>
      </c>
    </row>
    <row r="96" spans="1:12" hidden="1" x14ac:dyDescent="0.3">
      <c r="A96" t="s">
        <v>35</v>
      </c>
      <c r="B96" t="s">
        <v>18</v>
      </c>
      <c r="C96" s="4">
        <v>0.45255480399999998</v>
      </c>
      <c r="D96" s="4">
        <v>0.57808694400000005</v>
      </c>
      <c r="E96">
        <v>6.1</v>
      </c>
      <c r="F96" s="2">
        <v>48.152866242038208</v>
      </c>
      <c r="G96" s="2">
        <f t="shared" si="8"/>
        <v>1821.1015648323414</v>
      </c>
      <c r="H96" s="2">
        <f t="shared" si="9"/>
        <v>443.28264819723927</v>
      </c>
      <c r="I96" s="2">
        <f t="shared" si="5"/>
        <v>55410.331024654908</v>
      </c>
      <c r="J96" s="4">
        <f t="shared" si="7"/>
        <v>58.489913558359348</v>
      </c>
      <c r="K96" s="4">
        <f t="shared" si="6"/>
        <v>7311.2391947949181</v>
      </c>
      <c r="L96">
        <v>8</v>
      </c>
    </row>
    <row r="97" spans="1:12" hidden="1" x14ac:dyDescent="0.3">
      <c r="A97" t="s">
        <v>35</v>
      </c>
      <c r="B97" t="s">
        <v>38</v>
      </c>
      <c r="C97" s="4">
        <v>1082380952</v>
      </c>
      <c r="D97" s="4">
        <v>0.61247410899999999</v>
      </c>
      <c r="E97">
        <v>8</v>
      </c>
      <c r="F97" s="2">
        <v>15.764331210191083</v>
      </c>
      <c r="G97" s="2">
        <f t="shared" si="8"/>
        <v>195.18254795981557</v>
      </c>
      <c r="H97" s="2">
        <f t="shared" si="9"/>
        <v>69.102092052572189</v>
      </c>
      <c r="I97" s="2">
        <f t="shared" si="5"/>
        <v>8637.7615065715236</v>
      </c>
      <c r="J97" s="4">
        <f t="shared" si="7"/>
        <v>15.94409587812893</v>
      </c>
      <c r="K97" s="4">
        <f t="shared" si="6"/>
        <v>1993.0119847661163</v>
      </c>
      <c r="L97">
        <v>8</v>
      </c>
    </row>
    <row r="98" spans="1:12" hidden="1" x14ac:dyDescent="0.3">
      <c r="A98" t="s">
        <v>35</v>
      </c>
      <c r="B98" t="s">
        <v>30</v>
      </c>
      <c r="C98" s="4">
        <v>0.372</v>
      </c>
      <c r="D98" s="4">
        <v>0.73247777800000002</v>
      </c>
      <c r="E98">
        <v>6</v>
      </c>
      <c r="F98" s="2">
        <v>9.3949044585987256</v>
      </c>
      <c r="G98" s="2">
        <f t="shared" si="8"/>
        <v>69.322563967770421</v>
      </c>
      <c r="H98" s="2">
        <f t="shared" si="9"/>
        <v>22.626426721406872</v>
      </c>
      <c r="I98" s="2">
        <f t="shared" si="5"/>
        <v>2828.3033401758589</v>
      </c>
      <c r="J98" s="4">
        <f t="shared" si="7"/>
        <v>10.839248825510163</v>
      </c>
      <c r="K98" s="4">
        <f t="shared" si="6"/>
        <v>1354.9061031887704</v>
      </c>
      <c r="L98">
        <v>8</v>
      </c>
    </row>
    <row r="99" spans="1:12" hidden="1" x14ac:dyDescent="0.3">
      <c r="A99" t="s">
        <v>35</v>
      </c>
      <c r="B99" t="s">
        <v>30</v>
      </c>
      <c r="C99" s="4">
        <v>0.372</v>
      </c>
      <c r="D99" s="4">
        <v>0.73247777800000002</v>
      </c>
      <c r="E99">
        <v>5.5</v>
      </c>
      <c r="F99" s="2">
        <v>10.668789808917197</v>
      </c>
      <c r="G99" s="2">
        <f t="shared" si="8"/>
        <v>89.396434832324445</v>
      </c>
      <c r="H99" s="2">
        <f t="shared" si="9"/>
        <v>26.639693642844531</v>
      </c>
      <c r="I99" s="2">
        <f t="shared" si="5"/>
        <v>3329.9617053555662</v>
      </c>
      <c r="J99" s="4">
        <f t="shared" si="7"/>
        <v>11.176794212746966</v>
      </c>
      <c r="K99" s="4">
        <f t="shared" si="6"/>
        <v>1397.0992765933706</v>
      </c>
      <c r="L99">
        <v>8</v>
      </c>
    </row>
    <row r="100" spans="1:12" hidden="1" x14ac:dyDescent="0.3">
      <c r="A100" t="s">
        <v>35</v>
      </c>
      <c r="B100" t="s">
        <v>19</v>
      </c>
      <c r="C100" s="4">
        <v>0.374</v>
      </c>
      <c r="D100" s="4">
        <v>0.47945833300000001</v>
      </c>
      <c r="E100">
        <v>5</v>
      </c>
      <c r="F100" s="2">
        <v>4.1401273885350314</v>
      </c>
      <c r="G100" s="2">
        <f t="shared" si="8"/>
        <v>13.462238794085838</v>
      </c>
      <c r="H100" s="2">
        <f t="shared" si="9"/>
        <v>2.5294924606293905</v>
      </c>
      <c r="I100" s="2">
        <f t="shared" si="5"/>
        <v>316.18655757867378</v>
      </c>
      <c r="J100" s="4">
        <f t="shared" si="7"/>
        <v>9.2856614588827124</v>
      </c>
      <c r="K100" s="4">
        <f t="shared" si="6"/>
        <v>1160.707682360339</v>
      </c>
      <c r="L100">
        <v>8</v>
      </c>
    </row>
    <row r="101" spans="1:12" hidden="1" x14ac:dyDescent="0.3">
      <c r="A101" t="s">
        <v>35</v>
      </c>
      <c r="B101" t="s">
        <v>20</v>
      </c>
      <c r="C101" s="4">
        <v>0.74387999999999999</v>
      </c>
      <c r="D101" s="4">
        <v>0.59130000000000005</v>
      </c>
      <c r="E101">
        <v>12</v>
      </c>
      <c r="F101" s="2">
        <v>16.242038216560509</v>
      </c>
      <c r="G101" s="2">
        <f t="shared" si="8"/>
        <v>207.19102428057556</v>
      </c>
      <c r="H101" s="2">
        <f t="shared" si="9"/>
        <v>105.13583323469436</v>
      </c>
      <c r="I101" s="2">
        <f t="shared" si="5"/>
        <v>13141.979154336796</v>
      </c>
      <c r="J101" s="4">
        <f t="shared" si="7"/>
        <v>20.065459827984906</v>
      </c>
      <c r="K101" s="4">
        <f t="shared" si="6"/>
        <v>2508.1824784981131</v>
      </c>
      <c r="L101">
        <v>8</v>
      </c>
    </row>
    <row r="102" spans="1:12" hidden="1" x14ac:dyDescent="0.3">
      <c r="A102" t="s">
        <v>35</v>
      </c>
      <c r="B102" t="s">
        <v>20</v>
      </c>
      <c r="C102" s="4">
        <v>0.74387999999999999</v>
      </c>
      <c r="D102" s="4">
        <v>0.59130000000000005</v>
      </c>
      <c r="E102">
        <v>9</v>
      </c>
      <c r="F102" s="2">
        <v>9.4585987261146496</v>
      </c>
      <c r="G102" s="2">
        <f t="shared" si="8"/>
        <v>70.26571726553361</v>
      </c>
      <c r="H102" s="2">
        <f t="shared" si="9"/>
        <v>27.634662145127106</v>
      </c>
      <c r="I102" s="2">
        <f t="shared" si="5"/>
        <v>3454.3327681408882</v>
      </c>
      <c r="J102" s="4">
        <f t="shared" si="7"/>
        <v>11.803850330642216</v>
      </c>
      <c r="K102" s="4">
        <f t="shared" si="6"/>
        <v>1475.4812913302771</v>
      </c>
      <c r="L102">
        <v>8</v>
      </c>
    </row>
    <row r="103" spans="1:12" hidden="1" x14ac:dyDescent="0.3">
      <c r="A103" t="s">
        <v>35</v>
      </c>
      <c r="B103" t="s">
        <v>20</v>
      </c>
      <c r="C103" s="4">
        <v>0.74387999999999999</v>
      </c>
      <c r="D103" s="4">
        <v>0.59130000000000005</v>
      </c>
      <c r="E103">
        <v>7</v>
      </c>
      <c r="F103" s="2">
        <v>10.350318471337578</v>
      </c>
      <c r="G103" s="2">
        <f t="shared" si="8"/>
        <v>84.138992463036487</v>
      </c>
      <c r="H103" s="2">
        <f t="shared" si="9"/>
        <v>25.781304527996088</v>
      </c>
      <c r="I103" s="2">
        <f t="shared" si="5"/>
        <v>3222.6630659995112</v>
      </c>
      <c r="J103" s="4">
        <f t="shared" si="7"/>
        <v>11.610362765223741</v>
      </c>
      <c r="K103" s="4">
        <f t="shared" si="6"/>
        <v>1451.2953456529676</v>
      </c>
      <c r="L103">
        <v>8</v>
      </c>
    </row>
    <row r="104" spans="1:12" hidden="1" x14ac:dyDescent="0.3">
      <c r="A104" t="s">
        <v>35</v>
      </c>
      <c r="B104" t="s">
        <v>39</v>
      </c>
      <c r="C104" s="4">
        <v>0.590536375</v>
      </c>
      <c r="D104" s="4">
        <v>0.61247410899999999</v>
      </c>
      <c r="E104">
        <v>9</v>
      </c>
      <c r="F104" s="2">
        <v>27.866242038216559</v>
      </c>
      <c r="G104" s="2">
        <f t="shared" si="8"/>
        <v>609.88322939183263</v>
      </c>
      <c r="H104" s="2">
        <f t="shared" si="9"/>
        <v>235.69286135248356</v>
      </c>
      <c r="I104" s="2">
        <f t="shared" si="5"/>
        <v>29461.607669060446</v>
      </c>
      <c r="J104" s="4">
        <f t="shared" si="7"/>
        <v>33.446314527972739</v>
      </c>
      <c r="K104" s="4">
        <f t="shared" si="6"/>
        <v>4180.7893159965924</v>
      </c>
      <c r="L104">
        <v>8</v>
      </c>
    </row>
    <row r="105" spans="1:12" hidden="1" x14ac:dyDescent="0.3">
      <c r="A105" t="s">
        <v>35</v>
      </c>
      <c r="B105" t="s">
        <v>39</v>
      </c>
      <c r="C105" s="4">
        <v>0.590536375</v>
      </c>
      <c r="D105" s="4">
        <v>0.61247410899999999</v>
      </c>
      <c r="E105">
        <v>8.5</v>
      </c>
      <c r="F105" s="2">
        <v>56.050955414012734</v>
      </c>
      <c r="G105" s="2">
        <f t="shared" si="8"/>
        <v>2467.492951985816</v>
      </c>
      <c r="H105" s="2">
        <f t="shared" si="9"/>
        <v>872.08661162760143</v>
      </c>
      <c r="I105" s="2">
        <f t="shared" si="5"/>
        <v>109010.82645345018</v>
      </c>
      <c r="J105" s="4">
        <f t="shared" si="7"/>
        <v>102.45156068400338</v>
      </c>
      <c r="K105" s="4">
        <f t="shared" si="6"/>
        <v>12806.445085500423</v>
      </c>
      <c r="L105">
        <v>8</v>
      </c>
    </row>
    <row r="106" spans="1:12" hidden="1" x14ac:dyDescent="0.3">
      <c r="A106" t="s">
        <v>35</v>
      </c>
      <c r="B106" t="s">
        <v>22</v>
      </c>
      <c r="C106" s="4">
        <v>0.43836446099999998</v>
      </c>
      <c r="D106" s="4">
        <v>0.58666666700000003</v>
      </c>
      <c r="E106">
        <v>6.5</v>
      </c>
      <c r="F106" s="2">
        <v>29.29936305732484</v>
      </c>
      <c r="G106" s="2">
        <f t="shared" si="8"/>
        <v>674.2271547523228</v>
      </c>
      <c r="H106" s="2">
        <f t="shared" si="9"/>
        <v>181.41604119402928</v>
      </c>
      <c r="I106" s="2">
        <f t="shared" si="5"/>
        <v>22677.005149253659</v>
      </c>
      <c r="J106" s="4">
        <f t="shared" si="7"/>
        <v>28.515498369102197</v>
      </c>
      <c r="K106" s="4">
        <f t="shared" si="6"/>
        <v>3564.4372961377744</v>
      </c>
      <c r="L106">
        <v>8</v>
      </c>
    </row>
    <row r="107" spans="1:12" hidden="1" x14ac:dyDescent="0.3">
      <c r="A107" t="s">
        <v>35</v>
      </c>
      <c r="B107" t="s">
        <v>24</v>
      </c>
      <c r="C107" s="4">
        <v>0.41240947999999999</v>
      </c>
      <c r="D107" s="4">
        <v>0.52705000000000002</v>
      </c>
      <c r="E107">
        <v>8</v>
      </c>
      <c r="F107" s="2">
        <v>10.987261146496815</v>
      </c>
      <c r="G107" s="2">
        <f t="shared" si="8"/>
        <v>94.813193637045387</v>
      </c>
      <c r="H107" s="2">
        <f t="shared" si="9"/>
        <v>29.496770292514544</v>
      </c>
      <c r="I107" s="2">
        <f t="shared" si="5"/>
        <v>3687.0962865643178</v>
      </c>
      <c r="J107" s="4">
        <f t="shared" si="7"/>
        <v>12.365857410036918</v>
      </c>
      <c r="K107" s="4">
        <f t="shared" si="6"/>
        <v>1545.7321762546148</v>
      </c>
      <c r="L107">
        <v>8</v>
      </c>
    </row>
    <row r="108" spans="1:12" hidden="1" x14ac:dyDescent="0.3">
      <c r="A108" t="s">
        <v>35</v>
      </c>
      <c r="B108" t="s">
        <v>24</v>
      </c>
      <c r="C108" s="4">
        <v>0.41240947999999999</v>
      </c>
      <c r="D108" s="4">
        <v>0.52705000000000002</v>
      </c>
      <c r="E108">
        <v>6</v>
      </c>
      <c r="F108" s="2">
        <v>8.9171974522292992</v>
      </c>
      <c r="G108" s="2">
        <f t="shared" si="8"/>
        <v>62.452042689723655</v>
      </c>
      <c r="H108" s="2">
        <f t="shared" si="9"/>
        <v>14.820534367005608</v>
      </c>
      <c r="I108" s="2">
        <f t="shared" si="5"/>
        <v>1852.566795875701</v>
      </c>
      <c r="J108" s="4">
        <f t="shared" si="7"/>
        <v>10.655544618442939</v>
      </c>
      <c r="K108" s="4">
        <f t="shared" si="6"/>
        <v>1331.9430773053673</v>
      </c>
      <c r="L108">
        <v>8</v>
      </c>
    </row>
    <row r="109" spans="1:12" hidden="1" x14ac:dyDescent="0.3">
      <c r="A109" t="s">
        <v>40</v>
      </c>
      <c r="B109" t="s">
        <v>26</v>
      </c>
      <c r="C109" s="4">
        <v>0.80908761900000004</v>
      </c>
      <c r="D109" s="4">
        <v>0.87473809499999999</v>
      </c>
      <c r="E109">
        <v>10.199999999999999</v>
      </c>
      <c r="F109" s="2">
        <v>20.063694267515924</v>
      </c>
      <c r="G109" s="2">
        <f t="shared" si="8"/>
        <v>316.16346611672606</v>
      </c>
      <c r="H109" s="2">
        <f t="shared" si="9"/>
        <v>198.60394866035315</v>
      </c>
      <c r="I109" s="2">
        <f t="shared" si="5"/>
        <v>24825.493582544143</v>
      </c>
      <c r="J109" s="4">
        <f t="shared" si="7"/>
        <v>23.356800247474542</v>
      </c>
      <c r="K109" s="4">
        <f t="shared" si="6"/>
        <v>2919.6000309343176</v>
      </c>
      <c r="L109">
        <v>8</v>
      </c>
    </row>
    <row r="110" spans="1:12" hidden="1" x14ac:dyDescent="0.3">
      <c r="A110" t="s">
        <v>40</v>
      </c>
      <c r="B110" t="s">
        <v>26</v>
      </c>
      <c r="C110" s="4">
        <v>0.80908761900000004</v>
      </c>
      <c r="D110" s="4">
        <v>0.87473809499999999</v>
      </c>
      <c r="E110">
        <v>8.6</v>
      </c>
      <c r="F110" s="2">
        <v>29.490445859872608</v>
      </c>
      <c r="G110" s="2">
        <f t="shared" si="8"/>
        <v>683.05009894660043</v>
      </c>
      <c r="H110" s="2">
        <f t="shared" si="9"/>
        <v>356.59602123279393</v>
      </c>
      <c r="I110" s="2">
        <f t="shared" si="5"/>
        <v>44574.50265409924</v>
      </c>
      <c r="J110" s="4">
        <f t="shared" si="7"/>
        <v>35.163260550123731</v>
      </c>
      <c r="K110" s="4">
        <f t="shared" si="6"/>
        <v>4395.4075687654667</v>
      </c>
      <c r="L110">
        <v>8</v>
      </c>
    </row>
    <row r="111" spans="1:12" hidden="1" x14ac:dyDescent="0.3">
      <c r="A111" t="s">
        <v>40</v>
      </c>
      <c r="B111" t="s">
        <v>26</v>
      </c>
      <c r="C111" s="4">
        <v>0.80908761900000004</v>
      </c>
      <c r="D111" s="4">
        <v>0.87473809499999999</v>
      </c>
      <c r="E111">
        <v>8.1</v>
      </c>
      <c r="F111" s="2">
        <v>23.789808917197451</v>
      </c>
      <c r="G111" s="2">
        <f t="shared" si="8"/>
        <v>444.50002409757667</v>
      </c>
      <c r="H111" s="2">
        <f t="shared" si="9"/>
        <v>221.14878206653859</v>
      </c>
      <c r="I111" s="2">
        <f t="shared" si="5"/>
        <v>27643.597758317323</v>
      </c>
      <c r="J111" s="4">
        <f t="shared" si="7"/>
        <v>25.030524485780354</v>
      </c>
      <c r="K111" s="4">
        <f t="shared" si="6"/>
        <v>3128.8155607225444</v>
      </c>
      <c r="L111">
        <v>8</v>
      </c>
    </row>
    <row r="112" spans="1:12" hidden="1" x14ac:dyDescent="0.3">
      <c r="A112" t="s">
        <v>40</v>
      </c>
      <c r="B112" t="s">
        <v>13</v>
      </c>
      <c r="C112" s="4">
        <v>0.36</v>
      </c>
      <c r="D112" s="4">
        <v>0.35</v>
      </c>
      <c r="E112">
        <v>5</v>
      </c>
      <c r="F112" s="2">
        <v>19.044585987261144</v>
      </c>
      <c r="G112" s="2">
        <f t="shared" si="8"/>
        <v>284.86097288285629</v>
      </c>
      <c r="H112" s="2">
        <f t="shared" si="9"/>
        <v>36.587626571697399</v>
      </c>
      <c r="I112" s="2">
        <f t="shared" si="5"/>
        <v>4573.4533214621752</v>
      </c>
      <c r="J112" s="4">
        <f t="shared" si="7"/>
        <v>15.332884469958211</v>
      </c>
      <c r="K112" s="4">
        <f t="shared" si="6"/>
        <v>1916.6105587447764</v>
      </c>
      <c r="L112">
        <v>8</v>
      </c>
    </row>
    <row r="113" spans="1:12" hidden="1" x14ac:dyDescent="0.3">
      <c r="A113" t="s">
        <v>40</v>
      </c>
      <c r="B113" t="s">
        <v>14</v>
      </c>
      <c r="C113" s="4">
        <v>0.766138345</v>
      </c>
      <c r="D113" s="4">
        <v>0.90500000000000003</v>
      </c>
      <c r="E113">
        <v>6.5</v>
      </c>
      <c r="F113" s="2">
        <v>8.598726114649681</v>
      </c>
      <c r="G113" s="2">
        <f t="shared" si="8"/>
        <v>58.070840715317019</v>
      </c>
      <c r="H113" s="2">
        <f t="shared" si="9"/>
        <v>25.300139058084721</v>
      </c>
      <c r="I113" s="2">
        <f t="shared" si="5"/>
        <v>3162.5173822605902</v>
      </c>
      <c r="J113" s="4">
        <f t="shared" si="7"/>
        <v>10.667791565580753</v>
      </c>
      <c r="K113" s="4">
        <f t="shared" si="6"/>
        <v>1333.4739456975942</v>
      </c>
      <c r="L113">
        <v>8</v>
      </c>
    </row>
    <row r="114" spans="1:12" hidden="1" x14ac:dyDescent="0.3">
      <c r="A114" t="s">
        <v>40</v>
      </c>
      <c r="B114" t="s">
        <v>37</v>
      </c>
      <c r="C114" s="4">
        <v>0.39790071399999999</v>
      </c>
      <c r="D114" s="4">
        <v>0.50565277799999997</v>
      </c>
      <c r="E114">
        <v>8</v>
      </c>
      <c r="F114" s="2">
        <v>11.942675159235668</v>
      </c>
      <c r="G114" s="2">
        <f t="shared" si="8"/>
        <v>112.01936866380598</v>
      </c>
      <c r="H114" s="2">
        <f t="shared" si="9"/>
        <v>33.334442263011745</v>
      </c>
      <c r="I114" s="2">
        <f t="shared" si="5"/>
        <v>4166.8052828764685</v>
      </c>
      <c r="J114" s="4">
        <f t="shared" si="7"/>
        <v>12.979269718852692</v>
      </c>
      <c r="K114" s="4">
        <f t="shared" si="6"/>
        <v>1622.4087148565864</v>
      </c>
      <c r="L114">
        <v>8</v>
      </c>
    </row>
    <row r="115" spans="1:12" hidden="1" x14ac:dyDescent="0.3">
      <c r="A115" t="s">
        <v>40</v>
      </c>
      <c r="B115" t="s">
        <v>37</v>
      </c>
      <c r="C115" s="4">
        <v>0.39790071399999999</v>
      </c>
      <c r="D115" s="4">
        <v>0.50565277799999997</v>
      </c>
      <c r="E115">
        <v>5.5</v>
      </c>
      <c r="F115" s="2">
        <v>7.6433121019108281</v>
      </c>
      <c r="G115" s="2">
        <f t="shared" si="8"/>
        <v>45.883133404694938</v>
      </c>
      <c r="H115" s="2">
        <f t="shared" si="9"/>
        <v>9.6768645013948031</v>
      </c>
      <c r="I115" s="2">
        <f t="shared" si="5"/>
        <v>1209.6080626743503</v>
      </c>
      <c r="J115" s="4">
        <f t="shared" si="7"/>
        <v>10.110289232828917</v>
      </c>
      <c r="K115" s="4">
        <f t="shared" si="6"/>
        <v>1263.7861541036145</v>
      </c>
      <c r="L115">
        <v>8</v>
      </c>
    </row>
    <row r="116" spans="1:12" hidden="1" x14ac:dyDescent="0.3">
      <c r="A116" t="s">
        <v>40</v>
      </c>
      <c r="B116" t="s">
        <v>16</v>
      </c>
      <c r="C116" s="4">
        <v>0.89361000000000002</v>
      </c>
      <c r="D116" s="4">
        <v>0.61247410899999999</v>
      </c>
      <c r="E116">
        <v>6</v>
      </c>
      <c r="F116" s="2">
        <v>7.6433121019108281</v>
      </c>
      <c r="G116" s="2">
        <f t="shared" si="8"/>
        <v>45.883133404694938</v>
      </c>
      <c r="H116" s="2">
        <f t="shared" si="9"/>
        <v>12.701469928347809</v>
      </c>
      <c r="I116" s="2">
        <f t="shared" si="5"/>
        <v>1587.6837410434762</v>
      </c>
      <c r="J116" s="4">
        <f t="shared" si="7"/>
        <v>10.212524617631546</v>
      </c>
      <c r="K116" s="4">
        <f t="shared" si="6"/>
        <v>1276.5655772039433</v>
      </c>
      <c r="L116">
        <v>8</v>
      </c>
    </row>
    <row r="117" spans="1:12" hidden="1" x14ac:dyDescent="0.3">
      <c r="A117" t="s">
        <v>40</v>
      </c>
      <c r="B117" t="s">
        <v>16</v>
      </c>
      <c r="C117" s="4">
        <v>0.89361000000000002</v>
      </c>
      <c r="D117" s="4">
        <v>0.61247410899999999</v>
      </c>
      <c r="E117">
        <v>2.7</v>
      </c>
      <c r="F117" s="2">
        <v>3.6624203821656049</v>
      </c>
      <c r="G117" s="2">
        <f t="shared" si="8"/>
        <v>10.534799293005044</v>
      </c>
      <c r="H117" s="2">
        <f t="shared" si="9"/>
        <v>1.3857957922163595</v>
      </c>
      <c r="I117" s="2">
        <f t="shared" si="5"/>
        <v>173.22447402704495</v>
      </c>
      <c r="J117" s="4">
        <f t="shared" si="7"/>
        <v>9.1124559028763841</v>
      </c>
      <c r="K117" s="4">
        <f t="shared" si="6"/>
        <v>1139.0569878595479</v>
      </c>
      <c r="L117">
        <v>8</v>
      </c>
    </row>
    <row r="118" spans="1:12" hidden="1" x14ac:dyDescent="0.3">
      <c r="A118" t="s">
        <v>40</v>
      </c>
      <c r="B118" t="s">
        <v>17</v>
      </c>
      <c r="C118" s="4">
        <v>0.708787469</v>
      </c>
      <c r="D118" s="4">
        <v>0.80167708299999996</v>
      </c>
      <c r="E118">
        <v>8</v>
      </c>
      <c r="F118" s="2">
        <v>8.598726114649681</v>
      </c>
      <c r="G118" s="2">
        <f t="shared" si="8"/>
        <v>58.070840715317019</v>
      </c>
      <c r="H118" s="2">
        <f t="shared" si="9"/>
        <v>27.526422261541022</v>
      </c>
      <c r="I118" s="2">
        <f t="shared" si="5"/>
        <v>3440.8027826926277</v>
      </c>
      <c r="J118" s="4">
        <f t="shared" si="7"/>
        <v>11.055966542253234</v>
      </c>
      <c r="K118" s="4">
        <f t="shared" si="6"/>
        <v>1381.9958177816543</v>
      </c>
      <c r="L118">
        <v>8</v>
      </c>
    </row>
    <row r="119" spans="1:12" hidden="1" x14ac:dyDescent="0.3">
      <c r="A119" t="s">
        <v>40</v>
      </c>
      <c r="B119" t="s">
        <v>41</v>
      </c>
      <c r="C119" s="4">
        <v>0.56193137999999998</v>
      </c>
      <c r="D119" s="4">
        <v>0.57808694400000005</v>
      </c>
      <c r="E119">
        <v>5.5</v>
      </c>
      <c r="F119" s="2">
        <v>14.490445859872612</v>
      </c>
      <c r="G119" s="2">
        <f t="shared" si="8"/>
        <v>164.91242522755155</v>
      </c>
      <c r="H119" s="2">
        <f t="shared" si="9"/>
        <v>38.436687034753241</v>
      </c>
      <c r="I119" s="2">
        <f t="shared" si="5"/>
        <v>4804.5858793441548</v>
      </c>
      <c r="J119" s="4">
        <f t="shared" si="7"/>
        <v>13.027680658444561</v>
      </c>
      <c r="K119" s="4">
        <f t="shared" si="6"/>
        <v>1628.4600823055703</v>
      </c>
      <c r="L119">
        <v>8</v>
      </c>
    </row>
    <row r="120" spans="1:12" hidden="1" x14ac:dyDescent="0.3">
      <c r="A120" t="s">
        <v>40</v>
      </c>
      <c r="B120" t="s">
        <v>30</v>
      </c>
      <c r="C120" s="4">
        <v>0.372</v>
      </c>
      <c r="D120" s="4">
        <v>0.73247777800000002</v>
      </c>
      <c r="E120">
        <v>5.5</v>
      </c>
      <c r="F120" s="2">
        <v>12.993630573248407</v>
      </c>
      <c r="G120" s="2">
        <f t="shared" si="8"/>
        <v>132.60225553956835</v>
      </c>
      <c r="H120" s="2">
        <f t="shared" si="9"/>
        <v>39.142665918508136</v>
      </c>
      <c r="I120" s="2">
        <f t="shared" si="5"/>
        <v>4892.8332398135171</v>
      </c>
      <c r="J120" s="4">
        <f t="shared" si="7"/>
        <v>12.235762882875573</v>
      </c>
      <c r="K120" s="4">
        <f t="shared" si="6"/>
        <v>1529.4703603594467</v>
      </c>
      <c r="L120">
        <v>8</v>
      </c>
    </row>
    <row r="121" spans="1:12" hidden="1" x14ac:dyDescent="0.3">
      <c r="A121" t="s">
        <v>40</v>
      </c>
      <c r="B121" t="s">
        <v>20</v>
      </c>
      <c r="C121" s="4">
        <v>0.74387999999999999</v>
      </c>
      <c r="D121" s="4">
        <v>0.59130000000000005</v>
      </c>
      <c r="E121">
        <v>6.5</v>
      </c>
      <c r="F121" s="2">
        <v>5.7324840764331206</v>
      </c>
      <c r="G121" s="2">
        <f t="shared" si="8"/>
        <v>25.809262540140899</v>
      </c>
      <c r="H121" s="2">
        <f t="shared" si="9"/>
        <v>7.5681241390466463</v>
      </c>
      <c r="I121" s="2">
        <f t="shared" si="5"/>
        <v>946.01551738083083</v>
      </c>
      <c r="J121" s="4">
        <f t="shared" si="7"/>
        <v>9.7332962513692234</v>
      </c>
      <c r="K121" s="4">
        <f t="shared" si="6"/>
        <v>1216.662031421153</v>
      </c>
      <c r="L121">
        <v>8</v>
      </c>
    </row>
    <row r="122" spans="1:12" hidden="1" x14ac:dyDescent="0.3">
      <c r="A122" t="s">
        <v>40</v>
      </c>
      <c r="B122" t="s">
        <v>39</v>
      </c>
      <c r="C122" s="4">
        <v>0.590536375</v>
      </c>
      <c r="D122" s="4">
        <v>0.61247410899999999</v>
      </c>
      <c r="E122">
        <v>9</v>
      </c>
      <c r="F122" s="2">
        <v>23.248407643312103</v>
      </c>
      <c r="G122" s="2">
        <f t="shared" si="8"/>
        <v>424.49864221114467</v>
      </c>
      <c r="H122" s="2">
        <f t="shared" si="9"/>
        <v>165.48282730941466</v>
      </c>
      <c r="I122" s="2">
        <f t="shared" si="5"/>
        <v>20685.353413676832</v>
      </c>
      <c r="J122" s="4">
        <f t="shared" si="7"/>
        <v>26.011086425412799</v>
      </c>
      <c r="K122" s="4">
        <f t="shared" si="6"/>
        <v>3251.3858031765999</v>
      </c>
      <c r="L122">
        <v>8</v>
      </c>
    </row>
    <row r="123" spans="1:12" hidden="1" x14ac:dyDescent="0.3">
      <c r="A123" t="s">
        <v>40</v>
      </c>
      <c r="B123" t="s">
        <v>42</v>
      </c>
      <c r="C123" s="4">
        <v>1187461538</v>
      </c>
      <c r="D123" s="4">
        <v>0.95</v>
      </c>
      <c r="E123">
        <v>2.5</v>
      </c>
      <c r="F123" s="2">
        <v>3.9808917197452227</v>
      </c>
      <c r="G123" s="2">
        <f t="shared" si="8"/>
        <v>12.446596518200664</v>
      </c>
      <c r="H123" s="2">
        <f t="shared" si="9"/>
        <v>2.3217979521250802</v>
      </c>
      <c r="I123" s="2">
        <f t="shared" si="5"/>
        <v>290.22474401563505</v>
      </c>
      <c r="J123" s="4">
        <f t="shared" si="7"/>
        <v>9.1243656152379398</v>
      </c>
      <c r="K123" s="4">
        <f t="shared" si="6"/>
        <v>1140.5457019047424</v>
      </c>
      <c r="L123">
        <v>8</v>
      </c>
    </row>
    <row r="124" spans="1:12" hidden="1" x14ac:dyDescent="0.3">
      <c r="A124" t="s">
        <v>40</v>
      </c>
      <c r="B124" t="s">
        <v>28</v>
      </c>
      <c r="C124" s="4">
        <v>0.48464433800000001</v>
      </c>
      <c r="D124" s="4">
        <v>0.62688577999999995</v>
      </c>
      <c r="E124">
        <v>6</v>
      </c>
      <c r="F124" s="2">
        <v>3.9808917197452227</v>
      </c>
      <c r="G124" s="2">
        <f t="shared" si="8"/>
        <v>12.446596518200664</v>
      </c>
      <c r="H124" s="2">
        <f t="shared" si="9"/>
        <v>3.636706506120404</v>
      </c>
      <c r="I124" s="2">
        <f t="shared" si="5"/>
        <v>454.58831326505049</v>
      </c>
      <c r="J124" s="4">
        <f t="shared" si="7"/>
        <v>9.3184974765710571</v>
      </c>
      <c r="K124" s="4">
        <f t="shared" si="6"/>
        <v>1164.8121845713822</v>
      </c>
      <c r="L124">
        <v>8</v>
      </c>
    </row>
    <row r="125" spans="1:12" hidden="1" x14ac:dyDescent="0.3">
      <c r="A125" t="s">
        <v>40</v>
      </c>
      <c r="B125" t="s">
        <v>21</v>
      </c>
      <c r="C125" s="4">
        <v>0.66608171000000005</v>
      </c>
      <c r="D125" s="4">
        <v>0.68661666700000001</v>
      </c>
      <c r="E125">
        <v>6</v>
      </c>
      <c r="F125" s="2">
        <v>11.464968152866241</v>
      </c>
      <c r="G125" s="2">
        <f t="shared" si="8"/>
        <v>103.2370501605636</v>
      </c>
      <c r="H125" s="2">
        <f t="shared" si="9"/>
        <v>31.33427785501587</v>
      </c>
      <c r="I125" s="2">
        <f t="shared" si="5"/>
        <v>3916.7847318769836</v>
      </c>
      <c r="J125" s="4">
        <f t="shared" si="7"/>
        <v>11.74605538967098</v>
      </c>
      <c r="K125" s="4">
        <f t="shared" si="6"/>
        <v>1468.2569237088726</v>
      </c>
      <c r="L125">
        <v>8</v>
      </c>
    </row>
    <row r="126" spans="1:12" hidden="1" x14ac:dyDescent="0.3">
      <c r="A126" t="s">
        <v>40</v>
      </c>
      <c r="B126" t="s">
        <v>23</v>
      </c>
      <c r="C126" s="4">
        <v>0.76500000000000001</v>
      </c>
      <c r="D126" s="4">
        <v>0.61247410899999999</v>
      </c>
      <c r="E126">
        <v>10</v>
      </c>
      <c r="F126" s="2">
        <v>33.757961783439491</v>
      </c>
      <c r="G126" s="2">
        <f t="shared" si="8"/>
        <v>895.03973426241714</v>
      </c>
      <c r="H126" s="2">
        <f t="shared" si="9"/>
        <v>379.84207446322267</v>
      </c>
      <c r="I126" s="2">
        <f t="shared" si="5"/>
        <v>47480.259307902837</v>
      </c>
      <c r="J126" s="4">
        <f t="shared" si="7"/>
        <v>48.871699432025643</v>
      </c>
      <c r="K126" s="4">
        <f t="shared" si="6"/>
        <v>6108.9624290032052</v>
      </c>
      <c r="L126">
        <v>8</v>
      </c>
    </row>
    <row r="127" spans="1:12" hidden="1" x14ac:dyDescent="0.3">
      <c r="A127" t="s">
        <v>43</v>
      </c>
      <c r="B127" t="s">
        <v>44</v>
      </c>
      <c r="C127" s="4">
        <v>0.54247040000000002</v>
      </c>
      <c r="D127" s="4">
        <v>0.54247042099999998</v>
      </c>
      <c r="E127">
        <v>4</v>
      </c>
      <c r="F127" s="2">
        <v>2.5477707006369426</v>
      </c>
      <c r="G127" s="2">
        <f t="shared" si="8"/>
        <v>5.098125933854992</v>
      </c>
      <c r="H127" s="2">
        <f t="shared" si="9"/>
        <v>0.88961405242058189</v>
      </c>
      <c r="I127" s="2">
        <f t="shared" si="5"/>
        <v>111.20175655257273</v>
      </c>
      <c r="J127" s="4">
        <f t="shared" si="7"/>
        <v>9.0765758976023356</v>
      </c>
      <c r="K127" s="4">
        <f t="shared" si="6"/>
        <v>1134.5719872002919</v>
      </c>
      <c r="L127">
        <v>8</v>
      </c>
    </row>
    <row r="128" spans="1:12" hidden="1" x14ac:dyDescent="0.3">
      <c r="A128" t="s">
        <v>43</v>
      </c>
      <c r="B128" t="s">
        <v>45</v>
      </c>
      <c r="C128" s="4">
        <v>0.81991655299999999</v>
      </c>
      <c r="D128" s="4">
        <v>0.72276027399999998</v>
      </c>
      <c r="E128">
        <v>4</v>
      </c>
      <c r="F128" s="2">
        <v>4.4585987261146496</v>
      </c>
      <c r="G128" s="2">
        <f t="shared" si="8"/>
        <v>15.613010672430914</v>
      </c>
      <c r="H128" s="2">
        <f t="shared" si="9"/>
        <v>3.5094517806950214</v>
      </c>
      <c r="I128" s="2">
        <f t="shared" si="5"/>
        <v>438.68147258687765</v>
      </c>
      <c r="J128" s="4">
        <f t="shared" si="7"/>
        <v>9.2640074364071552</v>
      </c>
      <c r="K128" s="4">
        <f t="shared" si="6"/>
        <v>1158.0009295508944</v>
      </c>
      <c r="L128">
        <v>8</v>
      </c>
    </row>
    <row r="129" spans="1:12" hidden="1" x14ac:dyDescent="0.3">
      <c r="A129" t="s">
        <v>43</v>
      </c>
      <c r="B129" t="s">
        <v>16</v>
      </c>
      <c r="C129" s="4">
        <v>0.89361000000000002</v>
      </c>
      <c r="D129" s="4">
        <v>0.61247410899999999</v>
      </c>
      <c r="E129">
        <v>6.5</v>
      </c>
      <c r="F129" s="2">
        <v>8.7579617834394909</v>
      </c>
      <c r="G129" s="2">
        <f t="shared" si="8"/>
        <v>60.241527148091237</v>
      </c>
      <c r="H129" s="2">
        <f t="shared" si="9"/>
        <v>17.91376507867809</v>
      </c>
      <c r="I129" s="2">
        <f t="shared" si="5"/>
        <v>2239.2206348347613</v>
      </c>
      <c r="J129" s="4">
        <f t="shared" si="7"/>
        <v>10.730668102154246</v>
      </c>
      <c r="K129" s="4">
        <f t="shared" si="6"/>
        <v>1341.3335127692808</v>
      </c>
      <c r="L129">
        <v>8</v>
      </c>
    </row>
    <row r="130" spans="1:12" hidden="1" x14ac:dyDescent="0.3">
      <c r="A130" t="s">
        <v>43</v>
      </c>
      <c r="B130" t="s">
        <v>16</v>
      </c>
      <c r="C130" s="4">
        <v>0.89361000000000002</v>
      </c>
      <c r="D130" s="4">
        <v>0.61247410899999999</v>
      </c>
      <c r="E130">
        <v>5</v>
      </c>
      <c r="F130" s="2">
        <v>3.121019108280255</v>
      </c>
      <c r="G130" s="2">
        <f t="shared" si="8"/>
        <v>7.65037522949115</v>
      </c>
      <c r="H130" s="2">
        <f t="shared" si="9"/>
        <v>1.8504358940222632</v>
      </c>
      <c r="I130" s="2">
        <f t="shared" ref="I130:I193" si="10">(H130*1000)/L130</f>
        <v>231.30448675278291</v>
      </c>
      <c r="J130" s="4">
        <f t="shared" si="7"/>
        <v>9.1561633047993833</v>
      </c>
      <c r="K130" s="4">
        <f t="shared" ref="K130:K193" si="11">(J130*1000)/L130</f>
        <v>1144.520413099923</v>
      </c>
      <c r="L130">
        <v>8</v>
      </c>
    </row>
    <row r="131" spans="1:12" hidden="1" x14ac:dyDescent="0.3">
      <c r="A131" t="s">
        <v>43</v>
      </c>
      <c r="B131" t="s">
        <v>16</v>
      </c>
      <c r="C131" s="4">
        <v>0.89361000000000002</v>
      </c>
      <c r="D131" s="4">
        <v>0.61247410899999999</v>
      </c>
      <c r="E131">
        <v>4.5</v>
      </c>
      <c r="F131" s="2">
        <v>3.1847133757961781</v>
      </c>
      <c r="G131" s="2">
        <f t="shared" si="8"/>
        <v>7.9658217716484252</v>
      </c>
      <c r="H131" s="2">
        <f t="shared" si="9"/>
        <v>1.7367665001375754</v>
      </c>
      <c r="I131" s="2">
        <f t="shared" si="10"/>
        <v>217.09581251719692</v>
      </c>
      <c r="J131" s="4">
        <f t="shared" ref="J131:J194" si="12">8.9857 + 0.0035 * F131^2 * E131</f>
        <v>9.1454427887541065</v>
      </c>
      <c r="K131" s="4">
        <f t="shared" si="11"/>
        <v>1143.1803485942633</v>
      </c>
      <c r="L131">
        <v>8</v>
      </c>
    </row>
    <row r="132" spans="1:12" hidden="1" x14ac:dyDescent="0.3">
      <c r="A132" t="s">
        <v>43</v>
      </c>
      <c r="B132" t="s">
        <v>18</v>
      </c>
      <c r="C132" s="4">
        <v>0.45255480399999998</v>
      </c>
      <c r="D132" s="4">
        <v>0.57808694400000005</v>
      </c>
      <c r="E132">
        <v>8</v>
      </c>
      <c r="F132" s="2">
        <v>43.630573248407643</v>
      </c>
      <c r="G132" s="2">
        <f t="shared" ref="G132:G195" si="13">PI()*(F132/2)^2</f>
        <v>1495.1050883206933</v>
      </c>
      <c r="H132" s="2">
        <f t="shared" ref="H132:H195" si="14">0.0673 * ((D132 * F132^2 * E132)^0.976)</f>
        <v>476.43986260351005</v>
      </c>
      <c r="I132" s="2">
        <f t="shared" si="10"/>
        <v>59554.982825438754</v>
      </c>
      <c r="J132" s="4">
        <f t="shared" si="12"/>
        <v>62.287253815570615</v>
      </c>
      <c r="K132" s="4">
        <f t="shared" si="11"/>
        <v>7785.9067269463267</v>
      </c>
      <c r="L132">
        <v>8</v>
      </c>
    </row>
    <row r="133" spans="1:12" hidden="1" x14ac:dyDescent="0.3">
      <c r="A133" t="s">
        <v>43</v>
      </c>
      <c r="B133" t="s">
        <v>18</v>
      </c>
      <c r="C133" s="4">
        <v>0.45255480399999998</v>
      </c>
      <c r="D133" s="4">
        <v>0.57808694400000005</v>
      </c>
      <c r="E133">
        <v>8</v>
      </c>
      <c r="F133" s="2">
        <v>28.980891719745223</v>
      </c>
      <c r="G133" s="2">
        <f t="shared" si="13"/>
        <v>659.64970091020621</v>
      </c>
      <c r="H133" s="2">
        <f t="shared" si="14"/>
        <v>214.37707520620538</v>
      </c>
      <c r="I133" s="2">
        <f t="shared" si="10"/>
        <v>26797.134400775671</v>
      </c>
      <c r="J133" s="4">
        <f t="shared" si="12"/>
        <v>32.502678376404724</v>
      </c>
      <c r="K133" s="4">
        <f t="shared" si="11"/>
        <v>4062.8347970505906</v>
      </c>
      <c r="L133">
        <v>8</v>
      </c>
    </row>
    <row r="134" spans="1:12" hidden="1" x14ac:dyDescent="0.3">
      <c r="A134" t="s">
        <v>43</v>
      </c>
      <c r="B134" t="s">
        <v>20</v>
      </c>
      <c r="C134" s="4">
        <v>0.74387999999999999</v>
      </c>
      <c r="D134" s="4">
        <v>0.59130000000000005</v>
      </c>
      <c r="E134">
        <v>5</v>
      </c>
      <c r="F134" s="2">
        <v>8.7579617834394909</v>
      </c>
      <c r="G134" s="2">
        <f t="shared" si="13"/>
        <v>60.241527148091237</v>
      </c>
      <c r="H134" s="2">
        <f t="shared" si="14"/>
        <v>13.398772822507244</v>
      </c>
      <c r="I134" s="2">
        <f t="shared" si="10"/>
        <v>1674.8466028134055</v>
      </c>
      <c r="J134" s="4">
        <f t="shared" si="12"/>
        <v>10.327983155503265</v>
      </c>
      <c r="K134" s="4">
        <f t="shared" si="11"/>
        <v>1290.9978944379081</v>
      </c>
      <c r="L134">
        <v>8</v>
      </c>
    </row>
    <row r="135" spans="1:12" hidden="1" x14ac:dyDescent="0.3">
      <c r="A135" t="s">
        <v>43</v>
      </c>
      <c r="B135" t="s">
        <v>20</v>
      </c>
      <c r="C135" s="4">
        <v>0.74387999999999999</v>
      </c>
      <c r="D135" s="4">
        <v>0.59130000000000005</v>
      </c>
      <c r="E135">
        <v>3.5</v>
      </c>
      <c r="F135" s="2">
        <v>6.2101910828025479</v>
      </c>
      <c r="G135" s="2">
        <f t="shared" si="13"/>
        <v>30.290037286693146</v>
      </c>
      <c r="H135" s="2">
        <f t="shared" si="14"/>
        <v>4.8356053984407446</v>
      </c>
      <c r="I135" s="2">
        <f t="shared" si="10"/>
        <v>604.45067480509306</v>
      </c>
      <c r="J135" s="4">
        <f t="shared" si="12"/>
        <v>9.4581392977402725</v>
      </c>
      <c r="K135" s="4">
        <f t="shared" si="11"/>
        <v>1182.267412217534</v>
      </c>
      <c r="L135">
        <v>8</v>
      </c>
    </row>
    <row r="136" spans="1:12" hidden="1" x14ac:dyDescent="0.3">
      <c r="A136" t="s">
        <v>43</v>
      </c>
      <c r="B136" t="s">
        <v>46</v>
      </c>
      <c r="C136" s="4">
        <v>1.1200000000000001</v>
      </c>
      <c r="D136" s="4">
        <v>0.85527777800000004</v>
      </c>
      <c r="E136">
        <v>5</v>
      </c>
      <c r="F136" s="2">
        <v>9.3949044585987256</v>
      </c>
      <c r="G136" s="2">
        <f t="shared" si="13"/>
        <v>69.322563967770421</v>
      </c>
      <c r="H136" s="2">
        <f t="shared" si="14"/>
        <v>22.030903406414829</v>
      </c>
      <c r="I136" s="2">
        <f t="shared" si="10"/>
        <v>2753.8629258018536</v>
      </c>
      <c r="J136" s="4">
        <f t="shared" si="12"/>
        <v>10.530324021258469</v>
      </c>
      <c r="K136" s="4">
        <f t="shared" si="11"/>
        <v>1316.2905026573087</v>
      </c>
      <c r="L136">
        <v>8</v>
      </c>
    </row>
    <row r="137" spans="1:12" hidden="1" x14ac:dyDescent="0.3">
      <c r="A137" t="s">
        <v>43</v>
      </c>
      <c r="B137" t="s">
        <v>33</v>
      </c>
      <c r="C137" s="4">
        <v>0.69835862100000001</v>
      </c>
      <c r="D137" s="4">
        <v>0.69262500000000005</v>
      </c>
      <c r="E137">
        <v>4.5</v>
      </c>
      <c r="F137" s="2">
        <v>3.0254777070063694</v>
      </c>
      <c r="G137" s="2">
        <f t="shared" si="13"/>
        <v>7.1891541489127055</v>
      </c>
      <c r="H137" s="2">
        <f t="shared" si="14"/>
        <v>1.771684923219784</v>
      </c>
      <c r="I137" s="2">
        <f t="shared" si="10"/>
        <v>221.460615402473</v>
      </c>
      <c r="J137" s="4">
        <f t="shared" si="12"/>
        <v>9.1298678668505815</v>
      </c>
      <c r="K137" s="4">
        <f t="shared" si="11"/>
        <v>1141.2334833563227</v>
      </c>
      <c r="L137">
        <v>8</v>
      </c>
    </row>
    <row r="138" spans="1:12" hidden="1" x14ac:dyDescent="0.3">
      <c r="A138" t="s">
        <v>43</v>
      </c>
      <c r="B138" t="s">
        <v>21</v>
      </c>
      <c r="C138" s="4">
        <v>0.66608171000000005</v>
      </c>
      <c r="D138" s="4">
        <v>0.68661666700000001</v>
      </c>
      <c r="E138">
        <v>7</v>
      </c>
      <c r="F138" s="2">
        <v>11.783439490445859</v>
      </c>
      <c r="G138" s="2">
        <f t="shared" si="13"/>
        <v>109.05210005386697</v>
      </c>
      <c r="H138" s="2">
        <f t="shared" si="14"/>
        <v>38.422625760270186</v>
      </c>
      <c r="I138" s="2">
        <f t="shared" si="10"/>
        <v>4802.8282200337735</v>
      </c>
      <c r="J138" s="4">
        <f t="shared" si="12"/>
        <v>12.387511432512476</v>
      </c>
      <c r="K138" s="4">
        <f t="shared" si="11"/>
        <v>1548.4389290640595</v>
      </c>
      <c r="L138">
        <v>8</v>
      </c>
    </row>
    <row r="139" spans="1:12" hidden="1" x14ac:dyDescent="0.3">
      <c r="A139" t="s">
        <v>43</v>
      </c>
      <c r="B139" t="s">
        <v>21</v>
      </c>
      <c r="C139" s="4">
        <v>0.66608171000000005</v>
      </c>
      <c r="D139" s="4">
        <v>0.68661666700000001</v>
      </c>
      <c r="E139">
        <v>6</v>
      </c>
      <c r="F139" s="2">
        <v>9.2356687898089174</v>
      </c>
      <c r="G139" s="2">
        <f t="shared" si="13"/>
        <v>66.992561099563275</v>
      </c>
      <c r="H139" s="2">
        <f t="shared" si="14"/>
        <v>20.545565557980407</v>
      </c>
      <c r="I139" s="2">
        <f t="shared" si="10"/>
        <v>2568.195694747551</v>
      </c>
      <c r="J139" s="4">
        <f t="shared" si="12"/>
        <v>10.776949137896061</v>
      </c>
      <c r="K139" s="4">
        <f t="shared" si="11"/>
        <v>1347.1186422370076</v>
      </c>
      <c r="L139">
        <v>8</v>
      </c>
    </row>
    <row r="140" spans="1:12" hidden="1" x14ac:dyDescent="0.3">
      <c r="A140" t="s">
        <v>43</v>
      </c>
      <c r="B140" t="s">
        <v>22</v>
      </c>
      <c r="C140" s="4">
        <v>0.43836446099999998</v>
      </c>
      <c r="D140" s="4">
        <v>0.58666666700000003</v>
      </c>
      <c r="E140">
        <v>8</v>
      </c>
      <c r="F140" s="2">
        <v>43.248407643312106</v>
      </c>
      <c r="G140" s="2">
        <f t="shared" si="13"/>
        <v>1469.0281741690251</v>
      </c>
      <c r="H140" s="2">
        <f t="shared" si="14"/>
        <v>475.11045662972577</v>
      </c>
      <c r="I140" s="2">
        <f t="shared" si="10"/>
        <v>59388.807078715719</v>
      </c>
      <c r="J140" s="4">
        <f t="shared" si="12"/>
        <v>61.357593383098717</v>
      </c>
      <c r="K140" s="4">
        <f t="shared" si="11"/>
        <v>7669.69917288734</v>
      </c>
      <c r="L140">
        <v>8</v>
      </c>
    </row>
    <row r="141" spans="1:12" hidden="1" x14ac:dyDescent="0.3">
      <c r="A141" t="s">
        <v>43</v>
      </c>
      <c r="B141" t="s">
        <v>22</v>
      </c>
      <c r="C141" s="4">
        <v>0.43836446099999998</v>
      </c>
      <c r="D141" s="4">
        <v>0.58666666700000003</v>
      </c>
      <c r="E141">
        <v>8</v>
      </c>
      <c r="F141" s="2">
        <v>43.949044585987259</v>
      </c>
      <c r="G141" s="2">
        <f t="shared" si="13"/>
        <v>1517.0110981927262</v>
      </c>
      <c r="H141" s="2">
        <f t="shared" si="14"/>
        <v>490.25069110671899</v>
      </c>
      <c r="I141" s="2">
        <f t="shared" si="10"/>
        <v>61281.336388339871</v>
      </c>
      <c r="J141" s="4">
        <f t="shared" si="12"/>
        <v>63.068218560590694</v>
      </c>
      <c r="K141" s="4">
        <f t="shared" si="11"/>
        <v>7883.5273200738366</v>
      </c>
      <c r="L141">
        <v>8</v>
      </c>
    </row>
    <row r="142" spans="1:12" hidden="1" x14ac:dyDescent="0.3">
      <c r="A142" t="s">
        <v>43</v>
      </c>
      <c r="B142" t="s">
        <v>22</v>
      </c>
      <c r="C142" s="4">
        <v>0.43836446099999998</v>
      </c>
      <c r="D142" s="4">
        <v>0.58666666700000003</v>
      </c>
      <c r="E142">
        <v>8</v>
      </c>
      <c r="F142" s="2">
        <v>32.675159235668787</v>
      </c>
      <c r="G142" s="2">
        <f t="shared" si="13"/>
        <v>838.54293992917769</v>
      </c>
      <c r="H142" s="2">
        <f t="shared" si="14"/>
        <v>274.87414161572303</v>
      </c>
      <c r="I142" s="2">
        <f t="shared" si="10"/>
        <v>34359.267701965378</v>
      </c>
      <c r="J142" s="4">
        <f t="shared" si="12"/>
        <v>38.880348870136714</v>
      </c>
      <c r="K142" s="4">
        <f t="shared" si="11"/>
        <v>4860.0436087670896</v>
      </c>
      <c r="L142">
        <v>8</v>
      </c>
    </row>
    <row r="143" spans="1:12" hidden="1" x14ac:dyDescent="0.3">
      <c r="A143" t="s">
        <v>43</v>
      </c>
      <c r="B143" t="s">
        <v>22</v>
      </c>
      <c r="C143" s="4">
        <v>0.43836446099999998</v>
      </c>
      <c r="D143" s="4">
        <v>0.58666666700000003</v>
      </c>
      <c r="E143">
        <v>6.5</v>
      </c>
      <c r="F143" s="2">
        <v>14.968152866242038</v>
      </c>
      <c r="G143" s="2">
        <f t="shared" si="13"/>
        <v>175.96500293571373</v>
      </c>
      <c r="H143" s="2">
        <f t="shared" si="14"/>
        <v>48.898649566167919</v>
      </c>
      <c r="I143" s="2">
        <f t="shared" si="10"/>
        <v>6112.3311957709902</v>
      </c>
      <c r="J143" s="4">
        <f t="shared" si="12"/>
        <v>14.082737405168565</v>
      </c>
      <c r="K143" s="4">
        <f t="shared" si="11"/>
        <v>1760.3421756460707</v>
      </c>
      <c r="L143">
        <v>8</v>
      </c>
    </row>
    <row r="144" spans="1:12" hidden="1" x14ac:dyDescent="0.3">
      <c r="A144" t="s">
        <v>43</v>
      </c>
      <c r="B144" t="s">
        <v>47</v>
      </c>
      <c r="C144" s="4">
        <v>0.40238543599999999</v>
      </c>
      <c r="D144" s="4">
        <v>0.40883333300000002</v>
      </c>
      <c r="E144">
        <v>12</v>
      </c>
      <c r="F144" s="2">
        <v>16.242038216560509</v>
      </c>
      <c r="G144" s="2">
        <f t="shared" si="13"/>
        <v>207.19102428057556</v>
      </c>
      <c r="H144" s="2">
        <f t="shared" si="14"/>
        <v>73.339079955438663</v>
      </c>
      <c r="I144" s="2">
        <f t="shared" si="10"/>
        <v>9167.3849944298327</v>
      </c>
      <c r="J144" s="4">
        <f t="shared" si="12"/>
        <v>20.065459827984906</v>
      </c>
      <c r="K144" s="4">
        <f t="shared" si="11"/>
        <v>2508.1824784981131</v>
      </c>
      <c r="L144">
        <v>8</v>
      </c>
    </row>
    <row r="145" spans="1:12" hidden="1" x14ac:dyDescent="0.3">
      <c r="A145" t="s">
        <v>43</v>
      </c>
      <c r="B145" t="s">
        <v>23</v>
      </c>
      <c r="C145" s="4">
        <v>0.76500000000000001</v>
      </c>
      <c r="D145" s="4">
        <v>0.61247410899999999</v>
      </c>
      <c r="E145">
        <v>9</v>
      </c>
      <c r="F145" s="2">
        <v>18.312101910828027</v>
      </c>
      <c r="G145" s="2">
        <f t="shared" si="13"/>
        <v>263.3699823251261</v>
      </c>
      <c r="H145" s="2">
        <f t="shared" si="14"/>
        <v>103.85283157332336</v>
      </c>
      <c r="I145" s="2">
        <f t="shared" si="10"/>
        <v>12981.60394666542</v>
      </c>
      <c r="J145" s="4">
        <f t="shared" si="12"/>
        <v>19.54869190636537</v>
      </c>
      <c r="K145" s="4">
        <f t="shared" si="11"/>
        <v>2443.5864882956712</v>
      </c>
      <c r="L145">
        <v>8</v>
      </c>
    </row>
    <row r="146" spans="1:12" hidden="1" x14ac:dyDescent="0.3">
      <c r="A146" t="s">
        <v>43</v>
      </c>
      <c r="B146" t="s">
        <v>24</v>
      </c>
      <c r="C146" s="4">
        <v>0.41240947999999999</v>
      </c>
      <c r="D146" s="4">
        <v>0.52705000000000002</v>
      </c>
      <c r="E146">
        <v>7</v>
      </c>
      <c r="F146" s="2">
        <v>10.031847133757962</v>
      </c>
      <c r="G146" s="2">
        <f t="shared" si="13"/>
        <v>79.040866529181514</v>
      </c>
      <c r="H146" s="2">
        <f t="shared" si="14"/>
        <v>21.679719222230172</v>
      </c>
      <c r="I146" s="2">
        <f t="shared" si="10"/>
        <v>2709.9649027787714</v>
      </c>
      <c r="J146" s="4">
        <f t="shared" si="12"/>
        <v>11.451329944419651</v>
      </c>
      <c r="K146" s="4">
        <f t="shared" si="11"/>
        <v>1431.4162430524564</v>
      </c>
      <c r="L146">
        <v>8</v>
      </c>
    </row>
    <row r="147" spans="1:12" hidden="1" x14ac:dyDescent="0.3">
      <c r="A147" t="s">
        <v>43</v>
      </c>
      <c r="B147" t="s">
        <v>24</v>
      </c>
      <c r="C147" s="4">
        <v>0.41240947999999999</v>
      </c>
      <c r="D147" s="4">
        <v>0.52705000000000002</v>
      </c>
      <c r="E147">
        <v>6.5</v>
      </c>
      <c r="F147" s="2">
        <v>8.1210191082802545</v>
      </c>
      <c r="G147" s="2">
        <f t="shared" si="13"/>
        <v>51.79775607014389</v>
      </c>
      <c r="H147" s="2">
        <f t="shared" si="14"/>
        <v>13.350749075854461</v>
      </c>
      <c r="I147" s="2">
        <f t="shared" si="10"/>
        <v>1668.8436344818076</v>
      </c>
      <c r="J147" s="4">
        <f t="shared" si="12"/>
        <v>10.486084143372956</v>
      </c>
      <c r="K147" s="4">
        <f t="shared" si="11"/>
        <v>1310.7605179216196</v>
      </c>
      <c r="L147">
        <v>8</v>
      </c>
    </row>
    <row r="148" spans="1:12" hidden="1" x14ac:dyDescent="0.3">
      <c r="A148" t="s">
        <v>43</v>
      </c>
      <c r="B148" t="s">
        <v>24</v>
      </c>
      <c r="C148" s="4">
        <v>0.41240947999999999</v>
      </c>
      <c r="D148" s="4">
        <v>0.52705000000000002</v>
      </c>
      <c r="E148">
        <v>6</v>
      </c>
      <c r="F148" s="2">
        <v>7.9617834394904454</v>
      </c>
      <c r="G148" s="2">
        <f t="shared" si="13"/>
        <v>49.786386072802657</v>
      </c>
      <c r="H148" s="2">
        <f t="shared" si="14"/>
        <v>11.87928447390674</v>
      </c>
      <c r="I148" s="2">
        <f t="shared" si="10"/>
        <v>1484.9105592383426</v>
      </c>
      <c r="J148" s="4">
        <f t="shared" si="12"/>
        <v>10.31688990628423</v>
      </c>
      <c r="K148" s="4">
        <f t="shared" si="11"/>
        <v>1289.6112382855288</v>
      </c>
      <c r="L148">
        <v>8</v>
      </c>
    </row>
    <row r="149" spans="1:12" hidden="1" x14ac:dyDescent="0.3">
      <c r="A149" t="s">
        <v>43</v>
      </c>
      <c r="B149" t="s">
        <v>24</v>
      </c>
      <c r="C149" s="4">
        <v>0.41240947999999999</v>
      </c>
      <c r="D149" s="4">
        <v>0.52705000000000002</v>
      </c>
      <c r="E149">
        <v>4.5</v>
      </c>
      <c r="F149" s="2">
        <v>4.2993630573248405</v>
      </c>
      <c r="G149" s="2">
        <f t="shared" si="13"/>
        <v>14.517710178829255</v>
      </c>
      <c r="H149" s="2">
        <f t="shared" si="14"/>
        <v>2.6945279620274487</v>
      </c>
      <c r="I149" s="2">
        <f t="shared" si="10"/>
        <v>336.81599525343108</v>
      </c>
      <c r="J149" s="4">
        <f t="shared" si="12"/>
        <v>9.2768312325043603</v>
      </c>
      <c r="K149" s="4">
        <f t="shared" si="11"/>
        <v>1159.6039040630451</v>
      </c>
      <c r="L149">
        <v>8</v>
      </c>
    </row>
    <row r="150" spans="1:12" hidden="1" x14ac:dyDescent="0.3">
      <c r="A150" t="s">
        <v>48</v>
      </c>
      <c r="B150" t="s">
        <v>14</v>
      </c>
      <c r="C150" s="4">
        <v>0.766138345</v>
      </c>
      <c r="D150" s="4">
        <v>0.90500000000000003</v>
      </c>
      <c r="E150">
        <v>5</v>
      </c>
      <c r="F150" s="2">
        <v>3.5031847133757958</v>
      </c>
      <c r="G150" s="2">
        <f t="shared" si="13"/>
        <v>9.6386443436945939</v>
      </c>
      <c r="H150" s="2">
        <f t="shared" si="14"/>
        <v>3.3938344216908192</v>
      </c>
      <c r="I150" s="2">
        <f t="shared" si="10"/>
        <v>424.22930271135237</v>
      </c>
      <c r="J150" s="4">
        <f t="shared" si="12"/>
        <v>9.2004653048805221</v>
      </c>
      <c r="K150" s="4">
        <f t="shared" si="11"/>
        <v>1150.0581631100652</v>
      </c>
      <c r="L150">
        <v>8</v>
      </c>
    </row>
    <row r="151" spans="1:12" hidden="1" x14ac:dyDescent="0.3">
      <c r="A151" t="s">
        <v>48</v>
      </c>
      <c r="B151" t="s">
        <v>14</v>
      </c>
      <c r="C151" s="4">
        <v>0.766138345</v>
      </c>
      <c r="D151" s="4">
        <v>0.90500000000000003</v>
      </c>
      <c r="E151">
        <v>4</v>
      </c>
      <c r="F151" s="2">
        <v>5.3184713375796173</v>
      </c>
      <c r="G151" s="2">
        <f t="shared" si="13"/>
        <v>22.215880338950296</v>
      </c>
      <c r="H151" s="2">
        <f t="shared" si="14"/>
        <v>6.166667149756714</v>
      </c>
      <c r="I151" s="2">
        <f t="shared" si="10"/>
        <v>770.83339371958925</v>
      </c>
      <c r="J151" s="4">
        <f t="shared" si="12"/>
        <v>9.3817059231611832</v>
      </c>
      <c r="K151" s="4">
        <f t="shared" si="11"/>
        <v>1172.713240395148</v>
      </c>
      <c r="L151">
        <v>8</v>
      </c>
    </row>
    <row r="152" spans="1:12" hidden="1" x14ac:dyDescent="0.3">
      <c r="A152" t="s">
        <v>48</v>
      </c>
      <c r="B152" t="s">
        <v>44</v>
      </c>
      <c r="C152" s="4">
        <v>0.54247040000000002</v>
      </c>
      <c r="D152" s="4">
        <v>0.54247042099999998</v>
      </c>
      <c r="E152">
        <v>3</v>
      </c>
      <c r="F152" s="2">
        <v>4.7770700636942669</v>
      </c>
      <c r="G152" s="2">
        <f t="shared" si="13"/>
        <v>17.923098986208956</v>
      </c>
      <c r="H152" s="2">
        <f t="shared" si="14"/>
        <v>2.2917113232529447</v>
      </c>
      <c r="I152" s="2">
        <f t="shared" si="10"/>
        <v>286.46391540661807</v>
      </c>
      <c r="J152" s="4">
        <f t="shared" si="12"/>
        <v>9.2253141831311609</v>
      </c>
      <c r="K152" s="4">
        <f t="shared" si="11"/>
        <v>1153.1642728913951</v>
      </c>
      <c r="L152">
        <v>8</v>
      </c>
    </row>
    <row r="153" spans="1:12" hidden="1" x14ac:dyDescent="0.3">
      <c r="A153" t="s">
        <v>48</v>
      </c>
      <c r="B153" t="s">
        <v>44</v>
      </c>
      <c r="C153" s="4">
        <v>0.54247040000000002</v>
      </c>
      <c r="D153" s="4">
        <v>0.54247042099999998</v>
      </c>
      <c r="E153">
        <v>2.2999999999999998</v>
      </c>
      <c r="F153" s="2">
        <v>3.9808917197452227</v>
      </c>
      <c r="G153" s="2">
        <f t="shared" si="13"/>
        <v>12.446596518200664</v>
      </c>
      <c r="H153" s="2">
        <f t="shared" si="14"/>
        <v>1.2387228294635269</v>
      </c>
      <c r="I153" s="2">
        <f t="shared" si="10"/>
        <v>154.84035368294084</v>
      </c>
      <c r="J153" s="4">
        <f t="shared" si="12"/>
        <v>9.1132723660189043</v>
      </c>
      <c r="K153" s="4">
        <f t="shared" si="11"/>
        <v>1139.159045752363</v>
      </c>
      <c r="L153">
        <v>8</v>
      </c>
    </row>
    <row r="154" spans="1:12" hidden="1" x14ac:dyDescent="0.3">
      <c r="A154" t="s">
        <v>48</v>
      </c>
      <c r="B154" t="s">
        <v>16</v>
      </c>
      <c r="C154" s="4">
        <v>0.89361000000000002</v>
      </c>
      <c r="D154" s="4">
        <v>0.61247410899999999</v>
      </c>
      <c r="E154">
        <v>6</v>
      </c>
      <c r="F154" s="2">
        <v>2.7070063694267517</v>
      </c>
      <c r="G154" s="2">
        <f t="shared" si="13"/>
        <v>5.7553062300159885</v>
      </c>
      <c r="H154" s="2">
        <f t="shared" si="14"/>
        <v>1.6745857202004957</v>
      </c>
      <c r="I154" s="2">
        <f t="shared" si="10"/>
        <v>209.32321502506196</v>
      </c>
      <c r="J154" s="4">
        <f t="shared" si="12"/>
        <v>9.1395855531664569</v>
      </c>
      <c r="K154" s="4">
        <f t="shared" si="11"/>
        <v>1142.4481941458071</v>
      </c>
      <c r="L154">
        <v>8</v>
      </c>
    </row>
    <row r="155" spans="1:12" hidden="1" x14ac:dyDescent="0.3">
      <c r="A155" t="s">
        <v>48</v>
      </c>
      <c r="B155" t="s">
        <v>17</v>
      </c>
      <c r="C155" s="4">
        <v>0.708787469</v>
      </c>
      <c r="D155" s="4">
        <v>0.80167708299999996</v>
      </c>
      <c r="E155">
        <v>5</v>
      </c>
      <c r="F155" s="2">
        <v>3.5031847133757958</v>
      </c>
      <c r="G155" s="2">
        <f t="shared" si="13"/>
        <v>9.6386443436945939</v>
      </c>
      <c r="H155" s="2">
        <f t="shared" si="14"/>
        <v>3.015123589312823</v>
      </c>
      <c r="I155" s="2">
        <f t="shared" si="10"/>
        <v>376.89044866410285</v>
      </c>
      <c r="J155" s="4">
        <f t="shared" si="12"/>
        <v>9.2004653048805221</v>
      </c>
      <c r="K155" s="4">
        <f t="shared" si="11"/>
        <v>1150.0581631100652</v>
      </c>
      <c r="L155">
        <v>8</v>
      </c>
    </row>
    <row r="156" spans="1:12" hidden="1" x14ac:dyDescent="0.3">
      <c r="A156" t="s">
        <v>48</v>
      </c>
      <c r="B156" t="s">
        <v>17</v>
      </c>
      <c r="C156" s="4">
        <v>0.708787469</v>
      </c>
      <c r="D156" s="4">
        <v>0.80167708299999996</v>
      </c>
      <c r="E156">
        <v>4</v>
      </c>
      <c r="F156" s="2">
        <v>3.5031847133757958</v>
      </c>
      <c r="G156" s="2">
        <f t="shared" si="13"/>
        <v>9.6386443436945939</v>
      </c>
      <c r="H156" s="2">
        <f t="shared" si="14"/>
        <v>2.4250513871362016</v>
      </c>
      <c r="I156" s="2">
        <f t="shared" si="10"/>
        <v>303.13142339202523</v>
      </c>
      <c r="J156" s="4">
        <f t="shared" si="12"/>
        <v>9.1575122439044172</v>
      </c>
      <c r="K156" s="4">
        <f t="shared" si="11"/>
        <v>1144.6890304880521</v>
      </c>
      <c r="L156">
        <v>8</v>
      </c>
    </row>
    <row r="157" spans="1:12" hidden="1" x14ac:dyDescent="0.3">
      <c r="A157" t="s">
        <v>48</v>
      </c>
      <c r="B157" t="s">
        <v>18</v>
      </c>
      <c r="C157" s="4">
        <v>0.45255480399999998</v>
      </c>
      <c r="D157" s="4">
        <v>0.57808694400000005</v>
      </c>
      <c r="E157">
        <v>9</v>
      </c>
      <c r="F157" s="2">
        <v>57.00636942675159</v>
      </c>
      <c r="G157" s="2">
        <f t="shared" si="13"/>
        <v>2552.3289538538725</v>
      </c>
      <c r="H157" s="2">
        <f t="shared" si="14"/>
        <v>900.78992896006355</v>
      </c>
      <c r="I157" s="2">
        <f t="shared" si="10"/>
        <v>112598.74112000794</v>
      </c>
      <c r="J157" s="4">
        <f t="shared" si="12"/>
        <v>111.35207388940728</v>
      </c>
      <c r="K157" s="4">
        <f t="shared" si="11"/>
        <v>13919.009236175911</v>
      </c>
      <c r="L157">
        <v>8</v>
      </c>
    </row>
    <row r="158" spans="1:12" hidden="1" x14ac:dyDescent="0.3">
      <c r="A158" t="s">
        <v>48</v>
      </c>
      <c r="B158" t="s">
        <v>18</v>
      </c>
      <c r="C158" s="4">
        <v>0.45255480399999998</v>
      </c>
      <c r="D158" s="4">
        <v>0.57808694400000005</v>
      </c>
      <c r="E158">
        <v>9</v>
      </c>
      <c r="F158" s="2">
        <v>25.796178343949045</v>
      </c>
      <c r="G158" s="2">
        <f t="shared" si="13"/>
        <v>522.63756643785325</v>
      </c>
      <c r="H158" s="2">
        <f t="shared" si="14"/>
        <v>191.60955506183683</v>
      </c>
      <c r="I158" s="2">
        <f t="shared" si="10"/>
        <v>23951.194382729605</v>
      </c>
      <c r="J158" s="4">
        <f t="shared" si="12"/>
        <v>29.947148740314006</v>
      </c>
      <c r="K158" s="4">
        <f t="shared" si="11"/>
        <v>3743.3935925392507</v>
      </c>
      <c r="L158">
        <v>8</v>
      </c>
    </row>
    <row r="159" spans="1:12" hidden="1" x14ac:dyDescent="0.3">
      <c r="A159" t="s">
        <v>48</v>
      </c>
      <c r="B159" t="s">
        <v>18</v>
      </c>
      <c r="C159" s="4">
        <v>0.45255480399999998</v>
      </c>
      <c r="D159" s="4">
        <v>0.57808694400000005</v>
      </c>
      <c r="E159">
        <v>8.5</v>
      </c>
      <c r="F159" s="2">
        <v>19.585987261146496</v>
      </c>
      <c r="G159" s="2">
        <f t="shared" si="13"/>
        <v>301.2872939581726</v>
      </c>
      <c r="H159" s="2">
        <f t="shared" si="14"/>
        <v>105.85486285652358</v>
      </c>
      <c r="I159" s="2">
        <f t="shared" si="10"/>
        <v>13231.857857065448</v>
      </c>
      <c r="J159" s="4">
        <f t="shared" si="12"/>
        <v>20.398124185565337</v>
      </c>
      <c r="K159" s="4">
        <f t="shared" si="11"/>
        <v>2549.7655231956669</v>
      </c>
      <c r="L159">
        <v>8</v>
      </c>
    </row>
    <row r="160" spans="1:12" hidden="1" x14ac:dyDescent="0.3">
      <c r="A160" t="s">
        <v>48</v>
      </c>
      <c r="B160" t="s">
        <v>18</v>
      </c>
      <c r="C160" s="4">
        <v>0.45255480399999998</v>
      </c>
      <c r="D160" s="4">
        <v>0.57808694400000005</v>
      </c>
      <c r="E160">
        <v>8</v>
      </c>
      <c r="F160" s="2">
        <v>48.726114649681527</v>
      </c>
      <c r="G160" s="2">
        <f t="shared" si="13"/>
        <v>1864.7192185251802</v>
      </c>
      <c r="H160" s="2">
        <f t="shared" si="14"/>
        <v>591.08129561168528</v>
      </c>
      <c r="I160" s="2">
        <f t="shared" si="10"/>
        <v>73885.161951460657</v>
      </c>
      <c r="J160" s="4">
        <f t="shared" si="12"/>
        <v>75.464258967909444</v>
      </c>
      <c r="K160" s="4">
        <f t="shared" si="11"/>
        <v>9433.0323709886798</v>
      </c>
      <c r="L160">
        <v>8</v>
      </c>
    </row>
    <row r="161" spans="1:12" hidden="1" x14ac:dyDescent="0.3">
      <c r="A161" t="s">
        <v>48</v>
      </c>
      <c r="B161" t="s">
        <v>18</v>
      </c>
      <c r="C161" s="4">
        <v>0.45255480399999998</v>
      </c>
      <c r="D161" s="4">
        <v>0.57808694400000005</v>
      </c>
      <c r="E161">
        <v>7</v>
      </c>
      <c r="F161" s="2">
        <v>28.821656050955411</v>
      </c>
      <c r="G161" s="2">
        <f t="shared" si="13"/>
        <v>652.42071765243509</v>
      </c>
      <c r="H161" s="2">
        <f t="shared" si="14"/>
        <v>186.16902745179704</v>
      </c>
      <c r="I161" s="2">
        <f t="shared" si="10"/>
        <v>23271.12843147463</v>
      </c>
      <c r="J161" s="4">
        <f t="shared" si="12"/>
        <v>29.337552509229582</v>
      </c>
      <c r="K161" s="4">
        <f t="shared" si="11"/>
        <v>3667.1940636536979</v>
      </c>
      <c r="L161">
        <v>8</v>
      </c>
    </row>
    <row r="162" spans="1:12" hidden="1" x14ac:dyDescent="0.3">
      <c r="A162" t="s">
        <v>48</v>
      </c>
      <c r="B162" t="s">
        <v>18</v>
      </c>
      <c r="C162" s="4">
        <v>0.45255480399999998</v>
      </c>
      <c r="D162" s="4">
        <v>0.57808694400000005</v>
      </c>
      <c r="E162">
        <v>6</v>
      </c>
      <c r="F162" s="2">
        <v>4.6178343949044587</v>
      </c>
      <c r="G162" s="2">
        <f t="shared" si="13"/>
        <v>16.748140274890819</v>
      </c>
      <c r="H162" s="2">
        <f t="shared" si="14"/>
        <v>4.4893108407143938</v>
      </c>
      <c r="I162" s="2">
        <f t="shared" si="10"/>
        <v>561.1638550892992</v>
      </c>
      <c r="J162" s="4">
        <f t="shared" si="12"/>
        <v>9.4335122844740145</v>
      </c>
      <c r="K162" s="4">
        <f t="shared" si="11"/>
        <v>1179.1890355592518</v>
      </c>
      <c r="L162">
        <v>8</v>
      </c>
    </row>
    <row r="163" spans="1:12" hidden="1" x14ac:dyDescent="0.3">
      <c r="A163" t="s">
        <v>48</v>
      </c>
      <c r="B163" t="s">
        <v>18</v>
      </c>
      <c r="C163" s="4">
        <v>0.45255480399999998</v>
      </c>
      <c r="D163" s="4">
        <v>0.57808694400000005</v>
      </c>
      <c r="E163">
        <v>6</v>
      </c>
      <c r="F163" s="2">
        <v>33.375796178343947</v>
      </c>
      <c r="G163" s="2">
        <f t="shared" si="13"/>
        <v>874.88939150885528</v>
      </c>
      <c r="H163" s="2">
        <f t="shared" si="14"/>
        <v>213.27235298154449</v>
      </c>
      <c r="I163" s="2">
        <f t="shared" si="10"/>
        <v>26659.04412269306</v>
      </c>
      <c r="J163" s="4">
        <f t="shared" si="12"/>
        <v>32.378519181305528</v>
      </c>
      <c r="K163" s="4">
        <f t="shared" si="11"/>
        <v>4047.314897663191</v>
      </c>
      <c r="L163">
        <v>8</v>
      </c>
    </row>
    <row r="164" spans="1:12" hidden="1" x14ac:dyDescent="0.3">
      <c r="A164" t="s">
        <v>48</v>
      </c>
      <c r="B164" t="s">
        <v>18</v>
      </c>
      <c r="C164" s="4">
        <v>0.45255480399999998</v>
      </c>
      <c r="D164" s="4">
        <v>0.57808694400000005</v>
      </c>
      <c r="E164">
        <v>5</v>
      </c>
      <c r="F164" s="2">
        <v>15.923566878980891</v>
      </c>
      <c r="G164" s="2">
        <f t="shared" si="13"/>
        <v>199.14554429121063</v>
      </c>
      <c r="H164" s="2">
        <f t="shared" si="14"/>
        <v>42.10153100184003</v>
      </c>
      <c r="I164" s="2">
        <f t="shared" si="10"/>
        <v>5262.6913752300034</v>
      </c>
      <c r="J164" s="4">
        <f t="shared" si="12"/>
        <v>13.422999687614102</v>
      </c>
      <c r="K164" s="4">
        <f t="shared" si="11"/>
        <v>1677.8749609517627</v>
      </c>
      <c r="L164">
        <v>8</v>
      </c>
    </row>
    <row r="165" spans="1:12" hidden="1" x14ac:dyDescent="0.3">
      <c r="A165" t="s">
        <v>48</v>
      </c>
      <c r="B165" t="s">
        <v>30</v>
      </c>
      <c r="C165" s="4">
        <v>0.372</v>
      </c>
      <c r="D165" s="4">
        <v>0.73247777800000002</v>
      </c>
      <c r="E165">
        <v>5</v>
      </c>
      <c r="F165" s="2">
        <v>6.8471337579617835</v>
      </c>
      <c r="G165" s="2">
        <f t="shared" si="13"/>
        <v>36.822011139444854</v>
      </c>
      <c r="H165" s="2">
        <f t="shared" si="14"/>
        <v>10.213212681919188</v>
      </c>
      <c r="I165" s="2">
        <f t="shared" si="10"/>
        <v>1276.6515852398986</v>
      </c>
      <c r="J165" s="4">
        <f t="shared" si="12"/>
        <v>9.8061567122398472</v>
      </c>
      <c r="K165" s="4">
        <f t="shared" si="11"/>
        <v>1225.7695890299808</v>
      </c>
      <c r="L165">
        <v>8</v>
      </c>
    </row>
    <row r="166" spans="1:12" hidden="1" x14ac:dyDescent="0.3">
      <c r="A166" t="s">
        <v>48</v>
      </c>
      <c r="B166" t="s">
        <v>30</v>
      </c>
      <c r="C166" s="4">
        <v>0.372</v>
      </c>
      <c r="D166" s="4">
        <v>0.73247777800000002</v>
      </c>
      <c r="E166">
        <v>5</v>
      </c>
      <c r="F166" s="2">
        <v>12.420382165605096</v>
      </c>
      <c r="G166" s="2">
        <f t="shared" si="13"/>
        <v>121.16014914677258</v>
      </c>
      <c r="H166" s="2">
        <f t="shared" si="14"/>
        <v>32.658829464642665</v>
      </c>
      <c r="I166" s="2">
        <f t="shared" si="10"/>
        <v>4082.3536830803332</v>
      </c>
      <c r="J166" s="4">
        <f t="shared" si="12"/>
        <v>11.685353129944419</v>
      </c>
      <c r="K166" s="4">
        <f t="shared" si="11"/>
        <v>1460.6691412430523</v>
      </c>
      <c r="L166">
        <v>8</v>
      </c>
    </row>
    <row r="167" spans="1:12" hidden="1" x14ac:dyDescent="0.3">
      <c r="A167" t="s">
        <v>48</v>
      </c>
      <c r="B167" t="s">
        <v>20</v>
      </c>
      <c r="C167" s="4">
        <v>0.74387999999999999</v>
      </c>
      <c r="D167" s="4">
        <v>0.59130000000000005</v>
      </c>
      <c r="E167">
        <v>10</v>
      </c>
      <c r="F167" s="2">
        <v>7.3248407643312099</v>
      </c>
      <c r="G167" s="2">
        <f t="shared" si="13"/>
        <v>42.139197172020175</v>
      </c>
      <c r="H167" s="2">
        <f t="shared" si="14"/>
        <v>18.594547618451539</v>
      </c>
      <c r="I167" s="2">
        <f t="shared" si="10"/>
        <v>2324.3184523064424</v>
      </c>
      <c r="J167" s="4">
        <f t="shared" si="12"/>
        <v>10.863565227798288</v>
      </c>
      <c r="K167" s="4">
        <f t="shared" si="11"/>
        <v>1357.945653474786</v>
      </c>
      <c r="L167">
        <v>8</v>
      </c>
    </row>
    <row r="168" spans="1:12" hidden="1" x14ac:dyDescent="0.3">
      <c r="A168" t="s">
        <v>48</v>
      </c>
      <c r="B168" t="s">
        <v>20</v>
      </c>
      <c r="C168" s="4">
        <v>0.74387999999999999</v>
      </c>
      <c r="D168" s="4">
        <v>0.59130000000000005</v>
      </c>
      <c r="E168">
        <v>8.5</v>
      </c>
      <c r="F168" s="2">
        <v>5.4140127388535033</v>
      </c>
      <c r="G168" s="2">
        <f t="shared" si="13"/>
        <v>23.021224920063954</v>
      </c>
      <c r="H168" s="2">
        <f t="shared" si="14"/>
        <v>8.7951256258393773</v>
      </c>
      <c r="I168" s="2">
        <f t="shared" si="10"/>
        <v>1099.3907032299221</v>
      </c>
      <c r="J168" s="4">
        <f t="shared" si="12"/>
        <v>9.8577181346099234</v>
      </c>
      <c r="K168" s="4">
        <f t="shared" si="11"/>
        <v>1232.2147668262405</v>
      </c>
      <c r="L168">
        <v>8</v>
      </c>
    </row>
    <row r="169" spans="1:12" hidden="1" x14ac:dyDescent="0.3">
      <c r="A169" t="s">
        <v>48</v>
      </c>
      <c r="B169" t="s">
        <v>20</v>
      </c>
      <c r="C169" s="4">
        <v>0.74387999999999999</v>
      </c>
      <c r="D169" s="4">
        <v>0.59130000000000005</v>
      </c>
      <c r="E169">
        <v>7</v>
      </c>
      <c r="F169" s="2">
        <v>3.5668789808917194</v>
      </c>
      <c r="G169" s="2">
        <f t="shared" si="13"/>
        <v>9.9923268303557844</v>
      </c>
      <c r="H169" s="2">
        <f t="shared" si="14"/>
        <v>3.2224200301020121</v>
      </c>
      <c r="I169" s="2">
        <f t="shared" si="10"/>
        <v>402.80250376275148</v>
      </c>
      <c r="J169" s="4">
        <f t="shared" si="12"/>
        <v>9.2974043287760146</v>
      </c>
      <c r="K169" s="4">
        <f t="shared" si="11"/>
        <v>1162.1755410970018</v>
      </c>
      <c r="L169">
        <v>8</v>
      </c>
    </row>
    <row r="170" spans="1:12" hidden="1" x14ac:dyDescent="0.3">
      <c r="A170" t="s">
        <v>48</v>
      </c>
      <c r="B170" t="s">
        <v>20</v>
      </c>
      <c r="C170" s="4">
        <v>0.74387999999999999</v>
      </c>
      <c r="D170" s="4">
        <v>0.59130000000000005</v>
      </c>
      <c r="E170">
        <v>5</v>
      </c>
      <c r="F170" s="2">
        <v>3.6624203821656049</v>
      </c>
      <c r="G170" s="2">
        <f t="shared" si="13"/>
        <v>10.534799293005044</v>
      </c>
      <c r="H170" s="2">
        <f t="shared" si="14"/>
        <v>2.4432605891571972</v>
      </c>
      <c r="I170" s="2">
        <f t="shared" si="10"/>
        <v>305.40757364464963</v>
      </c>
      <c r="J170" s="4">
        <f t="shared" si="12"/>
        <v>9.2204331534747848</v>
      </c>
      <c r="K170" s="4">
        <f t="shared" si="11"/>
        <v>1152.5541441843482</v>
      </c>
      <c r="L170">
        <v>8</v>
      </c>
    </row>
    <row r="171" spans="1:12" hidden="1" x14ac:dyDescent="0.3">
      <c r="A171" t="s">
        <v>48</v>
      </c>
      <c r="B171" t="s">
        <v>27</v>
      </c>
      <c r="C171" s="4">
        <v>0.50857142899999996</v>
      </c>
      <c r="D171" s="4">
        <v>0.49666666700000001</v>
      </c>
      <c r="E171">
        <v>10</v>
      </c>
      <c r="F171" s="2">
        <v>10.668789808917197</v>
      </c>
      <c r="G171" s="2">
        <f t="shared" si="13"/>
        <v>89.396434832324445</v>
      </c>
      <c r="H171" s="2">
        <f t="shared" si="14"/>
        <v>32.677987940821822</v>
      </c>
      <c r="I171" s="2">
        <f t="shared" si="10"/>
        <v>4084.7484926027278</v>
      </c>
      <c r="J171" s="4">
        <f t="shared" si="12"/>
        <v>12.969507659539939</v>
      </c>
      <c r="K171" s="4">
        <f t="shared" si="11"/>
        <v>1621.1884574424923</v>
      </c>
      <c r="L171">
        <v>8</v>
      </c>
    </row>
    <row r="172" spans="1:12" hidden="1" x14ac:dyDescent="0.3">
      <c r="A172" t="s">
        <v>48</v>
      </c>
      <c r="B172" t="s">
        <v>27</v>
      </c>
      <c r="C172" s="4">
        <v>0.50857142899999996</v>
      </c>
      <c r="D172" s="4">
        <v>0.49666666700000001</v>
      </c>
      <c r="E172">
        <v>9</v>
      </c>
      <c r="F172" s="2">
        <v>13.375796178343949</v>
      </c>
      <c r="G172" s="2">
        <f t="shared" si="13"/>
        <v>140.51709605187824</v>
      </c>
      <c r="H172" s="2">
        <f t="shared" si="14"/>
        <v>45.844912577572472</v>
      </c>
      <c r="I172" s="2">
        <f t="shared" si="10"/>
        <v>5730.6140721965594</v>
      </c>
      <c r="J172" s="4">
        <f t="shared" si="12"/>
        <v>14.621425587244918</v>
      </c>
      <c r="K172" s="4">
        <f t="shared" si="11"/>
        <v>1827.6781984056147</v>
      </c>
      <c r="L172">
        <v>8</v>
      </c>
    </row>
    <row r="173" spans="1:12" hidden="1" x14ac:dyDescent="0.3">
      <c r="A173" t="s">
        <v>48</v>
      </c>
      <c r="B173" t="s">
        <v>22</v>
      </c>
      <c r="C173" s="4">
        <v>0.43836446099999998</v>
      </c>
      <c r="D173" s="4">
        <v>0.58666666700000003</v>
      </c>
      <c r="E173">
        <v>7</v>
      </c>
      <c r="F173" s="2">
        <v>12.579617834394904</v>
      </c>
      <c r="G173" s="2">
        <f t="shared" si="13"/>
        <v>124.28673419214456</v>
      </c>
      <c r="H173" s="2">
        <f t="shared" si="14"/>
        <v>37.439636912494116</v>
      </c>
      <c r="I173" s="2">
        <f t="shared" si="10"/>
        <v>4679.9546140617649</v>
      </c>
      <c r="J173" s="4">
        <f t="shared" si="12"/>
        <v>12.862746229055944</v>
      </c>
      <c r="K173" s="4">
        <f t="shared" si="11"/>
        <v>1607.8432786319929</v>
      </c>
      <c r="L173">
        <v>8</v>
      </c>
    </row>
    <row r="174" spans="1:12" hidden="1" x14ac:dyDescent="0.3">
      <c r="A174" t="s">
        <v>48</v>
      </c>
      <c r="B174" t="s">
        <v>22</v>
      </c>
      <c r="C174" s="4">
        <v>0.43836446099999998</v>
      </c>
      <c r="D174" s="4">
        <v>0.58666666700000003</v>
      </c>
      <c r="E174">
        <v>6</v>
      </c>
      <c r="F174" s="2">
        <v>14.808917197452228</v>
      </c>
      <c r="G174" s="2">
        <f t="shared" si="13"/>
        <v>172.24098125746809</v>
      </c>
      <c r="H174" s="2">
        <f t="shared" si="14"/>
        <v>44.28964456909771</v>
      </c>
      <c r="I174" s="2">
        <f t="shared" si="10"/>
        <v>5536.2055711372141</v>
      </c>
      <c r="J174" s="4">
        <f t="shared" si="12"/>
        <v>13.591084599780924</v>
      </c>
      <c r="K174" s="4">
        <f t="shared" si="11"/>
        <v>1698.8855749726156</v>
      </c>
      <c r="L174">
        <v>8</v>
      </c>
    </row>
    <row r="175" spans="1:12" hidden="1" x14ac:dyDescent="0.3">
      <c r="A175" t="s">
        <v>48</v>
      </c>
      <c r="B175" t="s">
        <v>22</v>
      </c>
      <c r="C175" s="4">
        <v>0.43836446099999998</v>
      </c>
      <c r="D175" s="4">
        <v>0.58666666700000003</v>
      </c>
      <c r="E175">
        <v>6</v>
      </c>
      <c r="F175" s="2">
        <v>12.929936305732484</v>
      </c>
      <c r="G175" s="2">
        <f t="shared" si="13"/>
        <v>131.30541975514402</v>
      </c>
      <c r="H175" s="2">
        <f t="shared" si="14"/>
        <v>33.984184161053456</v>
      </c>
      <c r="I175" s="2">
        <f t="shared" si="10"/>
        <v>4248.0230201316817</v>
      </c>
      <c r="J175" s="4">
        <f t="shared" si="12"/>
        <v>12.496548310276278</v>
      </c>
      <c r="K175" s="4">
        <f t="shared" si="11"/>
        <v>1562.0685387845347</v>
      </c>
      <c r="L175">
        <v>8</v>
      </c>
    </row>
    <row r="176" spans="1:12" hidden="1" x14ac:dyDescent="0.3">
      <c r="A176" t="s">
        <v>48</v>
      </c>
      <c r="B176" t="s">
        <v>22</v>
      </c>
      <c r="C176" s="4">
        <v>0.43836446099999998</v>
      </c>
      <c r="D176" s="4">
        <v>0.58666666700000003</v>
      </c>
      <c r="E176">
        <v>5.5</v>
      </c>
      <c r="F176" s="2">
        <v>3.121019108280255</v>
      </c>
      <c r="G176" s="2">
        <f t="shared" si="13"/>
        <v>7.65037522949115</v>
      </c>
      <c r="H176" s="2">
        <f t="shared" si="14"/>
        <v>1.9472678577646125</v>
      </c>
      <c r="I176" s="2">
        <f t="shared" si="10"/>
        <v>243.40848222057656</v>
      </c>
      <c r="J176" s="4">
        <f t="shared" si="12"/>
        <v>9.1732096352793207</v>
      </c>
      <c r="K176" s="4">
        <f t="shared" si="11"/>
        <v>1146.6512044099152</v>
      </c>
      <c r="L176">
        <v>8</v>
      </c>
    </row>
    <row r="177" spans="1:12" hidden="1" x14ac:dyDescent="0.3">
      <c r="A177" t="s">
        <v>48</v>
      </c>
      <c r="B177" t="s">
        <v>22</v>
      </c>
      <c r="C177" s="4">
        <v>0.43836446099999998</v>
      </c>
      <c r="D177" s="4">
        <v>0.58666666700000003</v>
      </c>
      <c r="E177">
        <v>4.5</v>
      </c>
      <c r="F177" s="2">
        <v>8.2802547770700627</v>
      </c>
      <c r="G177" s="2">
        <f t="shared" si="13"/>
        <v>53.848955176343352</v>
      </c>
      <c r="H177" s="2">
        <f t="shared" si="14"/>
        <v>10.752805724453451</v>
      </c>
      <c r="I177" s="2">
        <f t="shared" si="10"/>
        <v>1344.1007155566813</v>
      </c>
      <c r="J177" s="4">
        <f t="shared" si="12"/>
        <v>10.065561251977767</v>
      </c>
      <c r="K177" s="4">
        <f t="shared" si="11"/>
        <v>1258.195156497221</v>
      </c>
      <c r="L177">
        <v>8</v>
      </c>
    </row>
    <row r="178" spans="1:12" hidden="1" x14ac:dyDescent="0.3">
      <c r="A178" t="s">
        <v>48</v>
      </c>
      <c r="B178" t="s">
        <v>47</v>
      </c>
      <c r="C178" s="4">
        <v>0.40238543599999999</v>
      </c>
      <c r="D178" s="4">
        <v>0.40883333300000002</v>
      </c>
      <c r="E178">
        <v>8</v>
      </c>
      <c r="F178" s="2">
        <v>13.694267515923567</v>
      </c>
      <c r="G178" s="2">
        <f t="shared" si="13"/>
        <v>147.28804455777941</v>
      </c>
      <c r="H178" s="2">
        <f t="shared" si="14"/>
        <v>35.385377254141616</v>
      </c>
      <c r="I178" s="2">
        <f t="shared" si="10"/>
        <v>4423.1721567677023</v>
      </c>
      <c r="J178" s="4">
        <f t="shared" si="12"/>
        <v>14.236622958335023</v>
      </c>
      <c r="K178" s="4">
        <f t="shared" si="11"/>
        <v>1779.5778697918779</v>
      </c>
      <c r="L178">
        <v>8</v>
      </c>
    </row>
    <row r="179" spans="1:12" hidden="1" x14ac:dyDescent="0.3">
      <c r="A179" t="s">
        <v>48</v>
      </c>
      <c r="B179" t="s">
        <v>23</v>
      </c>
      <c r="C179" s="4">
        <v>0.76500000000000001</v>
      </c>
      <c r="D179" s="4">
        <v>0.61247410899999999</v>
      </c>
      <c r="E179">
        <v>8</v>
      </c>
      <c r="F179" s="2">
        <v>18.630573248407643</v>
      </c>
      <c r="G179" s="2">
        <f t="shared" si="13"/>
        <v>272.61033558023826</v>
      </c>
      <c r="H179" s="2">
        <f t="shared" si="14"/>
        <v>95.743676040240118</v>
      </c>
      <c r="I179" s="2">
        <f t="shared" si="10"/>
        <v>11967.959505030014</v>
      </c>
      <c r="J179" s="4">
        <f t="shared" si="12"/>
        <v>18.704451267799911</v>
      </c>
      <c r="K179" s="4">
        <f t="shared" si="11"/>
        <v>2338.056408474989</v>
      </c>
      <c r="L179">
        <v>8</v>
      </c>
    </row>
    <row r="180" spans="1:12" hidden="1" x14ac:dyDescent="0.3">
      <c r="A180" t="s">
        <v>48</v>
      </c>
      <c r="B180" t="s">
        <v>49</v>
      </c>
      <c r="C180" s="4">
        <v>0.57917600000000002</v>
      </c>
      <c r="D180" s="4">
        <v>0.60285714300000004</v>
      </c>
      <c r="E180">
        <v>6</v>
      </c>
      <c r="F180" s="2">
        <v>10.350318471337578</v>
      </c>
      <c r="G180" s="2">
        <f t="shared" si="13"/>
        <v>84.138992463036487</v>
      </c>
      <c r="H180" s="2">
        <f t="shared" si="14"/>
        <v>22.603182801842905</v>
      </c>
      <c r="I180" s="2">
        <f t="shared" si="10"/>
        <v>2825.397850230363</v>
      </c>
      <c r="J180" s="4">
        <f t="shared" si="12"/>
        <v>11.23541094162035</v>
      </c>
      <c r="K180" s="4">
        <f t="shared" si="11"/>
        <v>1404.4263677025438</v>
      </c>
      <c r="L180">
        <v>8</v>
      </c>
    </row>
    <row r="181" spans="1:12" hidden="1" x14ac:dyDescent="0.3">
      <c r="A181" t="s">
        <v>48</v>
      </c>
      <c r="B181" t="s">
        <v>24</v>
      </c>
      <c r="C181" s="4">
        <v>0.41240947999999999</v>
      </c>
      <c r="D181" s="4">
        <v>0.52705000000000002</v>
      </c>
      <c r="E181">
        <v>7</v>
      </c>
      <c r="F181" s="2">
        <v>8.4394904458598727</v>
      </c>
      <c r="G181" s="2">
        <f t="shared" si="13"/>
        <v>55.939983391401071</v>
      </c>
      <c r="H181" s="2">
        <f t="shared" si="14"/>
        <v>15.471321043351168</v>
      </c>
      <c r="I181" s="2">
        <f t="shared" si="10"/>
        <v>1933.9151304188958</v>
      </c>
      <c r="J181" s="4">
        <f t="shared" si="12"/>
        <v>10.730712475151121</v>
      </c>
      <c r="K181" s="4">
        <f t="shared" si="11"/>
        <v>1341.33905939389</v>
      </c>
      <c r="L181">
        <v>8</v>
      </c>
    </row>
    <row r="182" spans="1:12" hidden="1" x14ac:dyDescent="0.3">
      <c r="A182" t="s">
        <v>48</v>
      </c>
      <c r="B182" t="s">
        <v>24</v>
      </c>
      <c r="C182" s="4">
        <v>0.41240947999999999</v>
      </c>
      <c r="D182" s="4">
        <v>0.52705000000000002</v>
      </c>
      <c r="E182">
        <v>6</v>
      </c>
      <c r="F182" s="2">
        <v>4.6815286624203818</v>
      </c>
      <c r="G182" s="2">
        <f t="shared" si="13"/>
        <v>17.213344266355083</v>
      </c>
      <c r="H182" s="2">
        <f t="shared" si="14"/>
        <v>4.2132266544569523</v>
      </c>
      <c r="I182" s="2">
        <f t="shared" si="10"/>
        <v>526.653331807119</v>
      </c>
      <c r="J182" s="4">
        <f t="shared" si="12"/>
        <v>9.4459509229583354</v>
      </c>
      <c r="K182" s="4">
        <f t="shared" si="11"/>
        <v>1180.7438653697918</v>
      </c>
      <c r="L182">
        <v>8</v>
      </c>
    </row>
    <row r="183" spans="1:12" hidden="1" x14ac:dyDescent="0.3">
      <c r="A183" t="s">
        <v>48</v>
      </c>
      <c r="B183" t="s">
        <v>24</v>
      </c>
      <c r="C183" s="4">
        <v>0.41240947999999999</v>
      </c>
      <c r="D183" s="4">
        <v>0.52705000000000002</v>
      </c>
      <c r="E183">
        <v>6</v>
      </c>
      <c r="F183" s="2">
        <v>3.7898089171974521</v>
      </c>
      <c r="G183" s="2">
        <f t="shared" si="13"/>
        <v>11.280400210831337</v>
      </c>
      <c r="H183" s="2">
        <f t="shared" si="14"/>
        <v>2.7891961318658836</v>
      </c>
      <c r="I183" s="2">
        <f t="shared" si="10"/>
        <v>348.64951648323546</v>
      </c>
      <c r="J183" s="4">
        <f t="shared" si="12"/>
        <v>9.2873156842062556</v>
      </c>
      <c r="K183" s="4">
        <f t="shared" si="11"/>
        <v>1160.914460525782</v>
      </c>
      <c r="L183">
        <v>8</v>
      </c>
    </row>
    <row r="184" spans="1:12" hidden="1" x14ac:dyDescent="0.3">
      <c r="A184" t="s">
        <v>48</v>
      </c>
      <c r="B184" t="s">
        <v>24</v>
      </c>
      <c r="C184" s="4">
        <v>0.41240947999999999</v>
      </c>
      <c r="D184" s="4">
        <v>0.52705000000000002</v>
      </c>
      <c r="E184">
        <v>5</v>
      </c>
      <c r="F184" s="2">
        <v>4.936305732484076</v>
      </c>
      <c r="G184" s="2">
        <f t="shared" si="13"/>
        <v>19.137886806385342</v>
      </c>
      <c r="H184" s="2">
        <f t="shared" si="14"/>
        <v>3.9107311827681963</v>
      </c>
      <c r="I184" s="2">
        <f t="shared" si="10"/>
        <v>488.84139784602456</v>
      </c>
      <c r="J184" s="4">
        <f t="shared" si="12"/>
        <v>9.4121244999797149</v>
      </c>
      <c r="K184" s="4">
        <f t="shared" si="11"/>
        <v>1176.5155624974643</v>
      </c>
      <c r="L184">
        <v>8</v>
      </c>
    </row>
    <row r="185" spans="1:12" x14ac:dyDescent="0.3">
      <c r="A185" t="s">
        <v>50</v>
      </c>
      <c r="B185" t="s">
        <v>51</v>
      </c>
      <c r="C185" s="4">
        <v>0.40257753800000001</v>
      </c>
      <c r="D185" s="4">
        <v>0.40843333300000001</v>
      </c>
      <c r="E185">
        <v>7</v>
      </c>
      <c r="F185" s="4">
        <v>14.490445859872612</v>
      </c>
      <c r="G185" s="2">
        <f t="shared" si="13"/>
        <v>164.91242522755155</v>
      </c>
      <c r="H185" s="2">
        <f t="shared" si="14"/>
        <v>34.651065596872719</v>
      </c>
      <c r="I185" s="2">
        <f t="shared" si="10"/>
        <v>8662.7663992181806</v>
      </c>
      <c r="J185" s="4">
        <f t="shared" si="12"/>
        <v>14.130039019838533</v>
      </c>
      <c r="K185" s="4">
        <f t="shared" si="11"/>
        <v>3532.509754959633</v>
      </c>
      <c r="L185">
        <v>4</v>
      </c>
    </row>
    <row r="186" spans="1:12" x14ac:dyDescent="0.3">
      <c r="A186" t="s">
        <v>50</v>
      </c>
      <c r="B186" t="s">
        <v>51</v>
      </c>
      <c r="C186" s="4">
        <v>0.40257753800000001</v>
      </c>
      <c r="D186" s="4">
        <v>0.40843333300000001</v>
      </c>
      <c r="E186">
        <v>7</v>
      </c>
      <c r="F186" s="4">
        <v>8.7898089171974529</v>
      </c>
      <c r="G186" s="2">
        <f t="shared" si="13"/>
        <v>60.680443927709064</v>
      </c>
      <c r="H186" s="2">
        <f t="shared" si="14"/>
        <v>13.05969025389218</v>
      </c>
      <c r="I186" s="2">
        <f t="shared" si="10"/>
        <v>3264.9225634730451</v>
      </c>
      <c r="J186" s="4">
        <f t="shared" si="12"/>
        <v>10.878588149620674</v>
      </c>
      <c r="K186" s="4">
        <f t="shared" si="11"/>
        <v>2719.6470374051682</v>
      </c>
      <c r="L186">
        <v>4</v>
      </c>
    </row>
    <row r="187" spans="1:12" x14ac:dyDescent="0.3">
      <c r="A187" t="s">
        <v>50</v>
      </c>
      <c r="B187" t="s">
        <v>26</v>
      </c>
      <c r="C187" s="4">
        <v>0.80908761900000004</v>
      </c>
      <c r="D187" s="4">
        <v>0.87473809499999999</v>
      </c>
      <c r="E187">
        <v>8</v>
      </c>
      <c r="F187" s="4">
        <v>22.643312101910826</v>
      </c>
      <c r="G187" s="2">
        <f t="shared" si="13"/>
        <v>402.68901878254832</v>
      </c>
      <c r="H187" s="2">
        <f t="shared" si="14"/>
        <v>198.4022745208932</v>
      </c>
      <c r="I187" s="2">
        <f t="shared" si="10"/>
        <v>49600.568630223301</v>
      </c>
      <c r="J187" s="4">
        <f t="shared" si="12"/>
        <v>23.341848322447156</v>
      </c>
      <c r="K187" s="4">
        <f t="shared" si="11"/>
        <v>5835.4620806117891</v>
      </c>
      <c r="L187">
        <v>4</v>
      </c>
    </row>
    <row r="188" spans="1:12" x14ac:dyDescent="0.3">
      <c r="A188" t="s">
        <v>50</v>
      </c>
      <c r="B188" t="s">
        <v>52</v>
      </c>
      <c r="C188" s="4">
        <v>0.78445916699999996</v>
      </c>
      <c r="D188" s="4">
        <v>0.87841666699999998</v>
      </c>
      <c r="E188">
        <v>3.5</v>
      </c>
      <c r="F188" s="4">
        <v>3.7579617834394905</v>
      </c>
      <c r="G188" s="2">
        <f t="shared" si="13"/>
        <v>11.091610234843269</v>
      </c>
      <c r="H188" s="2">
        <f t="shared" si="14"/>
        <v>2.6692191658454902</v>
      </c>
      <c r="I188" s="2">
        <f t="shared" si="10"/>
        <v>667.30479146137259</v>
      </c>
      <c r="J188" s="4">
        <f t="shared" si="12"/>
        <v>9.1586978903809477</v>
      </c>
      <c r="K188" s="4">
        <f t="shared" si="11"/>
        <v>2289.6744725952371</v>
      </c>
      <c r="L188">
        <v>4</v>
      </c>
    </row>
    <row r="189" spans="1:12" x14ac:dyDescent="0.3">
      <c r="A189" t="s">
        <v>50</v>
      </c>
      <c r="B189" t="s">
        <v>53</v>
      </c>
      <c r="C189" s="4">
        <v>0.63206279899999995</v>
      </c>
      <c r="D189" s="4">
        <v>0.75690909100000003</v>
      </c>
      <c r="E189">
        <v>3</v>
      </c>
      <c r="F189" s="4">
        <v>3.7261146496815285</v>
      </c>
      <c r="G189" s="2">
        <f t="shared" si="13"/>
        <v>10.904413423209531</v>
      </c>
      <c r="H189" s="2">
        <f t="shared" si="14"/>
        <v>1.9530987859003874</v>
      </c>
      <c r="I189" s="2">
        <f t="shared" si="10"/>
        <v>488.27469647509685</v>
      </c>
      <c r="J189" s="4">
        <f t="shared" si="12"/>
        <v>9.131481269016998</v>
      </c>
      <c r="K189" s="4">
        <f t="shared" si="11"/>
        <v>2282.8703172542496</v>
      </c>
      <c r="L189">
        <v>4</v>
      </c>
    </row>
    <row r="190" spans="1:12" x14ac:dyDescent="0.3">
      <c r="A190" t="s">
        <v>50</v>
      </c>
      <c r="B190" t="s">
        <v>54</v>
      </c>
      <c r="C190" s="4">
        <v>0.53</v>
      </c>
      <c r="D190" s="4">
        <v>0.54764999999999997</v>
      </c>
      <c r="E190">
        <v>5</v>
      </c>
      <c r="F190" s="4">
        <v>24.331210191082803</v>
      </c>
      <c r="G190" s="2">
        <f t="shared" si="13"/>
        <v>464.96183048241005</v>
      </c>
      <c r="H190" s="2">
        <f t="shared" si="14"/>
        <v>91.365107417244872</v>
      </c>
      <c r="I190" s="2">
        <f t="shared" si="10"/>
        <v>22841.276854311218</v>
      </c>
      <c r="J190" s="4">
        <f t="shared" si="12"/>
        <v>19.345836313846405</v>
      </c>
      <c r="K190" s="4">
        <f t="shared" si="11"/>
        <v>4836.4590784616012</v>
      </c>
      <c r="L190">
        <v>4</v>
      </c>
    </row>
    <row r="191" spans="1:12" x14ac:dyDescent="0.3">
      <c r="A191" t="s">
        <v>50</v>
      </c>
      <c r="B191" t="s">
        <v>55</v>
      </c>
      <c r="C191" s="4">
        <v>0.52500000000000002</v>
      </c>
      <c r="D191" s="4">
        <v>0.52500000000000002</v>
      </c>
      <c r="E191">
        <v>5</v>
      </c>
      <c r="F191" s="4">
        <v>14.108280254777069</v>
      </c>
      <c r="G191" s="2">
        <f t="shared" si="13"/>
        <v>156.32845568642318</v>
      </c>
      <c r="H191" s="2">
        <f t="shared" si="14"/>
        <v>30.259285509510391</v>
      </c>
      <c r="I191" s="2">
        <f t="shared" si="10"/>
        <v>7564.8213773775979</v>
      </c>
      <c r="J191" s="4">
        <f t="shared" si="12"/>
        <v>12.468962505578318</v>
      </c>
      <c r="K191" s="4">
        <f t="shared" si="11"/>
        <v>3117.2406263945795</v>
      </c>
      <c r="L191">
        <v>4</v>
      </c>
    </row>
    <row r="192" spans="1:12" x14ac:dyDescent="0.3">
      <c r="A192" t="s">
        <v>50</v>
      </c>
      <c r="B192" t="s">
        <v>55</v>
      </c>
      <c r="C192" s="4">
        <v>0.52500000000000002</v>
      </c>
      <c r="D192" s="4">
        <v>0.52500000000000002</v>
      </c>
      <c r="E192">
        <v>5</v>
      </c>
      <c r="F192" s="4">
        <v>42.834394904458598</v>
      </c>
      <c r="G192" s="2">
        <f t="shared" si="13"/>
        <v>1441.0370730456295</v>
      </c>
      <c r="H192" s="2">
        <f t="shared" si="14"/>
        <v>264.4505621633084</v>
      </c>
      <c r="I192" s="2">
        <f t="shared" si="10"/>
        <v>66112.640540827095</v>
      </c>
      <c r="J192" s="4">
        <f t="shared" si="12"/>
        <v>41.094444269544404</v>
      </c>
      <c r="K192" s="4">
        <f t="shared" si="11"/>
        <v>10273.6110673861</v>
      </c>
      <c r="L192">
        <v>4</v>
      </c>
    </row>
    <row r="193" spans="1:12" x14ac:dyDescent="0.3">
      <c r="A193" t="s">
        <v>50</v>
      </c>
      <c r="B193" t="s">
        <v>56</v>
      </c>
      <c r="C193" s="4">
        <v>0.39984676499999999</v>
      </c>
      <c r="D193" s="4">
        <v>0.450333333</v>
      </c>
      <c r="E193">
        <v>7</v>
      </c>
      <c r="F193" s="4">
        <v>17.070063694267517</v>
      </c>
      <c r="G193" s="2">
        <f t="shared" si="13"/>
        <v>228.85487317075069</v>
      </c>
      <c r="H193" s="2">
        <f t="shared" si="14"/>
        <v>52.481111383480709</v>
      </c>
      <c r="I193" s="2">
        <f t="shared" si="10"/>
        <v>13120.277845870178</v>
      </c>
      <c r="J193" s="4">
        <f t="shared" si="12"/>
        <v>16.124683325895575</v>
      </c>
      <c r="K193" s="4">
        <f t="shared" si="11"/>
        <v>4031.1708314738935</v>
      </c>
      <c r="L193">
        <v>4</v>
      </c>
    </row>
    <row r="194" spans="1:12" x14ac:dyDescent="0.3">
      <c r="A194" t="s">
        <v>50</v>
      </c>
      <c r="B194" t="s">
        <v>57</v>
      </c>
      <c r="C194" s="4">
        <v>0.61</v>
      </c>
      <c r="D194" s="4">
        <v>0.84088888900000003</v>
      </c>
      <c r="E194">
        <v>6.5</v>
      </c>
      <c r="F194" s="4">
        <v>61.178343949044589</v>
      </c>
      <c r="G194" s="2">
        <f t="shared" si="13"/>
        <v>2939.5802100429664</v>
      </c>
      <c r="H194" s="2">
        <f t="shared" si="14"/>
        <v>1084.9310304152698</v>
      </c>
      <c r="I194" s="2">
        <f t="shared" ref="I194:I257" si="15">(H194*1000)/L194</f>
        <v>271232.75760381744</v>
      </c>
      <c r="J194" s="4">
        <f t="shared" si="12"/>
        <v>94.134167229907916</v>
      </c>
      <c r="K194" s="4">
        <f t="shared" ref="K194:K257" si="16">(J194*1000)/L194</f>
        <v>23533.54180747698</v>
      </c>
      <c r="L194">
        <v>4</v>
      </c>
    </row>
    <row r="195" spans="1:12" x14ac:dyDescent="0.3">
      <c r="A195" t="s">
        <v>50</v>
      </c>
      <c r="B195" t="s">
        <v>20</v>
      </c>
      <c r="C195" s="4">
        <v>0.74387999999999999</v>
      </c>
      <c r="D195" s="4">
        <v>0.59130000000000005</v>
      </c>
      <c r="E195">
        <v>8</v>
      </c>
      <c r="F195" s="4">
        <v>9.936305732484076</v>
      </c>
      <c r="G195" s="2">
        <f t="shared" si="13"/>
        <v>77.542495453934436</v>
      </c>
      <c r="H195" s="2">
        <f t="shared" si="14"/>
        <v>27.120548951885002</v>
      </c>
      <c r="I195" s="2">
        <f t="shared" si="15"/>
        <v>6780.1372379712502</v>
      </c>
      <c r="J195" s="4">
        <f t="shared" ref="J195:J258" si="17">8.9857 + 0.0035 * F195^2 * E195</f>
        <v>11.750144805063085</v>
      </c>
      <c r="K195" s="4">
        <f t="shared" si="16"/>
        <v>2937.5362012657715</v>
      </c>
      <c r="L195">
        <v>4</v>
      </c>
    </row>
    <row r="196" spans="1:12" x14ac:dyDescent="0.3">
      <c r="A196" t="s">
        <v>50</v>
      </c>
      <c r="B196" t="s">
        <v>58</v>
      </c>
      <c r="C196" s="4">
        <v>0.371297506</v>
      </c>
      <c r="D196" s="4">
        <v>0.35258402799999999</v>
      </c>
      <c r="E196">
        <v>7</v>
      </c>
      <c r="F196" s="4">
        <v>9.3312101910828016</v>
      </c>
      <c r="G196" s="2">
        <f t="shared" ref="G196:G259" si="18">PI()*(F196/2)^2</f>
        <v>68.385783327424562</v>
      </c>
      <c r="H196" s="2">
        <f t="shared" ref="H196:H259" si="19">0.0673 * ((D196 * F196^2 * E196)^0.976)</f>
        <v>12.713876980196423</v>
      </c>
      <c r="I196" s="2">
        <f t="shared" si="15"/>
        <v>3178.4692450491057</v>
      </c>
      <c r="J196" s="4">
        <f t="shared" si="17"/>
        <v>11.118951348939104</v>
      </c>
      <c r="K196" s="4">
        <f t="shared" si="16"/>
        <v>2779.7378372347762</v>
      </c>
      <c r="L196">
        <v>4</v>
      </c>
    </row>
    <row r="197" spans="1:12" x14ac:dyDescent="0.3">
      <c r="A197" t="s">
        <v>50</v>
      </c>
      <c r="B197" t="s">
        <v>58</v>
      </c>
      <c r="C197" s="4">
        <v>0.371297506</v>
      </c>
      <c r="D197" s="4">
        <v>0.35258402799999999</v>
      </c>
      <c r="E197">
        <v>7</v>
      </c>
      <c r="F197" s="4">
        <v>23.503184713375795</v>
      </c>
      <c r="G197" s="2">
        <f t="shared" si="18"/>
        <v>433.85370329976854</v>
      </c>
      <c r="H197" s="2">
        <f t="shared" si="19"/>
        <v>77.161103188816554</v>
      </c>
      <c r="I197" s="2">
        <f t="shared" si="15"/>
        <v>19290.27579720414</v>
      </c>
      <c r="J197" s="4">
        <f t="shared" si="17"/>
        <v>22.519492445941012</v>
      </c>
      <c r="K197" s="4">
        <f t="shared" si="16"/>
        <v>5629.8731114852526</v>
      </c>
      <c r="L197">
        <v>4</v>
      </c>
    </row>
    <row r="198" spans="1:12" x14ac:dyDescent="0.3">
      <c r="A198" t="s">
        <v>59</v>
      </c>
      <c r="B198" t="s">
        <v>26</v>
      </c>
      <c r="C198" s="4">
        <v>0.80908761900000004</v>
      </c>
      <c r="D198" s="4">
        <v>0.87473809499999999</v>
      </c>
      <c r="E198">
        <v>4.5</v>
      </c>
      <c r="F198" s="4">
        <v>10.350318471337578</v>
      </c>
      <c r="G198" s="2">
        <f t="shared" si="18"/>
        <v>84.138992463036487</v>
      </c>
      <c r="H198" s="2">
        <f t="shared" si="19"/>
        <v>24.547829197649403</v>
      </c>
      <c r="I198" s="2">
        <f t="shared" si="15"/>
        <v>6136.9572994123509</v>
      </c>
      <c r="J198" s="4">
        <f t="shared" si="17"/>
        <v>10.672983206215262</v>
      </c>
      <c r="K198" s="4">
        <f t="shared" si="16"/>
        <v>2668.2458015538155</v>
      </c>
      <c r="L198">
        <v>4</v>
      </c>
    </row>
    <row r="199" spans="1:12" x14ac:dyDescent="0.3">
      <c r="A199" t="s">
        <v>59</v>
      </c>
      <c r="B199" t="s">
        <v>60</v>
      </c>
      <c r="C199" s="4">
        <v>0.41</v>
      </c>
      <c r="D199" s="4">
        <v>0.33983503399999998</v>
      </c>
      <c r="E199">
        <v>5.5</v>
      </c>
      <c r="F199" s="4">
        <v>16.97452229299363</v>
      </c>
      <c r="G199" s="2">
        <f t="shared" si="18"/>
        <v>226.30023412858299</v>
      </c>
      <c r="H199" s="2">
        <f t="shared" si="19"/>
        <v>31.16675602764964</v>
      </c>
      <c r="I199" s="2">
        <f t="shared" si="15"/>
        <v>7791.6890069124102</v>
      </c>
      <c r="J199" s="4">
        <f t="shared" si="17"/>
        <v>14.53228733620025</v>
      </c>
      <c r="K199" s="4">
        <f t="shared" si="16"/>
        <v>3633.0718340500625</v>
      </c>
      <c r="L199">
        <v>4</v>
      </c>
    </row>
    <row r="200" spans="1:12" x14ac:dyDescent="0.3">
      <c r="A200" t="s">
        <v>59</v>
      </c>
      <c r="B200" t="s">
        <v>61</v>
      </c>
      <c r="C200" s="4">
        <v>0.9</v>
      </c>
      <c r="D200" s="4">
        <v>0.61247410899999999</v>
      </c>
      <c r="E200">
        <v>4</v>
      </c>
      <c r="F200" s="4">
        <v>5.5732484076433115</v>
      </c>
      <c r="G200" s="2">
        <f t="shared" si="18"/>
        <v>24.395329175673304</v>
      </c>
      <c r="H200" s="2">
        <f t="shared" si="19"/>
        <v>4.6155859503181826</v>
      </c>
      <c r="I200" s="2">
        <f t="shared" si="15"/>
        <v>1153.8964875795457</v>
      </c>
      <c r="J200" s="4">
        <f t="shared" si="17"/>
        <v>9.4205553693861823</v>
      </c>
      <c r="K200" s="4">
        <f t="shared" si="16"/>
        <v>2355.1388423465455</v>
      </c>
      <c r="L200">
        <v>4</v>
      </c>
    </row>
    <row r="201" spans="1:12" x14ac:dyDescent="0.3">
      <c r="A201" t="s">
        <v>59</v>
      </c>
      <c r="B201" t="s">
        <v>61</v>
      </c>
      <c r="C201" s="4">
        <v>0.9</v>
      </c>
      <c r="D201" s="4">
        <v>0.61247410899999999</v>
      </c>
      <c r="E201">
        <v>4</v>
      </c>
      <c r="F201" s="4">
        <v>10.127388535031846</v>
      </c>
      <c r="G201" s="2">
        <f t="shared" si="18"/>
        <v>80.553576083617529</v>
      </c>
      <c r="H201" s="2">
        <f t="shared" si="19"/>
        <v>14.809974470345026</v>
      </c>
      <c r="I201" s="2">
        <f t="shared" si="15"/>
        <v>3702.4936175862563</v>
      </c>
      <c r="J201" s="4">
        <f t="shared" si="17"/>
        <v>10.421595979552922</v>
      </c>
      <c r="K201" s="4">
        <f t="shared" si="16"/>
        <v>2605.3989948882304</v>
      </c>
      <c r="L201">
        <v>4</v>
      </c>
    </row>
    <row r="202" spans="1:12" x14ac:dyDescent="0.3">
      <c r="A202" t="s">
        <v>59</v>
      </c>
      <c r="B202" t="s">
        <v>41</v>
      </c>
      <c r="C202" s="4">
        <v>0.56193137999999998</v>
      </c>
      <c r="D202" s="4">
        <v>0.57808694400000005</v>
      </c>
      <c r="E202">
        <v>5</v>
      </c>
      <c r="F202" s="4">
        <v>20.159235668789808</v>
      </c>
      <c r="G202" s="2">
        <f t="shared" si="18"/>
        <v>319.18171598600367</v>
      </c>
      <c r="H202" s="2">
        <f t="shared" si="19"/>
        <v>66.718839330385379</v>
      </c>
      <c r="I202" s="2">
        <f t="shared" si="15"/>
        <v>16679.709832596345</v>
      </c>
      <c r="J202" s="4">
        <f t="shared" si="17"/>
        <v>16.097608698121626</v>
      </c>
      <c r="K202" s="4">
        <f t="shared" si="16"/>
        <v>4024.4021745304062</v>
      </c>
      <c r="L202">
        <v>4</v>
      </c>
    </row>
    <row r="203" spans="1:12" x14ac:dyDescent="0.3">
      <c r="A203" t="s">
        <v>59</v>
      </c>
      <c r="B203" t="s">
        <v>56</v>
      </c>
      <c r="C203" s="4">
        <v>0.39984676499999999</v>
      </c>
      <c r="D203" s="4">
        <v>0.450333333</v>
      </c>
      <c r="E203">
        <v>7</v>
      </c>
      <c r="F203" s="4">
        <v>13.439490445859873</v>
      </c>
      <c r="G203" s="2">
        <f t="shared" si="18"/>
        <v>141.85854043822386</v>
      </c>
      <c r="H203" s="2">
        <f t="shared" si="19"/>
        <v>32.906618648879373</v>
      </c>
      <c r="I203" s="2">
        <f t="shared" si="15"/>
        <v>8226.6546622198439</v>
      </c>
      <c r="J203" s="4">
        <f t="shared" si="17"/>
        <v>13.410887634386789</v>
      </c>
      <c r="K203" s="4">
        <f t="shared" si="16"/>
        <v>3352.7219085966972</v>
      </c>
      <c r="L203">
        <v>4</v>
      </c>
    </row>
    <row r="204" spans="1:12" x14ac:dyDescent="0.3">
      <c r="A204" t="s">
        <v>59</v>
      </c>
      <c r="B204" t="s">
        <v>38</v>
      </c>
      <c r="C204" s="4">
        <v>1082380952</v>
      </c>
      <c r="D204" s="4">
        <v>0.61247410899999999</v>
      </c>
      <c r="E204">
        <v>6.5</v>
      </c>
      <c r="F204" s="4">
        <v>23.885350318471335</v>
      </c>
      <c r="G204" s="2">
        <f t="shared" si="18"/>
        <v>448.07747465522391</v>
      </c>
      <c r="H204" s="2">
        <f t="shared" si="19"/>
        <v>126.97816374118136</v>
      </c>
      <c r="I204" s="2">
        <f t="shared" si="15"/>
        <v>31744.540935295339</v>
      </c>
      <c r="J204" s="4">
        <f t="shared" si="17"/>
        <v>21.964801586271246</v>
      </c>
      <c r="K204" s="4">
        <f t="shared" si="16"/>
        <v>5491.2003965678114</v>
      </c>
      <c r="L204">
        <v>4</v>
      </c>
    </row>
    <row r="205" spans="1:12" x14ac:dyDescent="0.3">
      <c r="A205" t="s">
        <v>59</v>
      </c>
      <c r="B205" t="s">
        <v>57</v>
      </c>
      <c r="C205" s="4">
        <v>0.61</v>
      </c>
      <c r="D205" s="4">
        <v>0.84088888900000003</v>
      </c>
      <c r="E205">
        <v>6</v>
      </c>
      <c r="F205" s="4">
        <v>56.464968152866234</v>
      </c>
      <c r="G205" s="2">
        <f t="shared" si="18"/>
        <v>2504.0791748008201</v>
      </c>
      <c r="H205" s="2">
        <f t="shared" si="19"/>
        <v>858.04161321277161</v>
      </c>
      <c r="I205" s="2">
        <f t="shared" si="15"/>
        <v>214510.4033031929</v>
      </c>
      <c r="J205" s="4">
        <f t="shared" si="17"/>
        <v>75.939845198588159</v>
      </c>
      <c r="K205" s="4">
        <f t="shared" si="16"/>
        <v>18984.961299647039</v>
      </c>
      <c r="L205">
        <v>4</v>
      </c>
    </row>
    <row r="206" spans="1:12" x14ac:dyDescent="0.3">
      <c r="A206" t="s">
        <v>59</v>
      </c>
      <c r="B206" t="s">
        <v>22</v>
      </c>
      <c r="C206" s="4">
        <v>0.43836446099999998</v>
      </c>
      <c r="D206" s="4">
        <v>0.58666666700000003</v>
      </c>
      <c r="E206">
        <v>4</v>
      </c>
      <c r="F206" s="4">
        <v>58.630573248407636</v>
      </c>
      <c r="G206" s="2">
        <f t="shared" si="18"/>
        <v>2699.8408380034343</v>
      </c>
      <c r="H206" s="2">
        <f t="shared" si="19"/>
        <v>437.47572273533149</v>
      </c>
      <c r="I206" s="2">
        <f t="shared" si="15"/>
        <v>109368.93068383288</v>
      </c>
      <c r="J206" s="4">
        <f t="shared" si="17"/>
        <v>57.111317672116506</v>
      </c>
      <c r="K206" s="4">
        <f t="shared" si="16"/>
        <v>14277.829418029127</v>
      </c>
      <c r="L206">
        <v>4</v>
      </c>
    </row>
    <row r="207" spans="1:12" x14ac:dyDescent="0.3">
      <c r="A207" t="s">
        <v>59</v>
      </c>
      <c r="B207" t="s">
        <v>22</v>
      </c>
      <c r="C207" s="4">
        <v>0.43836446099999998</v>
      </c>
      <c r="D207" s="4">
        <v>0.58666666700000003</v>
      </c>
      <c r="E207">
        <v>3.5</v>
      </c>
      <c r="F207" s="4">
        <v>14.968152866242038</v>
      </c>
      <c r="G207" s="2">
        <f t="shared" si="18"/>
        <v>175.96500293571373</v>
      </c>
      <c r="H207" s="2">
        <f t="shared" si="19"/>
        <v>26.724146298212627</v>
      </c>
      <c r="I207" s="2">
        <f t="shared" si="15"/>
        <v>6681.0365745531572</v>
      </c>
      <c r="J207" s="4">
        <f t="shared" si="17"/>
        <v>11.730258602783074</v>
      </c>
      <c r="K207" s="4">
        <f t="shared" si="16"/>
        <v>2932.5646506957687</v>
      </c>
      <c r="L207">
        <v>4</v>
      </c>
    </row>
    <row r="208" spans="1:12" x14ac:dyDescent="0.3">
      <c r="A208" t="s">
        <v>59</v>
      </c>
      <c r="B208" t="s">
        <v>22</v>
      </c>
      <c r="C208" s="4">
        <v>0.43836446099999998</v>
      </c>
      <c r="D208" s="4">
        <v>0.58666666700000003</v>
      </c>
      <c r="E208">
        <v>5</v>
      </c>
      <c r="F208" s="4">
        <v>18.439490445859871</v>
      </c>
      <c r="G208" s="2">
        <f t="shared" si="18"/>
        <v>267.04700565491896</v>
      </c>
      <c r="H208" s="2">
        <f t="shared" si="19"/>
        <v>56.872417742203282</v>
      </c>
      <c r="I208" s="2">
        <f t="shared" si="15"/>
        <v>14218.10443555082</v>
      </c>
      <c r="J208" s="4">
        <f t="shared" si="17"/>
        <v>14.935959138301754</v>
      </c>
      <c r="K208" s="4">
        <f t="shared" si="16"/>
        <v>3733.9897845754385</v>
      </c>
      <c r="L208">
        <v>4</v>
      </c>
    </row>
    <row r="209" spans="1:12" x14ac:dyDescent="0.3">
      <c r="A209" t="s">
        <v>59</v>
      </c>
      <c r="B209" t="s">
        <v>22</v>
      </c>
      <c r="C209" s="4">
        <v>0.43836446099999998</v>
      </c>
      <c r="D209" s="4">
        <v>0.58666666700000003</v>
      </c>
      <c r="E209">
        <v>5.5</v>
      </c>
      <c r="F209" s="4">
        <v>51.464968152866248</v>
      </c>
      <c r="G209" s="2">
        <f t="shared" si="18"/>
        <v>2080.2393060501918</v>
      </c>
      <c r="H209" s="2">
        <f t="shared" si="19"/>
        <v>462.83897520399466</v>
      </c>
      <c r="I209" s="2">
        <f t="shared" si="15"/>
        <v>115709.74380099867</v>
      </c>
      <c r="J209" s="4">
        <f t="shared" si="17"/>
        <v>59.972076729279088</v>
      </c>
      <c r="K209" s="4">
        <f t="shared" si="16"/>
        <v>14993.019182319773</v>
      </c>
      <c r="L209">
        <v>4</v>
      </c>
    </row>
    <row r="210" spans="1:12" x14ac:dyDescent="0.3">
      <c r="A210" t="s">
        <v>59</v>
      </c>
      <c r="B210" t="s">
        <v>58</v>
      </c>
      <c r="C210" s="4">
        <v>0.371297506</v>
      </c>
      <c r="D210" s="4">
        <v>0.35258402799999999</v>
      </c>
      <c r="E210">
        <v>5</v>
      </c>
      <c r="F210" s="4">
        <v>24.490445859872612</v>
      </c>
      <c r="G210" s="2">
        <f t="shared" si="18"/>
        <v>471.06763287037853</v>
      </c>
      <c r="H210" s="2">
        <f t="shared" si="19"/>
        <v>60.208757145370988</v>
      </c>
      <c r="I210" s="2">
        <f t="shared" si="15"/>
        <v>15052.189286342747</v>
      </c>
      <c r="J210" s="4">
        <f t="shared" si="17"/>
        <v>19.481883922268651</v>
      </c>
      <c r="K210" s="4">
        <f t="shared" si="16"/>
        <v>4870.4709805671628</v>
      </c>
      <c r="L210">
        <v>4</v>
      </c>
    </row>
    <row r="211" spans="1:12" x14ac:dyDescent="0.3">
      <c r="A211" t="s">
        <v>59</v>
      </c>
      <c r="B211" t="s">
        <v>62</v>
      </c>
      <c r="C211" s="4">
        <v>0.693333333</v>
      </c>
      <c r="D211" s="4">
        <v>0.64166666699999997</v>
      </c>
      <c r="E211">
        <v>6</v>
      </c>
      <c r="F211" s="4">
        <v>10.286624203821654</v>
      </c>
      <c r="G211" s="2">
        <f t="shared" si="18"/>
        <v>83.106621961430847</v>
      </c>
      <c r="H211" s="2">
        <f t="shared" si="19"/>
        <v>23.73457103825136</v>
      </c>
      <c r="I211" s="2">
        <f t="shared" si="15"/>
        <v>5933.6427595628402</v>
      </c>
      <c r="J211" s="4">
        <f t="shared" si="17"/>
        <v>11.207807387723639</v>
      </c>
      <c r="K211" s="4">
        <f t="shared" si="16"/>
        <v>2801.9518469309096</v>
      </c>
      <c r="L211">
        <v>4</v>
      </c>
    </row>
    <row r="212" spans="1:12" x14ac:dyDescent="0.3">
      <c r="A212" t="s">
        <v>59</v>
      </c>
      <c r="B212" t="s">
        <v>62</v>
      </c>
      <c r="C212" s="4">
        <v>0.693333333</v>
      </c>
      <c r="D212" s="4">
        <v>0.64166666699999997</v>
      </c>
      <c r="E212">
        <v>4.5</v>
      </c>
      <c r="F212" s="4">
        <v>9.6496815286624198</v>
      </c>
      <c r="G212" s="2">
        <f t="shared" si="18"/>
        <v>73.13341310332703</v>
      </c>
      <c r="H212" s="2">
        <f t="shared" si="19"/>
        <v>15.821726297425954</v>
      </c>
      <c r="I212" s="2">
        <f t="shared" si="15"/>
        <v>3955.4315743564885</v>
      </c>
      <c r="J212" s="4">
        <f t="shared" si="17"/>
        <v>10.452282569272587</v>
      </c>
      <c r="K212" s="4">
        <f t="shared" si="16"/>
        <v>2613.0706423181468</v>
      </c>
      <c r="L212">
        <v>4</v>
      </c>
    </row>
    <row r="213" spans="1:12" x14ac:dyDescent="0.3">
      <c r="A213" t="s">
        <v>63</v>
      </c>
      <c r="B213" t="s">
        <v>26</v>
      </c>
      <c r="C213" s="4">
        <v>0.80908761900000004</v>
      </c>
      <c r="D213" s="4">
        <v>0.87473809499999999</v>
      </c>
      <c r="E213">
        <v>4.5</v>
      </c>
      <c r="F213" s="4">
        <v>8.7579617834394909</v>
      </c>
      <c r="G213" s="2">
        <f t="shared" si="18"/>
        <v>60.241527148091237</v>
      </c>
      <c r="H213" s="2">
        <f t="shared" si="19"/>
        <v>17.717163399845305</v>
      </c>
      <c r="I213" s="2">
        <f t="shared" si="15"/>
        <v>4429.2908499613259</v>
      </c>
      <c r="J213" s="4">
        <f t="shared" si="17"/>
        <v>10.193754839952939</v>
      </c>
      <c r="K213" s="4">
        <f t="shared" si="16"/>
        <v>2548.4387099882347</v>
      </c>
      <c r="L213">
        <v>4</v>
      </c>
    </row>
    <row r="214" spans="1:12" x14ac:dyDescent="0.3">
      <c r="A214" t="s">
        <v>63</v>
      </c>
      <c r="B214" t="s">
        <v>52</v>
      </c>
      <c r="C214" s="4">
        <v>0.78445916699999996</v>
      </c>
      <c r="D214" s="4">
        <v>0.87841666699999998</v>
      </c>
      <c r="E214">
        <v>4</v>
      </c>
      <c r="F214" s="4">
        <v>7.2929936305732479</v>
      </c>
      <c r="G214" s="2">
        <f t="shared" si="18"/>
        <v>41.773565952701503</v>
      </c>
      <c r="H214" s="2">
        <f t="shared" si="19"/>
        <v>11.093524786946661</v>
      </c>
      <c r="I214" s="2">
        <f t="shared" si="15"/>
        <v>2773.3811967366651</v>
      </c>
      <c r="J214" s="4">
        <f t="shared" si="17"/>
        <v>9.7303285853381478</v>
      </c>
      <c r="K214" s="4">
        <f t="shared" si="16"/>
        <v>2432.5821463345369</v>
      </c>
      <c r="L214">
        <v>4</v>
      </c>
    </row>
    <row r="215" spans="1:12" x14ac:dyDescent="0.3">
      <c r="A215" t="s">
        <v>63</v>
      </c>
      <c r="B215" t="s">
        <v>64</v>
      </c>
      <c r="C215" s="4">
        <v>0.66</v>
      </c>
      <c r="D215" s="4">
        <v>0.75533333300000005</v>
      </c>
      <c r="E215">
        <v>7</v>
      </c>
      <c r="F215" s="4">
        <v>7.7388535031847123</v>
      </c>
      <c r="G215" s="2">
        <f t="shared" si="18"/>
        <v>47.037380979406777</v>
      </c>
      <c r="H215" s="2">
        <f t="shared" si="19"/>
        <v>18.560550251895538</v>
      </c>
      <c r="I215" s="2">
        <f t="shared" si="15"/>
        <v>4640.137562973885</v>
      </c>
      <c r="J215" s="4">
        <f t="shared" si="17"/>
        <v>10.45300141182198</v>
      </c>
      <c r="K215" s="4">
        <f t="shared" si="16"/>
        <v>2613.2503529554947</v>
      </c>
      <c r="L215">
        <v>4</v>
      </c>
    </row>
    <row r="216" spans="1:12" x14ac:dyDescent="0.3">
      <c r="A216" t="s">
        <v>63</v>
      </c>
      <c r="B216" t="s">
        <v>44</v>
      </c>
      <c r="C216" s="4">
        <v>0.54247040000000002</v>
      </c>
      <c r="D216" s="4">
        <v>0.54247042099999998</v>
      </c>
      <c r="E216">
        <v>3.5</v>
      </c>
      <c r="F216" s="4">
        <v>16.019108280254777</v>
      </c>
      <c r="G216" s="2">
        <f t="shared" si="18"/>
        <v>201.54246006229965</v>
      </c>
      <c r="H216" s="2">
        <f t="shared" si="19"/>
        <v>28.263799682956368</v>
      </c>
      <c r="I216" s="2">
        <f t="shared" si="15"/>
        <v>7065.9499207390918</v>
      </c>
      <c r="J216" s="4">
        <f t="shared" si="17"/>
        <v>12.129194918657957</v>
      </c>
      <c r="K216" s="4">
        <f t="shared" si="16"/>
        <v>3032.2987296644892</v>
      </c>
      <c r="L216">
        <v>4</v>
      </c>
    </row>
    <row r="217" spans="1:12" x14ac:dyDescent="0.3">
      <c r="A217" t="s">
        <v>63</v>
      </c>
      <c r="B217" t="s">
        <v>55</v>
      </c>
      <c r="C217" s="4">
        <v>0.52500000000000002</v>
      </c>
      <c r="D217" s="4">
        <v>0.52500000000000002</v>
      </c>
      <c r="E217">
        <v>5</v>
      </c>
      <c r="F217" s="4">
        <v>7.2929936305732479</v>
      </c>
      <c r="G217" s="2">
        <f t="shared" si="18"/>
        <v>41.773565952701503</v>
      </c>
      <c r="H217" s="2">
        <f t="shared" si="19"/>
        <v>8.3459822564818484</v>
      </c>
      <c r="I217" s="2">
        <f t="shared" si="15"/>
        <v>2086.4955641204619</v>
      </c>
      <c r="J217" s="4">
        <f t="shared" si="17"/>
        <v>9.9164857316726831</v>
      </c>
      <c r="K217" s="4">
        <f t="shared" si="16"/>
        <v>2479.1214329181707</v>
      </c>
      <c r="L217">
        <v>4</v>
      </c>
    </row>
    <row r="218" spans="1:12" x14ac:dyDescent="0.3">
      <c r="A218" t="s">
        <v>63</v>
      </c>
      <c r="B218" t="s">
        <v>41</v>
      </c>
      <c r="C218" s="4">
        <v>0.56193137999999998</v>
      </c>
      <c r="D218" s="4">
        <v>0.57808694400000005</v>
      </c>
      <c r="E218">
        <v>7</v>
      </c>
      <c r="F218" s="4">
        <v>28.057324840764334</v>
      </c>
      <c r="G218" s="2">
        <f t="shared" si="18"/>
        <v>618.27601921044163</v>
      </c>
      <c r="H218" s="2">
        <f t="shared" si="19"/>
        <v>176.65355294612766</v>
      </c>
      <c r="I218" s="2">
        <f t="shared" si="15"/>
        <v>44163.388236531915</v>
      </c>
      <c r="J218" s="4">
        <f t="shared" si="17"/>
        <v>28.272430191894202</v>
      </c>
      <c r="K218" s="4">
        <f t="shared" si="16"/>
        <v>7068.10754797355</v>
      </c>
      <c r="L218">
        <v>4</v>
      </c>
    </row>
    <row r="219" spans="1:12" x14ac:dyDescent="0.3">
      <c r="A219" t="s">
        <v>63</v>
      </c>
      <c r="B219" t="s">
        <v>41</v>
      </c>
      <c r="C219" s="4">
        <v>0.56193137999999998</v>
      </c>
      <c r="D219" s="4">
        <v>0.57808694400000005</v>
      </c>
      <c r="E219">
        <v>7</v>
      </c>
      <c r="F219" s="4">
        <v>35.828025477707008</v>
      </c>
      <c r="G219" s="2">
        <f t="shared" si="18"/>
        <v>1008.1743179742541</v>
      </c>
      <c r="H219" s="2">
        <f t="shared" si="19"/>
        <v>284.69453283857302</v>
      </c>
      <c r="I219" s="2">
        <f t="shared" si="15"/>
        <v>71173.63320964326</v>
      </c>
      <c r="J219" s="4">
        <f t="shared" si="17"/>
        <v>40.435061535964948</v>
      </c>
      <c r="K219" s="4">
        <f t="shared" si="16"/>
        <v>10108.765383991236</v>
      </c>
      <c r="L219">
        <v>4</v>
      </c>
    </row>
    <row r="220" spans="1:12" x14ac:dyDescent="0.3">
      <c r="A220" t="s">
        <v>63</v>
      </c>
      <c r="B220" t="s">
        <v>56</v>
      </c>
      <c r="C220" s="4">
        <v>0.39984676499999999</v>
      </c>
      <c r="D220" s="4">
        <v>0.450333333</v>
      </c>
      <c r="E220">
        <v>8</v>
      </c>
      <c r="F220" s="4">
        <v>20.636942675159233</v>
      </c>
      <c r="G220" s="2">
        <f t="shared" si="18"/>
        <v>334.48804252022603</v>
      </c>
      <c r="H220" s="2">
        <f t="shared" si="19"/>
        <v>86.590033103324089</v>
      </c>
      <c r="I220" s="2">
        <f t="shared" si="15"/>
        <v>21647.508275831024</v>
      </c>
      <c r="J220" s="4">
        <f t="shared" si="17"/>
        <v>20.910435283378632</v>
      </c>
      <c r="K220" s="4">
        <f t="shared" si="16"/>
        <v>5227.6088208446581</v>
      </c>
      <c r="L220">
        <v>4</v>
      </c>
    </row>
    <row r="221" spans="1:12" x14ac:dyDescent="0.3">
      <c r="A221" t="s">
        <v>63</v>
      </c>
      <c r="B221" t="s">
        <v>56</v>
      </c>
      <c r="C221" s="4">
        <v>0.39984676499999999</v>
      </c>
      <c r="D221" s="4">
        <v>0.450333333</v>
      </c>
      <c r="E221">
        <v>9</v>
      </c>
      <c r="F221" s="4">
        <v>42.866242038216569</v>
      </c>
      <c r="G221" s="2">
        <f t="shared" si="18"/>
        <v>1443.1806756843805</v>
      </c>
      <c r="H221" s="2">
        <f t="shared" si="19"/>
        <v>404.66376046163577</v>
      </c>
      <c r="I221" s="2">
        <f t="shared" si="15"/>
        <v>101165.94011540894</v>
      </c>
      <c r="J221" s="4">
        <f t="shared" si="17"/>
        <v>66.86741325408741</v>
      </c>
      <c r="K221" s="4">
        <f t="shared" si="16"/>
        <v>16716.853313521853</v>
      </c>
      <c r="L221">
        <v>4</v>
      </c>
    </row>
    <row r="222" spans="1:12" x14ac:dyDescent="0.3">
      <c r="A222" t="s">
        <v>63</v>
      </c>
      <c r="B222" t="s">
        <v>38</v>
      </c>
      <c r="C222" s="4">
        <v>1082380952</v>
      </c>
      <c r="D222" s="4">
        <v>0.61247410899999999</v>
      </c>
      <c r="E222">
        <v>5.5</v>
      </c>
      <c r="F222" s="4">
        <v>12.961783439490446</v>
      </c>
      <c r="G222" s="2">
        <f t="shared" si="18"/>
        <v>131.95304106517904</v>
      </c>
      <c r="H222" s="2">
        <f t="shared" si="19"/>
        <v>32.713596442541601</v>
      </c>
      <c r="I222" s="2">
        <f t="shared" si="15"/>
        <v>8178.3991106354006</v>
      </c>
      <c r="J222" s="4">
        <f t="shared" si="17"/>
        <v>12.219850726195789</v>
      </c>
      <c r="K222" s="4">
        <f t="shared" si="16"/>
        <v>3054.9626815489473</v>
      </c>
      <c r="L222">
        <v>4</v>
      </c>
    </row>
    <row r="223" spans="1:12" x14ac:dyDescent="0.3">
      <c r="A223" t="s">
        <v>63</v>
      </c>
      <c r="B223" t="s">
        <v>57</v>
      </c>
      <c r="C223" s="4">
        <v>0.61</v>
      </c>
      <c r="D223" s="4">
        <v>0.84088888900000003</v>
      </c>
      <c r="E223">
        <v>6.5</v>
      </c>
      <c r="F223" s="4">
        <v>51.27388535031848</v>
      </c>
      <c r="G223" s="2">
        <f t="shared" si="18"/>
        <v>2064.8206614289893</v>
      </c>
      <c r="H223" s="2">
        <f t="shared" si="19"/>
        <v>768.56539197835389</v>
      </c>
      <c r="I223" s="2">
        <f t="shared" si="15"/>
        <v>192141.34799458846</v>
      </c>
      <c r="J223" s="4">
        <f t="shared" si="17"/>
        <v>68.795707505375489</v>
      </c>
      <c r="K223" s="4">
        <f t="shared" si="16"/>
        <v>17198.926876343874</v>
      </c>
      <c r="L223">
        <v>4</v>
      </c>
    </row>
    <row r="224" spans="1:12" x14ac:dyDescent="0.3">
      <c r="A224" t="s">
        <v>63</v>
      </c>
      <c r="B224" t="s">
        <v>57</v>
      </c>
      <c r="C224" s="4">
        <v>0.61</v>
      </c>
      <c r="D224" s="4">
        <v>0.84088888900000003</v>
      </c>
      <c r="E224">
        <v>8</v>
      </c>
      <c r="F224" s="4">
        <v>49.777070063694261</v>
      </c>
      <c r="G224" s="2">
        <f t="shared" si="18"/>
        <v>1946.0255647662179</v>
      </c>
      <c r="H224" s="2">
        <f t="shared" si="19"/>
        <v>888.33552651273214</v>
      </c>
      <c r="I224" s="2">
        <f t="shared" si="15"/>
        <v>222083.88162818304</v>
      </c>
      <c r="J224" s="4">
        <f t="shared" si="17"/>
        <v>78.362887715525957</v>
      </c>
      <c r="K224" s="4">
        <f t="shared" si="16"/>
        <v>19590.721928881489</v>
      </c>
      <c r="L224">
        <v>4</v>
      </c>
    </row>
    <row r="225" spans="1:12" x14ac:dyDescent="0.3">
      <c r="A225" t="s">
        <v>63</v>
      </c>
      <c r="B225" t="s">
        <v>22</v>
      </c>
      <c r="C225" s="4">
        <v>0.43836446099999998</v>
      </c>
      <c r="D225" s="4">
        <v>0.58666666700000003</v>
      </c>
      <c r="E225">
        <v>5</v>
      </c>
      <c r="F225" s="4">
        <v>39.71337579617834</v>
      </c>
      <c r="G225" s="2">
        <f t="shared" si="18"/>
        <v>1238.6924547309247</v>
      </c>
      <c r="H225" s="2">
        <f t="shared" si="19"/>
        <v>254.2637524294361</v>
      </c>
      <c r="I225" s="2">
        <f t="shared" si="15"/>
        <v>63565.938107359027</v>
      </c>
      <c r="J225" s="4">
        <f t="shared" si="17"/>
        <v>36.585863799748466</v>
      </c>
      <c r="K225" s="4">
        <f t="shared" si="16"/>
        <v>9146.4659499371173</v>
      </c>
      <c r="L225">
        <v>4</v>
      </c>
    </row>
    <row r="226" spans="1:12" x14ac:dyDescent="0.3">
      <c r="A226" t="s">
        <v>63</v>
      </c>
      <c r="B226" t="s">
        <v>22</v>
      </c>
      <c r="C226" s="4">
        <v>0.43836446099999998</v>
      </c>
      <c r="D226" s="4">
        <v>0.58666666700000003</v>
      </c>
      <c r="E226">
        <v>6.5</v>
      </c>
      <c r="F226" s="4">
        <v>22.611464968152866</v>
      </c>
      <c r="G226" s="2">
        <f t="shared" si="18"/>
        <v>401.5570755087972</v>
      </c>
      <c r="H226" s="2">
        <f t="shared" si="19"/>
        <v>109.4002069110892</v>
      </c>
      <c r="I226" s="2">
        <f t="shared" si="15"/>
        <v>27350.051727772301</v>
      </c>
      <c r="J226" s="4">
        <f t="shared" si="17"/>
        <v>20.617282417136597</v>
      </c>
      <c r="K226" s="4">
        <f t="shared" si="16"/>
        <v>5154.3206042841493</v>
      </c>
      <c r="L226">
        <v>4</v>
      </c>
    </row>
    <row r="227" spans="1:12" x14ac:dyDescent="0.3">
      <c r="A227" t="s">
        <v>63</v>
      </c>
      <c r="B227" t="s">
        <v>58</v>
      </c>
      <c r="C227" s="4">
        <v>0.371297506</v>
      </c>
      <c r="D227" s="4">
        <v>0.35258402799999999</v>
      </c>
      <c r="E227">
        <v>6</v>
      </c>
      <c r="F227" s="4">
        <v>15.318471337579615</v>
      </c>
      <c r="G227" s="2">
        <f t="shared" si="18"/>
        <v>184.2980490910351</v>
      </c>
      <c r="H227" s="2">
        <f t="shared" si="19"/>
        <v>28.784555831908577</v>
      </c>
      <c r="I227" s="2">
        <f t="shared" si="15"/>
        <v>7196.1389579771439</v>
      </c>
      <c r="J227" s="4">
        <f t="shared" si="17"/>
        <v>13.91346684652521</v>
      </c>
      <c r="K227" s="4">
        <f t="shared" si="16"/>
        <v>3478.3667116313027</v>
      </c>
      <c r="L227">
        <v>4</v>
      </c>
    </row>
    <row r="228" spans="1:12" x14ac:dyDescent="0.3">
      <c r="A228" t="s">
        <v>63</v>
      </c>
      <c r="B228" t="s">
        <v>62</v>
      </c>
      <c r="C228" s="4">
        <v>0.693333333</v>
      </c>
      <c r="D228" s="4">
        <v>0.64166666699999997</v>
      </c>
      <c r="E228">
        <v>5</v>
      </c>
      <c r="F228" s="4">
        <v>9.4585987261146496</v>
      </c>
      <c r="G228" s="2">
        <f t="shared" si="18"/>
        <v>70.26571726553361</v>
      </c>
      <c r="H228" s="2">
        <f t="shared" si="19"/>
        <v>16.863889829543421</v>
      </c>
      <c r="I228" s="2">
        <f t="shared" si="15"/>
        <v>4215.9724573858548</v>
      </c>
      <c r="J228" s="4">
        <f t="shared" si="17"/>
        <v>10.551339072579008</v>
      </c>
      <c r="K228" s="4">
        <f t="shared" si="16"/>
        <v>2637.8347681447522</v>
      </c>
      <c r="L228">
        <v>4</v>
      </c>
    </row>
    <row r="229" spans="1:12" x14ac:dyDescent="0.3">
      <c r="A229" t="s">
        <v>65</v>
      </c>
      <c r="B229" t="s">
        <v>60</v>
      </c>
      <c r="C229" s="4">
        <v>0.41</v>
      </c>
      <c r="D229" s="4">
        <v>0.33983503399999998</v>
      </c>
      <c r="E229">
        <v>6</v>
      </c>
      <c r="F229" s="4">
        <v>12.707006369426752</v>
      </c>
      <c r="G229" s="2">
        <f t="shared" si="18"/>
        <v>126.81667918682014</v>
      </c>
      <c r="H229" s="2">
        <f t="shared" si="19"/>
        <v>19.279724208831478</v>
      </c>
      <c r="I229" s="2">
        <f t="shared" si="15"/>
        <v>4819.9310522078695</v>
      </c>
      <c r="J229" s="4">
        <f t="shared" si="17"/>
        <v>12.376528228325693</v>
      </c>
      <c r="K229" s="4">
        <f t="shared" si="16"/>
        <v>3094.1320570814232</v>
      </c>
      <c r="L229">
        <v>4</v>
      </c>
    </row>
    <row r="230" spans="1:12" x14ac:dyDescent="0.3">
      <c r="A230" t="s">
        <v>65</v>
      </c>
      <c r="B230" t="s">
        <v>44</v>
      </c>
      <c r="C230" s="4">
        <v>0.54247040000000002</v>
      </c>
      <c r="D230" s="4">
        <v>0.54247042099999998</v>
      </c>
      <c r="E230">
        <v>2.8</v>
      </c>
      <c r="F230" s="4">
        <v>10.127388535031846</v>
      </c>
      <c r="G230" s="2">
        <f t="shared" si="18"/>
        <v>80.553576083617529</v>
      </c>
      <c r="H230" s="2">
        <f t="shared" si="19"/>
        <v>9.2880256288707344</v>
      </c>
      <c r="I230" s="2">
        <f t="shared" si="15"/>
        <v>2322.0064072176838</v>
      </c>
      <c r="J230" s="4">
        <f t="shared" si="17"/>
        <v>9.9908271856870456</v>
      </c>
      <c r="K230" s="4">
        <f t="shared" si="16"/>
        <v>2497.7067964217613</v>
      </c>
      <c r="L230">
        <v>4</v>
      </c>
    </row>
    <row r="231" spans="1:12" x14ac:dyDescent="0.3">
      <c r="A231" t="s">
        <v>65</v>
      </c>
      <c r="B231" t="s">
        <v>53</v>
      </c>
      <c r="C231" s="4">
        <v>0.63206279899999995</v>
      </c>
      <c r="D231" s="4">
        <v>0.75690909100000003</v>
      </c>
      <c r="E231">
        <v>3</v>
      </c>
      <c r="F231" s="4">
        <v>2.4203821656050954</v>
      </c>
      <c r="G231" s="2">
        <f t="shared" si="18"/>
        <v>4.6010586553041311</v>
      </c>
      <c r="H231" s="2">
        <f t="shared" si="19"/>
        <v>0.84134388013232886</v>
      </c>
      <c r="I231" s="2">
        <f t="shared" si="15"/>
        <v>210.33597003308222</v>
      </c>
      <c r="J231" s="4">
        <f t="shared" si="17"/>
        <v>9.0472116231895807</v>
      </c>
      <c r="K231" s="4">
        <f t="shared" si="16"/>
        <v>2261.8029057973954</v>
      </c>
      <c r="L231">
        <v>4</v>
      </c>
    </row>
    <row r="232" spans="1:12" x14ac:dyDescent="0.3">
      <c r="A232" t="s">
        <v>65</v>
      </c>
      <c r="B232" t="s">
        <v>61</v>
      </c>
      <c r="C232" s="4">
        <v>0.9</v>
      </c>
      <c r="D232" s="4">
        <v>0.61247410899999999</v>
      </c>
      <c r="E232">
        <v>5</v>
      </c>
      <c r="F232" s="4">
        <v>8.9808917197452232</v>
      </c>
      <c r="G232" s="2">
        <f t="shared" si="18"/>
        <v>63.347401056856945</v>
      </c>
      <c r="H232" s="2">
        <f t="shared" si="19"/>
        <v>14.564212395934689</v>
      </c>
      <c r="I232" s="2">
        <f t="shared" si="15"/>
        <v>3641.053098983672</v>
      </c>
      <c r="J232" s="4">
        <f t="shared" si="17"/>
        <v>10.397187281431295</v>
      </c>
      <c r="K232" s="4">
        <f t="shared" si="16"/>
        <v>2599.2968203578239</v>
      </c>
      <c r="L232">
        <v>4</v>
      </c>
    </row>
    <row r="233" spans="1:12" x14ac:dyDescent="0.3">
      <c r="A233" t="s">
        <v>65</v>
      </c>
      <c r="B233" t="s">
        <v>55</v>
      </c>
      <c r="C233" s="4">
        <v>0.52500000000000002</v>
      </c>
      <c r="D233" s="4">
        <v>0.52500000000000002</v>
      </c>
      <c r="E233">
        <v>8</v>
      </c>
      <c r="F233" s="4">
        <v>4.5222929936305727</v>
      </c>
      <c r="G233" s="2">
        <f t="shared" si="18"/>
        <v>16.062283020351884</v>
      </c>
      <c r="H233" s="2">
        <f t="shared" si="19"/>
        <v>5.1947726679758723</v>
      </c>
      <c r="I233" s="2">
        <f t="shared" si="15"/>
        <v>1298.6931669939681</v>
      </c>
      <c r="J233" s="4">
        <f t="shared" si="17"/>
        <v>9.5583317497667242</v>
      </c>
      <c r="K233" s="4">
        <f t="shared" si="16"/>
        <v>2389.5829374416812</v>
      </c>
      <c r="L233">
        <v>4</v>
      </c>
    </row>
    <row r="234" spans="1:12" x14ac:dyDescent="0.3">
      <c r="A234" t="s">
        <v>65</v>
      </c>
      <c r="B234" t="s">
        <v>55</v>
      </c>
      <c r="C234" s="4">
        <v>0.52500000000000002</v>
      </c>
      <c r="D234" s="4">
        <v>0.52500000000000002</v>
      </c>
      <c r="E234">
        <v>6</v>
      </c>
      <c r="F234" s="4">
        <v>14.490445859872612</v>
      </c>
      <c r="G234" s="2">
        <f t="shared" si="18"/>
        <v>164.91242522755155</v>
      </c>
      <c r="H234" s="2">
        <f t="shared" si="19"/>
        <v>38.088839261929088</v>
      </c>
      <c r="I234" s="2">
        <f t="shared" si="15"/>
        <v>9522.2098154822725</v>
      </c>
      <c r="J234" s="4">
        <f t="shared" si="17"/>
        <v>13.395133445575885</v>
      </c>
      <c r="K234" s="4">
        <f t="shared" si="16"/>
        <v>3348.7833613939711</v>
      </c>
      <c r="L234">
        <v>4</v>
      </c>
    </row>
    <row r="235" spans="1:12" x14ac:dyDescent="0.3">
      <c r="A235" t="s">
        <v>65</v>
      </c>
      <c r="B235" t="s">
        <v>66</v>
      </c>
      <c r="C235" s="4">
        <v>0.62643652800000005</v>
      </c>
      <c r="D235" s="4">
        <v>0.57808694400000005</v>
      </c>
      <c r="E235">
        <v>5.5</v>
      </c>
      <c r="F235" s="4">
        <v>34.681528662420384</v>
      </c>
      <c r="G235" s="2">
        <f t="shared" si="18"/>
        <v>944.68353212550744</v>
      </c>
      <c r="H235" s="2">
        <f t="shared" si="19"/>
        <v>211.14758695371552</v>
      </c>
      <c r="I235" s="2">
        <f t="shared" si="15"/>
        <v>52786.896738428877</v>
      </c>
      <c r="J235" s="4">
        <f t="shared" si="17"/>
        <v>32.139762284474017</v>
      </c>
      <c r="K235" s="4">
        <f t="shared" si="16"/>
        <v>8034.9405711185045</v>
      </c>
      <c r="L235">
        <v>4</v>
      </c>
    </row>
    <row r="236" spans="1:12" x14ac:dyDescent="0.3">
      <c r="A236" t="s">
        <v>65</v>
      </c>
      <c r="B236" t="s">
        <v>41</v>
      </c>
      <c r="C236" s="4">
        <v>0.56193137999999998</v>
      </c>
      <c r="D236" s="4">
        <v>0.57808694400000005</v>
      </c>
      <c r="E236">
        <v>6.5</v>
      </c>
      <c r="F236" s="4">
        <v>37.101910828025474</v>
      </c>
      <c r="G236" s="2">
        <f t="shared" si="18"/>
        <v>1081.1412454025535</v>
      </c>
      <c r="H236" s="2">
        <f t="shared" si="19"/>
        <v>283.52108273137719</v>
      </c>
      <c r="I236" s="2">
        <f t="shared" si="15"/>
        <v>70880.270682844304</v>
      </c>
      <c r="J236" s="4">
        <f t="shared" si="17"/>
        <v>40.302253156314656</v>
      </c>
      <c r="K236" s="4">
        <f t="shared" si="16"/>
        <v>10075.563289078664</v>
      </c>
      <c r="L236">
        <v>4</v>
      </c>
    </row>
    <row r="237" spans="1:12" x14ac:dyDescent="0.3">
      <c r="A237" t="s">
        <v>65</v>
      </c>
      <c r="B237" t="s">
        <v>41</v>
      </c>
      <c r="C237" s="4">
        <v>0.56193137999999998</v>
      </c>
      <c r="D237" s="4">
        <v>0.57808694400000005</v>
      </c>
      <c r="E237">
        <v>4</v>
      </c>
      <c r="F237" s="4">
        <v>11.242038216560509</v>
      </c>
      <c r="G237" s="2">
        <f t="shared" si="18"/>
        <v>99.261308514333876</v>
      </c>
      <c r="H237" s="2">
        <f t="shared" si="19"/>
        <v>17.162497729460849</v>
      </c>
      <c r="I237" s="2">
        <f t="shared" si="15"/>
        <v>4290.6244323652127</v>
      </c>
      <c r="J237" s="4">
        <f t="shared" si="17"/>
        <v>10.755067925676498</v>
      </c>
      <c r="K237" s="4">
        <f t="shared" si="16"/>
        <v>2688.7669814191245</v>
      </c>
      <c r="L237">
        <v>4</v>
      </c>
    </row>
    <row r="238" spans="1:12" x14ac:dyDescent="0.3">
      <c r="A238" t="s">
        <v>65</v>
      </c>
      <c r="B238" t="s">
        <v>56</v>
      </c>
      <c r="C238" s="4">
        <v>0.39984676499999999</v>
      </c>
      <c r="D238" s="4">
        <v>0.450333333</v>
      </c>
      <c r="E238">
        <v>10</v>
      </c>
      <c r="F238" s="4">
        <v>30.191082802547768</v>
      </c>
      <c r="G238" s="2">
        <f t="shared" si="18"/>
        <v>715.89158894675268</v>
      </c>
      <c r="H238" s="2">
        <f t="shared" si="19"/>
        <v>226.24945482504853</v>
      </c>
      <c r="I238" s="2">
        <f t="shared" si="15"/>
        <v>56562.363706262135</v>
      </c>
      <c r="J238" s="4">
        <f t="shared" si="17"/>
        <v>40.888251827660348</v>
      </c>
      <c r="K238" s="4">
        <f t="shared" si="16"/>
        <v>10222.062956915086</v>
      </c>
      <c r="L238">
        <v>4</v>
      </c>
    </row>
    <row r="239" spans="1:12" x14ac:dyDescent="0.3">
      <c r="A239" t="s">
        <v>65</v>
      </c>
      <c r="B239" t="s">
        <v>56</v>
      </c>
      <c r="C239" s="4">
        <v>0.39984676499999999</v>
      </c>
      <c r="D239" s="4">
        <v>0.450333333</v>
      </c>
      <c r="E239">
        <v>9</v>
      </c>
      <c r="F239" s="4">
        <v>15.19108280254777</v>
      </c>
      <c r="G239" s="2">
        <f t="shared" si="18"/>
        <v>181.24554618813946</v>
      </c>
      <c r="H239" s="2">
        <f t="shared" si="19"/>
        <v>53.415368890415074</v>
      </c>
      <c r="I239" s="2">
        <f t="shared" si="15"/>
        <v>13353.842222603769</v>
      </c>
      <c r="J239" s="4">
        <f t="shared" si="17"/>
        <v>16.254923396486671</v>
      </c>
      <c r="K239" s="4">
        <f t="shared" si="16"/>
        <v>4063.7308491216677</v>
      </c>
      <c r="L239">
        <v>4</v>
      </c>
    </row>
    <row r="240" spans="1:12" x14ac:dyDescent="0.3">
      <c r="A240" t="s">
        <v>65</v>
      </c>
      <c r="B240" t="s">
        <v>56</v>
      </c>
      <c r="C240" s="4">
        <v>0.39984676499999999</v>
      </c>
      <c r="D240" s="4">
        <v>0.450333333</v>
      </c>
      <c r="E240">
        <v>10</v>
      </c>
      <c r="F240" s="4">
        <v>48.089171974522294</v>
      </c>
      <c r="G240" s="2">
        <f t="shared" si="18"/>
        <v>1816.2870221535579</v>
      </c>
      <c r="H240" s="2">
        <f t="shared" si="19"/>
        <v>561.33312082112445</v>
      </c>
      <c r="I240" s="2">
        <f t="shared" si="15"/>
        <v>140333.2802052811</v>
      </c>
      <c r="J240" s="4">
        <f t="shared" si="17"/>
        <v>89.925596141831306</v>
      </c>
      <c r="K240" s="4">
        <f t="shared" si="16"/>
        <v>22481.399035457827</v>
      </c>
      <c r="L240">
        <v>4</v>
      </c>
    </row>
    <row r="241" spans="1:12" x14ac:dyDescent="0.3">
      <c r="A241" t="s">
        <v>65</v>
      </c>
      <c r="B241" t="s">
        <v>38</v>
      </c>
      <c r="C241" s="4">
        <v>1082380952</v>
      </c>
      <c r="D241" s="4">
        <v>0.61247410899999999</v>
      </c>
      <c r="E241">
        <v>4.5</v>
      </c>
      <c r="F241" s="5">
        <v>11.337579617834395</v>
      </c>
      <c r="G241" s="2">
        <f t="shared" si="18"/>
        <v>100.9556388051635</v>
      </c>
      <c r="H241" s="2">
        <f t="shared" si="19"/>
        <v>20.709605670767441</v>
      </c>
      <c r="I241" s="2">
        <f t="shared" si="15"/>
        <v>5177.4014176918599</v>
      </c>
      <c r="J241" s="4">
        <f t="shared" si="17"/>
        <v>11.010216207554059</v>
      </c>
      <c r="K241" s="4">
        <f t="shared" si="16"/>
        <v>2752.5540518885146</v>
      </c>
      <c r="L241">
        <v>4</v>
      </c>
    </row>
    <row r="242" spans="1:12" x14ac:dyDescent="0.3">
      <c r="A242" t="s">
        <v>65</v>
      </c>
      <c r="B242" t="s">
        <v>38</v>
      </c>
      <c r="C242" s="4">
        <v>1082380952</v>
      </c>
      <c r="D242" s="4">
        <v>0.61247410899999999</v>
      </c>
      <c r="E242">
        <v>4.5</v>
      </c>
      <c r="F242" s="5">
        <v>9.936305732484076</v>
      </c>
      <c r="G242" s="2">
        <f t="shared" si="18"/>
        <v>77.542495453934436</v>
      </c>
      <c r="H242" s="2">
        <f t="shared" si="19"/>
        <v>16.007783467694491</v>
      </c>
      <c r="I242" s="2">
        <f t="shared" si="15"/>
        <v>4001.9458669236228</v>
      </c>
      <c r="J242" s="4">
        <f t="shared" si="17"/>
        <v>10.540700202847985</v>
      </c>
      <c r="K242" s="4">
        <f t="shared" si="16"/>
        <v>2635.1750507119964</v>
      </c>
      <c r="L242">
        <v>4</v>
      </c>
    </row>
    <row r="243" spans="1:12" x14ac:dyDescent="0.3">
      <c r="A243" t="s">
        <v>65</v>
      </c>
      <c r="B243" t="s">
        <v>57</v>
      </c>
      <c r="C243" s="4">
        <v>0.61</v>
      </c>
      <c r="D243" s="4">
        <v>0.84088888900000003</v>
      </c>
      <c r="E243">
        <v>6</v>
      </c>
      <c r="F243" s="4">
        <v>26.624203821656053</v>
      </c>
      <c r="G243" s="2">
        <f t="shared" si="18"/>
        <v>556.72809729179994</v>
      </c>
      <c r="H243" s="2">
        <f t="shared" si="19"/>
        <v>197.77689408775979</v>
      </c>
      <c r="I243" s="2">
        <f t="shared" si="15"/>
        <v>49444.223521939944</v>
      </c>
      <c r="J243" s="4">
        <f t="shared" si="17"/>
        <v>23.87151281187878</v>
      </c>
      <c r="K243" s="4">
        <f t="shared" si="16"/>
        <v>5967.8782029696949</v>
      </c>
      <c r="L243">
        <v>4</v>
      </c>
    </row>
    <row r="244" spans="1:12" x14ac:dyDescent="0.3">
      <c r="A244" t="s">
        <v>65</v>
      </c>
      <c r="B244" t="s">
        <v>57</v>
      </c>
      <c r="C244" s="4">
        <v>0.61</v>
      </c>
      <c r="D244" s="4">
        <v>0.84088888900000003</v>
      </c>
      <c r="E244">
        <v>8</v>
      </c>
      <c r="F244" s="4">
        <v>67.70700636942675</v>
      </c>
      <c r="G244" s="2">
        <f t="shared" si="18"/>
        <v>3600.45266459512</v>
      </c>
      <c r="H244" s="2">
        <f t="shared" si="19"/>
        <v>1619.4688155014444</v>
      </c>
      <c r="I244" s="2">
        <f t="shared" si="15"/>
        <v>404867.20387536113</v>
      </c>
      <c r="J244" s="4">
        <f t="shared" si="17"/>
        <v>137.34438392226866</v>
      </c>
      <c r="K244" s="4">
        <f t="shared" si="16"/>
        <v>34336.095980567166</v>
      </c>
      <c r="L244">
        <v>4</v>
      </c>
    </row>
    <row r="245" spans="1:12" x14ac:dyDescent="0.3">
      <c r="A245" t="s">
        <v>65</v>
      </c>
      <c r="B245" t="s">
        <v>57</v>
      </c>
      <c r="C245" s="4">
        <v>0.61</v>
      </c>
      <c r="D245" s="4">
        <v>0.84088888900000003</v>
      </c>
      <c r="E245">
        <v>4</v>
      </c>
      <c r="F245" s="4">
        <v>4.3949044585987265</v>
      </c>
      <c r="G245" s="2">
        <f t="shared" si="18"/>
        <v>15.170110981927266</v>
      </c>
      <c r="H245" s="2">
        <f t="shared" si="19"/>
        <v>3.9555584529794028</v>
      </c>
      <c r="I245" s="2">
        <f t="shared" si="15"/>
        <v>988.88961324485069</v>
      </c>
      <c r="J245" s="4">
        <f t="shared" si="17"/>
        <v>9.2561125928029533</v>
      </c>
      <c r="K245" s="4">
        <f t="shared" si="16"/>
        <v>2314.0281482007385</v>
      </c>
      <c r="L245">
        <v>4</v>
      </c>
    </row>
    <row r="246" spans="1:12" x14ac:dyDescent="0.3">
      <c r="A246" t="s">
        <v>65</v>
      </c>
      <c r="B246" t="s">
        <v>22</v>
      </c>
      <c r="C246" s="4">
        <v>0.43836446099999998</v>
      </c>
      <c r="D246" s="4">
        <v>0.58666666700000003</v>
      </c>
      <c r="E246">
        <v>6</v>
      </c>
      <c r="F246" s="4">
        <v>31.050955414012737</v>
      </c>
      <c r="G246" s="2">
        <f t="shared" si="18"/>
        <v>757.25093216732841</v>
      </c>
      <c r="H246" s="2">
        <f t="shared" si="19"/>
        <v>187.91915063190723</v>
      </c>
      <c r="I246" s="2">
        <f t="shared" si="15"/>
        <v>46979.787657976805</v>
      </c>
      <c r="J246" s="4">
        <f t="shared" si="17"/>
        <v>29.233098474583144</v>
      </c>
      <c r="K246" s="4">
        <f t="shared" si="16"/>
        <v>7308.2746186457862</v>
      </c>
      <c r="L246">
        <v>4</v>
      </c>
    </row>
    <row r="247" spans="1:12" x14ac:dyDescent="0.3">
      <c r="A247" t="s">
        <v>65</v>
      </c>
      <c r="B247" t="s">
        <v>58</v>
      </c>
      <c r="C247" s="4">
        <v>0.371297506</v>
      </c>
      <c r="D247" s="4">
        <v>0.35258402799999999</v>
      </c>
      <c r="E247">
        <v>5</v>
      </c>
      <c r="F247" s="4">
        <v>8.1847133757961785</v>
      </c>
      <c r="G247" s="2">
        <f t="shared" si="18"/>
        <v>52.613456219560696</v>
      </c>
      <c r="H247" s="2">
        <f t="shared" si="19"/>
        <v>7.0879542202028656</v>
      </c>
      <c r="I247" s="2">
        <f t="shared" si="15"/>
        <v>1771.9885550507163</v>
      </c>
      <c r="J247" s="4">
        <f t="shared" si="17"/>
        <v>10.158016828268895</v>
      </c>
      <c r="K247" s="4">
        <f t="shared" si="16"/>
        <v>2539.5042070672239</v>
      </c>
      <c r="L247">
        <v>4</v>
      </c>
    </row>
    <row r="248" spans="1:12" x14ac:dyDescent="0.3">
      <c r="A248" t="s">
        <v>65</v>
      </c>
      <c r="B248" t="s">
        <v>58</v>
      </c>
      <c r="C248" s="4">
        <v>0.371297506</v>
      </c>
      <c r="D248" s="4">
        <v>0.35258402799999999</v>
      </c>
      <c r="E248">
        <v>8</v>
      </c>
      <c r="F248" s="4">
        <v>36.433121019108277</v>
      </c>
      <c r="G248" s="2">
        <f t="shared" si="18"/>
        <v>1042.5157722140075</v>
      </c>
      <c r="H248" s="2">
        <f t="shared" si="19"/>
        <v>206.8236269937818</v>
      </c>
      <c r="I248" s="2">
        <f t="shared" si="15"/>
        <v>51705.90674844545</v>
      </c>
      <c r="J248" s="4">
        <f t="shared" si="17"/>
        <v>46.152124601403706</v>
      </c>
      <c r="K248" s="4">
        <f t="shared" si="16"/>
        <v>11538.031150350927</v>
      </c>
      <c r="L248">
        <v>4</v>
      </c>
    </row>
    <row r="249" spans="1:12" x14ac:dyDescent="0.3">
      <c r="A249" t="s">
        <v>65</v>
      </c>
      <c r="B249" t="s">
        <v>58</v>
      </c>
      <c r="C249" s="4">
        <v>0.371297506</v>
      </c>
      <c r="D249" s="4">
        <v>0.35258402799999999</v>
      </c>
      <c r="E249">
        <v>6.5</v>
      </c>
      <c r="F249" s="4">
        <v>28.566878980891719</v>
      </c>
      <c r="G249" s="2">
        <f t="shared" si="18"/>
        <v>640.9371889864268</v>
      </c>
      <c r="H249" s="2">
        <f t="shared" si="19"/>
        <v>105.04877873356381</v>
      </c>
      <c r="I249" s="2">
        <f t="shared" si="15"/>
        <v>26262.194683390953</v>
      </c>
      <c r="J249" s="4">
        <f t="shared" si="17"/>
        <v>27.551214574627771</v>
      </c>
      <c r="K249" s="4">
        <f t="shared" si="16"/>
        <v>6887.8036436569428</v>
      </c>
      <c r="L249">
        <v>4</v>
      </c>
    </row>
    <row r="250" spans="1:12" x14ac:dyDescent="0.3">
      <c r="A250" t="s">
        <v>67</v>
      </c>
      <c r="B250" t="s">
        <v>26</v>
      </c>
      <c r="C250" s="4">
        <v>0.80908761900000004</v>
      </c>
      <c r="D250" s="4">
        <v>0.87473809499999999</v>
      </c>
      <c r="E250">
        <v>7</v>
      </c>
      <c r="F250" s="4">
        <v>7.7388535031847132</v>
      </c>
      <c r="G250" s="2">
        <f t="shared" si="18"/>
        <v>47.037380979406791</v>
      </c>
      <c r="H250" s="2">
        <f t="shared" si="19"/>
        <v>21.419064165816053</v>
      </c>
      <c r="I250" s="2">
        <f t="shared" si="15"/>
        <v>5354.7660414540132</v>
      </c>
      <c r="J250" s="4">
        <f t="shared" si="17"/>
        <v>10.45300141182198</v>
      </c>
      <c r="K250" s="4">
        <f t="shared" si="16"/>
        <v>2613.2503529554947</v>
      </c>
      <c r="L250">
        <v>4</v>
      </c>
    </row>
    <row r="251" spans="1:12" x14ac:dyDescent="0.3">
      <c r="A251" t="s">
        <v>67</v>
      </c>
      <c r="B251" t="s">
        <v>68</v>
      </c>
      <c r="C251" s="4">
        <v>0.77800000000000002</v>
      </c>
      <c r="D251" s="4">
        <v>0.77386111099999999</v>
      </c>
      <c r="E251">
        <v>3.5</v>
      </c>
      <c r="F251" s="4">
        <v>3.6305732484076434</v>
      </c>
      <c r="G251" s="2">
        <f t="shared" si="18"/>
        <v>10.352381974434296</v>
      </c>
      <c r="H251" s="2">
        <f t="shared" si="19"/>
        <v>2.205119766556412</v>
      </c>
      <c r="I251" s="2">
        <f t="shared" si="15"/>
        <v>551.27994163910296</v>
      </c>
      <c r="J251" s="4">
        <f t="shared" si="17"/>
        <v>9.147168010872651</v>
      </c>
      <c r="K251" s="4">
        <f t="shared" si="16"/>
        <v>2286.7920027181626</v>
      </c>
      <c r="L251">
        <v>4</v>
      </c>
    </row>
    <row r="252" spans="1:12" x14ac:dyDescent="0.3">
      <c r="A252" t="s">
        <v>67</v>
      </c>
      <c r="B252" t="s">
        <v>60</v>
      </c>
      <c r="C252" s="4">
        <v>0.41</v>
      </c>
      <c r="D252" s="4">
        <v>0.33983503399999998</v>
      </c>
      <c r="E252">
        <v>6</v>
      </c>
      <c r="F252" s="4">
        <v>10.477707006369428</v>
      </c>
      <c r="G252" s="2">
        <f t="shared" si="18"/>
        <v>86.22285143849976</v>
      </c>
      <c r="H252" s="2">
        <f t="shared" si="19"/>
        <v>13.230252035978143</v>
      </c>
      <c r="I252" s="2">
        <f t="shared" si="15"/>
        <v>3307.5630089945357</v>
      </c>
      <c r="J252" s="4">
        <f t="shared" si="17"/>
        <v>11.291129226337784</v>
      </c>
      <c r="K252" s="4">
        <f t="shared" si="16"/>
        <v>2822.7823065844459</v>
      </c>
      <c r="L252">
        <v>4</v>
      </c>
    </row>
    <row r="253" spans="1:12" x14ac:dyDescent="0.3">
      <c r="A253" t="s">
        <v>67</v>
      </c>
      <c r="B253" t="s">
        <v>69</v>
      </c>
      <c r="C253" s="4">
        <v>0.31264018999999998</v>
      </c>
      <c r="D253" s="4">
        <v>0.356821212</v>
      </c>
      <c r="E253">
        <v>5</v>
      </c>
      <c r="F253" s="4">
        <v>6.4968152866242033</v>
      </c>
      <c r="G253" s="2">
        <f t="shared" si="18"/>
        <v>33.150563884892087</v>
      </c>
      <c r="H253" s="2">
        <f t="shared" si="19"/>
        <v>4.568704301936207</v>
      </c>
      <c r="I253" s="2">
        <f t="shared" si="15"/>
        <v>1142.1760754840518</v>
      </c>
      <c r="J253" s="4">
        <f t="shared" si="17"/>
        <v>9.7243506551989931</v>
      </c>
      <c r="K253" s="4">
        <f t="shared" si="16"/>
        <v>2431.0876637997485</v>
      </c>
      <c r="L253">
        <v>4</v>
      </c>
    </row>
    <row r="254" spans="1:12" x14ac:dyDescent="0.3">
      <c r="A254" t="s">
        <v>67</v>
      </c>
      <c r="B254" t="s">
        <v>70</v>
      </c>
      <c r="C254" s="4">
        <v>0.55560299999999996</v>
      </c>
      <c r="D254" s="4">
        <v>0.55961111100000005</v>
      </c>
      <c r="E254">
        <v>3.5</v>
      </c>
      <c r="F254" s="4">
        <v>17.802547770700635</v>
      </c>
      <c r="G254" s="2">
        <f t="shared" si="18"/>
        <v>248.91679530264716</v>
      </c>
      <c r="H254" s="2">
        <f t="shared" si="19"/>
        <v>35.801704885161797</v>
      </c>
      <c r="I254" s="2">
        <f t="shared" si="15"/>
        <v>8950.4262212904487</v>
      </c>
      <c r="J254" s="4">
        <f t="shared" si="17"/>
        <v>12.868101162318958</v>
      </c>
      <c r="K254" s="4">
        <f t="shared" si="16"/>
        <v>3217.0252905797392</v>
      </c>
      <c r="L254">
        <v>4</v>
      </c>
    </row>
    <row r="255" spans="1:12" x14ac:dyDescent="0.3">
      <c r="A255" t="s">
        <v>67</v>
      </c>
      <c r="B255" t="s">
        <v>61</v>
      </c>
      <c r="C255" s="4">
        <v>0.9</v>
      </c>
      <c r="D255" s="4">
        <v>0.61247410899999999</v>
      </c>
      <c r="E255">
        <v>7</v>
      </c>
      <c r="F255" s="4">
        <v>4.2356687898089174</v>
      </c>
      <c r="G255" s="2">
        <f t="shared" si="18"/>
        <v>14.090742131868904</v>
      </c>
      <c r="H255" s="2">
        <f t="shared" si="19"/>
        <v>4.6642316365258329</v>
      </c>
      <c r="I255" s="2">
        <f t="shared" si="15"/>
        <v>1166.0579091314582</v>
      </c>
      <c r="J255" s="4">
        <f t="shared" si="17"/>
        <v>9.4252518073755525</v>
      </c>
      <c r="K255" s="4">
        <f t="shared" si="16"/>
        <v>2356.3129518438882</v>
      </c>
      <c r="L255">
        <v>4</v>
      </c>
    </row>
    <row r="256" spans="1:12" x14ac:dyDescent="0.3">
      <c r="A256" t="s">
        <v>67</v>
      </c>
      <c r="B256" t="s">
        <v>61</v>
      </c>
      <c r="C256" s="4">
        <v>0.9</v>
      </c>
      <c r="D256" s="4">
        <v>0.61247410899999999</v>
      </c>
      <c r="E256">
        <v>6</v>
      </c>
      <c r="F256" s="4">
        <v>1.7834394904458597</v>
      </c>
      <c r="G256" s="2">
        <f t="shared" si="18"/>
        <v>2.4980817075889461</v>
      </c>
      <c r="H256" s="2">
        <f t="shared" si="19"/>
        <v>0.74155722265958568</v>
      </c>
      <c r="I256" s="2">
        <f t="shared" si="15"/>
        <v>185.38930566489643</v>
      </c>
      <c r="J256" s="4">
        <f t="shared" si="17"/>
        <v>9.0524937847377167</v>
      </c>
      <c r="K256" s="4">
        <f t="shared" si="16"/>
        <v>2263.1234461844292</v>
      </c>
      <c r="L256">
        <v>4</v>
      </c>
    </row>
    <row r="257" spans="1:12" x14ac:dyDescent="0.3">
      <c r="A257" t="s">
        <v>67</v>
      </c>
      <c r="B257" t="s">
        <v>66</v>
      </c>
      <c r="C257" s="4">
        <v>0.62643652800000005</v>
      </c>
      <c r="D257" s="4">
        <v>0.57808694400000005</v>
      </c>
      <c r="E257">
        <v>6</v>
      </c>
      <c r="F257" s="4">
        <v>8.8216560509554132</v>
      </c>
      <c r="G257" s="2">
        <f t="shared" si="18"/>
        <v>61.120953871681195</v>
      </c>
      <c r="H257" s="2">
        <f t="shared" si="19"/>
        <v>15.882170204843614</v>
      </c>
      <c r="I257" s="2">
        <f t="shared" si="15"/>
        <v>3970.5425512109036</v>
      </c>
      <c r="J257" s="4">
        <f t="shared" si="17"/>
        <v>10.619953925108522</v>
      </c>
      <c r="K257" s="4">
        <f t="shared" si="16"/>
        <v>2654.9884812771306</v>
      </c>
      <c r="L257">
        <v>4</v>
      </c>
    </row>
    <row r="258" spans="1:12" x14ac:dyDescent="0.3">
      <c r="A258" t="s">
        <v>67</v>
      </c>
      <c r="B258" t="s">
        <v>56</v>
      </c>
      <c r="C258" s="4">
        <v>0.39984676499999999</v>
      </c>
      <c r="D258" s="4">
        <v>0.450333333</v>
      </c>
      <c r="E258">
        <v>10</v>
      </c>
      <c r="F258" s="4">
        <v>7.9617834394904454</v>
      </c>
      <c r="G258" s="2">
        <f t="shared" si="18"/>
        <v>49.786386072802657</v>
      </c>
      <c r="H258" s="2">
        <f t="shared" si="19"/>
        <v>16.773997109289372</v>
      </c>
      <c r="I258" s="2">
        <f t="shared" ref="I258:I321" si="20">(H258*1000)/L258</f>
        <v>4193.499277322343</v>
      </c>
      <c r="J258" s="4">
        <f t="shared" si="17"/>
        <v>11.20434984380705</v>
      </c>
      <c r="K258" s="4">
        <f t="shared" ref="K258:K321" si="21">(J258*1000)/L258</f>
        <v>2801.0874609517623</v>
      </c>
      <c r="L258">
        <v>4</v>
      </c>
    </row>
    <row r="259" spans="1:12" x14ac:dyDescent="0.3">
      <c r="A259" t="s">
        <v>67</v>
      </c>
      <c r="B259" t="s">
        <v>56</v>
      </c>
      <c r="C259" s="4">
        <v>0.39984676499999999</v>
      </c>
      <c r="D259" s="4">
        <v>0.450333333</v>
      </c>
      <c r="E259">
        <v>10</v>
      </c>
      <c r="F259" s="4">
        <v>23.471337579617831</v>
      </c>
      <c r="G259" s="2">
        <f t="shared" si="18"/>
        <v>432.67874458845034</v>
      </c>
      <c r="H259" s="2">
        <f t="shared" si="19"/>
        <v>138.40577235980334</v>
      </c>
      <c r="I259" s="2">
        <f t="shared" si="20"/>
        <v>34601.443089950837</v>
      </c>
      <c r="J259" s="4">
        <f t="shared" ref="J259:J322" si="22">8.9857 + 0.0035 * F259^2 * E259</f>
        <v>28.267329072173311</v>
      </c>
      <c r="K259" s="4">
        <f t="shared" si="21"/>
        <v>7066.8322680433275</v>
      </c>
      <c r="L259">
        <v>4</v>
      </c>
    </row>
    <row r="260" spans="1:12" x14ac:dyDescent="0.3">
      <c r="A260" t="s">
        <v>67</v>
      </c>
      <c r="B260" t="s">
        <v>56</v>
      </c>
      <c r="C260" s="4">
        <v>0.39984676499999999</v>
      </c>
      <c r="D260" s="4">
        <v>0.450333333</v>
      </c>
      <c r="E260">
        <v>9</v>
      </c>
      <c r="F260" s="4">
        <v>20.541401273885349</v>
      </c>
      <c r="G260" s="2">
        <f t="shared" ref="G260:G323" si="23">PI()*(F260/2)^2</f>
        <v>331.39810025500361</v>
      </c>
      <c r="H260" s="2">
        <f t="shared" ref="H260:H323" si="24">0.0673 * ((D260 * F260^2 * E260)^0.976)</f>
        <v>96.262895139142799</v>
      </c>
      <c r="I260" s="2">
        <f t="shared" si="20"/>
        <v>24065.7237847857</v>
      </c>
      <c r="J260" s="4">
        <f t="shared" si="22"/>
        <v>22.277098738285527</v>
      </c>
      <c r="K260" s="4">
        <f t="shared" si="21"/>
        <v>5569.2746845713818</v>
      </c>
      <c r="L260">
        <v>4</v>
      </c>
    </row>
    <row r="261" spans="1:12" x14ac:dyDescent="0.3">
      <c r="A261" t="s">
        <v>67</v>
      </c>
      <c r="B261" t="s">
        <v>56</v>
      </c>
      <c r="C261" s="4">
        <v>0.39984676499999999</v>
      </c>
      <c r="D261" s="4">
        <v>0.450333333</v>
      </c>
      <c r="E261">
        <v>9</v>
      </c>
      <c r="F261" s="4">
        <v>30.796178343949045</v>
      </c>
      <c r="G261" s="2">
        <f t="shared" si="23"/>
        <v>744.87523146289561</v>
      </c>
      <c r="H261" s="2">
        <f t="shared" si="24"/>
        <v>212.20266487211924</v>
      </c>
      <c r="I261" s="2">
        <f t="shared" si="20"/>
        <v>53050.666218029808</v>
      </c>
      <c r="J261" s="4">
        <f t="shared" si="22"/>
        <v>38.860444918657954</v>
      </c>
      <c r="K261" s="4">
        <f t="shared" si="21"/>
        <v>9715.1112296644878</v>
      </c>
      <c r="L261">
        <v>4</v>
      </c>
    </row>
    <row r="262" spans="1:12" x14ac:dyDescent="0.3">
      <c r="A262" t="s">
        <v>67</v>
      </c>
      <c r="B262" t="s">
        <v>56</v>
      </c>
      <c r="C262" s="4">
        <v>0.39984676499999999</v>
      </c>
      <c r="D262" s="4">
        <v>0.450333333</v>
      </c>
      <c r="E262">
        <v>8</v>
      </c>
      <c r="F262" s="4">
        <v>15.063694267515922</v>
      </c>
      <c r="G262" s="2">
        <f t="shared" si="23"/>
        <v>178.21853391491305</v>
      </c>
      <c r="H262" s="2">
        <f t="shared" si="24"/>
        <v>46.838442037875318</v>
      </c>
      <c r="I262" s="2">
        <f t="shared" si="20"/>
        <v>11709.61050946883</v>
      </c>
      <c r="J262" s="4">
        <f t="shared" si="22"/>
        <v>15.339316779585378</v>
      </c>
      <c r="K262" s="4">
        <f t="shared" si="21"/>
        <v>3834.8291948963442</v>
      </c>
      <c r="L262">
        <v>4</v>
      </c>
    </row>
    <row r="263" spans="1:12" x14ac:dyDescent="0.3">
      <c r="A263" t="s">
        <v>67</v>
      </c>
      <c r="B263" t="s">
        <v>56</v>
      </c>
      <c r="C263" s="4">
        <v>0.39984676499999999</v>
      </c>
      <c r="D263" s="4">
        <v>0.450333333</v>
      </c>
      <c r="E263">
        <v>11</v>
      </c>
      <c r="F263" s="4">
        <v>5.4458598726114653</v>
      </c>
      <c r="G263" s="2">
        <f t="shared" si="23"/>
        <v>23.29285944247717</v>
      </c>
      <c r="H263" s="2">
        <f t="shared" si="24"/>
        <v>8.7713276676587171</v>
      </c>
      <c r="I263" s="2">
        <f t="shared" si="20"/>
        <v>2192.8319169146794</v>
      </c>
      <c r="J263" s="4">
        <f t="shared" si="22"/>
        <v>10.127509505456612</v>
      </c>
      <c r="K263" s="4">
        <f t="shared" si="21"/>
        <v>2531.877376364153</v>
      </c>
      <c r="L263">
        <v>4</v>
      </c>
    </row>
    <row r="264" spans="1:12" x14ac:dyDescent="0.3">
      <c r="A264" t="s">
        <v>67</v>
      </c>
      <c r="B264" t="s">
        <v>56</v>
      </c>
      <c r="C264" s="4">
        <v>0.39984676499999999</v>
      </c>
      <c r="D264" s="4">
        <v>0.450333333</v>
      </c>
      <c r="E264">
        <v>7</v>
      </c>
      <c r="F264" s="4">
        <v>16.242038216560509</v>
      </c>
      <c r="G264" s="2">
        <f t="shared" si="23"/>
        <v>207.19102428057556</v>
      </c>
      <c r="H264" s="2">
        <f t="shared" si="24"/>
        <v>47.626683213138655</v>
      </c>
      <c r="I264" s="2">
        <f t="shared" si="20"/>
        <v>11906.670803284664</v>
      </c>
      <c r="J264" s="4">
        <f t="shared" si="22"/>
        <v>15.448893232991196</v>
      </c>
      <c r="K264" s="4">
        <f t="shared" si="21"/>
        <v>3862.2233082477992</v>
      </c>
      <c r="L264">
        <v>4</v>
      </c>
    </row>
    <row r="265" spans="1:12" x14ac:dyDescent="0.3">
      <c r="A265" t="s">
        <v>67</v>
      </c>
      <c r="B265" t="s">
        <v>56</v>
      </c>
      <c r="C265" s="4">
        <v>0.39984676499999999</v>
      </c>
      <c r="D265" s="4">
        <v>0.450333333</v>
      </c>
      <c r="E265">
        <v>7</v>
      </c>
      <c r="F265" s="4">
        <v>48.121019108280251</v>
      </c>
      <c r="G265" s="2">
        <f t="shared" si="23"/>
        <v>1818.6934969107724</v>
      </c>
      <c r="H265" s="2">
        <f t="shared" si="24"/>
        <v>396.82368737497785</v>
      </c>
      <c r="I265" s="2">
        <f t="shared" si="20"/>
        <v>99205.921843744465</v>
      </c>
      <c r="J265" s="4">
        <f t="shared" si="22"/>
        <v>65.718695760477075</v>
      </c>
      <c r="K265" s="4">
        <f t="shared" si="21"/>
        <v>16429.673940119268</v>
      </c>
      <c r="L265">
        <v>4</v>
      </c>
    </row>
    <row r="266" spans="1:12" x14ac:dyDescent="0.3">
      <c r="A266" t="s">
        <v>67</v>
      </c>
      <c r="B266" t="s">
        <v>38</v>
      </c>
      <c r="C266" s="4">
        <v>1082380952</v>
      </c>
      <c r="D266" s="4">
        <v>0.61247410899999999</v>
      </c>
      <c r="E266">
        <v>5</v>
      </c>
      <c r="F266" s="4">
        <v>23.853503184713375</v>
      </c>
      <c r="G266" s="2">
        <f t="shared" si="23"/>
        <v>446.88339797165389</v>
      </c>
      <c r="H266" s="2">
        <f t="shared" si="24"/>
        <v>98.036828312963934</v>
      </c>
      <c r="I266" s="2">
        <f t="shared" si="20"/>
        <v>24509.207078240983</v>
      </c>
      <c r="J266" s="4">
        <f t="shared" si="22"/>
        <v>18.943018248204794</v>
      </c>
      <c r="K266" s="4">
        <f t="shared" si="21"/>
        <v>4735.7545620511983</v>
      </c>
      <c r="L266">
        <v>4</v>
      </c>
    </row>
    <row r="267" spans="1:12" x14ac:dyDescent="0.3">
      <c r="A267" t="s">
        <v>67</v>
      </c>
      <c r="B267" t="s">
        <v>38</v>
      </c>
      <c r="C267" s="4">
        <v>1082380952</v>
      </c>
      <c r="D267" s="4">
        <v>0.61247410899999999</v>
      </c>
      <c r="E267">
        <v>6</v>
      </c>
      <c r="F267" s="4">
        <v>17.802547770700635</v>
      </c>
      <c r="G267" s="2">
        <f t="shared" si="23"/>
        <v>248.91679530264716</v>
      </c>
      <c r="H267" s="2">
        <f t="shared" si="24"/>
        <v>66.165178656769328</v>
      </c>
      <c r="I267" s="2">
        <f t="shared" si="20"/>
        <v>16541.294664192334</v>
      </c>
      <c r="J267" s="4">
        <f t="shared" si="22"/>
        <v>15.641244849689642</v>
      </c>
      <c r="K267" s="4">
        <f t="shared" si="21"/>
        <v>3910.3112124224103</v>
      </c>
      <c r="L267">
        <v>4</v>
      </c>
    </row>
    <row r="268" spans="1:12" x14ac:dyDescent="0.3">
      <c r="A268" t="s">
        <v>67</v>
      </c>
      <c r="B268" t="s">
        <v>57</v>
      </c>
      <c r="C268" s="4">
        <v>0.61</v>
      </c>
      <c r="D268" s="4">
        <v>0.84088888900000003</v>
      </c>
      <c r="E268">
        <v>8</v>
      </c>
      <c r="F268" s="4">
        <v>34.681528662420384</v>
      </c>
      <c r="G268" s="2">
        <f t="shared" si="23"/>
        <v>944.68353212550744</v>
      </c>
      <c r="H268" s="2">
        <f t="shared" si="24"/>
        <v>438.78071050393442</v>
      </c>
      <c r="I268" s="2">
        <f t="shared" si="20"/>
        <v>109695.1776259836</v>
      </c>
      <c r="J268" s="4">
        <f t="shared" si="22"/>
        <v>42.664336050144023</v>
      </c>
      <c r="K268" s="4">
        <f t="shared" si="21"/>
        <v>10666.084012536006</v>
      </c>
      <c r="L268">
        <v>4</v>
      </c>
    </row>
    <row r="269" spans="1:12" x14ac:dyDescent="0.3">
      <c r="A269" t="s">
        <v>67</v>
      </c>
      <c r="B269" t="s">
        <v>22</v>
      </c>
      <c r="C269" s="4">
        <v>0.43836446099999998</v>
      </c>
      <c r="D269" s="4">
        <v>0.58666666700000003</v>
      </c>
      <c r="E269">
        <v>7</v>
      </c>
      <c r="F269" s="4">
        <v>32.484076433121025</v>
      </c>
      <c r="G269" s="2">
        <f t="shared" si="23"/>
        <v>828.76409712230259</v>
      </c>
      <c r="H269" s="2">
        <f t="shared" si="24"/>
        <v>238.54022960203525</v>
      </c>
      <c r="I269" s="2">
        <f t="shared" si="20"/>
        <v>59635.057400508813</v>
      </c>
      <c r="J269" s="4">
        <f t="shared" si="22"/>
        <v>34.838472931964795</v>
      </c>
      <c r="K269" s="4">
        <f t="shared" si="21"/>
        <v>8709.618232991199</v>
      </c>
      <c r="L269">
        <v>4</v>
      </c>
    </row>
    <row r="270" spans="1:12" x14ac:dyDescent="0.3">
      <c r="A270" t="s">
        <v>67</v>
      </c>
      <c r="B270" t="s">
        <v>22</v>
      </c>
      <c r="C270" s="4">
        <v>0.43836446099999998</v>
      </c>
      <c r="D270" s="4">
        <v>0.58666666700000003</v>
      </c>
      <c r="E270">
        <v>6</v>
      </c>
      <c r="F270" s="4">
        <v>22.101910828025478</v>
      </c>
      <c r="G270" s="2">
        <f t="shared" si="23"/>
        <v>383.66265348096618</v>
      </c>
      <c r="H270" s="2">
        <f t="shared" si="24"/>
        <v>96.776011067851513</v>
      </c>
      <c r="I270" s="2">
        <f t="shared" si="20"/>
        <v>24194.00276696288</v>
      </c>
      <c r="J270" s="4">
        <f t="shared" si="22"/>
        <v>19.244083707249786</v>
      </c>
      <c r="K270" s="4">
        <f t="shared" si="21"/>
        <v>4811.0209268124463</v>
      </c>
      <c r="L270">
        <v>4</v>
      </c>
    </row>
    <row r="271" spans="1:12" x14ac:dyDescent="0.3">
      <c r="A271" t="s">
        <v>71</v>
      </c>
      <c r="B271" t="s">
        <v>72</v>
      </c>
      <c r="C271" s="4">
        <v>0.43916666700000001</v>
      </c>
      <c r="D271" s="4">
        <v>0.51877777800000002</v>
      </c>
      <c r="E271">
        <v>6</v>
      </c>
      <c r="F271" s="4">
        <v>10</v>
      </c>
      <c r="G271" s="2">
        <f t="shared" si="23"/>
        <v>78.539816339744831</v>
      </c>
      <c r="H271" s="2">
        <f t="shared" si="24"/>
        <v>18.252085584510233</v>
      </c>
      <c r="I271" s="2">
        <f t="shared" si="20"/>
        <v>2607.4407977871765</v>
      </c>
      <c r="J271" s="4">
        <f t="shared" si="22"/>
        <v>11.085699999999999</v>
      </c>
      <c r="K271" s="4">
        <f t="shared" si="21"/>
        <v>1583.6714285714284</v>
      </c>
      <c r="L271">
        <v>7</v>
      </c>
    </row>
    <row r="272" spans="1:12" x14ac:dyDescent="0.3">
      <c r="A272" t="s">
        <v>71</v>
      </c>
      <c r="B272" t="s">
        <v>60</v>
      </c>
      <c r="C272" s="4">
        <v>0.41</v>
      </c>
      <c r="D272" s="4">
        <v>0.33983503399999998</v>
      </c>
      <c r="E272">
        <v>7</v>
      </c>
      <c r="F272" s="4">
        <v>8.0891719745222925</v>
      </c>
      <c r="G272" s="2">
        <f t="shared" si="23"/>
        <v>51.39229574196699</v>
      </c>
      <c r="H272" s="2">
        <f t="shared" si="24"/>
        <v>9.280624608852154</v>
      </c>
      <c r="I272" s="2">
        <f t="shared" si="20"/>
        <v>1325.8035155503078</v>
      </c>
      <c r="J272" s="4">
        <f t="shared" si="22"/>
        <v>10.588850229218224</v>
      </c>
      <c r="K272" s="4">
        <f t="shared" si="21"/>
        <v>1512.6928898883177</v>
      </c>
      <c r="L272">
        <v>7</v>
      </c>
    </row>
    <row r="273" spans="1:12" x14ac:dyDescent="0.3">
      <c r="A273" t="s">
        <v>71</v>
      </c>
      <c r="B273" t="s">
        <v>53</v>
      </c>
      <c r="C273" s="4">
        <v>0.63206279899999995</v>
      </c>
      <c r="D273" s="4">
        <v>0.75690909100000003</v>
      </c>
      <c r="E273">
        <v>5</v>
      </c>
      <c r="F273" s="4">
        <v>6.1783439490445851</v>
      </c>
      <c r="G273" s="2">
        <f t="shared" si="23"/>
        <v>29.980166819776009</v>
      </c>
      <c r="H273" s="2">
        <f t="shared" si="24"/>
        <v>8.6285687615675997</v>
      </c>
      <c r="I273" s="2">
        <f t="shared" si="20"/>
        <v>1232.6526802239428</v>
      </c>
      <c r="J273" s="4">
        <f t="shared" si="22"/>
        <v>9.6537088441721775</v>
      </c>
      <c r="K273" s="4">
        <f t="shared" si="21"/>
        <v>1379.1012634531683</v>
      </c>
      <c r="L273">
        <v>7</v>
      </c>
    </row>
    <row r="274" spans="1:12" x14ac:dyDescent="0.3">
      <c r="A274" t="s">
        <v>71</v>
      </c>
      <c r="B274" t="s">
        <v>53</v>
      </c>
      <c r="C274" s="4">
        <v>0.63206279899999995</v>
      </c>
      <c r="D274" s="4">
        <v>0.75690909100000003</v>
      </c>
      <c r="E274">
        <v>5.5</v>
      </c>
      <c r="F274" s="4">
        <v>19.076433121019104</v>
      </c>
      <c r="G274" s="2">
        <f t="shared" si="23"/>
        <v>285.81448174892262</v>
      </c>
      <c r="H274" s="2">
        <f t="shared" si="24"/>
        <v>85.523645675365358</v>
      </c>
      <c r="I274" s="2">
        <f t="shared" si="20"/>
        <v>12217.663667909337</v>
      </c>
      <c r="J274" s="4">
        <f t="shared" si="22"/>
        <v>15.990973286948757</v>
      </c>
      <c r="K274" s="4">
        <f t="shared" si="21"/>
        <v>2284.4247552783936</v>
      </c>
      <c r="L274">
        <v>7</v>
      </c>
    </row>
    <row r="275" spans="1:12" x14ac:dyDescent="0.3">
      <c r="A275" t="s">
        <v>71</v>
      </c>
      <c r="B275" t="s">
        <v>53</v>
      </c>
      <c r="C275" s="4">
        <v>0.63206279899999995</v>
      </c>
      <c r="D275" s="4">
        <v>0.75690909100000003</v>
      </c>
      <c r="E275">
        <v>4.5</v>
      </c>
      <c r="F275" s="4">
        <v>4.6178343949044587</v>
      </c>
      <c r="G275" s="2">
        <f t="shared" si="23"/>
        <v>16.748140274890819</v>
      </c>
      <c r="H275" s="2">
        <f t="shared" si="24"/>
        <v>4.4104288173545854</v>
      </c>
      <c r="I275" s="2">
        <f t="shared" si="20"/>
        <v>630.06125962208364</v>
      </c>
      <c r="J275" s="4">
        <f t="shared" si="22"/>
        <v>9.3215592133555116</v>
      </c>
      <c r="K275" s="4">
        <f t="shared" si="21"/>
        <v>1331.6513161936443</v>
      </c>
      <c r="L275">
        <v>7</v>
      </c>
    </row>
    <row r="276" spans="1:12" x14ac:dyDescent="0.3">
      <c r="A276" t="s">
        <v>71</v>
      </c>
      <c r="B276" t="s">
        <v>61</v>
      </c>
      <c r="C276" s="4">
        <v>0.9</v>
      </c>
      <c r="D276" s="4">
        <v>0.61247410899999999</v>
      </c>
      <c r="E276">
        <v>3</v>
      </c>
      <c r="F276" s="4">
        <v>2.6433121019108281</v>
      </c>
      <c r="G276" s="2">
        <f t="shared" si="23"/>
        <v>5.4876546184886017</v>
      </c>
      <c r="H276" s="2">
        <f t="shared" si="24"/>
        <v>0.81267481498658056</v>
      </c>
      <c r="I276" s="2">
        <f t="shared" si="20"/>
        <v>116.09640214094009</v>
      </c>
      <c r="J276" s="4">
        <f t="shared" si="22"/>
        <v>9.0590645381151358</v>
      </c>
      <c r="K276" s="4">
        <f t="shared" si="21"/>
        <v>1294.1520768735907</v>
      </c>
      <c r="L276">
        <v>7</v>
      </c>
    </row>
    <row r="277" spans="1:12" x14ac:dyDescent="0.3">
      <c r="A277" t="s">
        <v>71</v>
      </c>
      <c r="B277" t="s">
        <v>55</v>
      </c>
      <c r="C277" s="4">
        <v>0.52500000000000002</v>
      </c>
      <c r="D277" s="4">
        <v>0.52500000000000002</v>
      </c>
      <c r="E277">
        <v>6</v>
      </c>
      <c r="F277" s="4">
        <v>18.121019108280255</v>
      </c>
      <c r="G277" s="2">
        <f t="shared" si="23"/>
        <v>257.90224226106665</v>
      </c>
      <c r="H277" s="2">
        <f t="shared" si="24"/>
        <v>58.930297787845461</v>
      </c>
      <c r="I277" s="2">
        <f t="shared" si="20"/>
        <v>8418.6139696922091</v>
      </c>
      <c r="J277" s="4">
        <f t="shared" si="22"/>
        <v>15.881498003975821</v>
      </c>
      <c r="K277" s="4">
        <f t="shared" si="21"/>
        <v>2268.7854291394028</v>
      </c>
      <c r="L277">
        <v>7</v>
      </c>
    </row>
    <row r="278" spans="1:12" x14ac:dyDescent="0.3">
      <c r="A278" t="s">
        <v>71</v>
      </c>
      <c r="B278" t="s">
        <v>66</v>
      </c>
      <c r="C278" s="4">
        <v>0.62643652800000005</v>
      </c>
      <c r="D278" s="4">
        <v>0.57808694400000005</v>
      </c>
      <c r="E278">
        <v>6</v>
      </c>
      <c r="F278" s="4">
        <v>26.273885350318469</v>
      </c>
      <c r="G278" s="2">
        <f t="shared" si="23"/>
        <v>542.173744332821</v>
      </c>
      <c r="H278" s="2">
        <f t="shared" si="24"/>
        <v>133.6926230646547</v>
      </c>
      <c r="I278" s="2">
        <f t="shared" si="20"/>
        <v>19098.946152093529</v>
      </c>
      <c r="J278" s="4">
        <f t="shared" si="22"/>
        <v>23.482358079435272</v>
      </c>
      <c r="K278" s="4">
        <f t="shared" si="21"/>
        <v>3354.6225827764674</v>
      </c>
      <c r="L278">
        <v>7</v>
      </c>
    </row>
    <row r="279" spans="1:12" x14ac:dyDescent="0.3">
      <c r="A279" t="s">
        <v>71</v>
      </c>
      <c r="B279" t="s">
        <v>66</v>
      </c>
      <c r="C279" s="4">
        <v>0.62643652800000005</v>
      </c>
      <c r="D279" s="4">
        <v>0.57808694400000005</v>
      </c>
      <c r="E279">
        <v>6.5</v>
      </c>
      <c r="F279" s="4">
        <v>34.522292993630572</v>
      </c>
      <c r="G279" s="2">
        <f t="shared" si="23"/>
        <v>936.02866677061127</v>
      </c>
      <c r="H279" s="2">
        <f t="shared" si="24"/>
        <v>246.31695735435574</v>
      </c>
      <c r="I279" s="2">
        <f t="shared" si="20"/>
        <v>35188.136764907962</v>
      </c>
      <c r="J279" s="4">
        <f t="shared" si="22"/>
        <v>36.098893232991195</v>
      </c>
      <c r="K279" s="4">
        <f t="shared" si="21"/>
        <v>5156.9847475701699</v>
      </c>
      <c r="L279">
        <v>7</v>
      </c>
    </row>
    <row r="280" spans="1:12" x14ac:dyDescent="0.3">
      <c r="A280" t="s">
        <v>71</v>
      </c>
      <c r="B280" t="s">
        <v>66</v>
      </c>
      <c r="C280" s="4">
        <v>0.62643652800000005</v>
      </c>
      <c r="D280" s="4">
        <v>0.57808694400000005</v>
      </c>
      <c r="E280">
        <v>7</v>
      </c>
      <c r="F280" s="4">
        <v>40.636942675159233</v>
      </c>
      <c r="G280" s="2">
        <f t="shared" si="23"/>
        <v>1296.9759828875447</v>
      </c>
      <c r="H280" s="2">
        <f t="shared" si="24"/>
        <v>364.04068240149007</v>
      </c>
      <c r="I280" s="2">
        <f t="shared" si="20"/>
        <v>52005.811771641434</v>
      </c>
      <c r="J280" s="4">
        <f t="shared" si="22"/>
        <v>49.444047194612352</v>
      </c>
      <c r="K280" s="4">
        <f t="shared" si="21"/>
        <v>7063.43531351605</v>
      </c>
      <c r="L280">
        <v>7</v>
      </c>
    </row>
    <row r="281" spans="1:12" x14ac:dyDescent="0.3">
      <c r="A281" t="s">
        <v>71</v>
      </c>
      <c r="B281" t="s">
        <v>66</v>
      </c>
      <c r="C281" s="4">
        <v>0.62643652800000005</v>
      </c>
      <c r="D281" s="4">
        <v>0.57808694400000005</v>
      </c>
      <c r="E281">
        <v>6</v>
      </c>
      <c r="F281" s="4">
        <v>42.834394904458598</v>
      </c>
      <c r="G281" s="2">
        <f t="shared" si="23"/>
        <v>1441.0370730456295</v>
      </c>
      <c r="H281" s="2">
        <f t="shared" si="24"/>
        <v>347.1004971738102</v>
      </c>
      <c r="I281" s="2">
        <f t="shared" si="20"/>
        <v>49585.785310544314</v>
      </c>
      <c r="J281" s="4">
        <f t="shared" si="22"/>
        <v>47.516193123453284</v>
      </c>
      <c r="K281" s="4">
        <f t="shared" si="21"/>
        <v>6788.0275890647545</v>
      </c>
      <c r="L281">
        <v>7</v>
      </c>
    </row>
    <row r="282" spans="1:12" x14ac:dyDescent="0.3">
      <c r="A282" t="s">
        <v>71</v>
      </c>
      <c r="B282" t="s">
        <v>66</v>
      </c>
      <c r="C282" s="4">
        <v>0.62643652800000005</v>
      </c>
      <c r="D282" s="4">
        <v>0.57808694400000005</v>
      </c>
      <c r="E282">
        <v>6</v>
      </c>
      <c r="F282" s="4">
        <v>80.636942675159233</v>
      </c>
      <c r="G282" s="2">
        <f t="shared" si="23"/>
        <v>5106.9074557760587</v>
      </c>
      <c r="H282" s="2">
        <f t="shared" si="24"/>
        <v>1193.3023111059365</v>
      </c>
      <c r="I282" s="2">
        <f t="shared" si="20"/>
        <v>170471.7587294195</v>
      </c>
      <c r="J282" s="4">
        <f t="shared" si="22"/>
        <v>145.53434700393524</v>
      </c>
      <c r="K282" s="4">
        <f t="shared" si="21"/>
        <v>20790.621000562176</v>
      </c>
      <c r="L282">
        <v>7</v>
      </c>
    </row>
    <row r="283" spans="1:12" x14ac:dyDescent="0.3">
      <c r="A283" t="s">
        <v>71</v>
      </c>
      <c r="B283" t="s">
        <v>66</v>
      </c>
      <c r="C283" s="4">
        <v>0.62643652800000005</v>
      </c>
      <c r="D283" s="4">
        <v>0.57808694400000005</v>
      </c>
      <c r="E283">
        <v>5.5</v>
      </c>
      <c r="F283" s="4">
        <v>53.726114649681534</v>
      </c>
      <c r="G283" s="2">
        <f t="shared" si="23"/>
        <v>2267.0481821636504</v>
      </c>
      <c r="H283" s="2">
        <f t="shared" si="24"/>
        <v>496.1766727510751</v>
      </c>
      <c r="I283" s="2">
        <f t="shared" si="20"/>
        <v>70882.381821582167</v>
      </c>
      <c r="J283" s="4">
        <f t="shared" si="22"/>
        <v>64.550736360501446</v>
      </c>
      <c r="K283" s="4">
        <f t="shared" si="21"/>
        <v>9221.5337657859218</v>
      </c>
      <c r="L283">
        <v>7</v>
      </c>
    </row>
    <row r="284" spans="1:12" x14ac:dyDescent="0.3">
      <c r="A284" t="s">
        <v>71</v>
      </c>
      <c r="B284" t="s">
        <v>66</v>
      </c>
      <c r="C284" s="4">
        <v>0.62643652800000005</v>
      </c>
      <c r="D284" s="4">
        <v>0.57808694400000005</v>
      </c>
      <c r="E284">
        <v>6.5</v>
      </c>
      <c r="F284" s="4">
        <v>68.439490445859875</v>
      </c>
      <c r="G284" s="2">
        <f t="shared" si="23"/>
        <v>3678.7766071648539</v>
      </c>
      <c r="H284" s="2">
        <f t="shared" si="24"/>
        <v>936.79083985453963</v>
      </c>
      <c r="I284" s="2">
        <f t="shared" si="20"/>
        <v>133827.26283636279</v>
      </c>
      <c r="J284" s="4">
        <f t="shared" si="22"/>
        <v>115.54587764412349</v>
      </c>
      <c r="K284" s="4">
        <f t="shared" si="21"/>
        <v>16506.553949160498</v>
      </c>
      <c r="L284">
        <v>7</v>
      </c>
    </row>
    <row r="285" spans="1:12" x14ac:dyDescent="0.3">
      <c r="A285" t="s">
        <v>71</v>
      </c>
      <c r="B285" t="s">
        <v>38</v>
      </c>
      <c r="C285" s="4">
        <v>1082380952</v>
      </c>
      <c r="D285" s="4">
        <v>0.61247410899999999</v>
      </c>
      <c r="E285">
        <v>6</v>
      </c>
      <c r="F285" s="4">
        <v>4.6496815286624198</v>
      </c>
      <c r="G285" s="2">
        <f t="shared" si="23"/>
        <v>16.979945688445781</v>
      </c>
      <c r="H285" s="2">
        <f t="shared" si="24"/>
        <v>4.8139149711013225</v>
      </c>
      <c r="I285" s="2">
        <f t="shared" si="20"/>
        <v>687.70213872876036</v>
      </c>
      <c r="J285" s="4">
        <f t="shared" si="22"/>
        <v>9.4397103046776749</v>
      </c>
      <c r="K285" s="4">
        <f t="shared" si="21"/>
        <v>1348.5300435253823</v>
      </c>
      <c r="L285">
        <v>7</v>
      </c>
    </row>
    <row r="286" spans="1:12" x14ac:dyDescent="0.3">
      <c r="A286" t="s">
        <v>71</v>
      </c>
      <c r="B286" t="s">
        <v>73</v>
      </c>
      <c r="C286" s="4">
        <v>0.39</v>
      </c>
      <c r="D286" s="4">
        <v>0.28861111099999998</v>
      </c>
      <c r="E286">
        <v>4.5</v>
      </c>
      <c r="F286" s="4">
        <v>5.2547770700636942</v>
      </c>
      <c r="G286" s="2">
        <f t="shared" si="23"/>
        <v>21.68694977331284</v>
      </c>
      <c r="H286" s="2">
        <f t="shared" si="24"/>
        <v>2.2148177594903453</v>
      </c>
      <c r="I286" s="2">
        <f t="shared" si="20"/>
        <v>316.40253707004933</v>
      </c>
      <c r="J286" s="4">
        <f t="shared" si="22"/>
        <v>9.4205997423830574</v>
      </c>
      <c r="K286" s="4">
        <f t="shared" si="21"/>
        <v>1345.7999631975797</v>
      </c>
      <c r="L286">
        <v>7</v>
      </c>
    </row>
    <row r="287" spans="1:12" x14ac:dyDescent="0.3">
      <c r="A287" t="s">
        <v>71</v>
      </c>
      <c r="B287" t="s">
        <v>22</v>
      </c>
      <c r="C287" s="4">
        <v>0.43836446099999998</v>
      </c>
      <c r="D287" s="4">
        <v>0.58666666700000003</v>
      </c>
      <c r="E287">
        <v>6</v>
      </c>
      <c r="F287" s="4">
        <v>19.777070063694268</v>
      </c>
      <c r="G287" s="2">
        <f t="shared" si="23"/>
        <v>307.1947473840271</v>
      </c>
      <c r="H287" s="2">
        <f t="shared" si="24"/>
        <v>77.902040708479078</v>
      </c>
      <c r="I287" s="2">
        <f t="shared" si="20"/>
        <v>11128.862958354153</v>
      </c>
      <c r="J287" s="4">
        <f t="shared" si="22"/>
        <v>17.199482506389714</v>
      </c>
      <c r="K287" s="4">
        <f t="shared" si="21"/>
        <v>2457.068929484245</v>
      </c>
      <c r="L287">
        <v>7</v>
      </c>
    </row>
    <row r="288" spans="1:12" x14ac:dyDescent="0.3">
      <c r="A288" t="s">
        <v>71</v>
      </c>
      <c r="B288" t="s">
        <v>22</v>
      </c>
      <c r="C288" s="4">
        <v>0.43836446099999998</v>
      </c>
      <c r="D288" s="4">
        <v>0.58666666700000003</v>
      </c>
      <c r="E288">
        <v>5.5</v>
      </c>
      <c r="F288" s="4">
        <v>24.076433121019104</v>
      </c>
      <c r="G288" s="2">
        <f t="shared" si="23"/>
        <v>455.27539120808535</v>
      </c>
      <c r="H288" s="2">
        <f t="shared" si="24"/>
        <v>105.05747060049707</v>
      </c>
      <c r="I288" s="2">
        <f t="shared" si="20"/>
        <v>15008.210085785295</v>
      </c>
      <c r="J288" s="4">
        <f t="shared" si="22"/>
        <v>20.144436662744937</v>
      </c>
      <c r="K288" s="4">
        <f t="shared" si="21"/>
        <v>2877.7766661064197</v>
      </c>
      <c r="L288">
        <v>7</v>
      </c>
    </row>
    <row r="289" spans="1:12" x14ac:dyDescent="0.3">
      <c r="A289" t="s">
        <v>71</v>
      </c>
      <c r="B289" t="s">
        <v>47</v>
      </c>
      <c r="C289" s="4">
        <v>0.40238543599999999</v>
      </c>
      <c r="D289" s="4">
        <v>0.40883333300000002</v>
      </c>
      <c r="E289">
        <v>12</v>
      </c>
      <c r="F289" s="4">
        <v>17.00636942675159</v>
      </c>
      <c r="G289" s="2">
        <f t="shared" si="23"/>
        <v>227.1501873116178</v>
      </c>
      <c r="H289" s="2">
        <f t="shared" si="24"/>
        <v>80.226714562541446</v>
      </c>
      <c r="I289" s="2">
        <f t="shared" si="20"/>
        <v>11460.959223220207</v>
      </c>
      <c r="J289" s="4">
        <f t="shared" si="22"/>
        <v>21.132797245324351</v>
      </c>
      <c r="K289" s="4">
        <f t="shared" si="21"/>
        <v>3018.9710350463361</v>
      </c>
      <c r="L289">
        <v>7</v>
      </c>
    </row>
    <row r="290" spans="1:12" x14ac:dyDescent="0.3">
      <c r="A290" t="s">
        <v>71</v>
      </c>
      <c r="B290" t="s">
        <v>47</v>
      </c>
      <c r="C290" s="4">
        <v>0.40238543599999999</v>
      </c>
      <c r="D290" s="4">
        <v>0.40883333300000002</v>
      </c>
      <c r="E290">
        <v>12</v>
      </c>
      <c r="F290" s="4">
        <v>22.452229299363058</v>
      </c>
      <c r="G290" s="2">
        <f t="shared" si="23"/>
        <v>395.92125660535595</v>
      </c>
      <c r="H290" s="2">
        <f t="shared" si="24"/>
        <v>137.98237948728163</v>
      </c>
      <c r="I290" s="2">
        <f t="shared" si="20"/>
        <v>19711.76849818309</v>
      </c>
      <c r="J290" s="4">
        <f t="shared" si="22"/>
        <v>30.158009221469435</v>
      </c>
      <c r="K290" s="4">
        <f t="shared" si="21"/>
        <v>4308.2870316384906</v>
      </c>
      <c r="L290">
        <v>7</v>
      </c>
    </row>
    <row r="291" spans="1:12" x14ac:dyDescent="0.3">
      <c r="A291" t="s">
        <v>71</v>
      </c>
      <c r="B291" t="s">
        <v>62</v>
      </c>
      <c r="C291" s="4">
        <v>0.693333333</v>
      </c>
      <c r="D291" s="4">
        <v>0.64166666699999997</v>
      </c>
      <c r="E291">
        <v>6</v>
      </c>
      <c r="F291" s="4">
        <v>10.063694267515924</v>
      </c>
      <c r="G291" s="2">
        <f t="shared" si="23"/>
        <v>79.543509882972543</v>
      </c>
      <c r="H291" s="2">
        <f t="shared" si="24"/>
        <v>22.740879066864679</v>
      </c>
      <c r="I291" s="2">
        <f t="shared" si="20"/>
        <v>3248.6970095520969</v>
      </c>
      <c r="J291" s="4">
        <f t="shared" si="22"/>
        <v>11.11253678851069</v>
      </c>
      <c r="K291" s="4">
        <f t="shared" si="21"/>
        <v>1587.505255501527</v>
      </c>
      <c r="L291">
        <v>7</v>
      </c>
    </row>
    <row r="292" spans="1:12" x14ac:dyDescent="0.3">
      <c r="A292" t="s">
        <v>74</v>
      </c>
      <c r="B292" t="s">
        <v>75</v>
      </c>
      <c r="C292" s="4">
        <v>0.86</v>
      </c>
      <c r="D292" s="4">
        <v>0.65666666699999998</v>
      </c>
      <c r="E292">
        <v>7</v>
      </c>
      <c r="F292" s="4">
        <v>42.70700636942675</v>
      </c>
      <c r="G292" s="2">
        <f t="shared" si="23"/>
        <v>1432.4785941341702</v>
      </c>
      <c r="H292" s="2">
        <f t="shared" si="24"/>
        <v>454.2487542423458</v>
      </c>
      <c r="I292" s="2">
        <f t="shared" si="20"/>
        <v>64892.67917747797</v>
      </c>
      <c r="J292" s="4">
        <f t="shared" si="22"/>
        <v>53.670965629437298</v>
      </c>
      <c r="K292" s="4">
        <f t="shared" si="21"/>
        <v>7667.2808042053284</v>
      </c>
      <c r="L292">
        <v>7</v>
      </c>
    </row>
    <row r="293" spans="1:12" x14ac:dyDescent="0.3">
      <c r="A293" t="s">
        <v>74</v>
      </c>
      <c r="B293" t="s">
        <v>75</v>
      </c>
      <c r="C293" s="4">
        <v>0.86</v>
      </c>
      <c r="D293" s="4">
        <v>0.65666666699999998</v>
      </c>
      <c r="E293">
        <v>7</v>
      </c>
      <c r="F293" s="4">
        <v>10.031847133757962</v>
      </c>
      <c r="G293" s="2">
        <f t="shared" si="23"/>
        <v>79.040866529181514</v>
      </c>
      <c r="H293" s="2">
        <f t="shared" si="24"/>
        <v>26.869214574979377</v>
      </c>
      <c r="I293" s="2">
        <f t="shared" si="20"/>
        <v>3838.4592249970542</v>
      </c>
      <c r="J293" s="4">
        <f t="shared" si="22"/>
        <v>11.451329944419651</v>
      </c>
      <c r="K293" s="4">
        <f t="shared" si="21"/>
        <v>1635.9042777742359</v>
      </c>
      <c r="L293">
        <v>7</v>
      </c>
    </row>
    <row r="294" spans="1:12" x14ac:dyDescent="0.3">
      <c r="A294" t="s">
        <v>74</v>
      </c>
      <c r="B294" t="s">
        <v>60</v>
      </c>
      <c r="C294" s="4">
        <v>0.41</v>
      </c>
      <c r="D294" s="4">
        <v>0.33983503399999998</v>
      </c>
      <c r="E294">
        <v>6</v>
      </c>
      <c r="F294" s="4">
        <v>11.082802547770699</v>
      </c>
      <c r="G294" s="2">
        <f t="shared" si="23"/>
        <v>96.469287983371089</v>
      </c>
      <c r="H294" s="2">
        <f t="shared" si="24"/>
        <v>14.762652907610374</v>
      </c>
      <c r="I294" s="2">
        <f t="shared" si="20"/>
        <v>2108.9504153729108</v>
      </c>
      <c r="J294" s="4">
        <f t="shared" si="22"/>
        <v>11.565098758570326</v>
      </c>
      <c r="K294" s="4">
        <f t="shared" si="21"/>
        <v>1652.1569655100466</v>
      </c>
      <c r="L294">
        <v>7</v>
      </c>
    </row>
    <row r="295" spans="1:12" x14ac:dyDescent="0.3">
      <c r="A295" t="s">
        <v>74</v>
      </c>
      <c r="B295" t="s">
        <v>53</v>
      </c>
      <c r="C295" s="4">
        <v>0.63206279899999995</v>
      </c>
      <c r="D295" s="4">
        <v>0.75690909100000003</v>
      </c>
      <c r="E295">
        <v>6</v>
      </c>
      <c r="F295" s="4">
        <v>9.7133757961783438</v>
      </c>
      <c r="G295" s="2">
        <f t="shared" si="23"/>
        <v>74.102057030759482</v>
      </c>
      <c r="H295" s="2">
        <f t="shared" si="24"/>
        <v>24.933541561450205</v>
      </c>
      <c r="I295" s="2">
        <f t="shared" si="20"/>
        <v>3561.934508778601</v>
      </c>
      <c r="J295" s="4">
        <f t="shared" si="22"/>
        <v>10.967043056513448</v>
      </c>
      <c r="K295" s="4">
        <f t="shared" si="21"/>
        <v>1566.7204366447784</v>
      </c>
      <c r="L295">
        <v>7</v>
      </c>
    </row>
    <row r="296" spans="1:12" x14ac:dyDescent="0.3">
      <c r="A296" t="s">
        <v>74</v>
      </c>
      <c r="B296" t="s">
        <v>66</v>
      </c>
      <c r="C296" s="4">
        <v>0.62643652800000005</v>
      </c>
      <c r="D296" s="4">
        <v>0.57808694400000005</v>
      </c>
      <c r="E296">
        <v>7</v>
      </c>
      <c r="F296" s="4">
        <v>24.777070063694271</v>
      </c>
      <c r="G296" s="2">
        <f t="shared" si="23"/>
        <v>482.1584465230448</v>
      </c>
      <c r="H296" s="2">
        <f t="shared" si="24"/>
        <v>138.58670739076314</v>
      </c>
      <c r="I296" s="2">
        <f t="shared" si="20"/>
        <v>19798.101055823303</v>
      </c>
      <c r="J296" s="4">
        <f t="shared" si="22"/>
        <v>24.026328423059766</v>
      </c>
      <c r="K296" s="4">
        <f t="shared" si="21"/>
        <v>3432.3326318656809</v>
      </c>
      <c r="L296">
        <v>7</v>
      </c>
    </row>
    <row r="297" spans="1:12" x14ac:dyDescent="0.3">
      <c r="A297" t="s">
        <v>74</v>
      </c>
      <c r="B297" t="s">
        <v>66</v>
      </c>
      <c r="C297" s="4">
        <v>0.62643652800000005</v>
      </c>
      <c r="D297" s="4">
        <v>0.57808694400000005</v>
      </c>
      <c r="E297">
        <v>7.5</v>
      </c>
      <c r="F297" s="4">
        <v>37.356687898089163</v>
      </c>
      <c r="G297" s="2">
        <f t="shared" si="23"/>
        <v>1096.0405184442443</v>
      </c>
      <c r="H297" s="2">
        <f t="shared" si="24"/>
        <v>330.40242718835867</v>
      </c>
      <c r="I297" s="2">
        <f t="shared" si="20"/>
        <v>47200.346741194095</v>
      </c>
      <c r="J297" s="4">
        <f t="shared" si="22"/>
        <v>45.618155931275084</v>
      </c>
      <c r="K297" s="4">
        <f t="shared" si="21"/>
        <v>6516.8794187535832</v>
      </c>
      <c r="L297">
        <v>7</v>
      </c>
    </row>
    <row r="298" spans="1:12" x14ac:dyDescent="0.3">
      <c r="A298" t="s">
        <v>74</v>
      </c>
      <c r="B298" t="s">
        <v>66</v>
      </c>
      <c r="C298" s="4">
        <v>0.62643652800000005</v>
      </c>
      <c r="D298" s="4">
        <v>0.57808694400000005</v>
      </c>
      <c r="E298">
        <v>7</v>
      </c>
      <c r="F298" s="4">
        <v>38.566878980891715</v>
      </c>
      <c r="G298" s="2">
        <f t="shared" si="23"/>
        <v>1168.204491037962</v>
      </c>
      <c r="H298" s="2">
        <f t="shared" si="24"/>
        <v>328.72048635120245</v>
      </c>
      <c r="I298" s="2">
        <f t="shared" si="20"/>
        <v>46960.069478743208</v>
      </c>
      <c r="J298" s="4">
        <f t="shared" si="22"/>
        <v>45.427101781005305</v>
      </c>
      <c r="K298" s="4">
        <f t="shared" si="21"/>
        <v>6489.5859687150432</v>
      </c>
      <c r="L298">
        <v>7</v>
      </c>
    </row>
    <row r="299" spans="1:12" x14ac:dyDescent="0.3">
      <c r="A299" t="s">
        <v>74</v>
      </c>
      <c r="B299" t="s">
        <v>56</v>
      </c>
      <c r="C299" s="4">
        <v>0.39984676499999999</v>
      </c>
      <c r="D299" s="4">
        <v>0.450333333</v>
      </c>
      <c r="E299">
        <v>9</v>
      </c>
      <c r="F299" s="4">
        <v>26.815286624203821</v>
      </c>
      <c r="G299" s="2">
        <f t="shared" si="23"/>
        <v>564.74808665149556</v>
      </c>
      <c r="H299" s="2">
        <f t="shared" si="24"/>
        <v>161.95992192190616</v>
      </c>
      <c r="I299" s="2">
        <f t="shared" si="20"/>
        <v>23137.131703129449</v>
      </c>
      <c r="J299" s="4">
        <f t="shared" si="22"/>
        <v>31.636077297253436</v>
      </c>
      <c r="K299" s="4">
        <f t="shared" si="21"/>
        <v>4519.439613893348</v>
      </c>
      <c r="L299">
        <v>7</v>
      </c>
    </row>
    <row r="300" spans="1:12" x14ac:dyDescent="0.3">
      <c r="A300" t="s">
        <v>74</v>
      </c>
      <c r="B300" t="s">
        <v>38</v>
      </c>
      <c r="C300" s="4">
        <v>1082380952</v>
      </c>
      <c r="D300" s="4">
        <v>0.61247410899999999</v>
      </c>
      <c r="E300">
        <v>5</v>
      </c>
      <c r="F300" s="4">
        <v>5.1273885350318471</v>
      </c>
      <c r="G300" s="2">
        <f t="shared" si="23"/>
        <v>20.648206614289887</v>
      </c>
      <c r="H300" s="2">
        <f t="shared" si="24"/>
        <v>4.8766866876081263</v>
      </c>
      <c r="I300" s="2">
        <f t="shared" si="20"/>
        <v>696.66952680116094</v>
      </c>
      <c r="J300" s="4">
        <f t="shared" si="22"/>
        <v>9.4457769808105798</v>
      </c>
      <c r="K300" s="4">
        <f t="shared" si="21"/>
        <v>1349.3967115443686</v>
      </c>
      <c r="L300">
        <v>7</v>
      </c>
    </row>
    <row r="301" spans="1:12" x14ac:dyDescent="0.3">
      <c r="A301" t="s">
        <v>74</v>
      </c>
      <c r="B301" t="s">
        <v>57</v>
      </c>
      <c r="C301" s="4">
        <v>0.61</v>
      </c>
      <c r="D301" s="4">
        <v>0.84088888900000003</v>
      </c>
      <c r="E301">
        <v>6</v>
      </c>
      <c r="F301" s="4">
        <v>3.8853503184713372</v>
      </c>
      <c r="G301" s="2">
        <f t="shared" si="23"/>
        <v>11.856329124921515</v>
      </c>
      <c r="H301" s="2">
        <f t="shared" si="24"/>
        <v>4.6195884656285742</v>
      </c>
      <c r="I301" s="2">
        <f t="shared" si="20"/>
        <v>659.94120937551065</v>
      </c>
      <c r="J301" s="4">
        <f t="shared" si="22"/>
        <v>9.3027148890421518</v>
      </c>
      <c r="K301" s="4">
        <f t="shared" si="21"/>
        <v>1328.9592698631645</v>
      </c>
      <c r="L301">
        <v>7</v>
      </c>
    </row>
    <row r="302" spans="1:12" x14ac:dyDescent="0.3">
      <c r="A302" t="s">
        <v>74</v>
      </c>
      <c r="B302" t="s">
        <v>57</v>
      </c>
      <c r="C302" s="4">
        <v>0.61</v>
      </c>
      <c r="D302" s="4">
        <v>0.84088888900000003</v>
      </c>
      <c r="E302">
        <v>5</v>
      </c>
      <c r="F302" s="4">
        <v>12.770700636942674</v>
      </c>
      <c r="G302" s="2">
        <f t="shared" si="23"/>
        <v>128.09121067028386</v>
      </c>
      <c r="H302" s="2">
        <f t="shared" si="24"/>
        <v>39.453525586368677</v>
      </c>
      <c r="I302" s="2">
        <f t="shared" si="20"/>
        <v>5636.2179409098107</v>
      </c>
      <c r="J302" s="4">
        <f t="shared" si="22"/>
        <v>11.839788908272141</v>
      </c>
      <c r="K302" s="4">
        <f t="shared" si="21"/>
        <v>1691.3984154674488</v>
      </c>
      <c r="L302">
        <v>7</v>
      </c>
    </row>
    <row r="303" spans="1:12" x14ac:dyDescent="0.3">
      <c r="A303" t="s">
        <v>74</v>
      </c>
      <c r="B303" t="s">
        <v>57</v>
      </c>
      <c r="C303" s="4">
        <v>0.61</v>
      </c>
      <c r="D303" s="4">
        <v>0.84088888900000003</v>
      </c>
      <c r="E303">
        <v>8</v>
      </c>
      <c r="F303" s="4">
        <v>29.617834394904456</v>
      </c>
      <c r="G303" s="2">
        <f t="shared" si="23"/>
        <v>688.96392502987237</v>
      </c>
      <c r="H303" s="2">
        <f t="shared" si="24"/>
        <v>322.43918988988503</v>
      </c>
      <c r="I303" s="2">
        <f t="shared" si="20"/>
        <v>46062.741412840718</v>
      </c>
      <c r="J303" s="4">
        <f t="shared" si="22"/>
        <v>33.547751198831591</v>
      </c>
      <c r="K303" s="4">
        <f t="shared" si="21"/>
        <v>4792.5358855473696</v>
      </c>
      <c r="L303">
        <v>7</v>
      </c>
    </row>
    <row r="304" spans="1:12" x14ac:dyDescent="0.3">
      <c r="A304" t="s">
        <v>74</v>
      </c>
      <c r="B304" t="s">
        <v>22</v>
      </c>
      <c r="C304" s="4">
        <v>0.43836446099999998</v>
      </c>
      <c r="D304" s="4">
        <v>0.58666666700000003</v>
      </c>
      <c r="E304">
        <v>5</v>
      </c>
      <c r="F304" s="4">
        <v>10.668789808917197</v>
      </c>
      <c r="G304" s="2">
        <f t="shared" si="23"/>
        <v>89.396434832324445</v>
      </c>
      <c r="H304" s="2">
        <f t="shared" si="24"/>
        <v>19.545221574333535</v>
      </c>
      <c r="I304" s="2">
        <f t="shared" si="20"/>
        <v>2792.1745106190765</v>
      </c>
      <c r="J304" s="4">
        <f t="shared" si="22"/>
        <v>10.97760382976997</v>
      </c>
      <c r="K304" s="4">
        <f t="shared" si="21"/>
        <v>1568.2291185385673</v>
      </c>
      <c r="L304">
        <v>7</v>
      </c>
    </row>
    <row r="305" spans="1:12" x14ac:dyDescent="0.3">
      <c r="A305" t="s">
        <v>74</v>
      </c>
      <c r="B305" t="s">
        <v>22</v>
      </c>
      <c r="C305" s="4">
        <v>0.43836446099999998</v>
      </c>
      <c r="D305" s="4">
        <v>0.58666666700000003</v>
      </c>
      <c r="E305">
        <v>6.5</v>
      </c>
      <c r="F305" s="4">
        <v>16.050955414012737</v>
      </c>
      <c r="G305" s="2">
        <f t="shared" si="23"/>
        <v>202.34461831470463</v>
      </c>
      <c r="H305" s="2">
        <f t="shared" si="24"/>
        <v>56.041048720505763</v>
      </c>
      <c r="I305" s="2">
        <f t="shared" si="20"/>
        <v>8005.8641029293949</v>
      </c>
      <c r="J305" s="4">
        <f t="shared" si="22"/>
        <v>14.846854610734713</v>
      </c>
      <c r="K305" s="4">
        <f t="shared" si="21"/>
        <v>2120.9792301049592</v>
      </c>
      <c r="L305">
        <v>7</v>
      </c>
    </row>
    <row r="306" spans="1:12" x14ac:dyDescent="0.3">
      <c r="A306" t="s">
        <v>74</v>
      </c>
      <c r="B306" t="s">
        <v>47</v>
      </c>
      <c r="C306" s="4">
        <v>0.40238543599999999</v>
      </c>
      <c r="D306" s="4">
        <v>0.40883333300000002</v>
      </c>
      <c r="E306">
        <v>11</v>
      </c>
      <c r="F306" s="4">
        <v>28.726114649681527</v>
      </c>
      <c r="G306" s="2">
        <f t="shared" si="23"/>
        <v>648.10244567002451</v>
      </c>
      <c r="H306" s="2">
        <f t="shared" si="24"/>
        <v>205.04066396263306</v>
      </c>
      <c r="I306" s="2">
        <f t="shared" si="20"/>
        <v>29291.523423233295</v>
      </c>
      <c r="J306" s="4">
        <f t="shared" si="22"/>
        <v>40.755502020365931</v>
      </c>
      <c r="K306" s="4">
        <f t="shared" si="21"/>
        <v>5822.2145743379897</v>
      </c>
      <c r="L306">
        <v>7</v>
      </c>
    </row>
    <row r="307" spans="1:12" x14ac:dyDescent="0.3">
      <c r="A307" t="s">
        <v>74</v>
      </c>
      <c r="B307" t="s">
        <v>49</v>
      </c>
      <c r="C307" s="4">
        <v>0.57917600000000002</v>
      </c>
      <c r="D307" s="4">
        <v>0.60285714300000004</v>
      </c>
      <c r="E307">
        <v>8</v>
      </c>
      <c r="F307" s="4">
        <v>58.121019108280251</v>
      </c>
      <c r="G307" s="2">
        <f t="shared" si="23"/>
        <v>2653.1165138196538</v>
      </c>
      <c r="H307" s="2">
        <f t="shared" si="24"/>
        <v>868.75757335503636</v>
      </c>
      <c r="I307" s="2">
        <f t="shared" si="20"/>
        <v>124108.22476500519</v>
      </c>
      <c r="J307" s="4">
        <f t="shared" si="22"/>
        <v>103.57118014118218</v>
      </c>
      <c r="K307" s="4">
        <f t="shared" si="21"/>
        <v>14795.88287731174</v>
      </c>
      <c r="L307">
        <v>7</v>
      </c>
    </row>
    <row r="308" spans="1:12" x14ac:dyDescent="0.3">
      <c r="A308" t="s">
        <v>76</v>
      </c>
      <c r="B308" t="s">
        <v>26</v>
      </c>
      <c r="C308" s="4">
        <v>0.80908761900000004</v>
      </c>
      <c r="D308" s="4">
        <v>0.87473809499999999</v>
      </c>
      <c r="E308">
        <v>12</v>
      </c>
      <c r="F308" s="4">
        <v>25.668789808917193</v>
      </c>
      <c r="G308" s="2">
        <f t="shared" si="23"/>
        <v>517.48845924465957</v>
      </c>
      <c r="H308" s="2">
        <f t="shared" si="24"/>
        <v>376.46816442120826</v>
      </c>
      <c r="I308" s="2">
        <f t="shared" si="20"/>
        <v>53781.166345886893</v>
      </c>
      <c r="J308" s="4">
        <f t="shared" si="22"/>
        <v>36.658944350683591</v>
      </c>
      <c r="K308" s="4">
        <f t="shared" si="21"/>
        <v>5236.9920500976559</v>
      </c>
      <c r="L308">
        <v>7</v>
      </c>
    </row>
    <row r="309" spans="1:12" x14ac:dyDescent="0.3">
      <c r="A309" t="s">
        <v>76</v>
      </c>
      <c r="B309" t="s">
        <v>26</v>
      </c>
      <c r="C309" s="4">
        <v>0.80908761900000004</v>
      </c>
      <c r="D309" s="4">
        <v>0.87473809499999999</v>
      </c>
      <c r="E309">
        <v>12</v>
      </c>
      <c r="F309" s="4">
        <v>26.815286624203821</v>
      </c>
      <c r="G309" s="2">
        <f t="shared" si="23"/>
        <v>564.74808665149556</v>
      </c>
      <c r="H309" s="2">
        <f t="shared" si="24"/>
        <v>409.9882945622951</v>
      </c>
      <c r="I309" s="2">
        <f t="shared" si="20"/>
        <v>58569.756366042151</v>
      </c>
      <c r="J309" s="4">
        <f t="shared" si="22"/>
        <v>39.186203063004584</v>
      </c>
      <c r="K309" s="4">
        <f t="shared" si="21"/>
        <v>5598.0290090006547</v>
      </c>
      <c r="L309">
        <v>7</v>
      </c>
    </row>
    <row r="310" spans="1:12" x14ac:dyDescent="0.3">
      <c r="A310" t="s">
        <v>76</v>
      </c>
      <c r="B310" t="s">
        <v>69</v>
      </c>
      <c r="C310" s="4">
        <v>0.31264018999999998</v>
      </c>
      <c r="D310" s="4">
        <v>0.356821212</v>
      </c>
      <c r="E310">
        <v>6</v>
      </c>
      <c r="F310" s="4">
        <v>13.789808917197451</v>
      </c>
      <c r="G310" s="2">
        <f t="shared" si="23"/>
        <v>149.35039581445918</v>
      </c>
      <c r="H310" s="2">
        <f t="shared" si="24"/>
        <v>23.719210719032588</v>
      </c>
      <c r="I310" s="2">
        <f t="shared" si="20"/>
        <v>3388.4586741475127</v>
      </c>
      <c r="J310" s="4">
        <f t="shared" si="22"/>
        <v>12.979035429429185</v>
      </c>
      <c r="K310" s="4">
        <f t="shared" si="21"/>
        <v>1854.1479184898835</v>
      </c>
      <c r="L310">
        <v>7</v>
      </c>
    </row>
    <row r="311" spans="1:12" x14ac:dyDescent="0.3">
      <c r="A311" t="s">
        <v>76</v>
      </c>
      <c r="B311" t="s">
        <v>69</v>
      </c>
      <c r="C311" s="4">
        <v>0.31264018999999998</v>
      </c>
      <c r="D311" s="4">
        <v>0.356821212</v>
      </c>
      <c r="E311">
        <v>5</v>
      </c>
      <c r="F311" s="4">
        <v>7.7388535031847132</v>
      </c>
      <c r="G311" s="2">
        <f t="shared" si="23"/>
        <v>47.037380979406791</v>
      </c>
      <c r="H311" s="2">
        <f t="shared" si="24"/>
        <v>6.428333645612148</v>
      </c>
      <c r="I311" s="2">
        <f t="shared" si="20"/>
        <v>918.3333779445926</v>
      </c>
      <c r="J311" s="4">
        <f t="shared" si="22"/>
        <v>10.033772437015699</v>
      </c>
      <c r="K311" s="4">
        <f t="shared" si="21"/>
        <v>1433.3960624308143</v>
      </c>
      <c r="L311">
        <v>7</v>
      </c>
    </row>
    <row r="312" spans="1:12" x14ac:dyDescent="0.3">
      <c r="A312" t="s">
        <v>76</v>
      </c>
      <c r="B312" t="s">
        <v>69</v>
      </c>
      <c r="C312" s="4">
        <v>0.31264018999999998</v>
      </c>
      <c r="D312" s="4">
        <v>0.356821212</v>
      </c>
      <c r="E312">
        <v>4.5</v>
      </c>
      <c r="F312" s="4">
        <v>7.388535031847133</v>
      </c>
      <c r="G312" s="2">
        <f t="shared" si="23"/>
        <v>42.875239103720482</v>
      </c>
      <c r="H312" s="2">
        <f t="shared" si="24"/>
        <v>5.2986861859257255</v>
      </c>
      <c r="I312" s="2">
        <f t="shared" si="20"/>
        <v>756.95516941796075</v>
      </c>
      <c r="J312" s="4">
        <f t="shared" si="22"/>
        <v>9.8454995861901082</v>
      </c>
      <c r="K312" s="4">
        <f t="shared" si="21"/>
        <v>1406.4999408843012</v>
      </c>
      <c r="L312">
        <v>7</v>
      </c>
    </row>
    <row r="313" spans="1:12" x14ac:dyDescent="0.3">
      <c r="A313" t="s">
        <v>76</v>
      </c>
      <c r="B313" t="s">
        <v>55</v>
      </c>
      <c r="C313" s="4">
        <v>0.52500000000000002</v>
      </c>
      <c r="D313" s="4">
        <v>0.52500000000000002</v>
      </c>
      <c r="E313">
        <v>6</v>
      </c>
      <c r="F313" s="4">
        <v>6.5286624203821653</v>
      </c>
      <c r="G313" s="2">
        <f t="shared" si="23"/>
        <v>33.476365995352509</v>
      </c>
      <c r="H313" s="2">
        <f t="shared" si="24"/>
        <v>8.0334672671401179</v>
      </c>
      <c r="I313" s="2">
        <f t="shared" si="20"/>
        <v>1147.6381810200169</v>
      </c>
      <c r="J313" s="4">
        <f t="shared" si="22"/>
        <v>9.8807920929855158</v>
      </c>
      <c r="K313" s="4">
        <f t="shared" si="21"/>
        <v>1411.5417275693594</v>
      </c>
      <c r="L313">
        <v>7</v>
      </c>
    </row>
    <row r="314" spans="1:12" x14ac:dyDescent="0.3">
      <c r="A314" t="s">
        <v>76</v>
      </c>
      <c r="B314" t="s">
        <v>55</v>
      </c>
      <c r="C314" s="4">
        <v>0.52500000000000002</v>
      </c>
      <c r="D314" s="4">
        <v>0.52500000000000002</v>
      </c>
      <c r="E314">
        <v>8</v>
      </c>
      <c r="F314" s="4">
        <v>15.796178343949045</v>
      </c>
      <c r="G314" s="2">
        <f t="shared" si="23"/>
        <v>195.97196089738594</v>
      </c>
      <c r="H314" s="2">
        <f t="shared" si="24"/>
        <v>59.687024776492926</v>
      </c>
      <c r="I314" s="2">
        <f t="shared" si="20"/>
        <v>8526.7178252132744</v>
      </c>
      <c r="J314" s="4">
        <f t="shared" si="22"/>
        <v>15.972239007667653</v>
      </c>
      <c r="K314" s="4">
        <f t="shared" si="21"/>
        <v>2281.7484296668076</v>
      </c>
      <c r="L314">
        <v>7</v>
      </c>
    </row>
    <row r="315" spans="1:12" x14ac:dyDescent="0.3">
      <c r="A315" t="s">
        <v>76</v>
      </c>
      <c r="B315" t="s">
        <v>55</v>
      </c>
      <c r="C315" s="4">
        <v>0.52500000000000002</v>
      </c>
      <c r="D315" s="4">
        <v>0.52500000000000002</v>
      </c>
      <c r="E315">
        <v>10</v>
      </c>
      <c r="F315" s="4">
        <v>37.802547770700635</v>
      </c>
      <c r="G315" s="2">
        <f t="shared" si="23"/>
        <v>1122.359593577771</v>
      </c>
      <c r="H315" s="2">
        <f t="shared" si="24"/>
        <v>407.57888295186126</v>
      </c>
      <c r="I315" s="2">
        <f t="shared" si="20"/>
        <v>58225.554707408752</v>
      </c>
      <c r="J315" s="4">
        <f t="shared" si="22"/>
        <v>59.001841628463623</v>
      </c>
      <c r="K315" s="4">
        <f t="shared" si="21"/>
        <v>8428.8345183519468</v>
      </c>
      <c r="L315">
        <v>7</v>
      </c>
    </row>
    <row r="316" spans="1:12" x14ac:dyDescent="0.3">
      <c r="A316" t="s">
        <v>76</v>
      </c>
      <c r="B316" t="s">
        <v>55</v>
      </c>
      <c r="C316" s="4">
        <v>0.52500000000000002</v>
      </c>
      <c r="D316" s="4">
        <v>0.52500000000000002</v>
      </c>
      <c r="E316">
        <v>6.5</v>
      </c>
      <c r="F316" s="4">
        <v>8.7261146496815272</v>
      </c>
      <c r="G316" s="2">
        <f t="shared" si="23"/>
        <v>59.804203532827714</v>
      </c>
      <c r="H316" s="2">
        <f t="shared" si="24"/>
        <v>15.302993931128864</v>
      </c>
      <c r="I316" s="2">
        <f t="shared" si="20"/>
        <v>2186.1419901612662</v>
      </c>
      <c r="J316" s="4">
        <f t="shared" si="22"/>
        <v>10.718000499006044</v>
      </c>
      <c r="K316" s="4">
        <f t="shared" si="21"/>
        <v>1531.142928429435</v>
      </c>
      <c r="L316">
        <v>7</v>
      </c>
    </row>
    <row r="317" spans="1:12" x14ac:dyDescent="0.3">
      <c r="A317" t="s">
        <v>76</v>
      </c>
      <c r="B317" t="s">
        <v>55</v>
      </c>
      <c r="C317" s="4">
        <v>0.52500000000000002</v>
      </c>
      <c r="D317" s="4">
        <v>0.52500000000000002</v>
      </c>
      <c r="E317">
        <v>5</v>
      </c>
      <c r="F317" s="4">
        <v>8.7579617834394909</v>
      </c>
      <c r="G317" s="2">
        <f t="shared" si="23"/>
        <v>60.241527148091237</v>
      </c>
      <c r="H317" s="2">
        <f t="shared" si="24"/>
        <v>11.930427719329533</v>
      </c>
      <c r="I317" s="2">
        <f t="shared" si="20"/>
        <v>1704.3468170470762</v>
      </c>
      <c r="J317" s="4">
        <f t="shared" si="22"/>
        <v>10.327983155503265</v>
      </c>
      <c r="K317" s="4">
        <f t="shared" si="21"/>
        <v>1475.426165071895</v>
      </c>
      <c r="L317">
        <v>7</v>
      </c>
    </row>
    <row r="318" spans="1:12" x14ac:dyDescent="0.3">
      <c r="A318" t="s">
        <v>76</v>
      </c>
      <c r="B318" t="s">
        <v>56</v>
      </c>
      <c r="C318" s="4">
        <v>0.39984676499999999</v>
      </c>
      <c r="D318" s="4">
        <v>0.450333333</v>
      </c>
      <c r="E318">
        <v>7</v>
      </c>
      <c r="F318" s="4">
        <v>18.375796178343951</v>
      </c>
      <c r="G318" s="2">
        <f t="shared" si="23"/>
        <v>265.20530766131395</v>
      </c>
      <c r="H318" s="2">
        <f t="shared" si="24"/>
        <v>60.602221056554534</v>
      </c>
      <c r="I318" s="2">
        <f t="shared" si="20"/>
        <v>8657.460150936362</v>
      </c>
      <c r="J318" s="4">
        <f t="shared" si="22"/>
        <v>17.258612187106984</v>
      </c>
      <c r="K318" s="4">
        <f t="shared" si="21"/>
        <v>2465.5160267295691</v>
      </c>
      <c r="L318">
        <v>7</v>
      </c>
    </row>
    <row r="319" spans="1:12" x14ac:dyDescent="0.3">
      <c r="A319" t="s">
        <v>76</v>
      </c>
      <c r="B319" t="s">
        <v>56</v>
      </c>
      <c r="C319" s="4">
        <v>0.39984676499999999</v>
      </c>
      <c r="D319" s="4">
        <v>0.450333333</v>
      </c>
      <c r="E319">
        <v>7</v>
      </c>
      <c r="F319" s="4">
        <v>16.273885350318473</v>
      </c>
      <c r="G319" s="2">
        <f t="shared" si="23"/>
        <v>208.00433468346091</v>
      </c>
      <c r="H319" s="2">
        <f t="shared" si="24"/>
        <v>47.809142139369754</v>
      </c>
      <c r="I319" s="2">
        <f t="shared" si="20"/>
        <v>6829.877448481393</v>
      </c>
      <c r="J319" s="4">
        <f t="shared" si="22"/>
        <v>15.4742639376851</v>
      </c>
      <c r="K319" s="4">
        <f t="shared" si="21"/>
        <v>2210.6091339550144</v>
      </c>
      <c r="L319">
        <v>7</v>
      </c>
    </row>
    <row r="320" spans="1:12" x14ac:dyDescent="0.3">
      <c r="A320" t="s">
        <v>76</v>
      </c>
      <c r="B320" t="s">
        <v>22</v>
      </c>
      <c r="C320" s="4">
        <v>0.43836446099999998</v>
      </c>
      <c r="D320" s="4">
        <v>0.58666666700000003</v>
      </c>
      <c r="E320">
        <v>6</v>
      </c>
      <c r="F320" s="4">
        <v>11.273885350318473</v>
      </c>
      <c r="G320" s="2">
        <f t="shared" si="23"/>
        <v>99.824492113589457</v>
      </c>
      <c r="H320" s="2">
        <f t="shared" si="24"/>
        <v>26.006888664178685</v>
      </c>
      <c r="I320" s="2">
        <f t="shared" si="20"/>
        <v>3715.2698091683837</v>
      </c>
      <c r="J320" s="4">
        <f t="shared" si="22"/>
        <v>11.654810308734636</v>
      </c>
      <c r="K320" s="4">
        <f t="shared" si="21"/>
        <v>1664.9729012478051</v>
      </c>
      <c r="L320">
        <v>7</v>
      </c>
    </row>
    <row r="321" spans="1:12" x14ac:dyDescent="0.3">
      <c r="A321" t="s">
        <v>76</v>
      </c>
      <c r="B321" t="s">
        <v>22</v>
      </c>
      <c r="C321" s="4">
        <v>0.43836446099999998</v>
      </c>
      <c r="D321" s="4">
        <v>0.58666666700000003</v>
      </c>
      <c r="E321">
        <v>5.5</v>
      </c>
      <c r="F321" s="4">
        <v>10.668789808917197</v>
      </c>
      <c r="G321" s="2">
        <f t="shared" si="23"/>
        <v>89.396434832324445</v>
      </c>
      <c r="H321" s="2">
        <f t="shared" si="24"/>
        <v>21.450620469969529</v>
      </c>
      <c r="I321" s="2">
        <f t="shared" si="20"/>
        <v>3064.3743528527898</v>
      </c>
      <c r="J321" s="4">
        <f t="shared" si="22"/>
        <v>11.176794212746966</v>
      </c>
      <c r="K321" s="4">
        <f t="shared" si="21"/>
        <v>1596.6848875352807</v>
      </c>
      <c r="L321">
        <v>7</v>
      </c>
    </row>
    <row r="322" spans="1:12" x14ac:dyDescent="0.3">
      <c r="A322" t="s">
        <v>77</v>
      </c>
      <c r="B322" t="s">
        <v>69</v>
      </c>
      <c r="C322" s="4">
        <v>0.31264018999999998</v>
      </c>
      <c r="D322" s="4">
        <v>0.356821212</v>
      </c>
      <c r="E322">
        <v>3</v>
      </c>
      <c r="F322" s="4">
        <v>6.8471337579617835</v>
      </c>
      <c r="G322" s="2">
        <f t="shared" si="23"/>
        <v>36.822011139444854</v>
      </c>
      <c r="H322" s="2">
        <f t="shared" si="24"/>
        <v>3.0746129895454435</v>
      </c>
      <c r="I322" s="2">
        <f t="shared" ref="I322:I385" si="25">(H322*1000)/L322</f>
        <v>439.23042707792047</v>
      </c>
      <c r="J322" s="4">
        <f t="shared" si="22"/>
        <v>9.4779740273439081</v>
      </c>
      <c r="K322" s="4">
        <f t="shared" ref="K322:K385" si="26">(J322*1000)/L322</f>
        <v>1353.9962896205582</v>
      </c>
      <c r="L322">
        <v>7</v>
      </c>
    </row>
    <row r="323" spans="1:12" x14ac:dyDescent="0.3">
      <c r="A323" t="s">
        <v>77</v>
      </c>
      <c r="B323" t="s">
        <v>69</v>
      </c>
      <c r="C323" s="4">
        <v>0.31264018999999998</v>
      </c>
      <c r="D323" s="4">
        <v>0.356821212</v>
      </c>
      <c r="E323">
        <v>4.5</v>
      </c>
      <c r="F323" s="4">
        <v>8.4713375796178347</v>
      </c>
      <c r="G323" s="2">
        <f t="shared" si="23"/>
        <v>56.362968527475616</v>
      </c>
      <c r="H323" s="2">
        <f t="shared" si="24"/>
        <v>6.9199763059612165</v>
      </c>
      <c r="I323" s="2">
        <f t="shared" si="25"/>
        <v>988.56804370874522</v>
      </c>
      <c r="J323" s="4">
        <f t="shared" ref="J323:J386" si="27">8.9857 + 0.0035 * F323^2 * E323</f>
        <v>10.115976076108565</v>
      </c>
      <c r="K323" s="4">
        <f t="shared" si="26"/>
        <v>1445.1394394440808</v>
      </c>
      <c r="L323">
        <v>7</v>
      </c>
    </row>
    <row r="324" spans="1:12" x14ac:dyDescent="0.3">
      <c r="A324" t="s">
        <v>77</v>
      </c>
      <c r="B324" t="s">
        <v>69</v>
      </c>
      <c r="C324" s="4">
        <v>0.31264018999999998</v>
      </c>
      <c r="D324" s="4">
        <v>0.356821212</v>
      </c>
      <c r="E324">
        <v>4.5</v>
      </c>
      <c r="F324" s="4">
        <v>11.273885350318471</v>
      </c>
      <c r="G324" s="2">
        <f t="shared" ref="G324:G387" si="28">PI()*(F324/2)^2</f>
        <v>99.824492113589415</v>
      </c>
      <c r="H324" s="2">
        <f t="shared" ref="H324:H387" si="29">0.0673 * ((D324 * F324^2 * E324)^0.976)</f>
        <v>12.088990052027254</v>
      </c>
      <c r="I324" s="2">
        <f t="shared" si="25"/>
        <v>1726.9985788610363</v>
      </c>
      <c r="J324" s="4">
        <f t="shared" si="27"/>
        <v>10.987532731550974</v>
      </c>
      <c r="K324" s="4">
        <f t="shared" si="26"/>
        <v>1569.6475330787107</v>
      </c>
      <c r="L324">
        <v>7</v>
      </c>
    </row>
    <row r="325" spans="1:12" x14ac:dyDescent="0.3">
      <c r="A325" t="s">
        <v>77</v>
      </c>
      <c r="B325" t="s">
        <v>69</v>
      </c>
      <c r="C325" s="4">
        <v>0.31264018999999998</v>
      </c>
      <c r="D325" s="4">
        <v>0.356821212</v>
      </c>
      <c r="E325">
        <v>6</v>
      </c>
      <c r="F325" s="4">
        <v>14.108280254777069</v>
      </c>
      <c r="G325" s="2">
        <f t="shared" si="28"/>
        <v>156.32845568642318</v>
      </c>
      <c r="H325" s="2">
        <f t="shared" si="29"/>
        <v>24.800242831824804</v>
      </c>
      <c r="I325" s="2">
        <f t="shared" si="25"/>
        <v>3542.8918331178288</v>
      </c>
      <c r="J325" s="4">
        <f t="shared" si="27"/>
        <v>13.165615006693983</v>
      </c>
      <c r="K325" s="4">
        <f t="shared" si="26"/>
        <v>1880.802143813426</v>
      </c>
      <c r="L325">
        <v>7</v>
      </c>
    </row>
    <row r="326" spans="1:12" x14ac:dyDescent="0.3">
      <c r="A326" t="s">
        <v>77</v>
      </c>
      <c r="B326" t="s">
        <v>69</v>
      </c>
      <c r="C326" s="4">
        <v>0.31264018999999998</v>
      </c>
      <c r="D326" s="4">
        <v>0.356821212</v>
      </c>
      <c r="E326">
        <v>3</v>
      </c>
      <c r="F326" s="4">
        <v>7.388535031847133</v>
      </c>
      <c r="G326" s="2">
        <f t="shared" si="28"/>
        <v>42.875239103720482</v>
      </c>
      <c r="H326" s="2">
        <f t="shared" si="29"/>
        <v>3.5670001729642231</v>
      </c>
      <c r="I326" s="2">
        <f t="shared" si="25"/>
        <v>509.57145328060329</v>
      </c>
      <c r="J326" s="4">
        <f t="shared" si="27"/>
        <v>9.5588997241267393</v>
      </c>
      <c r="K326" s="4">
        <f t="shared" si="26"/>
        <v>1365.557103446677</v>
      </c>
      <c r="L326">
        <v>7</v>
      </c>
    </row>
    <row r="327" spans="1:12" x14ac:dyDescent="0.3">
      <c r="A327" t="s">
        <v>77</v>
      </c>
      <c r="B327" t="s">
        <v>69</v>
      </c>
      <c r="C327" s="4">
        <v>0.31264018999999998</v>
      </c>
      <c r="D327" s="4">
        <v>0.356821212</v>
      </c>
      <c r="E327">
        <v>5</v>
      </c>
      <c r="F327" s="4">
        <v>10.286624203821654</v>
      </c>
      <c r="G327" s="2">
        <f t="shared" si="28"/>
        <v>83.106621961430847</v>
      </c>
      <c r="H327" s="2">
        <f t="shared" si="29"/>
        <v>11.203617857153048</v>
      </c>
      <c r="I327" s="2">
        <f t="shared" si="25"/>
        <v>1600.5168367361498</v>
      </c>
      <c r="J327" s="4">
        <f t="shared" si="27"/>
        <v>10.837456156436366</v>
      </c>
      <c r="K327" s="4">
        <f t="shared" si="26"/>
        <v>1548.2080223480521</v>
      </c>
      <c r="L327">
        <v>7</v>
      </c>
    </row>
    <row r="328" spans="1:12" x14ac:dyDescent="0.3">
      <c r="A328" t="s">
        <v>77</v>
      </c>
      <c r="B328" t="s">
        <v>69</v>
      </c>
      <c r="C328" s="4">
        <v>0.31264018999999998</v>
      </c>
      <c r="D328" s="4">
        <v>0.356821212</v>
      </c>
      <c r="E328">
        <v>5</v>
      </c>
      <c r="F328" s="4">
        <v>5.8917197452229297</v>
      </c>
      <c r="G328" s="2">
        <f t="shared" si="28"/>
        <v>27.263025013466741</v>
      </c>
      <c r="H328" s="2">
        <f t="shared" si="29"/>
        <v>3.774975847709316</v>
      </c>
      <c r="I328" s="2">
        <f t="shared" si="25"/>
        <v>539.28226395847366</v>
      </c>
      <c r="J328" s="4">
        <f t="shared" si="27"/>
        <v>9.5931663272343695</v>
      </c>
      <c r="K328" s="4">
        <f t="shared" si="26"/>
        <v>1370.4523324620529</v>
      </c>
      <c r="L328">
        <v>7</v>
      </c>
    </row>
    <row r="329" spans="1:12" x14ac:dyDescent="0.3">
      <c r="A329" t="s">
        <v>77</v>
      </c>
      <c r="B329" t="s">
        <v>55</v>
      </c>
      <c r="C329" s="4">
        <v>0.52500000000000002</v>
      </c>
      <c r="D329" s="4">
        <v>0.52500000000000002</v>
      </c>
      <c r="E329">
        <v>7</v>
      </c>
      <c r="F329" s="4">
        <v>11.942675159235668</v>
      </c>
      <c r="G329" s="2">
        <f t="shared" si="28"/>
        <v>112.01936866380598</v>
      </c>
      <c r="H329" s="2">
        <f t="shared" si="29"/>
        <v>30.353487214092148</v>
      </c>
      <c r="I329" s="2">
        <f t="shared" si="25"/>
        <v>4336.2124591560214</v>
      </c>
      <c r="J329" s="4">
        <f t="shared" si="27"/>
        <v>12.480073503996104</v>
      </c>
      <c r="K329" s="4">
        <f t="shared" si="26"/>
        <v>1782.8676434280148</v>
      </c>
      <c r="L329">
        <v>7</v>
      </c>
    </row>
    <row r="330" spans="1:12" x14ac:dyDescent="0.3">
      <c r="A330" t="s">
        <v>77</v>
      </c>
      <c r="B330" t="s">
        <v>55</v>
      </c>
      <c r="C330" s="4">
        <v>0.52500000000000002</v>
      </c>
      <c r="D330" s="4">
        <v>0.52500000000000002</v>
      </c>
      <c r="E330">
        <v>8</v>
      </c>
      <c r="F330" s="4">
        <v>17.070063694267514</v>
      </c>
      <c r="G330" s="2">
        <f t="shared" si="28"/>
        <v>228.85487317075058</v>
      </c>
      <c r="H330" s="2">
        <f t="shared" si="29"/>
        <v>69.443142886670458</v>
      </c>
      <c r="I330" s="2">
        <f t="shared" si="25"/>
        <v>9920.4489838100653</v>
      </c>
      <c r="J330" s="4">
        <f t="shared" si="27"/>
        <v>17.144538086737796</v>
      </c>
      <c r="K330" s="4">
        <f t="shared" si="26"/>
        <v>2449.219726676828</v>
      </c>
      <c r="L330">
        <v>7</v>
      </c>
    </row>
    <row r="331" spans="1:12" x14ac:dyDescent="0.3">
      <c r="A331" t="s">
        <v>77</v>
      </c>
      <c r="B331" t="s">
        <v>55</v>
      </c>
      <c r="C331" s="4">
        <v>0.52500000000000002</v>
      </c>
      <c r="D331" s="4">
        <v>0.52500000000000002</v>
      </c>
      <c r="E331">
        <v>8</v>
      </c>
      <c r="F331" s="4">
        <v>28.025477707006367</v>
      </c>
      <c r="G331" s="2">
        <f t="shared" si="28"/>
        <v>616.87323799645401</v>
      </c>
      <c r="H331" s="2">
        <f t="shared" si="29"/>
        <v>182.78050573909977</v>
      </c>
      <c r="I331" s="2">
        <f t="shared" si="25"/>
        <v>26111.500819871395</v>
      </c>
      <c r="J331" s="4">
        <f t="shared" si="27"/>
        <v>30.9776672197655</v>
      </c>
      <c r="K331" s="4">
        <f t="shared" si="26"/>
        <v>4425.3810313950717</v>
      </c>
      <c r="L331">
        <v>7</v>
      </c>
    </row>
    <row r="332" spans="1:12" x14ac:dyDescent="0.3">
      <c r="A332" t="s">
        <v>77</v>
      </c>
      <c r="B332" t="s">
        <v>55</v>
      </c>
      <c r="C332" s="4">
        <v>0.52500000000000002</v>
      </c>
      <c r="D332" s="4">
        <v>0.52500000000000002</v>
      </c>
      <c r="E332">
        <v>8</v>
      </c>
      <c r="F332" s="4">
        <v>10.891719745222931</v>
      </c>
      <c r="G332" s="2">
        <f t="shared" si="28"/>
        <v>93.171437769908678</v>
      </c>
      <c r="H332" s="2">
        <f t="shared" si="29"/>
        <v>28.888078637675598</v>
      </c>
      <c r="I332" s="2">
        <f t="shared" si="25"/>
        <v>4126.8683768107994</v>
      </c>
      <c r="J332" s="4">
        <f t="shared" si="27"/>
        <v>12.307327652237413</v>
      </c>
      <c r="K332" s="4">
        <f t="shared" si="26"/>
        <v>1758.1896646053447</v>
      </c>
      <c r="L332">
        <v>7</v>
      </c>
    </row>
    <row r="333" spans="1:12" x14ac:dyDescent="0.3">
      <c r="A333" t="s">
        <v>77</v>
      </c>
      <c r="B333" t="s">
        <v>56</v>
      </c>
      <c r="C333" s="4">
        <v>0.39984676499999999</v>
      </c>
      <c r="D333" s="4">
        <v>0.450333333</v>
      </c>
      <c r="E333">
        <v>8</v>
      </c>
      <c r="F333" s="4">
        <v>14.490445859872612</v>
      </c>
      <c r="G333" s="2">
        <f t="shared" si="28"/>
        <v>164.91242522755155</v>
      </c>
      <c r="H333" s="2">
        <f t="shared" si="29"/>
        <v>43.422191715493206</v>
      </c>
      <c r="I333" s="2">
        <f t="shared" si="25"/>
        <v>6203.1702450704588</v>
      </c>
      <c r="J333" s="4">
        <f t="shared" si="27"/>
        <v>14.86494459410118</v>
      </c>
      <c r="K333" s="4">
        <f t="shared" si="26"/>
        <v>2123.5635134430258</v>
      </c>
      <c r="L333">
        <v>7</v>
      </c>
    </row>
    <row r="334" spans="1:12" x14ac:dyDescent="0.3">
      <c r="A334" t="s">
        <v>77</v>
      </c>
      <c r="B334" t="s">
        <v>56</v>
      </c>
      <c r="C334" s="4">
        <v>0.39984676499999999</v>
      </c>
      <c r="D334" s="4">
        <v>0.450333333</v>
      </c>
      <c r="E334">
        <v>11</v>
      </c>
      <c r="F334" s="4">
        <v>15.987261146496815</v>
      </c>
      <c r="G334" s="2">
        <f t="shared" si="28"/>
        <v>200.74189497424902</v>
      </c>
      <c r="H334" s="2">
        <f t="shared" si="29"/>
        <v>71.784484090948396</v>
      </c>
      <c r="I334" s="2">
        <f t="shared" si="25"/>
        <v>10254.926298706912</v>
      </c>
      <c r="J334" s="4">
        <f t="shared" si="27"/>
        <v>18.826011980202036</v>
      </c>
      <c r="K334" s="4">
        <f t="shared" si="26"/>
        <v>2689.430282886005</v>
      </c>
      <c r="L334">
        <v>7</v>
      </c>
    </row>
    <row r="335" spans="1:12" x14ac:dyDescent="0.3">
      <c r="A335" t="s">
        <v>77</v>
      </c>
      <c r="B335" t="s">
        <v>78</v>
      </c>
      <c r="C335" s="4">
        <v>0.43538739399999998</v>
      </c>
      <c r="D335" s="4">
        <v>0.568333333</v>
      </c>
      <c r="E335">
        <v>6.5</v>
      </c>
      <c r="F335" s="4">
        <v>10.095541401273884</v>
      </c>
      <c r="G335" s="2">
        <f t="shared" si="28"/>
        <v>80.047746401117848</v>
      </c>
      <c r="H335" s="2">
        <f t="shared" si="29"/>
        <v>21.977189877389751</v>
      </c>
      <c r="I335" s="2">
        <f t="shared" si="25"/>
        <v>3139.5985539128219</v>
      </c>
      <c r="J335" s="4">
        <f t="shared" si="27"/>
        <v>11.304379003204996</v>
      </c>
      <c r="K335" s="4">
        <f t="shared" si="26"/>
        <v>1614.9112861721424</v>
      </c>
      <c r="L335">
        <v>7</v>
      </c>
    </row>
    <row r="336" spans="1:12" x14ac:dyDescent="0.3">
      <c r="A336" t="s">
        <v>77</v>
      </c>
      <c r="B336" t="s">
        <v>32</v>
      </c>
      <c r="C336" s="4">
        <v>0.65716857299999998</v>
      </c>
      <c r="D336" s="4">
        <v>0.85527777800000004</v>
      </c>
      <c r="E336">
        <v>6</v>
      </c>
      <c r="F336" s="4">
        <v>6.2101910828025479</v>
      </c>
      <c r="G336" s="2">
        <f t="shared" si="28"/>
        <v>30.290037286693146</v>
      </c>
      <c r="H336" s="2">
        <f t="shared" si="29"/>
        <v>11.731895574380706</v>
      </c>
      <c r="I336" s="2">
        <f t="shared" si="25"/>
        <v>1675.9850820543866</v>
      </c>
      <c r="J336" s="4">
        <f t="shared" si="27"/>
        <v>9.7955959389833254</v>
      </c>
      <c r="K336" s="4">
        <f t="shared" si="26"/>
        <v>1399.3708484261895</v>
      </c>
      <c r="L336">
        <v>7</v>
      </c>
    </row>
    <row r="337" spans="1:12" x14ac:dyDescent="0.3">
      <c r="A337" t="s">
        <v>77</v>
      </c>
      <c r="B337" t="s">
        <v>32</v>
      </c>
      <c r="C337" s="4">
        <v>0.65716857299999998</v>
      </c>
      <c r="D337" s="4">
        <v>0.85527777800000004</v>
      </c>
      <c r="E337">
        <v>6</v>
      </c>
      <c r="F337" s="4">
        <v>5.7961783439490437</v>
      </c>
      <c r="G337" s="2">
        <f t="shared" si="28"/>
        <v>26.385988036408239</v>
      </c>
      <c r="H337" s="2">
        <f t="shared" si="29"/>
        <v>10.253685121407155</v>
      </c>
      <c r="I337" s="2">
        <f t="shared" si="25"/>
        <v>1464.8121602010222</v>
      </c>
      <c r="J337" s="4">
        <f t="shared" si="27"/>
        <v>9.6912093512921409</v>
      </c>
      <c r="K337" s="4">
        <f t="shared" si="26"/>
        <v>1384.45847875602</v>
      </c>
      <c r="L337">
        <v>7</v>
      </c>
    </row>
    <row r="338" spans="1:12" x14ac:dyDescent="0.3">
      <c r="A338" t="s">
        <v>77</v>
      </c>
      <c r="B338" t="s">
        <v>32</v>
      </c>
      <c r="C338" s="4">
        <v>0.65716857299999998</v>
      </c>
      <c r="D338" s="4">
        <v>0.85527777800000004</v>
      </c>
      <c r="E338">
        <v>8</v>
      </c>
      <c r="F338" s="4">
        <v>12.611464968152864</v>
      </c>
      <c r="G338" s="2">
        <f t="shared" si="28"/>
        <v>124.91683069428193</v>
      </c>
      <c r="H338" s="2">
        <f t="shared" si="29"/>
        <v>61.924404256079256</v>
      </c>
      <c r="I338" s="2">
        <f t="shared" si="25"/>
        <v>8846.3434651541793</v>
      </c>
      <c r="J338" s="4">
        <f t="shared" si="27"/>
        <v>13.439073362002514</v>
      </c>
      <c r="K338" s="4">
        <f t="shared" si="26"/>
        <v>1919.8676231432162</v>
      </c>
      <c r="L338">
        <v>7</v>
      </c>
    </row>
    <row r="339" spans="1:12" x14ac:dyDescent="0.3">
      <c r="A339" t="s">
        <v>77</v>
      </c>
      <c r="B339" t="s">
        <v>22</v>
      </c>
      <c r="C339" s="4">
        <v>0.43836446099999998</v>
      </c>
      <c r="D339" s="4">
        <v>0.58666666700000003</v>
      </c>
      <c r="E339">
        <v>6.5</v>
      </c>
      <c r="F339" s="4">
        <v>18.598726114649679</v>
      </c>
      <c r="G339" s="2">
        <f t="shared" si="28"/>
        <v>271.6791310151325</v>
      </c>
      <c r="H339" s="2">
        <f t="shared" si="29"/>
        <v>74.71361054483674</v>
      </c>
      <c r="I339" s="2">
        <f t="shared" si="25"/>
        <v>10673.372934976678</v>
      </c>
      <c r="J339" s="4">
        <f t="shared" si="27"/>
        <v>16.855211947746355</v>
      </c>
      <c r="K339" s="4">
        <f t="shared" si="26"/>
        <v>2407.8874211066222</v>
      </c>
      <c r="L339">
        <v>7</v>
      </c>
    </row>
    <row r="340" spans="1:12" x14ac:dyDescent="0.3">
      <c r="A340" t="s">
        <v>77</v>
      </c>
      <c r="B340" t="s">
        <v>22</v>
      </c>
      <c r="C340" s="4">
        <v>0.43836446099999998</v>
      </c>
      <c r="D340" s="4">
        <v>0.58666666700000003</v>
      </c>
      <c r="E340">
        <v>7.5</v>
      </c>
      <c r="F340" s="4">
        <v>29.840764331210195</v>
      </c>
      <c r="G340" s="2">
        <f t="shared" si="28"/>
        <v>699.37445750323991</v>
      </c>
      <c r="H340" s="2">
        <f t="shared" si="29"/>
        <v>216.19910167376128</v>
      </c>
      <c r="I340" s="2">
        <f t="shared" si="25"/>
        <v>30885.585953394468</v>
      </c>
      <c r="J340" s="4">
        <f t="shared" si="27"/>
        <v>32.360569416609202</v>
      </c>
      <c r="K340" s="4">
        <f t="shared" si="26"/>
        <v>4622.9384880870293</v>
      </c>
      <c r="L340">
        <v>7</v>
      </c>
    </row>
    <row r="341" spans="1:12" x14ac:dyDescent="0.3">
      <c r="A341" t="s">
        <v>77</v>
      </c>
      <c r="B341" t="s">
        <v>47</v>
      </c>
      <c r="C341" s="4">
        <v>0.40238543599999999</v>
      </c>
      <c r="D341" s="4">
        <v>0.40883333300000002</v>
      </c>
      <c r="E341">
        <v>11</v>
      </c>
      <c r="F341" s="4">
        <v>20.828025477707008</v>
      </c>
      <c r="G341" s="2">
        <f t="shared" si="28"/>
        <v>340.71094248823789</v>
      </c>
      <c r="H341" s="2">
        <f t="shared" si="29"/>
        <v>109.46734954735675</v>
      </c>
      <c r="I341" s="2">
        <f t="shared" si="25"/>
        <v>15638.192792479535</v>
      </c>
      <c r="J341" s="4">
        <f t="shared" si="27"/>
        <v>25.687255844050469</v>
      </c>
      <c r="K341" s="4">
        <f t="shared" si="26"/>
        <v>3669.6079777214954</v>
      </c>
      <c r="L341">
        <v>7</v>
      </c>
    </row>
    <row r="342" spans="1:12" x14ac:dyDescent="0.3">
      <c r="A342" t="s">
        <v>77</v>
      </c>
      <c r="B342" t="s">
        <v>47</v>
      </c>
      <c r="C342" s="4">
        <v>0.40238543599999999</v>
      </c>
      <c r="D342" s="4">
        <v>0.40883333300000002</v>
      </c>
      <c r="E342">
        <v>12</v>
      </c>
      <c r="F342" s="4">
        <v>21.082802547770701</v>
      </c>
      <c r="G342" s="2">
        <f t="shared" si="28"/>
        <v>349.09735964942934</v>
      </c>
      <c r="H342" s="2">
        <f t="shared" si="29"/>
        <v>122.03187074470571</v>
      </c>
      <c r="I342" s="2">
        <f t="shared" si="25"/>
        <v>17433.124392100817</v>
      </c>
      <c r="J342" s="4">
        <f t="shared" si="27"/>
        <v>27.654051657268042</v>
      </c>
      <c r="K342" s="4">
        <f t="shared" si="26"/>
        <v>3950.5788081811488</v>
      </c>
      <c r="L342">
        <v>7</v>
      </c>
    </row>
    <row r="343" spans="1:12" x14ac:dyDescent="0.3">
      <c r="A343" t="s">
        <v>79</v>
      </c>
      <c r="B343" t="s">
        <v>26</v>
      </c>
      <c r="C343" s="4">
        <v>0.80908761900000004</v>
      </c>
      <c r="D343" s="4">
        <v>0.87473809499999999</v>
      </c>
      <c r="E343">
        <v>14</v>
      </c>
      <c r="F343" s="4">
        <v>30.668789808917197</v>
      </c>
      <c r="G343" s="2">
        <f t="shared" si="28"/>
        <v>738.72561705518297</v>
      </c>
      <c r="H343" s="2">
        <f t="shared" si="29"/>
        <v>619.35669148292709</v>
      </c>
      <c r="I343" s="2">
        <f t="shared" si="25"/>
        <v>88479.527354703867</v>
      </c>
      <c r="J343" s="4">
        <f t="shared" si="27"/>
        <v>55.073858748833622</v>
      </c>
      <c r="K343" s="4">
        <f t="shared" si="26"/>
        <v>7867.6941069762315</v>
      </c>
      <c r="L343">
        <v>7</v>
      </c>
    </row>
    <row r="344" spans="1:12" x14ac:dyDescent="0.3">
      <c r="A344" t="s">
        <v>79</v>
      </c>
      <c r="B344" t="s">
        <v>26</v>
      </c>
      <c r="C344" s="4">
        <v>0.80908761900000004</v>
      </c>
      <c r="D344" s="4">
        <v>0.87473809499999999</v>
      </c>
      <c r="E344">
        <v>11</v>
      </c>
      <c r="F344" s="4">
        <v>75.859872611464965</v>
      </c>
      <c r="G344" s="2">
        <f t="shared" si="28"/>
        <v>4519.7467329878527</v>
      </c>
      <c r="H344" s="2">
        <f t="shared" si="29"/>
        <v>2867.2854402598559</v>
      </c>
      <c r="I344" s="2">
        <f t="shared" si="25"/>
        <v>409612.20575140795</v>
      </c>
      <c r="J344" s="4">
        <f t="shared" si="27"/>
        <v>230.54243049616616</v>
      </c>
      <c r="K344" s="4">
        <f t="shared" si="26"/>
        <v>32934.632928023741</v>
      </c>
      <c r="L344">
        <v>7</v>
      </c>
    </row>
    <row r="345" spans="1:12" x14ac:dyDescent="0.3">
      <c r="A345" t="s">
        <v>79</v>
      </c>
      <c r="B345" t="s">
        <v>69</v>
      </c>
      <c r="C345" s="4">
        <v>0.31264018999999998</v>
      </c>
      <c r="D345" s="4">
        <v>0.356821212</v>
      </c>
      <c r="E345">
        <v>5</v>
      </c>
      <c r="F345" s="4">
        <v>9.968152866242038</v>
      </c>
      <c r="G345" s="2">
        <f t="shared" si="28"/>
        <v>78.040359314662467</v>
      </c>
      <c r="H345" s="2">
        <f t="shared" si="29"/>
        <v>10.536527631470989</v>
      </c>
      <c r="I345" s="2">
        <f t="shared" si="25"/>
        <v>1505.218233067284</v>
      </c>
      <c r="J345" s="4">
        <f t="shared" si="27"/>
        <v>10.724571252383463</v>
      </c>
      <c r="K345" s="4">
        <f t="shared" si="26"/>
        <v>1532.0816074833517</v>
      </c>
      <c r="L345">
        <v>7</v>
      </c>
    </row>
    <row r="346" spans="1:12" x14ac:dyDescent="0.3">
      <c r="A346" t="s">
        <v>79</v>
      </c>
      <c r="B346" t="s">
        <v>55</v>
      </c>
      <c r="C346" s="4">
        <v>0.52500000000000002</v>
      </c>
      <c r="D346" s="4">
        <v>0.52500000000000002</v>
      </c>
      <c r="E346">
        <v>7</v>
      </c>
      <c r="F346" s="4">
        <v>16.719745222929937</v>
      </c>
      <c r="G346" s="2">
        <f t="shared" si="28"/>
        <v>219.55796258105977</v>
      </c>
      <c r="H346" s="2">
        <f t="shared" si="29"/>
        <v>58.539703524684612</v>
      </c>
      <c r="I346" s="2">
        <f t="shared" si="25"/>
        <v>8362.8147892406596</v>
      </c>
      <c r="J346" s="4">
        <f t="shared" si="27"/>
        <v>15.834672067832365</v>
      </c>
      <c r="K346" s="4">
        <f t="shared" si="26"/>
        <v>2262.0960096903377</v>
      </c>
      <c r="L346">
        <v>7</v>
      </c>
    </row>
    <row r="347" spans="1:12" x14ac:dyDescent="0.3">
      <c r="A347" t="s">
        <v>79</v>
      </c>
      <c r="B347" t="s">
        <v>55</v>
      </c>
      <c r="C347" s="4">
        <v>0.52500000000000002</v>
      </c>
      <c r="D347" s="4">
        <v>0.52500000000000002</v>
      </c>
      <c r="E347">
        <v>6.5</v>
      </c>
      <c r="F347" s="4">
        <v>8.6942675159235669</v>
      </c>
      <c r="G347" s="2">
        <f t="shared" si="28"/>
        <v>59.368473081918566</v>
      </c>
      <c r="H347" s="2">
        <f t="shared" si="29"/>
        <v>15.194163465206746</v>
      </c>
      <c r="I347" s="2">
        <f t="shared" si="25"/>
        <v>2170.594780743821</v>
      </c>
      <c r="J347" s="4">
        <f t="shared" si="27"/>
        <v>10.705379043774595</v>
      </c>
      <c r="K347" s="4">
        <f t="shared" si="26"/>
        <v>1529.3398633963709</v>
      </c>
      <c r="L347">
        <v>7</v>
      </c>
    </row>
    <row r="348" spans="1:12" x14ac:dyDescent="0.3">
      <c r="A348" t="s">
        <v>79</v>
      </c>
      <c r="B348" t="s">
        <v>55</v>
      </c>
      <c r="C348" s="4">
        <v>0.52500000000000002</v>
      </c>
      <c r="D348" s="4">
        <v>0.52500000000000002</v>
      </c>
      <c r="E348">
        <v>9</v>
      </c>
      <c r="F348" s="4">
        <v>46.43312101910827</v>
      </c>
      <c r="G348" s="2">
        <f t="shared" si="28"/>
        <v>1693.3457152586438</v>
      </c>
      <c r="H348" s="2">
        <f t="shared" si="29"/>
        <v>549.38809894685733</v>
      </c>
      <c r="I348" s="2">
        <f t="shared" si="25"/>
        <v>78484.014135265345</v>
      </c>
      <c r="J348" s="4">
        <f t="shared" si="27"/>
        <v>76.900793918617353</v>
      </c>
      <c r="K348" s="4">
        <f t="shared" si="26"/>
        <v>10985.827702659621</v>
      </c>
      <c r="L348">
        <v>7</v>
      </c>
    </row>
    <row r="349" spans="1:12" x14ac:dyDescent="0.3">
      <c r="A349" t="s">
        <v>79</v>
      </c>
      <c r="B349" t="s">
        <v>56</v>
      </c>
      <c r="C349" s="4">
        <v>0.39984676499999999</v>
      </c>
      <c r="D349" s="4">
        <v>0.450333333</v>
      </c>
      <c r="E349">
        <v>12</v>
      </c>
      <c r="F349" s="4">
        <v>41.019108280254777</v>
      </c>
      <c r="G349" s="2">
        <f t="shared" si="28"/>
        <v>1321.4852233145527</v>
      </c>
      <c r="H349" s="2">
        <f t="shared" si="29"/>
        <v>491.69334212418971</v>
      </c>
      <c r="I349" s="2">
        <f t="shared" si="25"/>
        <v>70241.906017741392</v>
      </c>
      <c r="J349" s="4">
        <f t="shared" si="27"/>
        <v>79.653524252505164</v>
      </c>
      <c r="K349" s="4">
        <f t="shared" si="26"/>
        <v>11379.074893215022</v>
      </c>
      <c r="L349">
        <v>7</v>
      </c>
    </row>
    <row r="350" spans="1:12" x14ac:dyDescent="0.3">
      <c r="A350" t="s">
        <v>79</v>
      </c>
      <c r="B350" t="s">
        <v>56</v>
      </c>
      <c r="C350" s="4">
        <v>0.39984676499999999</v>
      </c>
      <c r="D350" s="4">
        <v>0.450333333</v>
      </c>
      <c r="E350">
        <v>12</v>
      </c>
      <c r="F350" s="4">
        <v>23.98089171974522</v>
      </c>
      <c r="G350" s="2">
        <f t="shared" si="28"/>
        <v>451.66926369206016</v>
      </c>
      <c r="H350" s="2">
        <f t="shared" si="29"/>
        <v>172.44172419818179</v>
      </c>
      <c r="I350" s="2">
        <f t="shared" si="25"/>
        <v>24634.532028311685</v>
      </c>
      <c r="J350" s="4">
        <f t="shared" si="27"/>
        <v>33.139193042314083</v>
      </c>
      <c r="K350" s="4">
        <f t="shared" si="26"/>
        <v>4734.1704346162969</v>
      </c>
      <c r="L350">
        <v>7</v>
      </c>
    </row>
    <row r="351" spans="1:12" x14ac:dyDescent="0.3">
      <c r="A351" t="s">
        <v>79</v>
      </c>
      <c r="B351" t="s">
        <v>56</v>
      </c>
      <c r="C351" s="4">
        <v>0.39984676499999999</v>
      </c>
      <c r="D351" s="4">
        <v>0.450333333</v>
      </c>
      <c r="E351">
        <v>13</v>
      </c>
      <c r="F351" s="4">
        <v>41.401273885350314</v>
      </c>
      <c r="G351" s="2">
        <f t="shared" si="28"/>
        <v>1346.2238794085838</v>
      </c>
      <c r="H351" s="2">
        <f t="shared" si="29"/>
        <v>541.35705694347928</v>
      </c>
      <c r="I351" s="2">
        <f t="shared" si="25"/>
        <v>77336.722420497026</v>
      </c>
      <c r="J351" s="4">
        <f t="shared" si="27"/>
        <v>86.975679309505438</v>
      </c>
      <c r="K351" s="4">
        <f t="shared" si="26"/>
        <v>12425.097044215061</v>
      </c>
      <c r="L351">
        <v>7</v>
      </c>
    </row>
    <row r="352" spans="1:12" x14ac:dyDescent="0.3">
      <c r="A352" t="s">
        <v>79</v>
      </c>
      <c r="B352" t="s">
        <v>56</v>
      </c>
      <c r="C352" s="4">
        <v>0.39984676499999999</v>
      </c>
      <c r="D352" s="4">
        <v>0.450333333</v>
      </c>
      <c r="E352">
        <v>12</v>
      </c>
      <c r="F352" s="4">
        <v>38.471337579617831</v>
      </c>
      <c r="G352" s="2">
        <f t="shared" si="28"/>
        <v>1162.4236941782769</v>
      </c>
      <c r="H352" s="2">
        <f t="shared" si="29"/>
        <v>433.84362356922162</v>
      </c>
      <c r="I352" s="2">
        <f t="shared" si="25"/>
        <v>61977.660509888803</v>
      </c>
      <c r="J352" s="4">
        <f t="shared" si="27"/>
        <v>71.147540236926446</v>
      </c>
      <c r="K352" s="4">
        <f t="shared" si="26"/>
        <v>10163.934319560922</v>
      </c>
      <c r="L352">
        <v>7</v>
      </c>
    </row>
    <row r="353" spans="1:12" x14ac:dyDescent="0.3">
      <c r="A353" t="s">
        <v>79</v>
      </c>
      <c r="B353" t="s">
        <v>56</v>
      </c>
      <c r="C353" s="4">
        <v>0.39984676499999999</v>
      </c>
      <c r="D353" s="4">
        <v>0.450333333</v>
      </c>
      <c r="E353">
        <v>12</v>
      </c>
      <c r="F353" s="4">
        <v>18.885350318471335</v>
      </c>
      <c r="G353" s="2">
        <f t="shared" si="28"/>
        <v>280.11732601783973</v>
      </c>
      <c r="H353" s="2">
        <f t="shared" si="29"/>
        <v>108.17859198084813</v>
      </c>
      <c r="I353" s="2">
        <f t="shared" si="25"/>
        <v>15454.08456869259</v>
      </c>
      <c r="J353" s="4">
        <f t="shared" si="27"/>
        <v>23.965271179358183</v>
      </c>
      <c r="K353" s="4">
        <f t="shared" si="26"/>
        <v>3423.6101684797404</v>
      </c>
      <c r="L353">
        <v>7</v>
      </c>
    </row>
    <row r="354" spans="1:12" x14ac:dyDescent="0.3">
      <c r="A354" t="s">
        <v>79</v>
      </c>
      <c r="B354" t="s">
        <v>56</v>
      </c>
      <c r="C354" s="4">
        <v>0.39984676499999999</v>
      </c>
      <c r="D354" s="4">
        <v>0.450333333</v>
      </c>
      <c r="E354">
        <v>10</v>
      </c>
      <c r="F354" s="4">
        <v>19.554140127388536</v>
      </c>
      <c r="G354" s="2">
        <f t="shared" si="28"/>
        <v>300.308294462437</v>
      </c>
      <c r="H354" s="2">
        <f t="shared" si="29"/>
        <v>96.908601749874705</v>
      </c>
      <c r="I354" s="2">
        <f t="shared" si="25"/>
        <v>13844.085964267815</v>
      </c>
      <c r="J354" s="4">
        <f t="shared" si="27"/>
        <v>22.368453864254128</v>
      </c>
      <c r="K354" s="4">
        <f t="shared" si="26"/>
        <v>3195.4934091791615</v>
      </c>
      <c r="L354">
        <v>7</v>
      </c>
    </row>
    <row r="355" spans="1:12" x14ac:dyDescent="0.3">
      <c r="A355" t="s">
        <v>79</v>
      </c>
      <c r="B355" t="s">
        <v>80</v>
      </c>
      <c r="C355" s="4">
        <v>0.54</v>
      </c>
      <c r="D355" s="4">
        <v>0.61247410899999999</v>
      </c>
      <c r="E355">
        <v>6</v>
      </c>
      <c r="F355" s="4">
        <v>7.1019108280254777</v>
      </c>
      <c r="G355" s="2">
        <f t="shared" si="28"/>
        <v>39.613235088230461</v>
      </c>
      <c r="H355" s="2">
        <f t="shared" si="29"/>
        <v>11.004561280164936</v>
      </c>
      <c r="I355" s="2">
        <f t="shared" si="25"/>
        <v>1572.080182880705</v>
      </c>
      <c r="J355" s="4">
        <f t="shared" si="27"/>
        <v>10.044879885593735</v>
      </c>
      <c r="K355" s="4">
        <f t="shared" si="26"/>
        <v>1434.9828407991049</v>
      </c>
      <c r="L355">
        <v>7</v>
      </c>
    </row>
    <row r="356" spans="1:12" x14ac:dyDescent="0.3">
      <c r="A356" t="s">
        <v>79</v>
      </c>
      <c r="B356" t="s">
        <v>22</v>
      </c>
      <c r="C356" s="4">
        <v>0.43836446099999998</v>
      </c>
      <c r="D356" s="4">
        <v>0.58666666700000003</v>
      </c>
      <c r="E356">
        <v>6</v>
      </c>
      <c r="F356" s="4">
        <v>17.261146496815286</v>
      </c>
      <c r="G356" s="2">
        <f t="shared" si="28"/>
        <v>234.00716669265282</v>
      </c>
      <c r="H356" s="2">
        <f t="shared" si="29"/>
        <v>59.731117270844578</v>
      </c>
      <c r="I356" s="2">
        <f t="shared" si="25"/>
        <v>8533.0167529777973</v>
      </c>
      <c r="J356" s="4">
        <f t="shared" si="27"/>
        <v>15.242590746074891</v>
      </c>
      <c r="K356" s="4">
        <f t="shared" si="26"/>
        <v>2177.5129637249843</v>
      </c>
      <c r="L356">
        <v>7</v>
      </c>
    </row>
    <row r="357" spans="1:12" x14ac:dyDescent="0.3">
      <c r="A357" t="s">
        <v>79</v>
      </c>
      <c r="B357" t="s">
        <v>47</v>
      </c>
      <c r="C357" s="4">
        <v>0.40238543599999999</v>
      </c>
      <c r="D357" s="4">
        <v>0.40883333300000002</v>
      </c>
      <c r="E357">
        <v>11</v>
      </c>
      <c r="F357" s="4">
        <v>15.445859872611464</v>
      </c>
      <c r="G357" s="2">
        <f t="shared" si="28"/>
        <v>187.37604262360011</v>
      </c>
      <c r="H357" s="2">
        <f t="shared" si="29"/>
        <v>61.072361315582846</v>
      </c>
      <c r="I357" s="2">
        <f t="shared" si="25"/>
        <v>8724.6230450832627</v>
      </c>
      <c r="J357" s="4">
        <f t="shared" si="27"/>
        <v>18.170821607367436</v>
      </c>
      <c r="K357" s="4">
        <f t="shared" si="26"/>
        <v>2595.8316581953482</v>
      </c>
      <c r="L357">
        <v>7</v>
      </c>
    </row>
    <row r="358" spans="1:12" x14ac:dyDescent="0.3">
      <c r="A358" t="s">
        <v>79</v>
      </c>
      <c r="B358" t="s">
        <v>47</v>
      </c>
      <c r="C358" s="4">
        <v>0.40238543599999999</v>
      </c>
      <c r="D358" s="4">
        <v>0.40883333300000002</v>
      </c>
      <c r="E358">
        <v>8</v>
      </c>
      <c r="F358" s="4">
        <v>15.19108280254777</v>
      </c>
      <c r="G358" s="2">
        <f t="shared" si="28"/>
        <v>181.24554618813946</v>
      </c>
      <c r="H358" s="2">
        <f t="shared" si="29"/>
        <v>43.327265529516296</v>
      </c>
      <c r="I358" s="2">
        <f t="shared" si="25"/>
        <v>6189.6093613594712</v>
      </c>
      <c r="J358" s="4">
        <f t="shared" si="27"/>
        <v>15.447231907988153</v>
      </c>
      <c r="K358" s="4">
        <f t="shared" si="26"/>
        <v>2206.7474154268789</v>
      </c>
      <c r="L358">
        <v>7</v>
      </c>
    </row>
    <row r="359" spans="1:12" x14ac:dyDescent="0.3">
      <c r="A359" t="s">
        <v>79</v>
      </c>
      <c r="B359" t="s">
        <v>47</v>
      </c>
      <c r="C359" s="4">
        <v>0.40238543599999999</v>
      </c>
      <c r="D359" s="4">
        <v>0.40883333300000002</v>
      </c>
      <c r="E359">
        <v>8</v>
      </c>
      <c r="F359" s="4">
        <v>16.433121019108281</v>
      </c>
      <c r="G359" s="2">
        <f t="shared" si="28"/>
        <v>212.09478416320235</v>
      </c>
      <c r="H359" s="2">
        <f t="shared" si="29"/>
        <v>50.51095996515626</v>
      </c>
      <c r="I359" s="2">
        <f t="shared" si="25"/>
        <v>7215.8514235937519</v>
      </c>
      <c r="J359" s="4">
        <f t="shared" si="27"/>
        <v>16.547029060002433</v>
      </c>
      <c r="K359" s="4">
        <f t="shared" si="26"/>
        <v>2363.8612942860623</v>
      </c>
      <c r="L359">
        <v>7</v>
      </c>
    </row>
    <row r="360" spans="1:12" x14ac:dyDescent="0.3">
      <c r="A360" t="s">
        <v>79</v>
      </c>
      <c r="B360" t="s">
        <v>62</v>
      </c>
      <c r="C360" s="4">
        <v>0.693333333</v>
      </c>
      <c r="D360" s="4">
        <v>0.64166666699999997</v>
      </c>
      <c r="E360">
        <v>5</v>
      </c>
      <c r="F360" s="4">
        <v>5.8280254777070066</v>
      </c>
      <c r="G360" s="2">
        <f t="shared" si="28"/>
        <v>26.676740531073417</v>
      </c>
      <c r="H360" s="2">
        <f t="shared" si="29"/>
        <v>6.5530230325623595</v>
      </c>
      <c r="I360" s="2">
        <f t="shared" si="25"/>
        <v>936.14614750890848</v>
      </c>
      <c r="J360" s="4">
        <f t="shared" si="27"/>
        <v>9.5801029169540346</v>
      </c>
      <c r="K360" s="4">
        <f t="shared" si="26"/>
        <v>1368.5861309934335</v>
      </c>
      <c r="L360">
        <v>7</v>
      </c>
    </row>
    <row r="361" spans="1:12" x14ac:dyDescent="0.3">
      <c r="A361" t="s">
        <v>79</v>
      </c>
      <c r="B361" t="s">
        <v>62</v>
      </c>
      <c r="C361" s="4">
        <v>0.693333333</v>
      </c>
      <c r="D361" s="4">
        <v>0.64166666699999997</v>
      </c>
      <c r="E361">
        <v>7</v>
      </c>
      <c r="F361" s="4">
        <v>17.00636942675159</v>
      </c>
      <c r="G361" s="2">
        <f t="shared" si="28"/>
        <v>227.1501873116178</v>
      </c>
      <c r="H361" s="2">
        <f t="shared" si="29"/>
        <v>73.606923095541589</v>
      </c>
      <c r="I361" s="2">
        <f t="shared" si="25"/>
        <v>10515.274727934511</v>
      </c>
      <c r="J361" s="4">
        <f t="shared" si="27"/>
        <v>16.071506726439203</v>
      </c>
      <c r="K361" s="4">
        <f t="shared" si="26"/>
        <v>2295.9295323484575</v>
      </c>
      <c r="L361">
        <v>7</v>
      </c>
    </row>
    <row r="362" spans="1:12" x14ac:dyDescent="0.3">
      <c r="A362" t="s">
        <v>81</v>
      </c>
      <c r="B362" t="s">
        <v>69</v>
      </c>
      <c r="C362" s="4">
        <v>0.31264018999999998</v>
      </c>
      <c r="D362" s="4">
        <v>0.356821212</v>
      </c>
      <c r="E362">
        <v>2.7</v>
      </c>
      <c r="F362" s="3">
        <v>2.3885350320000001</v>
      </c>
      <c r="G362" s="2">
        <f t="shared" si="28"/>
        <v>4.4807747471257793</v>
      </c>
      <c r="H362" s="2">
        <f t="shared" si="29"/>
        <v>0.35508380030736086</v>
      </c>
      <c r="I362" s="2">
        <f t="shared" si="25"/>
        <v>59.180633384560146</v>
      </c>
      <c r="J362" s="4">
        <f t="shared" si="27"/>
        <v>9.0396131912114122</v>
      </c>
      <c r="K362" s="4">
        <f t="shared" si="26"/>
        <v>1506.6021985352354</v>
      </c>
      <c r="L362">
        <v>6</v>
      </c>
    </row>
    <row r="363" spans="1:12" x14ac:dyDescent="0.3">
      <c r="A363" t="s">
        <v>81</v>
      </c>
      <c r="B363" t="s">
        <v>15</v>
      </c>
      <c r="C363" s="4">
        <v>0.47982689899999997</v>
      </c>
      <c r="D363" s="4">
        <v>0.51</v>
      </c>
      <c r="E363">
        <v>6</v>
      </c>
      <c r="F363" s="3">
        <v>8.6624203820000005</v>
      </c>
      <c r="G363" s="2">
        <f t="shared" si="28"/>
        <v>58.93433579311035</v>
      </c>
      <c r="H363" s="2">
        <f t="shared" si="29"/>
        <v>13.562851419139609</v>
      </c>
      <c r="I363" s="2">
        <f t="shared" si="25"/>
        <v>2260.475236523268</v>
      </c>
      <c r="J363" s="4">
        <f t="shared" si="27"/>
        <v>10.561488064364269</v>
      </c>
      <c r="K363" s="4">
        <f t="shared" si="26"/>
        <v>1760.2480107273784</v>
      </c>
      <c r="L363">
        <v>6</v>
      </c>
    </row>
    <row r="364" spans="1:12" x14ac:dyDescent="0.3">
      <c r="A364" t="s">
        <v>81</v>
      </c>
      <c r="B364" t="s">
        <v>15</v>
      </c>
      <c r="C364" s="4">
        <v>0.47982689899999997</v>
      </c>
      <c r="D364" s="4">
        <v>0.51</v>
      </c>
      <c r="E364">
        <v>6</v>
      </c>
      <c r="F364" s="3">
        <v>7.1019108280000003</v>
      </c>
      <c r="G364" s="2">
        <f t="shared" si="28"/>
        <v>39.613235087946244</v>
      </c>
      <c r="H364" s="2">
        <f t="shared" si="29"/>
        <v>9.2037242006687592</v>
      </c>
      <c r="I364" s="2">
        <f t="shared" si="25"/>
        <v>1533.9540334447931</v>
      </c>
      <c r="J364" s="4">
        <f t="shared" si="27"/>
        <v>10.044879885586136</v>
      </c>
      <c r="K364" s="4">
        <f t="shared" si="26"/>
        <v>1674.1466475976893</v>
      </c>
      <c r="L364">
        <v>6</v>
      </c>
    </row>
    <row r="365" spans="1:12" x14ac:dyDescent="0.3">
      <c r="A365" t="s">
        <v>81</v>
      </c>
      <c r="B365" t="s">
        <v>66</v>
      </c>
      <c r="C365" s="4">
        <v>0.62643652800000005</v>
      </c>
      <c r="D365" s="4">
        <v>0.57808694400000005</v>
      </c>
      <c r="E365">
        <v>6</v>
      </c>
      <c r="F365" s="3">
        <v>43.184713379999998</v>
      </c>
      <c r="G365" s="2">
        <f t="shared" si="28"/>
        <v>1464.7043263965377</v>
      </c>
      <c r="H365" s="2">
        <f t="shared" si="29"/>
        <v>352.66328677133208</v>
      </c>
      <c r="I365" s="2">
        <f t="shared" si="25"/>
        <v>58777.214461888681</v>
      </c>
      <c r="J365" s="4">
        <f t="shared" si="27"/>
        <v>48.149008863967772</v>
      </c>
      <c r="K365" s="4">
        <f t="shared" si="26"/>
        <v>8024.8348106612948</v>
      </c>
      <c r="L365">
        <v>6</v>
      </c>
    </row>
    <row r="366" spans="1:12" x14ac:dyDescent="0.3">
      <c r="A366" t="s">
        <v>81</v>
      </c>
      <c r="B366" t="s">
        <v>66</v>
      </c>
      <c r="C366" s="4">
        <v>0.62643652800000005</v>
      </c>
      <c r="D366" s="4">
        <v>0.57808694400000005</v>
      </c>
      <c r="E366">
        <v>7</v>
      </c>
      <c r="F366" s="3">
        <v>35.414012739999997</v>
      </c>
      <c r="G366" s="2">
        <f t="shared" si="28"/>
        <v>985.00891174390063</v>
      </c>
      <c r="H366" s="2">
        <f t="shared" si="29"/>
        <v>278.30816517745774</v>
      </c>
      <c r="I366" s="2">
        <f t="shared" si="25"/>
        <v>46384.694196242956</v>
      </c>
      <c r="J366" s="4">
        <f t="shared" si="27"/>
        <v>39.712431309547611</v>
      </c>
      <c r="K366" s="4">
        <f t="shared" si="26"/>
        <v>6618.7385515912683</v>
      </c>
      <c r="L366">
        <v>6</v>
      </c>
    </row>
    <row r="367" spans="1:12" x14ac:dyDescent="0.3">
      <c r="A367" t="s">
        <v>81</v>
      </c>
      <c r="B367" t="s">
        <v>66</v>
      </c>
      <c r="C367" s="4">
        <v>0.62643652800000005</v>
      </c>
      <c r="D367" s="4">
        <v>0.57808694400000005</v>
      </c>
      <c r="E367">
        <v>6</v>
      </c>
      <c r="F367" s="3">
        <v>27.866242039999999</v>
      </c>
      <c r="G367" s="2">
        <f t="shared" si="28"/>
        <v>609.88322946989774</v>
      </c>
      <c r="H367" s="2">
        <f t="shared" si="29"/>
        <v>149.96470455962128</v>
      </c>
      <c r="I367" s="2">
        <f t="shared" si="25"/>
        <v>24994.117426603549</v>
      </c>
      <c r="J367" s="4">
        <f t="shared" si="27"/>
        <v>25.292776354069133</v>
      </c>
      <c r="K367" s="4">
        <f t="shared" si="26"/>
        <v>4215.4627256781887</v>
      </c>
      <c r="L367">
        <v>6</v>
      </c>
    </row>
    <row r="368" spans="1:12" x14ac:dyDescent="0.3">
      <c r="A368" t="s">
        <v>81</v>
      </c>
      <c r="B368" t="s">
        <v>66</v>
      </c>
      <c r="C368" s="4">
        <v>0.62643652800000005</v>
      </c>
      <c r="D368" s="4">
        <v>0.57808694400000005</v>
      </c>
      <c r="E368">
        <v>6</v>
      </c>
      <c r="F368" s="3">
        <v>38.270700640000001</v>
      </c>
      <c r="G368" s="2">
        <f t="shared" si="28"/>
        <v>1150.3306927064905</v>
      </c>
      <c r="H368" s="2">
        <f t="shared" si="29"/>
        <v>278.58084295980143</v>
      </c>
      <c r="I368" s="2">
        <f t="shared" si="25"/>
        <v>46430.140493300241</v>
      </c>
      <c r="J368" s="4">
        <f t="shared" si="27"/>
        <v>39.743277077006425</v>
      </c>
      <c r="K368" s="4">
        <f t="shared" si="26"/>
        <v>6623.8795128344036</v>
      </c>
      <c r="L368">
        <v>6</v>
      </c>
    </row>
    <row r="369" spans="1:12" x14ac:dyDescent="0.3">
      <c r="A369" t="s">
        <v>81</v>
      </c>
      <c r="B369" t="s">
        <v>56</v>
      </c>
      <c r="C369" s="4">
        <v>0.39984676499999999</v>
      </c>
      <c r="D369" s="4">
        <v>0.450333333</v>
      </c>
      <c r="E369">
        <v>11</v>
      </c>
      <c r="F369" s="3">
        <v>38.72611465</v>
      </c>
      <c r="G369" s="2">
        <f t="shared" si="28"/>
        <v>1177.8710157772305</v>
      </c>
      <c r="H369" s="2">
        <f t="shared" si="29"/>
        <v>403.68932561045892</v>
      </c>
      <c r="I369" s="2">
        <f t="shared" si="25"/>
        <v>67281.554268409818</v>
      </c>
      <c r="J369" s="4">
        <f t="shared" si="27"/>
        <v>66.724610301570365</v>
      </c>
      <c r="K369" s="4">
        <f t="shared" si="26"/>
        <v>11120.768383595061</v>
      </c>
      <c r="L369">
        <v>6</v>
      </c>
    </row>
    <row r="370" spans="1:12" x14ac:dyDescent="0.3">
      <c r="A370" t="s">
        <v>81</v>
      </c>
      <c r="B370" t="s">
        <v>47</v>
      </c>
      <c r="C370" s="4">
        <v>0.40238543599999999</v>
      </c>
      <c r="D370" s="4">
        <v>0.40883333300000002</v>
      </c>
      <c r="E370">
        <v>6</v>
      </c>
      <c r="F370" s="3">
        <v>15.95541401</v>
      </c>
      <c r="G370" s="2">
        <f t="shared" si="28"/>
        <v>199.94292298190959</v>
      </c>
      <c r="H370" s="2">
        <f t="shared" si="29"/>
        <v>36.011104232459161</v>
      </c>
      <c r="I370" s="2">
        <f t="shared" si="25"/>
        <v>6001.85070540986</v>
      </c>
      <c r="J370" s="4">
        <f t="shared" si="27"/>
        <v>14.33177996084059</v>
      </c>
      <c r="K370" s="4">
        <f t="shared" si="26"/>
        <v>2388.6299934734316</v>
      </c>
      <c r="L370">
        <v>6</v>
      </c>
    </row>
    <row r="371" spans="1:12" x14ac:dyDescent="0.3">
      <c r="A371" t="s">
        <v>81</v>
      </c>
      <c r="B371" t="s">
        <v>47</v>
      </c>
      <c r="C371" s="4">
        <v>0.40238543599999999</v>
      </c>
      <c r="D371" s="4">
        <v>0.40883333300000002</v>
      </c>
      <c r="E371">
        <v>8</v>
      </c>
      <c r="F371" s="3">
        <v>14.076433120000001</v>
      </c>
      <c r="G371" s="2">
        <f t="shared" si="28"/>
        <v>155.62348043709864</v>
      </c>
      <c r="H371" s="2">
        <f t="shared" si="29"/>
        <v>37.338569423258868</v>
      </c>
      <c r="I371" s="2">
        <f t="shared" si="25"/>
        <v>6223.0949038764775</v>
      </c>
      <c r="J371" s="4">
        <f t="shared" si="27"/>
        <v>14.533787142691324</v>
      </c>
      <c r="K371" s="4">
        <f t="shared" si="26"/>
        <v>2422.2978571152207</v>
      </c>
      <c r="L371">
        <v>6</v>
      </c>
    </row>
    <row r="372" spans="1:12" x14ac:dyDescent="0.3">
      <c r="A372" t="s">
        <v>81</v>
      </c>
      <c r="B372" t="s">
        <v>47</v>
      </c>
      <c r="C372" s="4">
        <v>0.40238543599999999</v>
      </c>
      <c r="D372" s="4">
        <v>0.40883333300000002</v>
      </c>
      <c r="E372">
        <v>7</v>
      </c>
      <c r="F372" s="3">
        <v>12.61146497</v>
      </c>
      <c r="G372" s="2">
        <f t="shared" si="28"/>
        <v>124.91683073087377</v>
      </c>
      <c r="H372" s="2">
        <f t="shared" si="29"/>
        <v>26.448087170142614</v>
      </c>
      <c r="I372" s="2">
        <f t="shared" si="25"/>
        <v>4408.0145283571028</v>
      </c>
      <c r="J372" s="4">
        <f t="shared" si="27"/>
        <v>12.882401692893659</v>
      </c>
      <c r="K372" s="4">
        <f t="shared" si="26"/>
        <v>2147.0669488156095</v>
      </c>
      <c r="L372">
        <v>6</v>
      </c>
    </row>
    <row r="373" spans="1:12" x14ac:dyDescent="0.3">
      <c r="A373" t="s">
        <v>81</v>
      </c>
      <c r="B373" t="s">
        <v>47</v>
      </c>
      <c r="C373" s="4">
        <v>0.40238543599999999</v>
      </c>
      <c r="D373" s="4">
        <v>0.40883333300000002</v>
      </c>
      <c r="E373">
        <v>7</v>
      </c>
      <c r="F373" s="3">
        <v>11.33757962</v>
      </c>
      <c r="G373" s="2">
        <f t="shared" si="28"/>
        <v>100.95563884373082</v>
      </c>
      <c r="H373" s="2">
        <f t="shared" si="29"/>
        <v>21.484421332831829</v>
      </c>
      <c r="I373" s="2">
        <f t="shared" si="25"/>
        <v>3580.7368888053047</v>
      </c>
      <c r="J373" s="4">
        <f t="shared" si="27"/>
        <v>12.134947435176063</v>
      </c>
      <c r="K373" s="4">
        <f t="shared" si="26"/>
        <v>2022.4912391960104</v>
      </c>
      <c r="L373">
        <v>6</v>
      </c>
    </row>
    <row r="374" spans="1:12" x14ac:dyDescent="0.3">
      <c r="A374" t="s">
        <v>81</v>
      </c>
      <c r="B374" t="s">
        <v>47</v>
      </c>
      <c r="C374" s="4">
        <v>0.40238543599999999</v>
      </c>
      <c r="D374" s="4">
        <v>0.40883333300000002</v>
      </c>
      <c r="E374">
        <v>7</v>
      </c>
      <c r="F374" s="3">
        <v>13.853503180000001</v>
      </c>
      <c r="G374" s="2">
        <f t="shared" si="28"/>
        <v>150.73326237144946</v>
      </c>
      <c r="H374" s="2">
        <f t="shared" si="29"/>
        <v>31.770517857283473</v>
      </c>
      <c r="I374" s="2">
        <f t="shared" si="25"/>
        <v>5295.0863095472459</v>
      </c>
      <c r="J374" s="4">
        <f t="shared" si="27"/>
        <v>13.687728983777617</v>
      </c>
      <c r="K374" s="4">
        <f t="shared" si="26"/>
        <v>2281.2881639629363</v>
      </c>
      <c r="L374">
        <v>6</v>
      </c>
    </row>
    <row r="375" spans="1:12" x14ac:dyDescent="0.3">
      <c r="A375" t="s">
        <v>81</v>
      </c>
      <c r="B375" t="s">
        <v>47</v>
      </c>
      <c r="C375" s="4">
        <v>0.40238543599999999</v>
      </c>
      <c r="D375" s="4">
        <v>0.40883333300000002</v>
      </c>
      <c r="E375">
        <v>7</v>
      </c>
      <c r="F375" s="3">
        <v>14.10828025</v>
      </c>
      <c r="G375" s="2">
        <f t="shared" si="28"/>
        <v>156.32845558055743</v>
      </c>
      <c r="H375" s="2">
        <f t="shared" si="29"/>
        <v>32.921024189513865</v>
      </c>
      <c r="I375" s="2">
        <f t="shared" si="25"/>
        <v>5486.837364918978</v>
      </c>
      <c r="J375" s="4">
        <f t="shared" si="27"/>
        <v>13.862267504507232</v>
      </c>
      <c r="K375" s="4">
        <f t="shared" si="26"/>
        <v>2310.3779174178721</v>
      </c>
      <c r="L375">
        <v>6</v>
      </c>
    </row>
    <row r="376" spans="1:12" x14ac:dyDescent="0.3">
      <c r="A376" t="s">
        <v>81</v>
      </c>
      <c r="B376" t="s">
        <v>47</v>
      </c>
      <c r="C376" s="4">
        <v>0.40238543599999999</v>
      </c>
      <c r="D376" s="4">
        <v>0.40883333300000002</v>
      </c>
      <c r="E376">
        <v>8</v>
      </c>
      <c r="F376" s="3">
        <v>12.229299360000001</v>
      </c>
      <c r="G376" s="2">
        <f t="shared" si="28"/>
        <v>117.46082145728865</v>
      </c>
      <c r="H376" s="2">
        <f t="shared" si="29"/>
        <v>28.373176167205518</v>
      </c>
      <c r="I376" s="2">
        <f t="shared" si="25"/>
        <v>4728.862694534253</v>
      </c>
      <c r="J376" s="4">
        <f t="shared" si="27"/>
        <v>13.1732613594219</v>
      </c>
      <c r="K376" s="4">
        <f t="shared" si="26"/>
        <v>2195.54355990365</v>
      </c>
      <c r="L376">
        <v>6</v>
      </c>
    </row>
    <row r="377" spans="1:12" x14ac:dyDescent="0.3">
      <c r="A377" t="s">
        <v>81</v>
      </c>
      <c r="B377" t="s">
        <v>47</v>
      </c>
      <c r="C377" s="4">
        <v>0.40238543599999999</v>
      </c>
      <c r="D377" s="4">
        <v>0.40883333300000002</v>
      </c>
      <c r="E377">
        <v>8</v>
      </c>
      <c r="F377" s="3">
        <v>13.15286624</v>
      </c>
      <c r="G377" s="2">
        <f t="shared" si="28"/>
        <v>135.87222533471953</v>
      </c>
      <c r="H377" s="2">
        <f t="shared" si="29"/>
        <v>32.706035629090614</v>
      </c>
      <c r="I377" s="2">
        <f t="shared" si="25"/>
        <v>5451.0059381817691</v>
      </c>
      <c r="J377" s="4">
        <f t="shared" si="27"/>
        <v>13.829640929165288</v>
      </c>
      <c r="K377" s="4">
        <f t="shared" si="26"/>
        <v>2304.9401548608816</v>
      </c>
      <c r="L377">
        <v>6</v>
      </c>
    </row>
    <row r="378" spans="1:12" x14ac:dyDescent="0.3">
      <c r="A378" t="s">
        <v>81</v>
      </c>
      <c r="B378" t="s">
        <v>47</v>
      </c>
      <c r="C378" s="4">
        <v>0.40238543599999999</v>
      </c>
      <c r="D378" s="4">
        <v>0.40883333300000002</v>
      </c>
      <c r="E378">
        <v>8</v>
      </c>
      <c r="F378" s="3">
        <v>14.076433120000001</v>
      </c>
      <c r="G378" s="2">
        <f t="shared" si="28"/>
        <v>155.62348043709864</v>
      </c>
      <c r="H378" s="2">
        <f t="shared" si="29"/>
        <v>37.338569423258868</v>
      </c>
      <c r="I378" s="2">
        <f t="shared" si="25"/>
        <v>6223.0949038764775</v>
      </c>
      <c r="J378" s="4">
        <f t="shared" si="27"/>
        <v>14.533787142691324</v>
      </c>
      <c r="K378" s="4">
        <f t="shared" si="26"/>
        <v>2422.2978571152207</v>
      </c>
      <c r="L378">
        <v>6</v>
      </c>
    </row>
    <row r="379" spans="1:12" x14ac:dyDescent="0.3">
      <c r="A379" t="s">
        <v>81</v>
      </c>
      <c r="B379" t="s">
        <v>82</v>
      </c>
      <c r="C379" s="4">
        <v>0.46679999999999999</v>
      </c>
      <c r="D379" s="4">
        <v>0.81159999999999999</v>
      </c>
      <c r="E379">
        <v>8</v>
      </c>
      <c r="F379" s="3">
        <v>17.006369429999999</v>
      </c>
      <c r="G379" s="2">
        <f t="shared" si="28"/>
        <v>227.15018739839431</v>
      </c>
      <c r="H379" s="2">
        <f t="shared" si="29"/>
        <v>105.4635975523872</v>
      </c>
      <c r="I379" s="2">
        <f t="shared" si="25"/>
        <v>17577.266258731201</v>
      </c>
      <c r="J379" s="4">
        <f t="shared" si="27"/>
        <v>17.083764833309878</v>
      </c>
      <c r="K379" s="4">
        <f t="shared" si="26"/>
        <v>2847.2941388849795</v>
      </c>
      <c r="L379">
        <v>6</v>
      </c>
    </row>
    <row r="380" spans="1:12" x14ac:dyDescent="0.3">
      <c r="A380" t="s">
        <v>81</v>
      </c>
      <c r="B380" t="s">
        <v>82</v>
      </c>
      <c r="C380" s="4">
        <v>0.46679999999999999</v>
      </c>
      <c r="D380" s="4">
        <v>0.81159999999999999</v>
      </c>
      <c r="E380">
        <v>5</v>
      </c>
      <c r="F380" s="3">
        <v>14.58598726</v>
      </c>
      <c r="G380" s="2">
        <f t="shared" si="28"/>
        <v>167.09426378453796</v>
      </c>
      <c r="H380" s="2">
        <f t="shared" si="29"/>
        <v>49.400387759586074</v>
      </c>
      <c r="I380" s="2">
        <f t="shared" si="25"/>
        <v>8233.3979599310132</v>
      </c>
      <c r="J380" s="4">
        <f t="shared" si="27"/>
        <v>12.70884292610544</v>
      </c>
      <c r="K380" s="4">
        <f t="shared" si="26"/>
        <v>2118.1404876842403</v>
      </c>
      <c r="L380">
        <v>6</v>
      </c>
    </row>
    <row r="381" spans="1:12" x14ac:dyDescent="0.3">
      <c r="A381" t="s">
        <v>81</v>
      </c>
      <c r="B381" t="s">
        <v>82</v>
      </c>
      <c r="C381" s="4">
        <v>0.46679999999999999</v>
      </c>
      <c r="D381" s="4">
        <v>0.81159999999999999</v>
      </c>
      <c r="E381">
        <v>6</v>
      </c>
      <c r="F381" s="3">
        <v>4.9681528659999996</v>
      </c>
      <c r="G381" s="2">
        <f t="shared" si="28"/>
        <v>19.385623861594752</v>
      </c>
      <c r="H381" s="2">
        <f t="shared" si="29"/>
        <v>7.2107602660856314</v>
      </c>
      <c r="I381" s="2">
        <f t="shared" si="25"/>
        <v>1201.7933776809384</v>
      </c>
      <c r="J381" s="4">
        <f t="shared" si="27"/>
        <v>9.5040334008988232</v>
      </c>
      <c r="K381" s="4">
        <f t="shared" si="26"/>
        <v>1584.0055668164705</v>
      </c>
      <c r="L381">
        <v>6</v>
      </c>
    </row>
    <row r="382" spans="1:12" x14ac:dyDescent="0.3">
      <c r="A382" t="s">
        <v>83</v>
      </c>
      <c r="B382" t="s">
        <v>15</v>
      </c>
      <c r="C382" s="4">
        <v>0.47982689899999997</v>
      </c>
      <c r="D382" s="4">
        <v>0.51</v>
      </c>
      <c r="E382">
        <v>8</v>
      </c>
      <c r="F382" s="1">
        <v>10.350318471337578</v>
      </c>
      <c r="G382" s="2">
        <f t="shared" si="28"/>
        <v>84.138992463036487</v>
      </c>
      <c r="H382" s="2">
        <f t="shared" si="29"/>
        <v>25.421959996716282</v>
      </c>
      <c r="I382" s="2">
        <f t="shared" si="25"/>
        <v>4236.9933327860472</v>
      </c>
      <c r="J382" s="4">
        <f t="shared" si="27"/>
        <v>11.985314588827132</v>
      </c>
      <c r="K382" s="4">
        <f t="shared" si="26"/>
        <v>1997.5524314711886</v>
      </c>
      <c r="L382">
        <v>6</v>
      </c>
    </row>
    <row r="383" spans="1:12" x14ac:dyDescent="0.3">
      <c r="A383" t="s">
        <v>83</v>
      </c>
      <c r="B383" t="s">
        <v>15</v>
      </c>
      <c r="C383" s="4">
        <v>0.47982689899999997</v>
      </c>
      <c r="D383" s="4">
        <v>0.51</v>
      </c>
      <c r="E383">
        <v>8</v>
      </c>
      <c r="F383" s="1">
        <v>6.5605095541401273</v>
      </c>
      <c r="G383" s="2">
        <f t="shared" si="28"/>
        <v>33.803761270167257</v>
      </c>
      <c r="H383" s="2">
        <f t="shared" si="29"/>
        <v>10.439543890715761</v>
      </c>
      <c r="I383" s="2">
        <f t="shared" si="25"/>
        <v>1739.92398178596</v>
      </c>
      <c r="J383" s="4">
        <f t="shared" si="27"/>
        <v>10.190827997078989</v>
      </c>
      <c r="K383" s="4">
        <f t="shared" si="26"/>
        <v>1698.4713328464979</v>
      </c>
      <c r="L383">
        <v>6</v>
      </c>
    </row>
    <row r="384" spans="1:12" x14ac:dyDescent="0.3">
      <c r="A384" t="s">
        <v>83</v>
      </c>
      <c r="B384" t="s">
        <v>15</v>
      </c>
      <c r="C384" s="4">
        <v>0.47982689899999997</v>
      </c>
      <c r="D384" s="4">
        <v>0.51</v>
      </c>
      <c r="E384">
        <v>9</v>
      </c>
      <c r="F384" s="1">
        <v>10.414012738853504</v>
      </c>
      <c r="G384" s="2">
        <f t="shared" si="28"/>
        <v>85.177735622059473</v>
      </c>
      <c r="H384" s="2">
        <f t="shared" si="29"/>
        <v>28.86255579431289</v>
      </c>
      <c r="I384" s="2">
        <f t="shared" si="25"/>
        <v>4810.425965718815</v>
      </c>
      <c r="J384" s="4">
        <f t="shared" si="27"/>
        <v>12.401927331737596</v>
      </c>
      <c r="K384" s="4">
        <f t="shared" si="26"/>
        <v>2066.9878886229326</v>
      </c>
      <c r="L384">
        <v>6</v>
      </c>
    </row>
    <row r="385" spans="1:12" x14ac:dyDescent="0.3">
      <c r="A385" t="s">
        <v>83</v>
      </c>
      <c r="B385" t="s">
        <v>66</v>
      </c>
      <c r="C385" s="4">
        <v>0.62643652800000005</v>
      </c>
      <c r="D385" s="4">
        <v>0.57808694400000005</v>
      </c>
      <c r="E385">
        <v>5</v>
      </c>
      <c r="F385" s="1">
        <v>27.802547770700635</v>
      </c>
      <c r="G385" s="2">
        <f t="shared" si="28"/>
        <v>607.09837810046429</v>
      </c>
      <c r="H385" s="2">
        <f t="shared" si="29"/>
        <v>124.95920233962403</v>
      </c>
      <c r="I385" s="2">
        <f t="shared" si="25"/>
        <v>20826.53372327067</v>
      </c>
      <c r="J385" s="4">
        <f t="shared" si="27"/>
        <v>22.512879094486589</v>
      </c>
      <c r="K385" s="4">
        <f t="shared" si="26"/>
        <v>3752.1465157477651</v>
      </c>
      <c r="L385">
        <v>6</v>
      </c>
    </row>
    <row r="386" spans="1:12" x14ac:dyDescent="0.3">
      <c r="A386" t="s">
        <v>83</v>
      </c>
      <c r="B386" t="s">
        <v>66</v>
      </c>
      <c r="C386" s="4">
        <v>0.62643652800000005</v>
      </c>
      <c r="D386" s="4">
        <v>0.57808694400000005</v>
      </c>
      <c r="E386">
        <v>7</v>
      </c>
      <c r="F386" s="1">
        <v>61.942675159235669</v>
      </c>
      <c r="G386" s="2">
        <f t="shared" si="28"/>
        <v>3013.4902907690289</v>
      </c>
      <c r="H386" s="2">
        <f t="shared" si="29"/>
        <v>828.8968202676333</v>
      </c>
      <c r="I386" s="2">
        <f t="shared" ref="I386:I449" si="30">(H386*1000)/L386</f>
        <v>138149.47004460555</v>
      </c>
      <c r="J386" s="4">
        <f t="shared" si="27"/>
        <v>102.9896276441235</v>
      </c>
      <c r="K386" s="4">
        <f t="shared" ref="K386:K449" si="31">(J386*1000)/L386</f>
        <v>17164.93794068725</v>
      </c>
      <c r="L386">
        <v>6</v>
      </c>
    </row>
    <row r="387" spans="1:12" x14ac:dyDescent="0.3">
      <c r="A387" t="s">
        <v>83</v>
      </c>
      <c r="B387" t="s">
        <v>66</v>
      </c>
      <c r="C387" s="4">
        <v>0.62643652800000005</v>
      </c>
      <c r="D387" s="4">
        <v>0.57808694400000005</v>
      </c>
      <c r="E387">
        <v>7</v>
      </c>
      <c r="F387" s="1">
        <v>59.203821656050955</v>
      </c>
      <c r="G387" s="2">
        <f t="shared" si="28"/>
        <v>2752.8932110026135</v>
      </c>
      <c r="H387" s="2">
        <f t="shared" si="29"/>
        <v>758.86194083768464</v>
      </c>
      <c r="I387" s="2">
        <f t="shared" si="30"/>
        <v>126476.99013961411</v>
      </c>
      <c r="J387" s="4">
        <f t="shared" ref="J387:J450" si="32">8.9857 + 0.0035 * F387^2 * E387</f>
        <v>94.860466217696441</v>
      </c>
      <c r="K387" s="4">
        <f t="shared" si="31"/>
        <v>15810.077702949406</v>
      </c>
      <c r="L387">
        <v>6</v>
      </c>
    </row>
    <row r="388" spans="1:12" x14ac:dyDescent="0.3">
      <c r="A388" t="s">
        <v>83</v>
      </c>
      <c r="B388" t="s">
        <v>66</v>
      </c>
      <c r="C388" s="4">
        <v>0.62643652800000005</v>
      </c>
      <c r="D388" s="4">
        <v>0.57808694400000005</v>
      </c>
      <c r="E388">
        <v>7</v>
      </c>
      <c r="F388" s="1">
        <v>64.363057324840767</v>
      </c>
      <c r="G388" s="2">
        <f t="shared" ref="G388:G451" si="33">PI()*(F388/2)^2</f>
        <v>3253.5929042813473</v>
      </c>
      <c r="H388" s="2">
        <f t="shared" ref="H388:H451" si="34">0.0673 * ((D388 * F388^2 * E388)^0.976)</f>
        <v>893.29488529400498</v>
      </c>
      <c r="I388" s="2">
        <f t="shared" si="30"/>
        <v>148882.48088233417</v>
      </c>
      <c r="J388" s="4">
        <f t="shared" si="32"/>
        <v>110.47947713091808</v>
      </c>
      <c r="K388" s="4">
        <f t="shared" si="31"/>
        <v>18413.246188486348</v>
      </c>
      <c r="L388">
        <v>6</v>
      </c>
    </row>
    <row r="389" spans="1:12" x14ac:dyDescent="0.3">
      <c r="A389" t="s">
        <v>83</v>
      </c>
      <c r="B389" t="s">
        <v>66</v>
      </c>
      <c r="C389" s="4">
        <v>0.62643652800000005</v>
      </c>
      <c r="D389" s="4">
        <v>0.57808694400000005</v>
      </c>
      <c r="E389">
        <v>7</v>
      </c>
      <c r="F389" s="1">
        <v>34.617834394904456</v>
      </c>
      <c r="G389" s="2">
        <f t="shared" si="33"/>
        <v>941.21680649048585</v>
      </c>
      <c r="H389" s="2">
        <f t="shared" si="34"/>
        <v>266.22539093782513</v>
      </c>
      <c r="I389" s="2">
        <f t="shared" si="30"/>
        <v>44370.898489637526</v>
      </c>
      <c r="J389" s="4">
        <f t="shared" si="32"/>
        <v>38.346364225729239</v>
      </c>
      <c r="K389" s="4">
        <f t="shared" si="31"/>
        <v>6391.0607042882066</v>
      </c>
      <c r="L389">
        <v>6</v>
      </c>
    </row>
    <row r="390" spans="1:12" x14ac:dyDescent="0.3">
      <c r="A390" t="s">
        <v>83</v>
      </c>
      <c r="B390" t="s">
        <v>66</v>
      </c>
      <c r="C390" s="4">
        <v>0.62643652800000005</v>
      </c>
      <c r="D390" s="4">
        <v>0.57808694400000005</v>
      </c>
      <c r="E390">
        <v>7</v>
      </c>
      <c r="F390" s="1">
        <v>58.535031847133759</v>
      </c>
      <c r="G390" s="2">
        <f t="shared" si="33"/>
        <v>2691.0489605140669</v>
      </c>
      <c r="H390" s="2">
        <f t="shared" si="34"/>
        <v>742.21859928524566</v>
      </c>
      <c r="I390" s="2">
        <f t="shared" si="30"/>
        <v>123703.09988087427</v>
      </c>
      <c r="J390" s="4">
        <f t="shared" si="32"/>
        <v>92.931273856951591</v>
      </c>
      <c r="K390" s="4">
        <f t="shared" si="31"/>
        <v>15488.545642825266</v>
      </c>
      <c r="L390">
        <v>6</v>
      </c>
    </row>
    <row r="391" spans="1:12" x14ac:dyDescent="0.3">
      <c r="A391" t="s">
        <v>84</v>
      </c>
      <c r="B391" t="s">
        <v>69</v>
      </c>
      <c r="C391" s="4">
        <v>0.31264018999999998</v>
      </c>
      <c r="D391" s="4">
        <v>0.356821212</v>
      </c>
      <c r="E391">
        <v>5</v>
      </c>
      <c r="F391" s="1">
        <v>9.7133757961783438</v>
      </c>
      <c r="G391" s="2">
        <f t="shared" si="33"/>
        <v>74.102057030759482</v>
      </c>
      <c r="H391" s="2">
        <f t="shared" si="34"/>
        <v>10.017243941741139</v>
      </c>
      <c r="I391" s="2">
        <f t="shared" si="30"/>
        <v>1669.5406569568565</v>
      </c>
      <c r="J391" s="4">
        <f t="shared" si="32"/>
        <v>10.636819213761207</v>
      </c>
      <c r="K391" s="4">
        <f t="shared" si="31"/>
        <v>1772.8032022935347</v>
      </c>
      <c r="L391">
        <v>6</v>
      </c>
    </row>
    <row r="392" spans="1:12" x14ac:dyDescent="0.3">
      <c r="A392" t="s">
        <v>84</v>
      </c>
      <c r="B392" t="s">
        <v>85</v>
      </c>
      <c r="C392" s="4">
        <v>0.6</v>
      </c>
      <c r="D392" s="4">
        <v>0.66674999999999995</v>
      </c>
      <c r="E392">
        <v>8</v>
      </c>
      <c r="F392" s="1">
        <v>10.031847133757962</v>
      </c>
      <c r="G392" s="2">
        <f t="shared" si="33"/>
        <v>79.040866529181514</v>
      </c>
      <c r="H392" s="2">
        <f t="shared" si="34"/>
        <v>31.068074024936699</v>
      </c>
      <c r="I392" s="2">
        <f t="shared" si="30"/>
        <v>5178.0123374894501</v>
      </c>
      <c r="J392" s="4">
        <f t="shared" si="32"/>
        <v>11.80356279362246</v>
      </c>
      <c r="K392" s="4">
        <f t="shared" si="31"/>
        <v>1967.2604656037431</v>
      </c>
      <c r="L392">
        <v>6</v>
      </c>
    </row>
    <row r="393" spans="1:12" x14ac:dyDescent="0.3">
      <c r="A393" t="s">
        <v>84</v>
      </c>
      <c r="B393" t="s">
        <v>15</v>
      </c>
      <c r="C393" s="4">
        <v>0.47982689899999997</v>
      </c>
      <c r="D393" s="4">
        <v>0.51</v>
      </c>
      <c r="E393">
        <v>5</v>
      </c>
      <c r="F393" s="1">
        <v>4.0127388535031843</v>
      </c>
      <c r="G393" s="2">
        <f t="shared" si="33"/>
        <v>12.64653864466904</v>
      </c>
      <c r="H393" s="2">
        <f t="shared" si="34"/>
        <v>2.5276382067380969</v>
      </c>
      <c r="I393" s="2">
        <f t="shared" si="30"/>
        <v>421.27303445634948</v>
      </c>
      <c r="J393" s="4">
        <f t="shared" si="32"/>
        <v>9.2674862793622452</v>
      </c>
      <c r="K393" s="4">
        <f t="shared" si="31"/>
        <v>1544.5810465603743</v>
      </c>
      <c r="L393">
        <v>6</v>
      </c>
    </row>
    <row r="394" spans="1:12" x14ac:dyDescent="0.3">
      <c r="A394" t="s">
        <v>84</v>
      </c>
      <c r="B394" t="s">
        <v>15</v>
      </c>
      <c r="C394" s="4">
        <v>0.47982689899999997</v>
      </c>
      <c r="D394" s="4">
        <v>0.51</v>
      </c>
      <c r="E394">
        <v>4</v>
      </c>
      <c r="F394" s="1">
        <v>2.6751592356687897</v>
      </c>
      <c r="G394" s="2">
        <f t="shared" si="33"/>
        <v>5.6206838420751293</v>
      </c>
      <c r="H394" s="2">
        <f t="shared" si="34"/>
        <v>0.92129900257995967</v>
      </c>
      <c r="I394" s="2">
        <f t="shared" si="30"/>
        <v>153.5498337633266</v>
      </c>
      <c r="J394" s="4">
        <f t="shared" si="32"/>
        <v>9.0858906771065762</v>
      </c>
      <c r="K394" s="4">
        <f t="shared" si="31"/>
        <v>1514.315112851096</v>
      </c>
      <c r="L394">
        <v>6</v>
      </c>
    </row>
    <row r="395" spans="1:12" x14ac:dyDescent="0.3">
      <c r="A395" t="s">
        <v>84</v>
      </c>
      <c r="B395" t="s">
        <v>66</v>
      </c>
      <c r="C395" s="4">
        <v>0.62643652800000005</v>
      </c>
      <c r="D395" s="4">
        <v>0.57808694400000005</v>
      </c>
      <c r="E395">
        <v>6</v>
      </c>
      <c r="F395" s="1">
        <v>41.910828025477706</v>
      </c>
      <c r="G395" s="2">
        <f t="shared" si="33"/>
        <v>1379.5656230159957</v>
      </c>
      <c r="H395" s="2">
        <f t="shared" si="34"/>
        <v>332.64180805887514</v>
      </c>
      <c r="I395" s="2">
        <f t="shared" si="30"/>
        <v>55440.30134314586</v>
      </c>
      <c r="J395" s="4">
        <f t="shared" si="32"/>
        <v>45.872567621404521</v>
      </c>
      <c r="K395" s="4">
        <f t="shared" si="31"/>
        <v>7645.4279369007536</v>
      </c>
      <c r="L395">
        <v>6</v>
      </c>
    </row>
    <row r="396" spans="1:12" x14ac:dyDescent="0.3">
      <c r="A396" t="s">
        <v>84</v>
      </c>
      <c r="B396" t="s">
        <v>66</v>
      </c>
      <c r="C396" s="4">
        <v>0.62643652800000005</v>
      </c>
      <c r="D396" s="4">
        <v>0.57808694400000005</v>
      </c>
      <c r="E396">
        <v>6</v>
      </c>
      <c r="F396" s="1">
        <v>45.859872611464965</v>
      </c>
      <c r="G396" s="2">
        <f t="shared" si="33"/>
        <v>1651.7928025690176</v>
      </c>
      <c r="H396" s="2">
        <f t="shared" si="34"/>
        <v>396.56366651622477</v>
      </c>
      <c r="I396" s="2">
        <f t="shared" si="30"/>
        <v>66093.944419370804</v>
      </c>
      <c r="J396" s="4">
        <f t="shared" si="32"/>
        <v>53.151386234735689</v>
      </c>
      <c r="K396" s="4">
        <f t="shared" si="31"/>
        <v>8858.5643724559486</v>
      </c>
      <c r="L396">
        <v>6</v>
      </c>
    </row>
    <row r="397" spans="1:12" x14ac:dyDescent="0.3">
      <c r="A397" t="s">
        <v>84</v>
      </c>
      <c r="B397" t="s">
        <v>66</v>
      </c>
      <c r="C397" s="4">
        <v>0.62643652800000005</v>
      </c>
      <c r="D397" s="4">
        <v>0.57808694400000005</v>
      </c>
      <c r="E397">
        <v>6</v>
      </c>
      <c r="F397" s="1">
        <v>58.152866242038222</v>
      </c>
      <c r="G397" s="2">
        <f t="shared" si="33"/>
        <v>2656.0248353484835</v>
      </c>
      <c r="H397" s="2">
        <f t="shared" si="34"/>
        <v>630.43286613538851</v>
      </c>
      <c r="I397" s="2">
        <f t="shared" si="30"/>
        <v>105072.14435589808</v>
      </c>
      <c r="J397" s="4">
        <f t="shared" si="32"/>
        <v>80.002572895452161</v>
      </c>
      <c r="K397" s="4">
        <f t="shared" si="31"/>
        <v>13333.762149242028</v>
      </c>
      <c r="L397">
        <v>6</v>
      </c>
    </row>
    <row r="398" spans="1:12" x14ac:dyDescent="0.3">
      <c r="A398" t="s">
        <v>84</v>
      </c>
      <c r="B398" t="s">
        <v>66</v>
      </c>
      <c r="C398" s="4">
        <v>0.62643652800000005</v>
      </c>
      <c r="D398" s="4">
        <v>0.57808694400000005</v>
      </c>
      <c r="E398">
        <v>7</v>
      </c>
      <c r="F398" s="1">
        <v>52.133757961783431</v>
      </c>
      <c r="G398" s="2">
        <f t="shared" si="33"/>
        <v>2134.6562243188523</v>
      </c>
      <c r="H398" s="2">
        <f t="shared" si="34"/>
        <v>592.04187531820583</v>
      </c>
      <c r="I398" s="2">
        <f t="shared" si="30"/>
        <v>98673.645886367638</v>
      </c>
      <c r="J398" s="4">
        <f t="shared" si="32"/>
        <v>75.57495362083651</v>
      </c>
      <c r="K398" s="4">
        <f t="shared" si="31"/>
        <v>12595.825603472753</v>
      </c>
      <c r="L398">
        <v>6</v>
      </c>
    </row>
    <row r="399" spans="1:12" x14ac:dyDescent="0.3">
      <c r="A399" t="s">
        <v>84</v>
      </c>
      <c r="B399" t="s">
        <v>66</v>
      </c>
      <c r="C399" s="4">
        <v>0.62643652800000005</v>
      </c>
      <c r="D399" s="4">
        <v>0.57808694400000005</v>
      </c>
      <c r="E399">
        <v>7</v>
      </c>
      <c r="F399" s="1">
        <v>68.184713375796179</v>
      </c>
      <c r="G399" s="2">
        <f t="shared" si="33"/>
        <v>3651.4379068445564</v>
      </c>
      <c r="H399" s="2">
        <f t="shared" si="34"/>
        <v>999.75397130367901</v>
      </c>
      <c r="I399" s="2">
        <f t="shared" si="30"/>
        <v>166625.66188394651</v>
      </c>
      <c r="J399" s="4">
        <f t="shared" si="32"/>
        <v>122.8900008844172</v>
      </c>
      <c r="K399" s="4">
        <f t="shared" si="31"/>
        <v>20481.666814069536</v>
      </c>
      <c r="L399">
        <v>6</v>
      </c>
    </row>
    <row r="400" spans="1:12" x14ac:dyDescent="0.3">
      <c r="A400" t="s">
        <v>84</v>
      </c>
      <c r="B400" t="s">
        <v>66</v>
      </c>
      <c r="C400" s="4">
        <v>0.62643652800000005</v>
      </c>
      <c r="D400" s="4">
        <v>0.57808694400000005</v>
      </c>
      <c r="E400">
        <v>6</v>
      </c>
      <c r="F400" s="1">
        <v>48.089171974522294</v>
      </c>
      <c r="G400" s="2">
        <f t="shared" si="33"/>
        <v>1816.2870221535579</v>
      </c>
      <c r="H400" s="2">
        <f t="shared" si="34"/>
        <v>435.06318793683613</v>
      </c>
      <c r="I400" s="2">
        <f t="shared" si="30"/>
        <v>72510.531322806026</v>
      </c>
      <c r="J400" s="4">
        <f t="shared" si="32"/>
        <v>57.549637685098794</v>
      </c>
      <c r="K400" s="4">
        <f t="shared" si="31"/>
        <v>9591.6062808497991</v>
      </c>
      <c r="L400">
        <v>6</v>
      </c>
    </row>
    <row r="401" spans="1:12" x14ac:dyDescent="0.3">
      <c r="A401" t="s">
        <v>84</v>
      </c>
      <c r="B401" t="s">
        <v>66</v>
      </c>
      <c r="C401" s="4">
        <v>0.62643652800000005</v>
      </c>
      <c r="D401" s="4">
        <v>0.57808694400000005</v>
      </c>
      <c r="E401">
        <v>6</v>
      </c>
      <c r="F401" s="1">
        <v>52.738853503184707</v>
      </c>
      <c r="G401" s="2">
        <f t="shared" si="33"/>
        <v>2184.4959813975256</v>
      </c>
      <c r="H401" s="2">
        <f t="shared" si="34"/>
        <v>520.94887638091745</v>
      </c>
      <c r="I401" s="2">
        <f t="shared" si="30"/>
        <v>86824.812730152902</v>
      </c>
      <c r="J401" s="4">
        <f t="shared" si="32"/>
        <v>67.394820045437939</v>
      </c>
      <c r="K401" s="4">
        <f t="shared" si="31"/>
        <v>11232.470007572991</v>
      </c>
      <c r="L401">
        <v>6</v>
      </c>
    </row>
    <row r="402" spans="1:12" x14ac:dyDescent="0.3">
      <c r="A402" t="s">
        <v>84</v>
      </c>
      <c r="B402" t="s">
        <v>66</v>
      </c>
      <c r="C402" s="4">
        <v>0.62643652800000005</v>
      </c>
      <c r="D402" s="4">
        <v>0.57808694400000005</v>
      </c>
      <c r="E402">
        <v>6.5</v>
      </c>
      <c r="F402" s="1">
        <v>38.726114649681527</v>
      </c>
      <c r="G402" s="2">
        <f t="shared" si="33"/>
        <v>1177.8710157578575</v>
      </c>
      <c r="H402" s="2">
        <f t="shared" si="34"/>
        <v>308.25312686477821</v>
      </c>
      <c r="I402" s="2">
        <f t="shared" si="30"/>
        <v>51375.521144129707</v>
      </c>
      <c r="J402" s="4">
        <f t="shared" si="32"/>
        <v>43.104146995821331</v>
      </c>
      <c r="K402" s="4">
        <f t="shared" si="31"/>
        <v>7184.0244993035558</v>
      </c>
      <c r="L402">
        <v>6</v>
      </c>
    </row>
    <row r="403" spans="1:12" x14ac:dyDescent="0.3">
      <c r="A403" t="s">
        <v>84</v>
      </c>
      <c r="B403" t="s">
        <v>66</v>
      </c>
      <c r="C403" s="4">
        <v>0.62643652800000005</v>
      </c>
      <c r="D403" s="4">
        <v>0.57808694400000005</v>
      </c>
      <c r="E403">
        <v>5</v>
      </c>
      <c r="F403" s="1">
        <v>45.859872611464965</v>
      </c>
      <c r="G403" s="2">
        <f t="shared" si="33"/>
        <v>1651.7928025690176</v>
      </c>
      <c r="H403" s="2">
        <f t="shared" si="34"/>
        <v>331.91893255315193</v>
      </c>
      <c r="I403" s="2">
        <f t="shared" si="30"/>
        <v>55319.822092191986</v>
      </c>
      <c r="J403" s="4">
        <f t="shared" si="32"/>
        <v>45.790438528946403</v>
      </c>
      <c r="K403" s="4">
        <f t="shared" si="31"/>
        <v>7631.7397548244007</v>
      </c>
      <c r="L403">
        <v>6</v>
      </c>
    </row>
    <row r="404" spans="1:12" x14ac:dyDescent="0.3">
      <c r="A404" t="s">
        <v>84</v>
      </c>
      <c r="B404" t="s">
        <v>56</v>
      </c>
      <c r="C404" s="4">
        <v>0.39984676499999999</v>
      </c>
      <c r="D404" s="4">
        <v>0.450333333</v>
      </c>
      <c r="E404">
        <v>10</v>
      </c>
      <c r="F404" s="1">
        <v>15.35031847133758</v>
      </c>
      <c r="G404" s="2">
        <f t="shared" si="33"/>
        <v>185.06515772764493</v>
      </c>
      <c r="H404" s="2">
        <f t="shared" si="34"/>
        <v>60.417880457086518</v>
      </c>
      <c r="I404" s="2">
        <f t="shared" si="30"/>
        <v>10069.646742847754</v>
      </c>
      <c r="J404" s="4">
        <f t="shared" si="32"/>
        <v>17.232829701002068</v>
      </c>
      <c r="K404" s="4">
        <f t="shared" si="31"/>
        <v>2872.1382835003446</v>
      </c>
      <c r="L404">
        <v>6</v>
      </c>
    </row>
    <row r="405" spans="1:12" x14ac:dyDescent="0.3">
      <c r="A405" t="s">
        <v>84</v>
      </c>
      <c r="B405" t="s">
        <v>56</v>
      </c>
      <c r="C405" s="4">
        <v>0.39984676499999999</v>
      </c>
      <c r="D405" s="4">
        <v>0.450333333</v>
      </c>
      <c r="E405">
        <v>10</v>
      </c>
      <c r="F405" s="1">
        <v>50.222929936305725</v>
      </c>
      <c r="G405" s="2">
        <f t="shared" si="33"/>
        <v>1981.0433172743847</v>
      </c>
      <c r="H405" s="2">
        <f t="shared" si="34"/>
        <v>610.97738067478883</v>
      </c>
      <c r="I405" s="2">
        <f t="shared" si="30"/>
        <v>101829.56344579814</v>
      </c>
      <c r="J405" s="4">
        <f t="shared" si="32"/>
        <v>97.267694198547574</v>
      </c>
      <c r="K405" s="4">
        <f t="shared" si="31"/>
        <v>16211.282366424595</v>
      </c>
      <c r="L405">
        <v>6</v>
      </c>
    </row>
    <row r="406" spans="1:12" x14ac:dyDescent="0.3">
      <c r="A406" t="s">
        <v>84</v>
      </c>
      <c r="B406" t="s">
        <v>56</v>
      </c>
      <c r="C406" s="4">
        <v>0.39984676499999999</v>
      </c>
      <c r="D406" s="4">
        <v>0.450333333</v>
      </c>
      <c r="E406">
        <v>12</v>
      </c>
      <c r="F406" s="1">
        <v>24.044585987261147</v>
      </c>
      <c r="G406" s="2">
        <f t="shared" si="33"/>
        <v>454.07175553838948</v>
      </c>
      <c r="H406" s="2">
        <f t="shared" si="34"/>
        <v>173.33689495737727</v>
      </c>
      <c r="I406" s="2">
        <f t="shared" si="30"/>
        <v>28889.482492896208</v>
      </c>
      <c r="J406" s="4">
        <f t="shared" si="32"/>
        <v>33.267668842549398</v>
      </c>
      <c r="K406" s="4">
        <f t="shared" si="31"/>
        <v>5544.6114737582329</v>
      </c>
      <c r="L406">
        <v>6</v>
      </c>
    </row>
    <row r="407" spans="1:12" x14ac:dyDescent="0.3">
      <c r="A407" t="s">
        <v>84</v>
      </c>
      <c r="B407" t="s">
        <v>78</v>
      </c>
      <c r="C407" s="4">
        <v>0.43538739399999998</v>
      </c>
      <c r="D407" s="4">
        <v>0.568333333</v>
      </c>
      <c r="E407">
        <v>5</v>
      </c>
      <c r="F407" s="1">
        <v>14.840764331210188</v>
      </c>
      <c r="G407" s="2">
        <f t="shared" si="33"/>
        <v>172.98259926440852</v>
      </c>
      <c r="H407" s="2">
        <f t="shared" si="34"/>
        <v>36.089850088210476</v>
      </c>
      <c r="I407" s="2">
        <f t="shared" si="30"/>
        <v>6014.9750147017467</v>
      </c>
      <c r="J407" s="4">
        <f t="shared" si="32"/>
        <v>12.84004500385411</v>
      </c>
      <c r="K407" s="4">
        <f t="shared" si="31"/>
        <v>2140.0075006423517</v>
      </c>
      <c r="L407">
        <v>6</v>
      </c>
    </row>
    <row r="408" spans="1:12" x14ac:dyDescent="0.3">
      <c r="A408" t="s">
        <v>84</v>
      </c>
      <c r="B408" t="s">
        <v>22</v>
      </c>
      <c r="C408" s="4">
        <v>0.43836446099999998</v>
      </c>
      <c r="D408" s="4">
        <v>0.58666666700000003</v>
      </c>
      <c r="E408">
        <v>7</v>
      </c>
      <c r="F408" s="1">
        <v>10.085987261146498</v>
      </c>
      <c r="G408" s="2">
        <f t="shared" si="33"/>
        <v>79.896308163417089</v>
      </c>
      <c r="H408" s="2">
        <f t="shared" si="34"/>
        <v>24.324230901202633</v>
      </c>
      <c r="I408" s="2">
        <f t="shared" si="30"/>
        <v>4054.0384835337718</v>
      </c>
      <c r="J408" s="4">
        <f t="shared" si="32"/>
        <v>11.47801490628423</v>
      </c>
      <c r="K408" s="4">
        <f t="shared" si="31"/>
        <v>1913.002484380705</v>
      </c>
      <c r="L408">
        <v>6</v>
      </c>
    </row>
    <row r="409" spans="1:12" x14ac:dyDescent="0.3">
      <c r="A409" t="s">
        <v>84</v>
      </c>
      <c r="B409" t="s">
        <v>22</v>
      </c>
      <c r="C409" s="4">
        <v>0.43836446099999998</v>
      </c>
      <c r="D409" s="4">
        <v>0.58666666700000003</v>
      </c>
      <c r="E409">
        <v>4</v>
      </c>
      <c r="F409" s="1">
        <v>5.6050955414012744</v>
      </c>
      <c r="G409" s="2">
        <f t="shared" si="33"/>
        <v>24.674929519858171</v>
      </c>
      <c r="H409" s="2">
        <f t="shared" si="34"/>
        <v>4.4751715666800909</v>
      </c>
      <c r="I409" s="2">
        <f t="shared" si="30"/>
        <v>745.86192778001521</v>
      </c>
      <c r="J409" s="4">
        <f t="shared" si="32"/>
        <v>9.4255393443953093</v>
      </c>
      <c r="K409" s="4">
        <f t="shared" si="31"/>
        <v>1570.9232240658848</v>
      </c>
      <c r="L409">
        <v>6</v>
      </c>
    </row>
    <row r="410" spans="1:12" x14ac:dyDescent="0.3">
      <c r="A410" t="s">
        <v>84</v>
      </c>
      <c r="B410" t="s">
        <v>47</v>
      </c>
      <c r="C410" s="4">
        <v>0.40238543599999999</v>
      </c>
      <c r="D410" s="4">
        <v>0.40883333300000002</v>
      </c>
      <c r="E410">
        <v>9</v>
      </c>
      <c r="F410" s="1">
        <v>10.031847133757962</v>
      </c>
      <c r="G410" s="2">
        <f t="shared" si="33"/>
        <v>79.040866529181514</v>
      </c>
      <c r="H410" s="2">
        <f t="shared" si="34"/>
        <v>21.62322501710204</v>
      </c>
      <c r="I410" s="2">
        <f t="shared" si="30"/>
        <v>3603.870836183673</v>
      </c>
      <c r="J410" s="4">
        <f t="shared" si="32"/>
        <v>12.155795642825266</v>
      </c>
      <c r="K410" s="4">
        <f t="shared" si="31"/>
        <v>2025.9659404708775</v>
      </c>
      <c r="L410">
        <v>6</v>
      </c>
    </row>
    <row r="411" spans="1:12" x14ac:dyDescent="0.3">
      <c r="A411" t="s">
        <v>84</v>
      </c>
      <c r="B411" t="s">
        <v>47</v>
      </c>
      <c r="C411" s="4">
        <v>0.40238543599999999</v>
      </c>
      <c r="D411" s="4">
        <v>0.40883333300000002</v>
      </c>
      <c r="E411">
        <v>8</v>
      </c>
      <c r="F411" s="1">
        <v>4.9044585987261149</v>
      </c>
      <c r="G411" s="2">
        <f t="shared" si="33"/>
        <v>18.891742913641409</v>
      </c>
      <c r="H411" s="2">
        <f t="shared" si="34"/>
        <v>4.767973707772156</v>
      </c>
      <c r="I411" s="2">
        <f t="shared" si="30"/>
        <v>794.66228462869265</v>
      </c>
      <c r="J411" s="4">
        <f t="shared" si="32"/>
        <v>9.6592039961053189</v>
      </c>
      <c r="K411" s="4">
        <f t="shared" si="31"/>
        <v>1609.8673326842199</v>
      </c>
      <c r="L411">
        <v>6</v>
      </c>
    </row>
    <row r="412" spans="1:12" x14ac:dyDescent="0.3">
      <c r="A412" t="s">
        <v>84</v>
      </c>
      <c r="B412" t="s">
        <v>47</v>
      </c>
      <c r="C412" s="4">
        <v>0.40238543599999999</v>
      </c>
      <c r="D412" s="4">
        <v>0.40883333300000002</v>
      </c>
      <c r="E412">
        <v>8.5</v>
      </c>
      <c r="F412" s="1">
        <v>10.859872611464969</v>
      </c>
      <c r="G412" s="2">
        <f t="shared" si="33"/>
        <v>92.627372142905088</v>
      </c>
      <c r="H412" s="2">
        <f t="shared" si="34"/>
        <v>23.874099349573637</v>
      </c>
      <c r="I412" s="2">
        <f t="shared" si="30"/>
        <v>3979.0165582622726</v>
      </c>
      <c r="J412" s="4">
        <f t="shared" si="32"/>
        <v>12.494320785833096</v>
      </c>
      <c r="K412" s="4">
        <f t="shared" si="31"/>
        <v>2082.3867976388497</v>
      </c>
      <c r="L412">
        <v>6</v>
      </c>
    </row>
    <row r="413" spans="1:12" x14ac:dyDescent="0.3">
      <c r="A413" t="s">
        <v>84</v>
      </c>
      <c r="B413" t="s">
        <v>47</v>
      </c>
      <c r="C413" s="4">
        <v>0.40238543599999999</v>
      </c>
      <c r="D413" s="4">
        <v>0.40883333300000002</v>
      </c>
      <c r="E413">
        <v>8</v>
      </c>
      <c r="F413" s="1">
        <v>16.305732484076433</v>
      </c>
      <c r="G413" s="2">
        <f t="shared" si="33"/>
        <v>208.81923825070052</v>
      </c>
      <c r="H413" s="2">
        <f t="shared" si="34"/>
        <v>49.749459717905232</v>
      </c>
      <c r="I413" s="2">
        <f t="shared" si="30"/>
        <v>8291.5766196508721</v>
      </c>
      <c r="J413" s="4">
        <f t="shared" si="32"/>
        <v>16.430253531583432</v>
      </c>
      <c r="K413" s="4">
        <f t="shared" si="31"/>
        <v>2738.3755885972387</v>
      </c>
      <c r="L413">
        <v>6</v>
      </c>
    </row>
    <row r="414" spans="1:12" x14ac:dyDescent="0.3">
      <c r="A414" t="s">
        <v>84</v>
      </c>
      <c r="B414" t="s">
        <v>47</v>
      </c>
      <c r="C414" s="4">
        <v>0.40238543599999999</v>
      </c>
      <c r="D414" s="4">
        <v>0.40883333300000002</v>
      </c>
      <c r="E414">
        <v>8</v>
      </c>
      <c r="F414" s="1">
        <v>11.146496815286623</v>
      </c>
      <c r="G414" s="2">
        <f t="shared" si="33"/>
        <v>97.581316702693215</v>
      </c>
      <c r="H414" s="2">
        <f t="shared" si="34"/>
        <v>23.6763214334803</v>
      </c>
      <c r="I414" s="2">
        <f t="shared" si="30"/>
        <v>3946.0535722467171</v>
      </c>
      <c r="J414" s="4">
        <f t="shared" si="32"/>
        <v>12.464542955089454</v>
      </c>
      <c r="K414" s="4">
        <f t="shared" si="31"/>
        <v>2077.4238258482424</v>
      </c>
      <c r="L414">
        <v>6</v>
      </c>
    </row>
    <row r="415" spans="1:12" x14ac:dyDescent="0.3">
      <c r="A415" t="s">
        <v>86</v>
      </c>
      <c r="B415" t="s">
        <v>69</v>
      </c>
      <c r="C415" s="4">
        <v>0.31264018999999998</v>
      </c>
      <c r="D415" s="4">
        <v>0.356821212</v>
      </c>
      <c r="E415">
        <v>6</v>
      </c>
      <c r="F415" s="1">
        <v>12.898089171974522</v>
      </c>
      <c r="G415" s="2">
        <f t="shared" si="33"/>
        <v>130.65939160946331</v>
      </c>
      <c r="H415" s="2">
        <f t="shared" si="34"/>
        <v>20.817475632398985</v>
      </c>
      <c r="I415" s="2">
        <f t="shared" si="30"/>
        <v>3469.5792720664977</v>
      </c>
      <c r="J415" s="4">
        <f t="shared" si="32"/>
        <v>12.479274790052335</v>
      </c>
      <c r="K415" s="4">
        <f t="shared" si="31"/>
        <v>2079.8791316753891</v>
      </c>
      <c r="L415">
        <v>6</v>
      </c>
    </row>
    <row r="416" spans="1:12" x14ac:dyDescent="0.3">
      <c r="A416" t="s">
        <v>86</v>
      </c>
      <c r="B416" t="s">
        <v>69</v>
      </c>
      <c r="C416" s="4">
        <v>0.31264018999999998</v>
      </c>
      <c r="D416" s="4">
        <v>0.356821212</v>
      </c>
      <c r="E416">
        <v>4.5</v>
      </c>
      <c r="F416" s="1">
        <v>5.8917197452229297</v>
      </c>
      <c r="G416" s="2">
        <f t="shared" si="33"/>
        <v>27.263025013466741</v>
      </c>
      <c r="H416" s="2">
        <f t="shared" si="34"/>
        <v>3.4060801754594729</v>
      </c>
      <c r="I416" s="2">
        <f t="shared" si="30"/>
        <v>567.68002924324549</v>
      </c>
      <c r="J416" s="4">
        <f t="shared" si="32"/>
        <v>9.5324196945109332</v>
      </c>
      <c r="K416" s="4">
        <f t="shared" si="31"/>
        <v>1588.736615751822</v>
      </c>
      <c r="L416">
        <v>6</v>
      </c>
    </row>
    <row r="417" spans="1:12" x14ac:dyDescent="0.3">
      <c r="A417" t="s">
        <v>86</v>
      </c>
      <c r="B417" t="s">
        <v>69</v>
      </c>
      <c r="C417" s="4">
        <v>0.31264018999999998</v>
      </c>
      <c r="D417" s="4">
        <v>0.356821212</v>
      </c>
      <c r="E417">
        <v>6</v>
      </c>
      <c r="F417" s="1">
        <v>13.821656050955413</v>
      </c>
      <c r="G417" s="2">
        <f t="shared" si="33"/>
        <v>150.04103256206108</v>
      </c>
      <c r="H417" s="2">
        <f t="shared" si="34"/>
        <v>23.826256435556235</v>
      </c>
      <c r="I417" s="2">
        <f t="shared" si="30"/>
        <v>3971.0427392593724</v>
      </c>
      <c r="J417" s="4">
        <f t="shared" si="32"/>
        <v>12.997501695809159</v>
      </c>
      <c r="K417" s="4">
        <f t="shared" si="31"/>
        <v>2166.25028263486</v>
      </c>
      <c r="L417">
        <v>6</v>
      </c>
    </row>
    <row r="418" spans="1:12" x14ac:dyDescent="0.3">
      <c r="A418" t="s">
        <v>86</v>
      </c>
      <c r="B418" t="s">
        <v>85</v>
      </c>
      <c r="C418" s="4">
        <v>0.6</v>
      </c>
      <c r="D418" s="4">
        <v>0.66674999999999995</v>
      </c>
      <c r="E418">
        <v>6</v>
      </c>
      <c r="F418" s="1">
        <v>9.7770700636942678</v>
      </c>
      <c r="G418" s="2">
        <f t="shared" si="33"/>
        <v>75.077073615609251</v>
      </c>
      <c r="H418" s="2">
        <f t="shared" si="34"/>
        <v>22.313414458151563</v>
      </c>
      <c r="I418" s="2">
        <f t="shared" si="30"/>
        <v>3718.902409691927</v>
      </c>
      <c r="J418" s="4">
        <f t="shared" si="32"/>
        <v>10.993113079638119</v>
      </c>
      <c r="K418" s="4">
        <f t="shared" si="31"/>
        <v>1832.1855132730198</v>
      </c>
      <c r="L418">
        <v>6</v>
      </c>
    </row>
    <row r="419" spans="1:12" x14ac:dyDescent="0.3">
      <c r="A419" t="s">
        <v>86</v>
      </c>
      <c r="B419" t="s">
        <v>85</v>
      </c>
      <c r="C419" s="4">
        <v>0.6</v>
      </c>
      <c r="D419" s="4">
        <v>0.66674999999999995</v>
      </c>
      <c r="E419">
        <v>5</v>
      </c>
      <c r="F419" s="1">
        <v>23.662420382165603</v>
      </c>
      <c r="G419" s="2">
        <f t="shared" si="33"/>
        <v>439.75239432167416</v>
      </c>
      <c r="H419" s="2">
        <f t="shared" si="34"/>
        <v>104.84825133036051</v>
      </c>
      <c r="I419" s="2">
        <f t="shared" si="30"/>
        <v>17474.708555060086</v>
      </c>
      <c r="J419" s="4">
        <f t="shared" si="32"/>
        <v>18.784127420990707</v>
      </c>
      <c r="K419" s="4">
        <f t="shared" si="31"/>
        <v>3130.6879034984509</v>
      </c>
      <c r="L419">
        <v>6</v>
      </c>
    </row>
    <row r="420" spans="1:12" x14ac:dyDescent="0.3">
      <c r="A420" t="s">
        <v>86</v>
      </c>
      <c r="B420" t="s">
        <v>87</v>
      </c>
      <c r="C420" s="4">
        <v>0.59</v>
      </c>
      <c r="D420" s="4">
        <v>0.59</v>
      </c>
      <c r="E420">
        <v>6</v>
      </c>
      <c r="F420" s="1">
        <v>12.738853503184712</v>
      </c>
      <c r="G420" s="2">
        <f t="shared" si="33"/>
        <v>127.4531483463748</v>
      </c>
      <c r="H420" s="2">
        <f t="shared" si="34"/>
        <v>33.193777456567091</v>
      </c>
      <c r="I420" s="2">
        <f t="shared" si="30"/>
        <v>5532.2962427611819</v>
      </c>
      <c r="J420" s="4">
        <f t="shared" si="32"/>
        <v>12.393546160087629</v>
      </c>
      <c r="K420" s="4">
        <f t="shared" si="31"/>
        <v>2065.5910266812716</v>
      </c>
      <c r="L420">
        <v>6</v>
      </c>
    </row>
    <row r="421" spans="1:12" x14ac:dyDescent="0.3">
      <c r="A421" t="s">
        <v>86</v>
      </c>
      <c r="B421" t="s">
        <v>15</v>
      </c>
      <c r="C421" s="4">
        <v>0.47982689899999997</v>
      </c>
      <c r="D421" s="4">
        <v>0.51</v>
      </c>
      <c r="E421">
        <v>6</v>
      </c>
      <c r="F421" s="1">
        <v>11.337579617834395</v>
      </c>
      <c r="G421" s="2">
        <f t="shared" si="33"/>
        <v>100.9556388051635</v>
      </c>
      <c r="H421" s="2">
        <f t="shared" si="34"/>
        <v>22.935219426047357</v>
      </c>
      <c r="I421" s="2">
        <f t="shared" si="30"/>
        <v>3822.5365710078931</v>
      </c>
      <c r="J421" s="4">
        <f t="shared" si="32"/>
        <v>11.685054943405412</v>
      </c>
      <c r="K421" s="4">
        <f t="shared" si="31"/>
        <v>1947.5091572342353</v>
      </c>
      <c r="L421">
        <v>6</v>
      </c>
    </row>
    <row r="422" spans="1:12" x14ac:dyDescent="0.3">
      <c r="A422" t="s">
        <v>86</v>
      </c>
      <c r="B422" t="s">
        <v>15</v>
      </c>
      <c r="C422" s="4">
        <v>0.47982689899999997</v>
      </c>
      <c r="D422" s="4">
        <v>0.51</v>
      </c>
      <c r="E422">
        <v>8</v>
      </c>
      <c r="F422" s="1">
        <v>15.254777070063692</v>
      </c>
      <c r="G422" s="2">
        <f t="shared" si="33"/>
        <v>182.76861131087861</v>
      </c>
      <c r="H422" s="2">
        <f t="shared" si="34"/>
        <v>54.203537700377417</v>
      </c>
      <c r="I422" s="2">
        <f t="shared" si="30"/>
        <v>9033.9229500629026</v>
      </c>
      <c r="J422" s="4">
        <f t="shared" si="32"/>
        <v>15.501530256805548</v>
      </c>
      <c r="K422" s="4">
        <f t="shared" si="31"/>
        <v>2583.5883761342579</v>
      </c>
      <c r="L422">
        <v>6</v>
      </c>
    </row>
    <row r="423" spans="1:12" x14ac:dyDescent="0.3">
      <c r="A423" t="s">
        <v>86</v>
      </c>
      <c r="B423" t="s">
        <v>55</v>
      </c>
      <c r="C423" s="4">
        <v>0.52500000000000002</v>
      </c>
      <c r="D423" s="4">
        <v>0.52500000000000002</v>
      </c>
      <c r="E423">
        <v>8</v>
      </c>
      <c r="F423" s="1">
        <v>18.089171974522291</v>
      </c>
      <c r="G423" s="2">
        <f t="shared" si="33"/>
        <v>256.99652832563015</v>
      </c>
      <c r="H423" s="2">
        <f t="shared" si="34"/>
        <v>77.765621984808689</v>
      </c>
      <c r="I423" s="2">
        <f t="shared" si="30"/>
        <v>12960.936997468116</v>
      </c>
      <c r="J423" s="4">
        <f t="shared" si="32"/>
        <v>18.147807996267595</v>
      </c>
      <c r="K423" s="4">
        <f t="shared" si="31"/>
        <v>3024.6346660445993</v>
      </c>
      <c r="L423">
        <v>6</v>
      </c>
    </row>
    <row r="424" spans="1:12" x14ac:dyDescent="0.3">
      <c r="A424" t="s">
        <v>86</v>
      </c>
      <c r="B424" t="s">
        <v>55</v>
      </c>
      <c r="C424" s="4">
        <v>0.52500000000000002</v>
      </c>
      <c r="D424" s="4">
        <v>0.52500000000000002</v>
      </c>
      <c r="E424">
        <v>8</v>
      </c>
      <c r="F424" s="1">
        <v>16.337579617834393</v>
      </c>
      <c r="G424" s="2">
        <f t="shared" si="33"/>
        <v>209.63573498229442</v>
      </c>
      <c r="H424" s="2">
        <f t="shared" si="34"/>
        <v>63.745391877776719</v>
      </c>
      <c r="I424" s="2">
        <f t="shared" si="30"/>
        <v>10624.231979629452</v>
      </c>
      <c r="J424" s="4">
        <f t="shared" si="32"/>
        <v>16.459362217534178</v>
      </c>
      <c r="K424" s="4">
        <f t="shared" si="31"/>
        <v>2743.227036255696</v>
      </c>
      <c r="L424">
        <v>6</v>
      </c>
    </row>
    <row r="425" spans="1:12" x14ac:dyDescent="0.3">
      <c r="A425" t="s">
        <v>86</v>
      </c>
      <c r="B425" t="s">
        <v>38</v>
      </c>
      <c r="C425" s="4">
        <v>1082380952</v>
      </c>
      <c r="D425" s="4">
        <v>0.61247410899999999</v>
      </c>
      <c r="E425">
        <v>6</v>
      </c>
      <c r="F425" s="1">
        <v>20.764331210191077</v>
      </c>
      <c r="G425" s="2">
        <f t="shared" si="33"/>
        <v>338.63026984148308</v>
      </c>
      <c r="H425" s="2">
        <f t="shared" si="34"/>
        <v>89.349668875618292</v>
      </c>
      <c r="I425" s="2">
        <f t="shared" si="30"/>
        <v>14891.611479269714</v>
      </c>
      <c r="J425" s="4">
        <f t="shared" si="32"/>
        <v>18.04000646273682</v>
      </c>
      <c r="K425" s="4">
        <f t="shared" si="31"/>
        <v>3006.66774378947</v>
      </c>
      <c r="L425">
        <v>6</v>
      </c>
    </row>
    <row r="426" spans="1:12" x14ac:dyDescent="0.3">
      <c r="A426" t="s">
        <v>86</v>
      </c>
      <c r="B426" t="s">
        <v>78</v>
      </c>
      <c r="C426" s="4">
        <v>0.43538739399999998</v>
      </c>
      <c r="D426" s="4">
        <v>0.568333333</v>
      </c>
      <c r="E426">
        <v>7</v>
      </c>
      <c r="F426" s="1">
        <v>23.853503184713375</v>
      </c>
      <c r="G426" s="2">
        <f t="shared" si="33"/>
        <v>446.88339797165389</v>
      </c>
      <c r="H426" s="2">
        <f t="shared" si="34"/>
        <v>126.56255675925294</v>
      </c>
      <c r="I426" s="2">
        <f t="shared" si="30"/>
        <v>21093.759459875491</v>
      </c>
      <c r="J426" s="4">
        <f t="shared" si="32"/>
        <v>22.925945547486712</v>
      </c>
      <c r="K426" s="4">
        <f t="shared" si="31"/>
        <v>3820.9909245811191</v>
      </c>
      <c r="L426">
        <v>6</v>
      </c>
    </row>
    <row r="427" spans="1:12" x14ac:dyDescent="0.3">
      <c r="A427" t="s">
        <v>86</v>
      </c>
      <c r="B427" t="s">
        <v>78</v>
      </c>
      <c r="C427" s="4">
        <v>0.43538739399999998</v>
      </c>
      <c r="D427" s="4">
        <v>0.568333333</v>
      </c>
      <c r="E427">
        <v>8</v>
      </c>
      <c r="F427" s="1">
        <v>29.267515923566879</v>
      </c>
      <c r="G427" s="2">
        <f t="shared" si="33"/>
        <v>672.76224012851674</v>
      </c>
      <c r="H427" s="2">
        <f t="shared" si="34"/>
        <v>214.93579593726162</v>
      </c>
      <c r="I427" s="2">
        <f t="shared" si="30"/>
        <v>35822.632656210269</v>
      </c>
      <c r="J427" s="4">
        <f t="shared" si="32"/>
        <v>32.970149673414745</v>
      </c>
      <c r="K427" s="4">
        <f t="shared" si="31"/>
        <v>5495.0249455691237</v>
      </c>
      <c r="L427">
        <v>6</v>
      </c>
    </row>
    <row r="428" spans="1:12" x14ac:dyDescent="0.3">
      <c r="A428" t="s">
        <v>86</v>
      </c>
      <c r="B428" t="s">
        <v>73</v>
      </c>
      <c r="C428" s="4">
        <v>0.39</v>
      </c>
      <c r="D428" s="4">
        <v>0.28861111099999998</v>
      </c>
      <c r="E428">
        <v>4</v>
      </c>
      <c r="F428" s="1">
        <v>6.5286624203821653</v>
      </c>
      <c r="G428" s="2">
        <f t="shared" si="33"/>
        <v>33.476365995352509</v>
      </c>
      <c r="H428" s="2">
        <f t="shared" si="34"/>
        <v>3.0159769149157314</v>
      </c>
      <c r="I428" s="2">
        <f t="shared" si="30"/>
        <v>502.66281915262192</v>
      </c>
      <c r="J428" s="4">
        <f t="shared" si="32"/>
        <v>9.5824280619903437</v>
      </c>
      <c r="K428" s="4">
        <f t="shared" si="31"/>
        <v>1597.0713436650574</v>
      </c>
      <c r="L428">
        <v>6</v>
      </c>
    </row>
    <row r="429" spans="1:12" x14ac:dyDescent="0.3">
      <c r="A429" t="s">
        <v>86</v>
      </c>
      <c r="B429" t="s">
        <v>73</v>
      </c>
      <c r="C429" s="4">
        <v>0.39</v>
      </c>
      <c r="D429" s="4">
        <v>0.28861111099999998</v>
      </c>
      <c r="E429">
        <v>5.5</v>
      </c>
      <c r="F429" s="1">
        <v>14.585987261146496</v>
      </c>
      <c r="G429" s="2">
        <f t="shared" si="33"/>
        <v>167.09426381080601</v>
      </c>
      <c r="H429" s="2">
        <f t="shared" si="34"/>
        <v>19.764112746266424</v>
      </c>
      <c r="I429" s="2">
        <f t="shared" si="30"/>
        <v>3294.0187910444038</v>
      </c>
      <c r="J429" s="4">
        <f t="shared" si="32"/>
        <v>13.08115721935981</v>
      </c>
      <c r="K429" s="4">
        <f t="shared" si="31"/>
        <v>2180.1928698933016</v>
      </c>
      <c r="L429">
        <v>6</v>
      </c>
    </row>
    <row r="430" spans="1:12" x14ac:dyDescent="0.3">
      <c r="A430" t="s">
        <v>86</v>
      </c>
      <c r="B430" t="s">
        <v>62</v>
      </c>
      <c r="C430" s="4">
        <v>0.693333333</v>
      </c>
      <c r="D430" s="4">
        <v>0.64166666699999997</v>
      </c>
      <c r="E430">
        <v>7</v>
      </c>
      <c r="F430" s="1">
        <v>18.757961783439491</v>
      </c>
      <c r="G430" s="2">
        <f t="shared" si="33"/>
        <v>276.35108548420442</v>
      </c>
      <c r="H430" s="2">
        <f t="shared" si="34"/>
        <v>89.129852026871191</v>
      </c>
      <c r="I430" s="2">
        <f t="shared" si="30"/>
        <v>14854.975337811864</v>
      </c>
      <c r="J430" s="4">
        <f t="shared" si="32"/>
        <v>17.606297691589923</v>
      </c>
      <c r="K430" s="4">
        <f t="shared" si="31"/>
        <v>2934.3829485983206</v>
      </c>
      <c r="L430">
        <v>6</v>
      </c>
    </row>
    <row r="431" spans="1:12" x14ac:dyDescent="0.3">
      <c r="A431" t="s">
        <v>86</v>
      </c>
      <c r="B431" t="s">
        <v>62</v>
      </c>
      <c r="C431" s="4">
        <v>0.693333333</v>
      </c>
      <c r="D431" s="4">
        <v>0.64166666699999997</v>
      </c>
      <c r="E431">
        <v>6</v>
      </c>
      <c r="F431" s="1">
        <v>13.789808917197451</v>
      </c>
      <c r="G431" s="2">
        <f t="shared" si="33"/>
        <v>149.35039581445918</v>
      </c>
      <c r="H431" s="2">
        <f t="shared" si="34"/>
        <v>42.057401560213215</v>
      </c>
      <c r="I431" s="2">
        <f t="shared" si="30"/>
        <v>7009.5669267022022</v>
      </c>
      <c r="J431" s="4">
        <f t="shared" si="32"/>
        <v>12.979035429429185</v>
      </c>
      <c r="K431" s="4">
        <f t="shared" si="31"/>
        <v>2163.1725715715306</v>
      </c>
      <c r="L431">
        <v>6</v>
      </c>
    </row>
    <row r="432" spans="1:12" x14ac:dyDescent="0.3">
      <c r="A432" t="s">
        <v>86</v>
      </c>
      <c r="B432" t="s">
        <v>62</v>
      </c>
      <c r="C432" s="4">
        <v>0.693333333</v>
      </c>
      <c r="D432" s="4">
        <v>0.64166666699999997</v>
      </c>
      <c r="E432">
        <v>8</v>
      </c>
      <c r="F432" s="1">
        <v>23.917197452229296</v>
      </c>
      <c r="G432" s="2">
        <f t="shared" si="33"/>
        <v>449.27314450314827</v>
      </c>
      <c r="H432" s="2">
        <f t="shared" si="34"/>
        <v>163.15764471342811</v>
      </c>
      <c r="I432" s="2">
        <f t="shared" si="30"/>
        <v>27192.940785571351</v>
      </c>
      <c r="J432" s="4">
        <f t="shared" si="32"/>
        <v>25.002605351129858</v>
      </c>
      <c r="K432" s="4">
        <f t="shared" si="31"/>
        <v>4167.1008918549769</v>
      </c>
      <c r="L432">
        <v>6</v>
      </c>
    </row>
    <row r="433" spans="1:12" x14ac:dyDescent="0.3">
      <c r="A433" t="s">
        <v>86</v>
      </c>
      <c r="B433" t="s">
        <v>88</v>
      </c>
      <c r="C433" s="4">
        <v>0.77</v>
      </c>
      <c r="D433" s="4">
        <v>0.77</v>
      </c>
      <c r="E433">
        <v>3</v>
      </c>
      <c r="F433" s="1">
        <v>4.2675159235668794</v>
      </c>
      <c r="G433" s="2">
        <f t="shared" si="33"/>
        <v>14.303429573171918</v>
      </c>
      <c r="H433" s="2">
        <f t="shared" si="34"/>
        <v>2.5882263240525862</v>
      </c>
      <c r="I433" s="2">
        <f t="shared" si="30"/>
        <v>431.37105400876436</v>
      </c>
      <c r="J433" s="4">
        <f t="shared" si="32"/>
        <v>9.176922767657917</v>
      </c>
      <c r="K433" s="4">
        <f t="shared" si="31"/>
        <v>1529.4871279429863</v>
      </c>
      <c r="L433">
        <v>6</v>
      </c>
    </row>
    <row r="434" spans="1:12" x14ac:dyDescent="0.3">
      <c r="A434" t="s">
        <v>86</v>
      </c>
      <c r="B434" t="s">
        <v>88</v>
      </c>
      <c r="C434" s="4">
        <v>0.77</v>
      </c>
      <c r="D434" s="4">
        <v>0.77</v>
      </c>
      <c r="E434">
        <v>3.5</v>
      </c>
      <c r="F434" s="1">
        <v>3.6624203821656049</v>
      </c>
      <c r="G434" s="2">
        <f t="shared" si="33"/>
        <v>10.534799293005044</v>
      </c>
      <c r="H434" s="2">
        <f t="shared" si="34"/>
        <v>2.2321117550252167</v>
      </c>
      <c r="I434" s="2">
        <f t="shared" si="30"/>
        <v>372.01862583753609</v>
      </c>
      <c r="J434" s="4">
        <f t="shared" si="32"/>
        <v>9.1500132074323499</v>
      </c>
      <c r="K434" s="4">
        <f t="shared" si="31"/>
        <v>1525.0022012387251</v>
      </c>
      <c r="L434">
        <v>6</v>
      </c>
    </row>
    <row r="435" spans="1:12" x14ac:dyDescent="0.3">
      <c r="A435" t="s">
        <v>89</v>
      </c>
      <c r="B435" t="s">
        <v>26</v>
      </c>
      <c r="C435" s="4">
        <v>0.80908761900000004</v>
      </c>
      <c r="D435" s="4">
        <v>0.87473809499999999</v>
      </c>
      <c r="E435">
        <v>11</v>
      </c>
      <c r="F435" s="1">
        <v>27.261146496815282</v>
      </c>
      <c r="G435" s="2">
        <f t="shared" si="33"/>
        <v>583.68443816705803</v>
      </c>
      <c r="H435" s="2">
        <f t="shared" si="34"/>
        <v>388.92817712393003</v>
      </c>
      <c r="I435" s="2">
        <f t="shared" si="30"/>
        <v>64821.362853988336</v>
      </c>
      <c r="J435" s="4">
        <f t="shared" si="32"/>
        <v>37.597749170351733</v>
      </c>
      <c r="K435" s="4">
        <f t="shared" si="31"/>
        <v>6266.2915283919547</v>
      </c>
      <c r="L435">
        <v>6</v>
      </c>
    </row>
    <row r="436" spans="1:12" x14ac:dyDescent="0.3">
      <c r="A436" t="s">
        <v>89</v>
      </c>
      <c r="B436" t="s">
        <v>26</v>
      </c>
      <c r="C436" s="4">
        <v>0.80908761900000004</v>
      </c>
      <c r="D436" s="4">
        <v>0.87473809499999999</v>
      </c>
      <c r="E436">
        <v>5</v>
      </c>
      <c r="F436" s="1">
        <v>5.5732484076433115</v>
      </c>
      <c r="G436" s="2">
        <f t="shared" si="33"/>
        <v>24.395329175673304</v>
      </c>
      <c r="H436" s="2">
        <f t="shared" si="34"/>
        <v>8.1261784287459289</v>
      </c>
      <c r="I436" s="2">
        <f t="shared" si="30"/>
        <v>1354.3630714576548</v>
      </c>
      <c r="J436" s="4">
        <f t="shared" si="32"/>
        <v>9.5292692117327267</v>
      </c>
      <c r="K436" s="4">
        <f t="shared" si="31"/>
        <v>1588.2115352887877</v>
      </c>
      <c r="L436">
        <v>6</v>
      </c>
    </row>
    <row r="437" spans="1:12" x14ac:dyDescent="0.3">
      <c r="A437" t="s">
        <v>89</v>
      </c>
      <c r="B437" t="s">
        <v>26</v>
      </c>
      <c r="C437" s="4">
        <v>0.80908761900000004</v>
      </c>
      <c r="D437" s="4">
        <v>0.87473809499999999</v>
      </c>
      <c r="E437">
        <v>8</v>
      </c>
      <c r="F437" s="1">
        <v>31.210191082802545</v>
      </c>
      <c r="G437" s="2">
        <f t="shared" si="33"/>
        <v>765.03752294911476</v>
      </c>
      <c r="H437" s="2">
        <f t="shared" si="34"/>
        <v>371.16796500554665</v>
      </c>
      <c r="I437" s="2">
        <f t="shared" si="30"/>
        <v>61861.327500924439</v>
      </c>
      <c r="J437" s="4">
        <f t="shared" si="32"/>
        <v>36.259828767901332</v>
      </c>
      <c r="K437" s="4">
        <f t="shared" si="31"/>
        <v>6043.304794650222</v>
      </c>
      <c r="L437">
        <v>6</v>
      </c>
    </row>
    <row r="438" spans="1:12" x14ac:dyDescent="0.3">
      <c r="A438" t="s">
        <v>89</v>
      </c>
      <c r="B438" t="s">
        <v>26</v>
      </c>
      <c r="C438" s="4">
        <v>0.80908761900000004</v>
      </c>
      <c r="D438" s="4">
        <v>0.87473809499999999</v>
      </c>
      <c r="E438">
        <v>7</v>
      </c>
      <c r="F438" s="1">
        <v>16.019108280254777</v>
      </c>
      <c r="G438" s="2">
        <f t="shared" si="33"/>
        <v>201.54246006229965</v>
      </c>
      <c r="H438" s="2">
        <f t="shared" si="34"/>
        <v>88.625307007193143</v>
      </c>
      <c r="I438" s="2">
        <f t="shared" si="30"/>
        <v>14770.884501198858</v>
      </c>
      <c r="J438" s="4">
        <f t="shared" si="32"/>
        <v>15.272689837315914</v>
      </c>
      <c r="K438" s="4">
        <f t="shared" si="31"/>
        <v>2545.448306219319</v>
      </c>
      <c r="L438">
        <v>6</v>
      </c>
    </row>
    <row r="439" spans="1:12" x14ac:dyDescent="0.3">
      <c r="A439" t="s">
        <v>89</v>
      </c>
      <c r="B439" t="s">
        <v>90</v>
      </c>
      <c r="C439" s="4">
        <v>0.37226847299999999</v>
      </c>
      <c r="D439" s="4">
        <v>0.42234285700000002</v>
      </c>
      <c r="E439">
        <v>3</v>
      </c>
      <c r="F439" s="1">
        <v>3.9171974522292996</v>
      </c>
      <c r="G439" s="2">
        <f t="shared" si="33"/>
        <v>12.051491758326906</v>
      </c>
      <c r="H439" s="2">
        <f t="shared" si="34"/>
        <v>1.218492058669159</v>
      </c>
      <c r="I439" s="2">
        <f t="shared" si="30"/>
        <v>203.08200977819317</v>
      </c>
      <c r="J439" s="4">
        <f t="shared" si="32"/>
        <v>9.1468165767373932</v>
      </c>
      <c r="K439" s="4">
        <f t="shared" si="31"/>
        <v>1524.4694294562323</v>
      </c>
      <c r="L439">
        <v>6</v>
      </c>
    </row>
    <row r="440" spans="1:12" x14ac:dyDescent="0.3">
      <c r="A440" t="s">
        <v>89</v>
      </c>
      <c r="B440" t="s">
        <v>85</v>
      </c>
      <c r="C440" s="4">
        <v>0.6</v>
      </c>
      <c r="D440" s="4">
        <v>0.66674999999999995</v>
      </c>
      <c r="E440">
        <v>6.5</v>
      </c>
      <c r="F440" s="1">
        <v>4.6178343949044587</v>
      </c>
      <c r="G440" s="2">
        <f t="shared" si="33"/>
        <v>16.748140274890819</v>
      </c>
      <c r="H440" s="2">
        <f t="shared" si="34"/>
        <v>5.5794331623388533</v>
      </c>
      <c r="I440" s="2">
        <f t="shared" si="30"/>
        <v>929.90552705647553</v>
      </c>
      <c r="J440" s="4">
        <f t="shared" si="32"/>
        <v>9.4708299748468487</v>
      </c>
      <c r="K440" s="4">
        <f t="shared" si="31"/>
        <v>1578.4716624744749</v>
      </c>
      <c r="L440">
        <v>6</v>
      </c>
    </row>
    <row r="441" spans="1:12" x14ac:dyDescent="0.3">
      <c r="A441" t="s">
        <v>89</v>
      </c>
      <c r="B441" t="s">
        <v>85</v>
      </c>
      <c r="C441" s="4">
        <v>0.6</v>
      </c>
      <c r="D441" s="4">
        <v>0.66674999999999995</v>
      </c>
      <c r="E441">
        <v>6</v>
      </c>
      <c r="F441" s="1">
        <v>6.2101910828025479</v>
      </c>
      <c r="G441" s="2">
        <f t="shared" si="33"/>
        <v>30.290037286693146</v>
      </c>
      <c r="H441" s="2">
        <f t="shared" si="34"/>
        <v>9.2006706473116253</v>
      </c>
      <c r="I441" s="2">
        <f t="shared" si="30"/>
        <v>1533.4451078852708</v>
      </c>
      <c r="J441" s="4">
        <f t="shared" si="32"/>
        <v>9.7955959389833254</v>
      </c>
      <c r="K441" s="4">
        <f t="shared" si="31"/>
        <v>1632.5993231638877</v>
      </c>
      <c r="L441">
        <v>6</v>
      </c>
    </row>
    <row r="442" spans="1:12" x14ac:dyDescent="0.3">
      <c r="A442" t="s">
        <v>89</v>
      </c>
      <c r="B442" t="s">
        <v>61</v>
      </c>
      <c r="C442" s="4">
        <v>0.9</v>
      </c>
      <c r="D442" s="4">
        <v>0.61247410899999999</v>
      </c>
      <c r="E442">
        <v>4</v>
      </c>
      <c r="F442" s="1">
        <v>2.6114649681528661</v>
      </c>
      <c r="G442" s="2">
        <f t="shared" si="33"/>
        <v>5.3562185592564013</v>
      </c>
      <c r="H442" s="2">
        <f t="shared" si="34"/>
        <v>1.0509479600190543</v>
      </c>
      <c r="I442" s="2">
        <f t="shared" si="30"/>
        <v>175.15799333650907</v>
      </c>
      <c r="J442" s="4">
        <f t="shared" si="32"/>
        <v>9.0811764899184553</v>
      </c>
      <c r="K442" s="4">
        <f t="shared" si="31"/>
        <v>1513.5294149864092</v>
      </c>
      <c r="L442">
        <v>6</v>
      </c>
    </row>
    <row r="443" spans="1:12" x14ac:dyDescent="0.3">
      <c r="A443" t="s">
        <v>89</v>
      </c>
      <c r="B443" t="s">
        <v>66</v>
      </c>
      <c r="C443" s="4">
        <v>0.62643652800000005</v>
      </c>
      <c r="D443" s="4">
        <v>0.57808694400000005</v>
      </c>
      <c r="E443">
        <v>8</v>
      </c>
      <c r="F443" s="1">
        <v>82.738853503184714</v>
      </c>
      <c r="G443" s="2">
        <f t="shared" si="33"/>
        <v>5376.6142493205307</v>
      </c>
      <c r="H443" s="2">
        <f t="shared" si="34"/>
        <v>1661.5184113324447</v>
      </c>
      <c r="I443" s="2">
        <f t="shared" si="30"/>
        <v>276919.73522207414</v>
      </c>
      <c r="J443" s="4">
        <f t="shared" si="32"/>
        <v>200.66580061260092</v>
      </c>
      <c r="K443" s="4">
        <f t="shared" si="31"/>
        <v>33444.300102100155</v>
      </c>
      <c r="L443">
        <v>6</v>
      </c>
    </row>
    <row r="444" spans="1:12" x14ac:dyDescent="0.3">
      <c r="A444" t="s">
        <v>89</v>
      </c>
      <c r="B444" t="s">
        <v>66</v>
      </c>
      <c r="C444" s="4">
        <v>0.62643652800000005</v>
      </c>
      <c r="D444" s="4">
        <v>0.57808694400000005</v>
      </c>
      <c r="E444">
        <v>7</v>
      </c>
      <c r="F444" s="1">
        <v>69.522292993630572</v>
      </c>
      <c r="G444" s="2">
        <f t="shared" si="33"/>
        <v>3796.1036028751091</v>
      </c>
      <c r="H444" s="2">
        <f t="shared" si="34"/>
        <v>1038.3942999518572</v>
      </c>
      <c r="I444" s="2">
        <f t="shared" si="30"/>
        <v>173065.71665864286</v>
      </c>
      <c r="J444" s="4">
        <f t="shared" si="32"/>
        <v>127.40275596575927</v>
      </c>
      <c r="K444" s="4">
        <f t="shared" si="31"/>
        <v>21233.792660959876</v>
      </c>
      <c r="L444">
        <v>6</v>
      </c>
    </row>
    <row r="445" spans="1:12" x14ac:dyDescent="0.3">
      <c r="A445" t="s">
        <v>89</v>
      </c>
      <c r="B445" t="s">
        <v>73</v>
      </c>
      <c r="C445" s="4">
        <v>0.39</v>
      </c>
      <c r="D445" s="4">
        <v>0.28861111099999998</v>
      </c>
      <c r="E445">
        <v>4</v>
      </c>
      <c r="F445" s="1">
        <v>11.019108280254777</v>
      </c>
      <c r="G445" s="2">
        <f t="shared" si="33"/>
        <v>95.363631921466293</v>
      </c>
      <c r="H445" s="2">
        <f t="shared" si="34"/>
        <v>8.3783986600297169</v>
      </c>
      <c r="I445" s="2">
        <f t="shared" si="30"/>
        <v>1396.3997766716195</v>
      </c>
      <c r="J445" s="4">
        <f t="shared" si="32"/>
        <v>10.685590462087712</v>
      </c>
      <c r="K445" s="4">
        <f t="shared" si="31"/>
        <v>1780.9317436812853</v>
      </c>
      <c r="L445">
        <v>6</v>
      </c>
    </row>
    <row r="446" spans="1:12" x14ac:dyDescent="0.3">
      <c r="A446" t="s">
        <v>89</v>
      </c>
      <c r="B446" t="s">
        <v>73</v>
      </c>
      <c r="C446" s="4">
        <v>0.39</v>
      </c>
      <c r="D446" s="4">
        <v>0.28861111099999998</v>
      </c>
      <c r="E446">
        <v>4</v>
      </c>
      <c r="F446" s="1">
        <v>8.6942675159235669</v>
      </c>
      <c r="G446" s="2">
        <f t="shared" si="33"/>
        <v>59.368473081918566</v>
      </c>
      <c r="H446" s="2">
        <f t="shared" si="34"/>
        <v>5.2756255543509862</v>
      </c>
      <c r="I446" s="2">
        <f t="shared" si="30"/>
        <v>879.27092572516437</v>
      </c>
      <c r="J446" s="4">
        <f t="shared" si="32"/>
        <v>10.043964026938212</v>
      </c>
      <c r="K446" s="4">
        <f t="shared" si="31"/>
        <v>1673.9940044897021</v>
      </c>
      <c r="L446">
        <v>6</v>
      </c>
    </row>
    <row r="447" spans="1:12" x14ac:dyDescent="0.3">
      <c r="A447" t="s">
        <v>89</v>
      </c>
      <c r="B447" t="s">
        <v>62</v>
      </c>
      <c r="C447" s="4">
        <v>0.693333333</v>
      </c>
      <c r="D447" s="4">
        <v>0.64166666699999997</v>
      </c>
      <c r="E447">
        <v>7</v>
      </c>
      <c r="F447" s="1">
        <v>27.452229299363058</v>
      </c>
      <c r="G447" s="2">
        <f t="shared" si="33"/>
        <v>591.89560724927344</v>
      </c>
      <c r="H447" s="2">
        <f t="shared" si="34"/>
        <v>187.44260573306298</v>
      </c>
      <c r="I447" s="2">
        <f t="shared" si="30"/>
        <v>31240.43428884383</v>
      </c>
      <c r="J447" s="4">
        <f t="shared" si="32"/>
        <v>27.449509890867787</v>
      </c>
      <c r="K447" s="4">
        <f t="shared" si="31"/>
        <v>4574.9183151446314</v>
      </c>
      <c r="L447">
        <v>6</v>
      </c>
    </row>
    <row r="448" spans="1:12" x14ac:dyDescent="0.3">
      <c r="A448" t="s">
        <v>89</v>
      </c>
      <c r="B448" t="s">
        <v>62</v>
      </c>
      <c r="C448" s="4">
        <v>0.693333333</v>
      </c>
      <c r="D448" s="4">
        <v>0.64166666699999997</v>
      </c>
      <c r="E448">
        <v>7</v>
      </c>
      <c r="F448" s="1">
        <v>11.878980891719744</v>
      </c>
      <c r="G448" s="2">
        <f t="shared" si="33"/>
        <v>110.82768172676738</v>
      </c>
      <c r="H448" s="2">
        <f t="shared" si="34"/>
        <v>36.537074419754461</v>
      </c>
      <c r="I448" s="2">
        <f t="shared" si="30"/>
        <v>6089.5124032924105</v>
      </c>
      <c r="J448" s="4">
        <f t="shared" si="32"/>
        <v>12.442899582133148</v>
      </c>
      <c r="K448" s="4">
        <f t="shared" si="31"/>
        <v>2073.8165970221912</v>
      </c>
      <c r="L448">
        <v>6</v>
      </c>
    </row>
    <row r="449" spans="1:12" x14ac:dyDescent="0.3">
      <c r="A449" t="s">
        <v>89</v>
      </c>
      <c r="B449" t="s">
        <v>62</v>
      </c>
      <c r="C449" s="4">
        <v>0.693333333</v>
      </c>
      <c r="D449" s="4">
        <v>0.64166666699999997</v>
      </c>
      <c r="E449">
        <v>7</v>
      </c>
      <c r="F449" s="1">
        <v>11.592356687898087</v>
      </c>
      <c r="G449" s="2">
        <f t="shared" si="33"/>
        <v>105.54395214563296</v>
      </c>
      <c r="H449" s="2">
        <f t="shared" si="34"/>
        <v>34.835979873693304</v>
      </c>
      <c r="I449" s="2">
        <f t="shared" si="30"/>
        <v>5805.9966456155498</v>
      </c>
      <c r="J449" s="4">
        <f t="shared" si="32"/>
        <v>12.27807697269666</v>
      </c>
      <c r="K449" s="4">
        <f t="shared" si="31"/>
        <v>2046.3461621161098</v>
      </c>
      <c r="L449">
        <v>6</v>
      </c>
    </row>
    <row r="450" spans="1:12" x14ac:dyDescent="0.3">
      <c r="A450" t="s">
        <v>89</v>
      </c>
      <c r="B450" t="s">
        <v>62</v>
      </c>
      <c r="C450" s="4">
        <v>0.693333333</v>
      </c>
      <c r="D450" s="4">
        <v>0.64166666699999997</v>
      </c>
      <c r="E450">
        <v>8</v>
      </c>
      <c r="F450" s="1">
        <v>24.012738853503187</v>
      </c>
      <c r="G450" s="2">
        <f t="shared" si="33"/>
        <v>452.86971303304773</v>
      </c>
      <c r="H450" s="2">
        <f t="shared" si="34"/>
        <v>164.43230224755089</v>
      </c>
      <c r="I450" s="2">
        <f t="shared" ref="I450:I513" si="35">(H450*1000)/L450</f>
        <v>27405.38370792515</v>
      </c>
      <c r="J450" s="4">
        <f t="shared" si="32"/>
        <v>25.130825562903162</v>
      </c>
      <c r="K450" s="4">
        <f t="shared" ref="K450:K513" si="36">(J450*1000)/L450</f>
        <v>4188.4709271505271</v>
      </c>
      <c r="L450">
        <v>6</v>
      </c>
    </row>
    <row r="451" spans="1:12" x14ac:dyDescent="0.3">
      <c r="A451" t="s">
        <v>89</v>
      </c>
      <c r="B451" t="s">
        <v>62</v>
      </c>
      <c r="C451" s="4">
        <v>0.693333333</v>
      </c>
      <c r="D451" s="4">
        <v>0.64166666699999997</v>
      </c>
      <c r="E451">
        <v>6</v>
      </c>
      <c r="F451" s="1">
        <v>6.7515923566878975</v>
      </c>
      <c r="G451" s="2">
        <f t="shared" si="33"/>
        <v>35.801589370496679</v>
      </c>
      <c r="H451" s="2">
        <f t="shared" si="34"/>
        <v>10.433395341209913</v>
      </c>
      <c r="I451" s="2">
        <f t="shared" si="35"/>
        <v>1738.8992235349854</v>
      </c>
      <c r="J451" s="4">
        <f t="shared" ref="J451:J514" si="37">8.9857 + 0.0035 * F451^2 * E451</f>
        <v>9.9429639863686141</v>
      </c>
      <c r="K451" s="4">
        <f t="shared" si="36"/>
        <v>1657.1606643947689</v>
      </c>
      <c r="L451">
        <v>6</v>
      </c>
    </row>
    <row r="452" spans="1:12" x14ac:dyDescent="0.3">
      <c r="A452" t="s">
        <v>89</v>
      </c>
      <c r="B452" t="s">
        <v>62</v>
      </c>
      <c r="C452" s="4">
        <v>0.693333333</v>
      </c>
      <c r="D452" s="4">
        <v>0.64166666699999997</v>
      </c>
      <c r="E452">
        <v>8</v>
      </c>
      <c r="F452" s="1">
        <v>24.7452229299363</v>
      </c>
      <c r="G452" s="2">
        <f t="shared" ref="G452:G515" si="38">PI()*(F452/2)^2</f>
        <v>480.91976123755313</v>
      </c>
      <c r="H452" s="2">
        <f t="shared" ref="H452:H515" si="39">0.0673 * ((D452 * F452^2 * E452)^0.976)</f>
        <v>174.36531513314338</v>
      </c>
      <c r="I452" s="2">
        <f t="shared" si="35"/>
        <v>29060.885855523898</v>
      </c>
      <c r="J452" s="4">
        <f t="shared" si="37"/>
        <v>26.130829619862865</v>
      </c>
      <c r="K452" s="4">
        <f t="shared" si="36"/>
        <v>4355.1382699771448</v>
      </c>
      <c r="L452">
        <v>6</v>
      </c>
    </row>
    <row r="453" spans="1:12" x14ac:dyDescent="0.3">
      <c r="A453" t="s">
        <v>89</v>
      </c>
      <c r="B453" t="s">
        <v>62</v>
      </c>
      <c r="C453" s="4">
        <v>0.693333333</v>
      </c>
      <c r="D453" s="4">
        <v>0.64166666699999997</v>
      </c>
      <c r="E453">
        <v>7</v>
      </c>
      <c r="F453" s="1">
        <v>25.03184713375796</v>
      </c>
      <c r="G453" s="2">
        <f t="shared" si="38"/>
        <v>492.12528272373112</v>
      </c>
      <c r="H453" s="2">
        <f t="shared" si="39"/>
        <v>156.53913870426913</v>
      </c>
      <c r="I453" s="2">
        <f t="shared" si="35"/>
        <v>26089.856450711522</v>
      </c>
      <c r="J453" s="4">
        <f t="shared" si="37"/>
        <v>24.337237587731749</v>
      </c>
      <c r="K453" s="4">
        <f t="shared" si="36"/>
        <v>4056.2062646219583</v>
      </c>
      <c r="L453">
        <v>6</v>
      </c>
    </row>
    <row r="454" spans="1:12" x14ac:dyDescent="0.3">
      <c r="A454" t="s">
        <v>89</v>
      </c>
      <c r="B454" t="s">
        <v>62</v>
      </c>
      <c r="C454" s="4">
        <v>0.693333333</v>
      </c>
      <c r="D454" s="4">
        <v>0.64166666699999997</v>
      </c>
      <c r="E454">
        <v>8</v>
      </c>
      <c r="F454" s="1">
        <v>28.885350318471332</v>
      </c>
      <c r="G454" s="2">
        <f t="shared" si="38"/>
        <v>655.30753146248037</v>
      </c>
      <c r="H454" s="2">
        <f t="shared" si="39"/>
        <v>235.83469372672954</v>
      </c>
      <c r="I454" s="2">
        <f t="shared" si="35"/>
        <v>39305.782287788257</v>
      </c>
      <c r="J454" s="4">
        <f t="shared" si="37"/>
        <v>32.347876964582731</v>
      </c>
      <c r="K454" s="4">
        <f t="shared" si="36"/>
        <v>5391.3128274304554</v>
      </c>
      <c r="L454">
        <v>6</v>
      </c>
    </row>
    <row r="455" spans="1:12" x14ac:dyDescent="0.3">
      <c r="A455" t="s">
        <v>89</v>
      </c>
      <c r="B455" t="s">
        <v>62</v>
      </c>
      <c r="C455" s="4">
        <v>0.693333333</v>
      </c>
      <c r="D455" s="4">
        <v>0.64166666699999997</v>
      </c>
      <c r="E455">
        <v>7</v>
      </c>
      <c r="F455" s="1">
        <v>14.61783439490446</v>
      </c>
      <c r="G455" s="2">
        <f t="shared" si="38"/>
        <v>167.82472966726624</v>
      </c>
      <c r="H455" s="2">
        <f t="shared" si="39"/>
        <v>54.779301760064257</v>
      </c>
      <c r="I455" s="2">
        <f t="shared" si="35"/>
        <v>9129.883626677376</v>
      </c>
      <c r="J455" s="4">
        <f t="shared" si="37"/>
        <v>14.220886518722869</v>
      </c>
      <c r="K455" s="4">
        <f t="shared" si="36"/>
        <v>2370.1477531204782</v>
      </c>
      <c r="L455">
        <v>6</v>
      </c>
    </row>
    <row r="456" spans="1:12" x14ac:dyDescent="0.3">
      <c r="A456" t="s">
        <v>91</v>
      </c>
      <c r="B456" t="s">
        <v>75</v>
      </c>
      <c r="C456" s="4">
        <v>0.86</v>
      </c>
      <c r="D456" s="4">
        <v>0.65666666699999998</v>
      </c>
      <c r="E456">
        <v>5</v>
      </c>
      <c r="F456" s="4">
        <v>4.6178343949044587</v>
      </c>
      <c r="G456" s="2">
        <f t="shared" si="38"/>
        <v>16.748140274890819</v>
      </c>
      <c r="H456" s="2">
        <f t="shared" si="39"/>
        <v>4.255221269559466</v>
      </c>
      <c r="I456" s="2">
        <f t="shared" si="35"/>
        <v>607.88875279420949</v>
      </c>
      <c r="J456" s="4">
        <f t="shared" si="37"/>
        <v>9.3588769037283459</v>
      </c>
      <c r="K456" s="4">
        <f t="shared" si="36"/>
        <v>1336.982414818335</v>
      </c>
      <c r="L456">
        <v>7</v>
      </c>
    </row>
    <row r="457" spans="1:12" x14ac:dyDescent="0.3">
      <c r="A457" t="s">
        <v>91</v>
      </c>
      <c r="B457" t="s">
        <v>51</v>
      </c>
      <c r="C457" s="4">
        <v>0.40257753800000001</v>
      </c>
      <c r="D457" s="4">
        <v>0.40843333300000001</v>
      </c>
      <c r="E457">
        <v>4</v>
      </c>
      <c r="F457" s="4">
        <v>10.477707006369426</v>
      </c>
      <c r="G457" s="2">
        <f t="shared" si="38"/>
        <v>86.222851438499731</v>
      </c>
      <c r="H457" s="2">
        <f t="shared" si="39"/>
        <v>10.657113857411916</v>
      </c>
      <c r="I457" s="2">
        <f t="shared" si="35"/>
        <v>1522.4448367731309</v>
      </c>
      <c r="J457" s="4">
        <f t="shared" si="37"/>
        <v>10.522652817558521</v>
      </c>
      <c r="K457" s="4">
        <f t="shared" si="36"/>
        <v>1503.2361167940744</v>
      </c>
      <c r="L457">
        <v>7</v>
      </c>
    </row>
    <row r="458" spans="1:12" x14ac:dyDescent="0.3">
      <c r="A458" t="s">
        <v>91</v>
      </c>
      <c r="B458" t="s">
        <v>92</v>
      </c>
      <c r="C458" s="4">
        <v>0.80803492399999999</v>
      </c>
      <c r="D458" s="4">
        <v>0.87275320499999998</v>
      </c>
      <c r="E458">
        <v>7</v>
      </c>
      <c r="F458" s="4">
        <v>14.076433121019109</v>
      </c>
      <c r="G458" s="2">
        <f t="shared" si="38"/>
        <v>155.62348045963233</v>
      </c>
      <c r="H458" s="2">
        <f t="shared" si="39"/>
        <v>68.706591745873354</v>
      </c>
      <c r="I458" s="2">
        <f t="shared" si="35"/>
        <v>9815.2273922676231</v>
      </c>
      <c r="J458" s="4">
        <f t="shared" si="37"/>
        <v>13.840276250557832</v>
      </c>
      <c r="K458" s="4">
        <f t="shared" si="36"/>
        <v>1977.1823215082618</v>
      </c>
      <c r="L458">
        <v>7</v>
      </c>
    </row>
    <row r="459" spans="1:12" x14ac:dyDescent="0.3">
      <c r="A459" t="s">
        <v>91</v>
      </c>
      <c r="B459" t="s">
        <v>92</v>
      </c>
      <c r="C459" s="4">
        <v>0.80803492399999999</v>
      </c>
      <c r="D459" s="4">
        <v>0.87275320499999998</v>
      </c>
      <c r="E459">
        <v>7</v>
      </c>
      <c r="F459" s="4">
        <v>28.726114649681524</v>
      </c>
      <c r="G459" s="2">
        <f t="shared" si="38"/>
        <v>648.10244567002451</v>
      </c>
      <c r="H459" s="2">
        <f t="shared" si="39"/>
        <v>276.50137606960055</v>
      </c>
      <c r="I459" s="2">
        <f t="shared" si="35"/>
        <v>39500.196581371514</v>
      </c>
      <c r="J459" s="4">
        <f t="shared" si="37"/>
        <v>29.202846740232864</v>
      </c>
      <c r="K459" s="4">
        <f t="shared" si="36"/>
        <v>4171.8352486046952</v>
      </c>
      <c r="L459">
        <v>7</v>
      </c>
    </row>
    <row r="460" spans="1:12" x14ac:dyDescent="0.3">
      <c r="A460" t="s">
        <v>91</v>
      </c>
      <c r="B460" t="s">
        <v>60</v>
      </c>
      <c r="C460" s="4">
        <v>0.41</v>
      </c>
      <c r="D460" s="4">
        <v>0.33983503399999998</v>
      </c>
      <c r="E460">
        <v>9</v>
      </c>
      <c r="F460" s="4">
        <v>20.127388535031844</v>
      </c>
      <c r="G460" s="2">
        <f t="shared" si="38"/>
        <v>318.17403953189</v>
      </c>
      <c r="H460" s="2">
        <f t="shared" si="39"/>
        <v>70.285628132429068</v>
      </c>
      <c r="I460" s="2">
        <f t="shared" si="35"/>
        <v>10040.804018918438</v>
      </c>
      <c r="J460" s="4">
        <f t="shared" si="37"/>
        <v>21.746720731064137</v>
      </c>
      <c r="K460" s="4">
        <f t="shared" si="36"/>
        <v>3106.6743901520199</v>
      </c>
      <c r="L460">
        <v>7</v>
      </c>
    </row>
    <row r="461" spans="1:12" x14ac:dyDescent="0.3">
      <c r="A461" t="s">
        <v>91</v>
      </c>
      <c r="B461" t="s">
        <v>60</v>
      </c>
      <c r="C461" s="4">
        <v>0.41</v>
      </c>
      <c r="D461" s="4">
        <v>0.33983503399999998</v>
      </c>
      <c r="E461">
        <v>9</v>
      </c>
      <c r="F461" s="4">
        <v>8.4076433121019107</v>
      </c>
      <c r="G461" s="2">
        <f t="shared" si="38"/>
        <v>55.518591419680874</v>
      </c>
      <c r="H461" s="2">
        <f t="shared" si="39"/>
        <v>12.789031552981468</v>
      </c>
      <c r="I461" s="2">
        <f t="shared" si="35"/>
        <v>1827.0045075687813</v>
      </c>
      <c r="J461" s="4">
        <f t="shared" si="37"/>
        <v>11.212386681001258</v>
      </c>
      <c r="K461" s="4">
        <f t="shared" si="36"/>
        <v>1601.7695258573224</v>
      </c>
      <c r="L461">
        <v>7</v>
      </c>
    </row>
    <row r="462" spans="1:12" x14ac:dyDescent="0.3">
      <c r="A462" t="s">
        <v>91</v>
      </c>
      <c r="B462" t="s">
        <v>60</v>
      </c>
      <c r="C462" s="4">
        <v>0.41</v>
      </c>
      <c r="D462" s="4">
        <v>0.33983503399999998</v>
      </c>
      <c r="E462">
        <v>7</v>
      </c>
      <c r="F462" s="4">
        <v>7.1019108280254777</v>
      </c>
      <c r="G462" s="2">
        <f t="shared" si="38"/>
        <v>39.613235088230461</v>
      </c>
      <c r="H462" s="2">
        <f t="shared" si="39"/>
        <v>7.1983487553967018</v>
      </c>
      <c r="I462" s="2">
        <f t="shared" si="35"/>
        <v>1028.335536485243</v>
      </c>
      <c r="J462" s="4">
        <f t="shared" si="37"/>
        <v>10.221409866526026</v>
      </c>
      <c r="K462" s="4">
        <f t="shared" si="36"/>
        <v>1460.201409503718</v>
      </c>
      <c r="L462">
        <v>7</v>
      </c>
    </row>
    <row r="463" spans="1:12" x14ac:dyDescent="0.3">
      <c r="A463" t="s">
        <v>91</v>
      </c>
      <c r="B463" t="s">
        <v>90</v>
      </c>
      <c r="C463" s="4">
        <v>0.37226847299999999</v>
      </c>
      <c r="D463" s="4">
        <v>0.42234285700000002</v>
      </c>
      <c r="E463">
        <v>6</v>
      </c>
      <c r="F463" s="4">
        <v>6.2101910828025479</v>
      </c>
      <c r="G463" s="2">
        <f t="shared" si="38"/>
        <v>30.290037286693146</v>
      </c>
      <c r="H463" s="2">
        <f t="shared" si="39"/>
        <v>5.8922445408497444</v>
      </c>
      <c r="I463" s="2">
        <f t="shared" si="35"/>
        <v>841.749220121392</v>
      </c>
      <c r="J463" s="4">
        <f t="shared" si="37"/>
        <v>9.7955959389833254</v>
      </c>
      <c r="K463" s="4">
        <f t="shared" si="36"/>
        <v>1399.3708484261895</v>
      </c>
      <c r="L463">
        <v>7</v>
      </c>
    </row>
    <row r="464" spans="1:12" x14ac:dyDescent="0.3">
      <c r="A464" t="s">
        <v>91</v>
      </c>
      <c r="B464" t="s">
        <v>90</v>
      </c>
      <c r="C464" s="4">
        <v>0.37226847299999999</v>
      </c>
      <c r="D464" s="4">
        <v>0.42234285700000002</v>
      </c>
      <c r="E464">
        <v>3.5</v>
      </c>
      <c r="F464" s="4">
        <v>11.815286624203821</v>
      </c>
      <c r="G464" s="2">
        <f t="shared" si="38"/>
        <v>109.64236744714611</v>
      </c>
      <c r="H464" s="2">
        <f t="shared" si="39"/>
        <v>12.220412444814965</v>
      </c>
      <c r="I464" s="2">
        <f t="shared" si="35"/>
        <v>1745.7732064021379</v>
      </c>
      <c r="J464" s="4">
        <f t="shared" si="37"/>
        <v>10.695812225648099</v>
      </c>
      <c r="K464" s="4">
        <f t="shared" si="36"/>
        <v>1527.9731750925857</v>
      </c>
      <c r="L464">
        <v>7</v>
      </c>
    </row>
    <row r="465" spans="1:12" x14ac:dyDescent="0.3">
      <c r="A465" t="s">
        <v>91</v>
      </c>
      <c r="B465" t="s">
        <v>55</v>
      </c>
      <c r="C465" s="4">
        <v>0.52500000000000002</v>
      </c>
      <c r="D465" s="4">
        <v>0.52500000000000002</v>
      </c>
      <c r="E465">
        <v>7</v>
      </c>
      <c r="F465" s="4">
        <v>15.668789808917198</v>
      </c>
      <c r="G465" s="2">
        <f t="shared" si="38"/>
        <v>192.82386813323049</v>
      </c>
      <c r="H465" s="2">
        <f t="shared" si="39"/>
        <v>51.572173964266021</v>
      </c>
      <c r="I465" s="2">
        <f t="shared" si="35"/>
        <v>7367.4534234665743</v>
      </c>
      <c r="J465" s="4">
        <f t="shared" si="37"/>
        <v>15.000718864862673</v>
      </c>
      <c r="K465" s="4">
        <f t="shared" si="36"/>
        <v>2142.9598378375244</v>
      </c>
      <c r="L465">
        <v>7</v>
      </c>
    </row>
    <row r="466" spans="1:12" x14ac:dyDescent="0.3">
      <c r="A466" t="s">
        <v>91</v>
      </c>
      <c r="B466" t="s">
        <v>55</v>
      </c>
      <c r="C466" s="4">
        <v>0.52500000000000002</v>
      </c>
      <c r="D466" s="4">
        <v>0.52500000000000002</v>
      </c>
      <c r="E466">
        <v>7</v>
      </c>
      <c r="F466" s="4">
        <v>12.643312101910828</v>
      </c>
      <c r="G466" s="2">
        <f t="shared" si="38"/>
        <v>125.54852036077369</v>
      </c>
      <c r="H466" s="2">
        <f t="shared" si="39"/>
        <v>33.926466350297083</v>
      </c>
      <c r="I466" s="2">
        <f t="shared" si="35"/>
        <v>4846.6380500424402</v>
      </c>
      <c r="J466" s="4">
        <f t="shared" si="37"/>
        <v>12.902106852204957</v>
      </c>
      <c r="K466" s="4">
        <f t="shared" si="36"/>
        <v>1843.1581217435653</v>
      </c>
      <c r="L466">
        <v>7</v>
      </c>
    </row>
    <row r="467" spans="1:12" x14ac:dyDescent="0.3">
      <c r="A467" t="s">
        <v>91</v>
      </c>
      <c r="B467" t="s">
        <v>93</v>
      </c>
      <c r="C467" s="4">
        <v>0.85449533600000005</v>
      </c>
      <c r="D467" s="4">
        <v>0.81482857099999995</v>
      </c>
      <c r="E467">
        <v>5</v>
      </c>
      <c r="F467" s="4">
        <v>9.4904458598726116</v>
      </c>
      <c r="G467" s="2">
        <f t="shared" si="38"/>
        <v>70.739683660946696</v>
      </c>
      <c r="H467" s="2">
        <f t="shared" si="39"/>
        <v>21.432553749575355</v>
      </c>
      <c r="I467" s="2">
        <f t="shared" si="35"/>
        <v>3061.7933927964796</v>
      </c>
      <c r="J467" s="4">
        <f t="shared" si="37"/>
        <v>10.56189984583553</v>
      </c>
      <c r="K467" s="4">
        <f t="shared" si="36"/>
        <v>1508.8428351193616</v>
      </c>
      <c r="L467">
        <v>7</v>
      </c>
    </row>
    <row r="468" spans="1:12" x14ac:dyDescent="0.3">
      <c r="A468" t="s">
        <v>91</v>
      </c>
      <c r="B468" t="s">
        <v>78</v>
      </c>
      <c r="C468" s="4">
        <v>0.43538739399999998</v>
      </c>
      <c r="D468" s="4">
        <v>0.568333333</v>
      </c>
      <c r="E468">
        <v>8</v>
      </c>
      <c r="F468" s="4">
        <v>20.318471337579616</v>
      </c>
      <c r="G468" s="2">
        <f t="shared" si="38"/>
        <v>324.24399572188617</v>
      </c>
      <c r="H468" s="2">
        <f t="shared" si="39"/>
        <v>105.42092841766319</v>
      </c>
      <c r="I468" s="2">
        <f t="shared" si="35"/>
        <v>15060.132631094742</v>
      </c>
      <c r="J468" s="4">
        <f t="shared" si="37"/>
        <v>20.545227769889244</v>
      </c>
      <c r="K468" s="4">
        <f t="shared" si="36"/>
        <v>2935.0325385556062</v>
      </c>
      <c r="L468">
        <v>7</v>
      </c>
    </row>
    <row r="469" spans="1:12" x14ac:dyDescent="0.3">
      <c r="A469" t="s">
        <v>91</v>
      </c>
      <c r="B469" t="s">
        <v>47</v>
      </c>
      <c r="C469" s="4">
        <v>0.40238543599999999</v>
      </c>
      <c r="D469" s="4">
        <v>0.40883333300000002</v>
      </c>
      <c r="E469">
        <v>9</v>
      </c>
      <c r="F469" s="4">
        <v>18.312101910828027</v>
      </c>
      <c r="G469" s="2">
        <f t="shared" si="38"/>
        <v>263.3699823251261</v>
      </c>
      <c r="H469" s="2">
        <f t="shared" si="39"/>
        <v>69.998687926319477</v>
      </c>
      <c r="I469" s="2">
        <f t="shared" si="35"/>
        <v>9999.8125609027811</v>
      </c>
      <c r="J469" s="4">
        <f t="shared" si="37"/>
        <v>19.54869190636537</v>
      </c>
      <c r="K469" s="4">
        <f t="shared" si="36"/>
        <v>2792.6702723379099</v>
      </c>
      <c r="L469">
        <v>7</v>
      </c>
    </row>
    <row r="470" spans="1:12" x14ac:dyDescent="0.3">
      <c r="A470" t="s">
        <v>91</v>
      </c>
      <c r="B470" t="s">
        <v>47</v>
      </c>
      <c r="C470" s="4">
        <v>0.40238543599999999</v>
      </c>
      <c r="D470" s="4">
        <v>0.40883333300000002</v>
      </c>
      <c r="E470">
        <v>9</v>
      </c>
      <c r="F470" s="4">
        <v>18.312101910828027</v>
      </c>
      <c r="G470" s="2">
        <f t="shared" si="38"/>
        <v>263.3699823251261</v>
      </c>
      <c r="H470" s="2">
        <f t="shared" si="39"/>
        <v>69.998687926319477</v>
      </c>
      <c r="I470" s="2">
        <f t="shared" si="35"/>
        <v>9999.8125609027811</v>
      </c>
      <c r="J470" s="4">
        <f t="shared" si="37"/>
        <v>19.54869190636537</v>
      </c>
      <c r="K470" s="4">
        <f t="shared" si="36"/>
        <v>2792.6702723379099</v>
      </c>
      <c r="L470">
        <v>7</v>
      </c>
    </row>
    <row r="471" spans="1:12" x14ac:dyDescent="0.3">
      <c r="A471" t="s">
        <v>91</v>
      </c>
      <c r="B471" t="s">
        <v>47</v>
      </c>
      <c r="C471" s="4">
        <v>0.40238543599999999</v>
      </c>
      <c r="D471" s="4">
        <v>0.40883333300000002</v>
      </c>
      <c r="E471">
        <v>8</v>
      </c>
      <c r="F471" s="4">
        <v>17.35668789808917</v>
      </c>
      <c r="G471" s="2">
        <f t="shared" si="38"/>
        <v>236.60482117238735</v>
      </c>
      <c r="H471" s="2">
        <f t="shared" si="39"/>
        <v>56.200396200713875</v>
      </c>
      <c r="I471" s="2">
        <f t="shared" si="35"/>
        <v>8028.6280286734109</v>
      </c>
      <c r="J471" s="4">
        <f t="shared" si="37"/>
        <v>17.420829214166901</v>
      </c>
      <c r="K471" s="4">
        <f t="shared" si="36"/>
        <v>2488.6898877381286</v>
      </c>
      <c r="L471">
        <v>7</v>
      </c>
    </row>
    <row r="472" spans="1:12" x14ac:dyDescent="0.3">
      <c r="A472" t="s">
        <v>91</v>
      </c>
      <c r="B472" t="s">
        <v>47</v>
      </c>
      <c r="C472" s="4">
        <v>0.40238543599999999</v>
      </c>
      <c r="D472" s="4">
        <v>0.40883333300000002</v>
      </c>
      <c r="E472">
        <v>7</v>
      </c>
      <c r="F472" s="4">
        <v>17.00636942675159</v>
      </c>
      <c r="G472" s="2">
        <f t="shared" si="38"/>
        <v>227.1501873116178</v>
      </c>
      <c r="H472" s="2">
        <f t="shared" si="39"/>
        <v>47.408236241501427</v>
      </c>
      <c r="I472" s="2">
        <f t="shared" si="35"/>
        <v>6772.6051773573472</v>
      </c>
      <c r="J472" s="4">
        <f t="shared" si="37"/>
        <v>16.071506726439203</v>
      </c>
      <c r="K472" s="4">
        <f t="shared" si="36"/>
        <v>2295.9295323484575</v>
      </c>
      <c r="L472">
        <v>7</v>
      </c>
    </row>
    <row r="473" spans="1:12" x14ac:dyDescent="0.3">
      <c r="A473" t="s">
        <v>91</v>
      </c>
      <c r="B473" t="s">
        <v>94</v>
      </c>
      <c r="C473" s="4">
        <v>0.28577490700000002</v>
      </c>
      <c r="D473" s="4">
        <v>0.3422</v>
      </c>
      <c r="E473">
        <v>5</v>
      </c>
      <c r="F473" s="4">
        <v>29.968152866242036</v>
      </c>
      <c r="G473" s="2">
        <f t="shared" si="38"/>
        <v>705.35838281810197</v>
      </c>
      <c r="H473" s="2">
        <f t="shared" si="39"/>
        <v>86.717619092726352</v>
      </c>
      <c r="I473" s="2">
        <f t="shared" si="35"/>
        <v>12388.231298960907</v>
      </c>
      <c r="J473" s="4">
        <f t="shared" si="37"/>
        <v>24.702278258752891</v>
      </c>
      <c r="K473" s="4">
        <f t="shared" si="36"/>
        <v>3528.8968941075555</v>
      </c>
      <c r="L473">
        <v>7</v>
      </c>
    </row>
    <row r="474" spans="1:12" x14ac:dyDescent="0.3">
      <c r="A474" t="s">
        <v>91</v>
      </c>
      <c r="B474" t="s">
        <v>94</v>
      </c>
      <c r="C474" s="4">
        <v>0.28577490700000002</v>
      </c>
      <c r="D474" s="4">
        <v>0.3422</v>
      </c>
      <c r="E474">
        <v>6.5</v>
      </c>
      <c r="F474" s="4">
        <v>20.859872611464969</v>
      </c>
      <c r="G474" s="2">
        <f t="shared" si="38"/>
        <v>341.75366855814667</v>
      </c>
      <c r="H474" s="2">
        <f t="shared" si="39"/>
        <v>55.229629512847218</v>
      </c>
      <c r="I474" s="2">
        <f t="shared" si="35"/>
        <v>7889.9470732638883</v>
      </c>
      <c r="J474" s="4">
        <f t="shared" si="37"/>
        <v>18.88500499208893</v>
      </c>
      <c r="K474" s="4">
        <f t="shared" si="36"/>
        <v>2697.8578560127039</v>
      </c>
      <c r="L474">
        <v>7</v>
      </c>
    </row>
    <row r="475" spans="1:12" x14ac:dyDescent="0.3">
      <c r="A475" t="s">
        <v>95</v>
      </c>
      <c r="B475" t="s">
        <v>51</v>
      </c>
      <c r="C475" s="4">
        <v>0.40257753800000001</v>
      </c>
      <c r="D475" s="4">
        <v>0.40843333300000001</v>
      </c>
      <c r="E475">
        <v>3.5</v>
      </c>
      <c r="F475" s="4">
        <v>12.579617834394904</v>
      </c>
      <c r="G475" s="2">
        <f t="shared" si="38"/>
        <v>124.28673419214456</v>
      </c>
      <c r="H475" s="2">
        <f t="shared" si="39"/>
        <v>13.366897053088312</v>
      </c>
      <c r="I475" s="2">
        <f t="shared" si="35"/>
        <v>1909.556721869759</v>
      </c>
      <c r="J475" s="4">
        <f t="shared" si="37"/>
        <v>10.924223114527972</v>
      </c>
      <c r="K475" s="4">
        <f t="shared" si="36"/>
        <v>1560.6033020754246</v>
      </c>
      <c r="L475">
        <v>7</v>
      </c>
    </row>
    <row r="476" spans="1:12" x14ac:dyDescent="0.3">
      <c r="A476" t="s">
        <v>95</v>
      </c>
      <c r="B476" t="s">
        <v>51</v>
      </c>
      <c r="C476" s="4">
        <v>0.40257753800000001</v>
      </c>
      <c r="D476" s="4">
        <v>0.40843333300000001</v>
      </c>
      <c r="E476">
        <v>7</v>
      </c>
      <c r="F476" s="4">
        <v>11.942675159235668</v>
      </c>
      <c r="G476" s="2">
        <f t="shared" si="38"/>
        <v>112.01936866380598</v>
      </c>
      <c r="H476" s="2">
        <f t="shared" si="39"/>
        <v>23.756769447158185</v>
      </c>
      <c r="I476" s="2">
        <f t="shared" si="35"/>
        <v>3393.8242067368838</v>
      </c>
      <c r="J476" s="4">
        <f t="shared" si="37"/>
        <v>12.480073503996104</v>
      </c>
      <c r="K476" s="4">
        <f t="shared" si="36"/>
        <v>1782.8676434280148</v>
      </c>
      <c r="L476">
        <v>7</v>
      </c>
    </row>
    <row r="477" spans="1:12" x14ac:dyDescent="0.3">
      <c r="A477" t="s">
        <v>95</v>
      </c>
      <c r="B477" t="s">
        <v>92</v>
      </c>
      <c r="C477" s="4">
        <v>0.80803492399999999</v>
      </c>
      <c r="D477" s="4">
        <v>0.87275320499999998</v>
      </c>
      <c r="E477">
        <v>7</v>
      </c>
      <c r="F477" s="4">
        <v>6.5286624203821653</v>
      </c>
      <c r="G477" s="2">
        <f t="shared" si="38"/>
        <v>33.476365995352509</v>
      </c>
      <c r="H477" s="2">
        <f t="shared" si="39"/>
        <v>15.334784333807633</v>
      </c>
      <c r="I477" s="2">
        <f t="shared" si="35"/>
        <v>2190.6834762582334</v>
      </c>
      <c r="J477" s="4">
        <f t="shared" si="37"/>
        <v>10.029974108483103</v>
      </c>
      <c r="K477" s="4">
        <f t="shared" si="36"/>
        <v>1432.8534440690146</v>
      </c>
      <c r="L477">
        <v>7</v>
      </c>
    </row>
    <row r="478" spans="1:12" x14ac:dyDescent="0.3">
      <c r="A478" t="s">
        <v>95</v>
      </c>
      <c r="B478" t="s">
        <v>92</v>
      </c>
      <c r="C478" s="4">
        <v>0.80803492399999999</v>
      </c>
      <c r="D478" s="4">
        <v>0.87275320499999998</v>
      </c>
      <c r="E478">
        <v>8</v>
      </c>
      <c r="F478" s="4">
        <v>23.789808917197448</v>
      </c>
      <c r="G478" s="2">
        <f t="shared" si="38"/>
        <v>444.50002409757656</v>
      </c>
      <c r="H478" s="2">
        <f t="shared" si="39"/>
        <v>217.99979776651935</v>
      </c>
      <c r="I478" s="2">
        <f t="shared" si="35"/>
        <v>31142.828252359908</v>
      </c>
      <c r="J478" s="4">
        <f t="shared" si="37"/>
        <v>24.83244023286948</v>
      </c>
      <c r="K478" s="4">
        <f t="shared" si="36"/>
        <v>3547.4914618384973</v>
      </c>
      <c r="L478">
        <v>7</v>
      </c>
    </row>
    <row r="479" spans="1:12" x14ac:dyDescent="0.3">
      <c r="A479" t="s">
        <v>95</v>
      </c>
      <c r="B479" t="s">
        <v>92</v>
      </c>
      <c r="C479" s="4">
        <v>0.80803492399999999</v>
      </c>
      <c r="D479" s="4">
        <v>0.87275320499999998</v>
      </c>
      <c r="E479">
        <v>8.5</v>
      </c>
      <c r="F479" s="4">
        <v>15.764331210191083</v>
      </c>
      <c r="G479" s="2">
        <f t="shared" si="38"/>
        <v>195.18254795981557</v>
      </c>
      <c r="H479" s="2">
        <f t="shared" si="39"/>
        <v>103.58590590263773</v>
      </c>
      <c r="I479" s="2">
        <f t="shared" si="35"/>
        <v>14797.986557519676</v>
      </c>
      <c r="J479" s="4">
        <f t="shared" si="37"/>
        <v>16.378995620511986</v>
      </c>
      <c r="K479" s="4">
        <f t="shared" si="36"/>
        <v>2339.8565172159983</v>
      </c>
      <c r="L479">
        <v>7</v>
      </c>
    </row>
    <row r="480" spans="1:12" x14ac:dyDescent="0.3">
      <c r="A480" t="s">
        <v>95</v>
      </c>
      <c r="B480" t="s">
        <v>92</v>
      </c>
      <c r="C480" s="4">
        <v>0.80803492399999999</v>
      </c>
      <c r="D480" s="4">
        <v>0.87275320499999998</v>
      </c>
      <c r="E480">
        <v>8</v>
      </c>
      <c r="F480" s="4">
        <v>11.210191082802549</v>
      </c>
      <c r="G480" s="2">
        <f t="shared" si="38"/>
        <v>98.699718079432685</v>
      </c>
      <c r="H480" s="2">
        <f t="shared" si="39"/>
        <v>50.186343532392542</v>
      </c>
      <c r="I480" s="2">
        <f t="shared" si="35"/>
        <v>7169.4776474846494</v>
      </c>
      <c r="J480" s="4">
        <f t="shared" si="37"/>
        <v>12.504414755162482</v>
      </c>
      <c r="K480" s="4">
        <f t="shared" si="36"/>
        <v>1786.3449650232119</v>
      </c>
      <c r="L480">
        <v>7</v>
      </c>
    </row>
    <row r="481" spans="1:12" x14ac:dyDescent="0.3">
      <c r="A481" t="s">
        <v>95</v>
      </c>
      <c r="B481" t="s">
        <v>60</v>
      </c>
      <c r="C481" s="4">
        <v>0.41</v>
      </c>
      <c r="D481" s="4">
        <v>0.33983503399999998</v>
      </c>
      <c r="E481">
        <v>7</v>
      </c>
      <c r="F481" s="4">
        <v>6.4968152866242033</v>
      </c>
      <c r="G481" s="2">
        <f t="shared" si="38"/>
        <v>33.150563884892087</v>
      </c>
      <c r="H481" s="2">
        <f t="shared" si="39"/>
        <v>6.0497841292181711</v>
      </c>
      <c r="I481" s="2">
        <f t="shared" si="35"/>
        <v>864.25487560259592</v>
      </c>
      <c r="J481" s="4">
        <f t="shared" si="37"/>
        <v>10.019810917278591</v>
      </c>
      <c r="K481" s="4">
        <f t="shared" si="36"/>
        <v>1431.4015596112272</v>
      </c>
      <c r="L481">
        <v>7</v>
      </c>
    </row>
    <row r="482" spans="1:12" x14ac:dyDescent="0.3">
      <c r="A482" t="s">
        <v>95</v>
      </c>
      <c r="B482" t="s">
        <v>60</v>
      </c>
      <c r="C482" s="4">
        <v>0.41</v>
      </c>
      <c r="D482" s="4">
        <v>0.33983503399999998</v>
      </c>
      <c r="E482">
        <v>5</v>
      </c>
      <c r="F482" s="4">
        <v>6.4649681528662422</v>
      </c>
      <c r="G482" s="2">
        <f t="shared" si="38"/>
        <v>32.826354938786004</v>
      </c>
      <c r="H482" s="2">
        <f t="shared" si="39"/>
        <v>4.3147247372954656</v>
      </c>
      <c r="I482" s="2">
        <f t="shared" si="35"/>
        <v>616.38924818506644</v>
      </c>
      <c r="J482" s="4">
        <f t="shared" si="37"/>
        <v>9.7171267313075571</v>
      </c>
      <c r="K482" s="4">
        <f t="shared" si="36"/>
        <v>1388.1609616153653</v>
      </c>
      <c r="L482">
        <v>7</v>
      </c>
    </row>
    <row r="483" spans="1:12" x14ac:dyDescent="0.3">
      <c r="A483" t="s">
        <v>95</v>
      </c>
      <c r="B483" t="s">
        <v>69</v>
      </c>
      <c r="C483" s="4">
        <v>0.31264018999999998</v>
      </c>
      <c r="D483" s="4">
        <v>0.356821212</v>
      </c>
      <c r="E483">
        <v>3.5</v>
      </c>
      <c r="F483" s="4">
        <v>5.8917197452229297</v>
      </c>
      <c r="G483" s="2">
        <f t="shared" si="38"/>
        <v>27.263025013466741</v>
      </c>
      <c r="H483" s="2">
        <f t="shared" si="39"/>
        <v>2.6652003670840854</v>
      </c>
      <c r="I483" s="2">
        <f t="shared" si="35"/>
        <v>380.74290958344079</v>
      </c>
      <c r="J483" s="4">
        <f t="shared" si="37"/>
        <v>9.4109264290640589</v>
      </c>
      <c r="K483" s="4">
        <f t="shared" si="36"/>
        <v>1344.4180612948655</v>
      </c>
      <c r="L483">
        <v>7</v>
      </c>
    </row>
    <row r="484" spans="1:12" x14ac:dyDescent="0.3">
      <c r="A484" t="s">
        <v>95</v>
      </c>
      <c r="B484" t="s">
        <v>85</v>
      </c>
      <c r="C484" s="4">
        <v>0.6</v>
      </c>
      <c r="D484" s="4">
        <v>0.66674999999999995</v>
      </c>
      <c r="E484">
        <v>4.5</v>
      </c>
      <c r="F484" s="4">
        <v>5.2229299363057322</v>
      </c>
      <c r="G484" s="2">
        <f t="shared" si="38"/>
        <v>21.424874237025605</v>
      </c>
      <c r="H484" s="2">
        <f t="shared" si="39"/>
        <v>4.9557216796564791</v>
      </c>
      <c r="I484" s="2">
        <f t="shared" si="35"/>
        <v>707.9602399509256</v>
      </c>
      <c r="J484" s="4">
        <f t="shared" si="37"/>
        <v>9.4153442046330476</v>
      </c>
      <c r="K484" s="4">
        <f t="shared" si="36"/>
        <v>1345.0491720904354</v>
      </c>
      <c r="L484">
        <v>7</v>
      </c>
    </row>
    <row r="485" spans="1:12" x14ac:dyDescent="0.3">
      <c r="A485" t="s">
        <v>95</v>
      </c>
      <c r="B485" t="s">
        <v>96</v>
      </c>
      <c r="C485" s="4">
        <v>0.60413333300000005</v>
      </c>
      <c r="D485" s="4">
        <v>0.60831666699999998</v>
      </c>
      <c r="E485">
        <v>8</v>
      </c>
      <c r="F485" s="4">
        <v>13.757961783439491</v>
      </c>
      <c r="G485" s="2">
        <f t="shared" si="38"/>
        <v>148.66135223121162</v>
      </c>
      <c r="H485" s="2">
        <f t="shared" si="39"/>
        <v>52.625846515587817</v>
      </c>
      <c r="I485" s="2">
        <f t="shared" si="35"/>
        <v>7517.9780736554021</v>
      </c>
      <c r="J485" s="4">
        <f t="shared" si="37"/>
        <v>14.285582348168283</v>
      </c>
      <c r="K485" s="4">
        <f t="shared" si="36"/>
        <v>2040.7974783097548</v>
      </c>
      <c r="L485">
        <v>7</v>
      </c>
    </row>
    <row r="486" spans="1:12" x14ac:dyDescent="0.3">
      <c r="A486" t="s">
        <v>95</v>
      </c>
      <c r="B486" t="s">
        <v>55</v>
      </c>
      <c r="C486" s="4">
        <v>0.52500000000000002</v>
      </c>
      <c r="D486" s="4">
        <v>0.52500000000000002</v>
      </c>
      <c r="E486">
        <v>3.5</v>
      </c>
      <c r="F486" s="4">
        <v>2.9617834394904459</v>
      </c>
      <c r="G486" s="2">
        <f t="shared" si="38"/>
        <v>6.8896392502987247</v>
      </c>
      <c r="H486" s="2">
        <f t="shared" si="39"/>
        <v>1.0147825677595714</v>
      </c>
      <c r="I486" s="2">
        <f t="shared" si="35"/>
        <v>144.96893825136735</v>
      </c>
      <c r="J486" s="4">
        <f t="shared" si="37"/>
        <v>9.0931589739948873</v>
      </c>
      <c r="K486" s="4">
        <f t="shared" si="36"/>
        <v>1299.0227105706981</v>
      </c>
      <c r="L486">
        <v>7</v>
      </c>
    </row>
    <row r="487" spans="1:12" x14ac:dyDescent="0.3">
      <c r="A487" t="s">
        <v>95</v>
      </c>
      <c r="B487" t="s">
        <v>56</v>
      </c>
      <c r="C487" s="4">
        <v>0.39984676499999999</v>
      </c>
      <c r="D487" s="4">
        <v>0.450333333</v>
      </c>
      <c r="E487">
        <v>8</v>
      </c>
      <c r="F487" s="4">
        <v>28.025477707006367</v>
      </c>
      <c r="G487" s="2">
        <f t="shared" si="38"/>
        <v>616.87323799645401</v>
      </c>
      <c r="H487" s="2">
        <f t="shared" si="39"/>
        <v>157.36337820685355</v>
      </c>
      <c r="I487" s="2">
        <f t="shared" si="35"/>
        <v>22480.482600979078</v>
      </c>
      <c r="J487" s="4">
        <f t="shared" si="37"/>
        <v>30.9776672197655</v>
      </c>
      <c r="K487" s="4">
        <f t="shared" si="36"/>
        <v>4425.3810313950717</v>
      </c>
      <c r="L487">
        <v>7</v>
      </c>
    </row>
    <row r="488" spans="1:12" x14ac:dyDescent="0.3">
      <c r="A488" t="s">
        <v>95</v>
      </c>
      <c r="B488" t="s">
        <v>47</v>
      </c>
      <c r="C488" s="4">
        <v>0.40238543599999999</v>
      </c>
      <c r="D488" s="4">
        <v>0.40883333300000002</v>
      </c>
      <c r="E488">
        <v>6</v>
      </c>
      <c r="F488" s="4">
        <v>19.872611464968152</v>
      </c>
      <c r="G488" s="2">
        <f t="shared" si="38"/>
        <v>310.16998181573774</v>
      </c>
      <c r="H488" s="2">
        <f t="shared" si="39"/>
        <v>55.278152153802338</v>
      </c>
      <c r="I488" s="2">
        <f t="shared" si="35"/>
        <v>7896.8788791146198</v>
      </c>
      <c r="J488" s="4">
        <f t="shared" si="37"/>
        <v>17.279034415189258</v>
      </c>
      <c r="K488" s="4">
        <f t="shared" si="36"/>
        <v>2468.4334878841796</v>
      </c>
      <c r="L488">
        <v>7</v>
      </c>
    </row>
    <row r="489" spans="1:12" x14ac:dyDescent="0.3">
      <c r="A489" t="s">
        <v>95</v>
      </c>
      <c r="B489" t="s">
        <v>49</v>
      </c>
      <c r="C489" s="4">
        <v>0.57917600000000002</v>
      </c>
      <c r="D489" s="4">
        <v>0.60285714300000004</v>
      </c>
      <c r="E489">
        <v>9</v>
      </c>
      <c r="F489" s="4">
        <v>42.611464968152866</v>
      </c>
      <c r="G489" s="2">
        <f t="shared" si="38"/>
        <v>1426.0764631762966</v>
      </c>
      <c r="H489" s="2">
        <f t="shared" si="39"/>
        <v>531.71716313894319</v>
      </c>
      <c r="I489" s="2">
        <f t="shared" si="35"/>
        <v>75959.594734134735</v>
      </c>
      <c r="J489" s="4">
        <f t="shared" si="37"/>
        <v>66.181413822061742</v>
      </c>
      <c r="K489" s="4">
        <f t="shared" si="36"/>
        <v>9454.4876888659637</v>
      </c>
      <c r="L489">
        <v>7</v>
      </c>
    </row>
    <row r="490" spans="1:12" x14ac:dyDescent="0.3">
      <c r="A490" t="s">
        <v>95</v>
      </c>
      <c r="B490" t="s">
        <v>49</v>
      </c>
      <c r="C490" s="4">
        <v>0.57917600000000002</v>
      </c>
      <c r="D490" s="4">
        <v>0.60285714300000004</v>
      </c>
      <c r="E490">
        <v>8</v>
      </c>
      <c r="F490" s="4">
        <v>48.312101910828027</v>
      </c>
      <c r="G490" s="2">
        <f t="shared" si="38"/>
        <v>1833.1658019055037</v>
      </c>
      <c r="H490" s="2">
        <f t="shared" si="39"/>
        <v>605.61599572582588</v>
      </c>
      <c r="I490" s="2">
        <f t="shared" si="35"/>
        <v>86516.570817975124</v>
      </c>
      <c r="J490" s="4">
        <f t="shared" si="37"/>
        <v>74.339357349182521</v>
      </c>
      <c r="K490" s="4">
        <f t="shared" si="36"/>
        <v>10619.90819274036</v>
      </c>
      <c r="L490">
        <v>7</v>
      </c>
    </row>
    <row r="491" spans="1:12" x14ac:dyDescent="0.3">
      <c r="A491" t="s">
        <v>95</v>
      </c>
      <c r="B491" t="s">
        <v>94</v>
      </c>
      <c r="C491" s="4">
        <v>0.28577490700000002</v>
      </c>
      <c r="D491" s="4">
        <v>0.3422</v>
      </c>
      <c r="E491">
        <v>7</v>
      </c>
      <c r="F491" s="4">
        <v>9.6178343949044578</v>
      </c>
      <c r="G491" s="2">
        <f t="shared" si="38"/>
        <v>72.651480886142309</v>
      </c>
      <c r="H491" s="2">
        <f t="shared" si="39"/>
        <v>13.09950593473658</v>
      </c>
      <c r="I491" s="2">
        <f t="shared" si="35"/>
        <v>1871.3579906766543</v>
      </c>
      <c r="J491" s="4">
        <f t="shared" si="37"/>
        <v>11.252017091971275</v>
      </c>
      <c r="K491" s="4">
        <f t="shared" si="36"/>
        <v>1607.4310131387535</v>
      </c>
      <c r="L491">
        <v>7</v>
      </c>
    </row>
    <row r="492" spans="1:12" x14ac:dyDescent="0.3">
      <c r="A492" t="s">
        <v>97</v>
      </c>
      <c r="B492" t="s">
        <v>15</v>
      </c>
      <c r="C492" s="4">
        <v>0.47982689899999997</v>
      </c>
      <c r="D492" s="4">
        <v>0.51</v>
      </c>
      <c r="E492">
        <v>2</v>
      </c>
      <c r="F492" s="4">
        <v>2.9617834394904459</v>
      </c>
      <c r="G492" s="2">
        <f t="shared" si="38"/>
        <v>6.8896392502987247</v>
      </c>
      <c r="H492" s="2">
        <f t="shared" si="39"/>
        <v>0.57132190339228528</v>
      </c>
      <c r="I492" s="2">
        <f t="shared" si="35"/>
        <v>81.617414770326477</v>
      </c>
      <c r="J492" s="4">
        <f t="shared" si="37"/>
        <v>9.047105127997078</v>
      </c>
      <c r="K492" s="4">
        <f t="shared" si="36"/>
        <v>1292.4435897138683</v>
      </c>
      <c r="L492">
        <v>7</v>
      </c>
    </row>
    <row r="493" spans="1:12" x14ac:dyDescent="0.3">
      <c r="A493" t="s">
        <v>97</v>
      </c>
      <c r="B493" t="s">
        <v>15</v>
      </c>
      <c r="C493" s="4">
        <v>0.47982689899999997</v>
      </c>
      <c r="D493" s="4">
        <v>0.51</v>
      </c>
      <c r="E493">
        <v>6</v>
      </c>
      <c r="F493" s="4">
        <v>5.1910828025477711</v>
      </c>
      <c r="G493" s="2">
        <f t="shared" si="38"/>
        <v>21.164391865092711</v>
      </c>
      <c r="H493" s="2">
        <f t="shared" si="39"/>
        <v>4.991863568451822</v>
      </c>
      <c r="I493" s="2">
        <f t="shared" si="35"/>
        <v>713.1233669216889</v>
      </c>
      <c r="J493" s="4">
        <f t="shared" si="37"/>
        <v>9.5515941539210516</v>
      </c>
      <c r="K493" s="4">
        <f t="shared" si="36"/>
        <v>1364.5134505601502</v>
      </c>
      <c r="L493">
        <v>7</v>
      </c>
    </row>
    <row r="494" spans="1:12" x14ac:dyDescent="0.3">
      <c r="A494" t="s">
        <v>97</v>
      </c>
      <c r="B494" t="s">
        <v>15</v>
      </c>
      <c r="C494" s="4">
        <v>0.47982689899999997</v>
      </c>
      <c r="D494" s="4">
        <v>0.51</v>
      </c>
      <c r="E494">
        <v>3</v>
      </c>
      <c r="F494" s="4">
        <v>5.4140127388535033</v>
      </c>
      <c r="G494" s="2">
        <f t="shared" si="38"/>
        <v>23.021224920063954</v>
      </c>
      <c r="H494" s="2">
        <f t="shared" si="39"/>
        <v>2.7548853033951417</v>
      </c>
      <c r="I494" s="2">
        <f t="shared" si="35"/>
        <v>393.55504334216312</v>
      </c>
      <c r="J494" s="4">
        <f t="shared" si="37"/>
        <v>9.2934711063329143</v>
      </c>
      <c r="K494" s="4">
        <f t="shared" si="36"/>
        <v>1327.6387294761305</v>
      </c>
      <c r="L494">
        <v>7</v>
      </c>
    </row>
    <row r="495" spans="1:12" x14ac:dyDescent="0.3">
      <c r="A495" t="s">
        <v>97</v>
      </c>
      <c r="B495" t="s">
        <v>15</v>
      </c>
      <c r="C495" s="4">
        <v>0.47982689899999997</v>
      </c>
      <c r="D495" s="4">
        <v>0.51</v>
      </c>
      <c r="E495">
        <v>5</v>
      </c>
      <c r="F495" s="4">
        <v>3.6942675159235665</v>
      </c>
      <c r="G495" s="2">
        <f t="shared" si="38"/>
        <v>10.71880977593012</v>
      </c>
      <c r="H495" s="2">
        <f t="shared" si="39"/>
        <v>2.1508672271791673</v>
      </c>
      <c r="I495" s="2">
        <f t="shared" si="35"/>
        <v>307.26674673988106</v>
      </c>
      <c r="J495" s="4">
        <f t="shared" si="37"/>
        <v>9.2245332183861404</v>
      </c>
      <c r="K495" s="4">
        <f t="shared" si="36"/>
        <v>1317.7904597694487</v>
      </c>
      <c r="L495">
        <v>7</v>
      </c>
    </row>
    <row r="496" spans="1:12" x14ac:dyDescent="0.3">
      <c r="A496" t="s">
        <v>97</v>
      </c>
      <c r="B496" t="s">
        <v>15</v>
      </c>
      <c r="C496" s="4">
        <v>0.47982689899999997</v>
      </c>
      <c r="D496" s="4">
        <v>0.51</v>
      </c>
      <c r="E496">
        <v>3</v>
      </c>
      <c r="F496" s="4">
        <v>6.3057324840764331</v>
      </c>
      <c r="G496" s="2">
        <f t="shared" si="38"/>
        <v>31.229207673570492</v>
      </c>
      <c r="H496" s="2">
        <f t="shared" si="39"/>
        <v>3.709861351547179</v>
      </c>
      <c r="I496" s="2">
        <f t="shared" si="35"/>
        <v>529.98019307816844</v>
      </c>
      <c r="J496" s="4">
        <f t="shared" si="37"/>
        <v>9.4032037526877357</v>
      </c>
      <c r="K496" s="4">
        <f t="shared" si="36"/>
        <v>1343.3148218125336</v>
      </c>
      <c r="L496">
        <v>7</v>
      </c>
    </row>
    <row r="497" spans="1:12" x14ac:dyDescent="0.3">
      <c r="A497" t="s">
        <v>97</v>
      </c>
      <c r="B497" t="s">
        <v>55</v>
      </c>
      <c r="C497" s="4">
        <v>0.52500000000000002</v>
      </c>
      <c r="D497" s="4">
        <v>0.52500000000000002</v>
      </c>
      <c r="E497">
        <v>7.5</v>
      </c>
      <c r="F497" s="4">
        <v>10.636942675159235</v>
      </c>
      <c r="G497" s="2">
        <f t="shared" si="38"/>
        <v>88.863521355801183</v>
      </c>
      <c r="H497" s="2">
        <f t="shared" si="39"/>
        <v>25.899821299348609</v>
      </c>
      <c r="I497" s="2">
        <f t="shared" si="35"/>
        <v>3699.9744713355153</v>
      </c>
      <c r="J497" s="4">
        <f t="shared" si="37"/>
        <v>11.955744423708872</v>
      </c>
      <c r="K497" s="4">
        <f t="shared" si="36"/>
        <v>1707.9634891012672</v>
      </c>
      <c r="L497">
        <v>7</v>
      </c>
    </row>
    <row r="498" spans="1:12" x14ac:dyDescent="0.3">
      <c r="A498" t="s">
        <v>97</v>
      </c>
      <c r="B498" t="s">
        <v>49</v>
      </c>
      <c r="C498" s="4">
        <v>0.57917600000000002</v>
      </c>
      <c r="D498" s="4">
        <v>0.60285714300000004</v>
      </c>
      <c r="E498">
        <v>7</v>
      </c>
      <c r="F498" s="4">
        <v>13.439490445859873</v>
      </c>
      <c r="G498" s="2">
        <f t="shared" si="38"/>
        <v>141.85854043822386</v>
      </c>
      <c r="H498" s="2">
        <f t="shared" si="39"/>
        <v>43.744478927804856</v>
      </c>
      <c r="I498" s="2">
        <f t="shared" si="35"/>
        <v>6249.2112754006939</v>
      </c>
      <c r="J498" s="4">
        <f t="shared" si="37"/>
        <v>13.410887634386789</v>
      </c>
      <c r="K498" s="4">
        <f t="shared" si="36"/>
        <v>1915.841090626684</v>
      </c>
      <c r="L498">
        <v>7</v>
      </c>
    </row>
    <row r="499" spans="1:12" x14ac:dyDescent="0.3">
      <c r="A499" t="s">
        <v>97</v>
      </c>
      <c r="B499" t="s">
        <v>49</v>
      </c>
      <c r="C499" s="4">
        <v>0.57917600000000002</v>
      </c>
      <c r="D499" s="4">
        <v>0.60285714300000004</v>
      </c>
      <c r="E499">
        <v>5.5</v>
      </c>
      <c r="F499" s="4">
        <v>9.0127388535031852</v>
      </c>
      <c r="G499" s="2">
        <f t="shared" si="38"/>
        <v>63.797469986955093</v>
      </c>
      <c r="H499" s="2">
        <f t="shared" si="39"/>
        <v>15.848156947580271</v>
      </c>
      <c r="I499" s="2">
        <f t="shared" si="35"/>
        <v>2264.022421082896</v>
      </c>
      <c r="J499" s="4">
        <f t="shared" si="37"/>
        <v>10.549367136597834</v>
      </c>
      <c r="K499" s="4">
        <f t="shared" si="36"/>
        <v>1507.0524480854049</v>
      </c>
      <c r="L499">
        <v>7</v>
      </c>
    </row>
    <row r="500" spans="1:12" x14ac:dyDescent="0.3">
      <c r="A500" t="s">
        <v>97</v>
      </c>
      <c r="B500" t="s">
        <v>49</v>
      </c>
      <c r="C500" s="4">
        <v>0.57917600000000002</v>
      </c>
      <c r="D500" s="4">
        <v>0.60285714300000004</v>
      </c>
      <c r="E500">
        <v>7</v>
      </c>
      <c r="F500" s="4">
        <v>13.789808917197451</v>
      </c>
      <c r="G500" s="2">
        <f t="shared" si="38"/>
        <v>149.35039581445918</v>
      </c>
      <c r="H500" s="2">
        <f t="shared" si="39"/>
        <v>45.997869535317172</v>
      </c>
      <c r="I500" s="2">
        <f t="shared" si="35"/>
        <v>6571.1242193310245</v>
      </c>
      <c r="J500" s="4">
        <f t="shared" si="37"/>
        <v>13.644591334334049</v>
      </c>
      <c r="K500" s="4">
        <f t="shared" si="36"/>
        <v>1949.2273334762926</v>
      </c>
      <c r="L500">
        <v>7</v>
      </c>
    </row>
    <row r="501" spans="1:12" x14ac:dyDescent="0.3">
      <c r="A501" t="s">
        <v>97</v>
      </c>
      <c r="B501" t="s">
        <v>49</v>
      </c>
      <c r="C501" s="4">
        <v>0.57917600000000002</v>
      </c>
      <c r="D501" s="4">
        <v>0.60285714300000004</v>
      </c>
      <c r="E501">
        <v>6.5</v>
      </c>
      <c r="F501" s="4">
        <v>10.286624203821654</v>
      </c>
      <c r="G501" s="2">
        <f t="shared" si="38"/>
        <v>83.106621961430847</v>
      </c>
      <c r="H501" s="2">
        <f t="shared" si="39"/>
        <v>24.14706860739776</v>
      </c>
      <c r="I501" s="2">
        <f t="shared" si="35"/>
        <v>3449.5812296282515</v>
      </c>
      <c r="J501" s="4">
        <f t="shared" si="37"/>
        <v>11.392983003367275</v>
      </c>
      <c r="K501" s="4">
        <f t="shared" si="36"/>
        <v>1627.5690004810392</v>
      </c>
      <c r="L501">
        <v>7</v>
      </c>
    </row>
    <row r="502" spans="1:12" x14ac:dyDescent="0.3">
      <c r="A502" t="s">
        <v>97</v>
      </c>
      <c r="B502" t="s">
        <v>88</v>
      </c>
      <c r="C502" s="4">
        <v>0.77</v>
      </c>
      <c r="D502" s="4">
        <v>0.77</v>
      </c>
      <c r="E502">
        <v>6</v>
      </c>
      <c r="F502" s="4">
        <v>8.7579617834394909</v>
      </c>
      <c r="G502" s="2">
        <f t="shared" si="38"/>
        <v>60.241527148091237</v>
      </c>
      <c r="H502" s="2">
        <f t="shared" si="39"/>
        <v>20.714591711108412</v>
      </c>
      <c r="I502" s="2">
        <f t="shared" si="35"/>
        <v>2959.2273873012018</v>
      </c>
      <c r="J502" s="4">
        <f t="shared" si="37"/>
        <v>10.596439786603918</v>
      </c>
      <c r="K502" s="4">
        <f t="shared" si="36"/>
        <v>1513.7771123719883</v>
      </c>
      <c r="L502">
        <v>7</v>
      </c>
    </row>
    <row r="503" spans="1:12" x14ac:dyDescent="0.3">
      <c r="A503" t="s">
        <v>97</v>
      </c>
      <c r="B503" t="s">
        <v>88</v>
      </c>
      <c r="C503" s="4">
        <v>0.77</v>
      </c>
      <c r="D503" s="4">
        <v>0.77</v>
      </c>
      <c r="E503">
        <v>5.5</v>
      </c>
      <c r="F503" s="4">
        <v>9.6178343949044578</v>
      </c>
      <c r="G503" s="2">
        <f t="shared" si="38"/>
        <v>72.651480886142309</v>
      </c>
      <c r="H503" s="2">
        <f t="shared" si="39"/>
        <v>22.844984964112285</v>
      </c>
      <c r="I503" s="2">
        <f t="shared" si="35"/>
        <v>3263.5692805874692</v>
      </c>
      <c r="J503" s="4">
        <f t="shared" si="37"/>
        <v>10.766377715120289</v>
      </c>
      <c r="K503" s="4">
        <f t="shared" si="36"/>
        <v>1538.0539593028984</v>
      </c>
      <c r="L503">
        <v>7</v>
      </c>
    </row>
    <row r="504" spans="1:12" x14ac:dyDescent="0.3">
      <c r="A504" t="s">
        <v>97</v>
      </c>
      <c r="B504" t="s">
        <v>88</v>
      </c>
      <c r="C504" s="4">
        <v>0.77</v>
      </c>
      <c r="D504" s="4">
        <v>0.77</v>
      </c>
      <c r="E504">
        <v>7</v>
      </c>
      <c r="F504" s="4">
        <v>10.828025477707007</v>
      </c>
      <c r="G504" s="2">
        <f t="shared" si="38"/>
        <v>92.084899680255816</v>
      </c>
      <c r="H504" s="2">
        <f t="shared" si="39"/>
        <v>36.43223981940433</v>
      </c>
      <c r="I504" s="2">
        <f t="shared" si="35"/>
        <v>5204.6056884863328</v>
      </c>
      <c r="J504" s="4">
        <f t="shared" si="37"/>
        <v>11.858230325773865</v>
      </c>
      <c r="K504" s="4">
        <f t="shared" si="36"/>
        <v>1694.0329036819808</v>
      </c>
      <c r="L504">
        <v>7</v>
      </c>
    </row>
    <row r="505" spans="1:12" x14ac:dyDescent="0.3">
      <c r="A505" t="s">
        <v>98</v>
      </c>
      <c r="B505" t="s">
        <v>92</v>
      </c>
      <c r="C505" s="4">
        <v>0.80803492399999999</v>
      </c>
      <c r="D505" s="4">
        <v>0.87275320499999998</v>
      </c>
      <c r="E505">
        <v>8</v>
      </c>
      <c r="F505" s="1">
        <v>11.656050955414013</v>
      </c>
      <c r="G505" s="2">
        <f t="shared" si="38"/>
        <v>106.70696212429367</v>
      </c>
      <c r="H505" s="2">
        <f t="shared" si="39"/>
        <v>54.15634605250213</v>
      </c>
      <c r="I505" s="2">
        <f t="shared" si="35"/>
        <v>7736.6208646431614</v>
      </c>
      <c r="J505" s="4">
        <f t="shared" si="37"/>
        <v>12.789878668505821</v>
      </c>
      <c r="K505" s="4">
        <f t="shared" si="36"/>
        <v>1827.1255240722603</v>
      </c>
      <c r="L505">
        <v>7</v>
      </c>
    </row>
    <row r="506" spans="1:12" x14ac:dyDescent="0.3">
      <c r="A506" t="s">
        <v>98</v>
      </c>
      <c r="B506" t="s">
        <v>99</v>
      </c>
      <c r="C506" s="4">
        <v>0.60064078700000001</v>
      </c>
      <c r="D506" s="4">
        <v>0.66733333299999997</v>
      </c>
      <c r="E506">
        <v>6.8</v>
      </c>
      <c r="F506" s="1">
        <v>3.5987261146496814</v>
      </c>
      <c r="G506" s="2">
        <f t="shared" si="38"/>
        <v>10.171557820217876</v>
      </c>
      <c r="H506" s="2">
        <f t="shared" si="39"/>
        <v>3.5867805185081227</v>
      </c>
      <c r="I506" s="2">
        <f t="shared" si="35"/>
        <v>512.39721692973183</v>
      </c>
      <c r="J506" s="4">
        <f t="shared" si="37"/>
        <v>9.2939297456286258</v>
      </c>
      <c r="K506" s="4">
        <f t="shared" si="36"/>
        <v>1327.704249375518</v>
      </c>
      <c r="L506">
        <v>7</v>
      </c>
    </row>
    <row r="507" spans="1:12" x14ac:dyDescent="0.3">
      <c r="A507" t="s">
        <v>98</v>
      </c>
      <c r="B507" t="s">
        <v>55</v>
      </c>
      <c r="C507" s="4">
        <v>0.52500000000000002</v>
      </c>
      <c r="D507" s="4">
        <v>0.52500000000000002</v>
      </c>
      <c r="E507">
        <v>7</v>
      </c>
      <c r="F507" s="1">
        <v>7.4203821656050959</v>
      </c>
      <c r="G507" s="2">
        <f t="shared" si="38"/>
        <v>43.245649816102144</v>
      </c>
      <c r="H507" s="2">
        <f t="shared" si="39"/>
        <v>11.988871800097517</v>
      </c>
      <c r="I507" s="2">
        <f t="shared" si="35"/>
        <v>1712.6959714425025</v>
      </c>
      <c r="J507" s="4">
        <f t="shared" si="37"/>
        <v>10.334720751348939</v>
      </c>
      <c r="K507" s="4">
        <f t="shared" si="36"/>
        <v>1476.3886787641343</v>
      </c>
      <c r="L507">
        <v>7</v>
      </c>
    </row>
    <row r="508" spans="1:12" x14ac:dyDescent="0.3">
      <c r="A508" t="s">
        <v>98</v>
      </c>
      <c r="B508" t="s">
        <v>55</v>
      </c>
      <c r="C508" s="4">
        <v>0.52500000000000002</v>
      </c>
      <c r="D508" s="4">
        <v>0.52500000000000002</v>
      </c>
      <c r="E508">
        <v>3.2</v>
      </c>
      <c r="F508" s="1">
        <v>6.2738853503184719</v>
      </c>
      <c r="G508" s="2">
        <f t="shared" si="38"/>
        <v>30.914557713590387</v>
      </c>
      <c r="H508" s="2">
        <f t="shared" si="39"/>
        <v>4.0244665646658033</v>
      </c>
      <c r="I508" s="2">
        <f t="shared" si="35"/>
        <v>574.92379495225759</v>
      </c>
      <c r="J508" s="4">
        <f t="shared" si="37"/>
        <v>9.4265503387561367</v>
      </c>
      <c r="K508" s="4">
        <f t="shared" si="36"/>
        <v>1346.6500483937339</v>
      </c>
      <c r="L508">
        <v>7</v>
      </c>
    </row>
    <row r="509" spans="1:12" x14ac:dyDescent="0.3">
      <c r="A509" t="s">
        <v>98</v>
      </c>
      <c r="B509" t="s">
        <v>55</v>
      </c>
      <c r="C509" s="4">
        <v>0.52500000000000002</v>
      </c>
      <c r="D509" s="4">
        <v>0.52500000000000002</v>
      </c>
      <c r="E509">
        <v>6</v>
      </c>
      <c r="F509" s="1">
        <v>8.4713375796178347</v>
      </c>
      <c r="G509" s="2">
        <f t="shared" si="38"/>
        <v>56.362968527475616</v>
      </c>
      <c r="H509" s="2">
        <f t="shared" si="39"/>
        <v>13.357600376132917</v>
      </c>
      <c r="I509" s="2">
        <f t="shared" si="35"/>
        <v>1908.228625161845</v>
      </c>
      <c r="J509" s="4">
        <f t="shared" si="37"/>
        <v>10.492734768144752</v>
      </c>
      <c r="K509" s="4">
        <f t="shared" si="36"/>
        <v>1498.9621097349645</v>
      </c>
      <c r="L509">
        <v>7</v>
      </c>
    </row>
    <row r="510" spans="1:12" x14ac:dyDescent="0.3">
      <c r="A510" t="s">
        <v>98</v>
      </c>
      <c r="B510" t="s">
        <v>41</v>
      </c>
      <c r="C510" s="4">
        <v>0.56193137999999998</v>
      </c>
      <c r="D510" s="4">
        <v>0.57808694400000005</v>
      </c>
      <c r="E510">
        <v>3.5</v>
      </c>
      <c r="F510" s="1">
        <v>8.9171974522292992</v>
      </c>
      <c r="G510" s="2">
        <f t="shared" si="38"/>
        <v>62.452042689723655</v>
      </c>
      <c r="H510" s="2">
        <f t="shared" si="39"/>
        <v>9.5846576428635615</v>
      </c>
      <c r="I510" s="2">
        <f t="shared" si="35"/>
        <v>1369.236806123366</v>
      </c>
      <c r="J510" s="4">
        <f t="shared" si="37"/>
        <v>9.9597760274250469</v>
      </c>
      <c r="K510" s="4">
        <f t="shared" si="36"/>
        <v>1422.8251467750067</v>
      </c>
      <c r="L510">
        <v>7</v>
      </c>
    </row>
    <row r="511" spans="1:12" x14ac:dyDescent="0.3">
      <c r="A511" t="s">
        <v>98</v>
      </c>
      <c r="B511" t="s">
        <v>41</v>
      </c>
      <c r="C511" s="4">
        <v>0.56193137999999998</v>
      </c>
      <c r="D511" s="4">
        <v>0.57808694400000005</v>
      </c>
      <c r="E511">
        <v>6</v>
      </c>
      <c r="F511" s="1">
        <v>28.757961783439487</v>
      </c>
      <c r="G511" s="2">
        <f t="shared" si="38"/>
        <v>649.54027649980708</v>
      </c>
      <c r="H511" s="2">
        <f t="shared" si="39"/>
        <v>159.47471156090029</v>
      </c>
      <c r="I511" s="2">
        <f t="shared" si="35"/>
        <v>22782.101651557186</v>
      </c>
      <c r="J511" s="4">
        <f t="shared" si="37"/>
        <v>26.353127684693092</v>
      </c>
      <c r="K511" s="4">
        <f t="shared" si="36"/>
        <v>3764.7325263847274</v>
      </c>
      <c r="L511">
        <v>7</v>
      </c>
    </row>
    <row r="512" spans="1:12" x14ac:dyDescent="0.3">
      <c r="A512" t="s">
        <v>98</v>
      </c>
      <c r="B512" t="s">
        <v>41</v>
      </c>
      <c r="C512" s="4">
        <v>0.56193137999999998</v>
      </c>
      <c r="D512" s="4">
        <v>0.57808694400000005</v>
      </c>
      <c r="E512">
        <v>5</v>
      </c>
      <c r="F512" s="1">
        <v>18.121019108280255</v>
      </c>
      <c r="G512" s="2">
        <f t="shared" si="38"/>
        <v>257.90224226106665</v>
      </c>
      <c r="H512" s="2">
        <f t="shared" si="39"/>
        <v>54.186061374582977</v>
      </c>
      <c r="I512" s="2">
        <f t="shared" si="35"/>
        <v>7740.8659106547111</v>
      </c>
      <c r="J512" s="4">
        <f t="shared" si="37"/>
        <v>14.732198336646517</v>
      </c>
      <c r="K512" s="4">
        <f t="shared" si="36"/>
        <v>2104.599762378074</v>
      </c>
      <c r="L512">
        <v>7</v>
      </c>
    </row>
    <row r="513" spans="1:12" x14ac:dyDescent="0.3">
      <c r="A513" t="s">
        <v>98</v>
      </c>
      <c r="B513" t="s">
        <v>41</v>
      </c>
      <c r="C513" s="4">
        <v>0.56193137999999998</v>
      </c>
      <c r="D513" s="4">
        <v>0.57808694400000005</v>
      </c>
      <c r="E513">
        <v>6</v>
      </c>
      <c r="F513" s="1">
        <v>19.554140127388536</v>
      </c>
      <c r="G513" s="2">
        <f t="shared" si="38"/>
        <v>300.308294462437</v>
      </c>
      <c r="H513" s="2">
        <f t="shared" si="39"/>
        <v>75.109348890953768</v>
      </c>
      <c r="I513" s="2">
        <f t="shared" si="35"/>
        <v>10729.906984421967</v>
      </c>
      <c r="J513" s="4">
        <f t="shared" si="37"/>
        <v>17.015352318552477</v>
      </c>
      <c r="K513" s="4">
        <f t="shared" si="36"/>
        <v>2430.7646169360678</v>
      </c>
      <c r="L513">
        <v>7</v>
      </c>
    </row>
    <row r="514" spans="1:12" x14ac:dyDescent="0.3">
      <c r="A514" t="s">
        <v>98</v>
      </c>
      <c r="B514" t="s">
        <v>56</v>
      </c>
      <c r="C514" s="4">
        <v>0.39984676499999999</v>
      </c>
      <c r="D514" s="4">
        <v>0.450333333</v>
      </c>
      <c r="E514">
        <v>8</v>
      </c>
      <c r="F514" s="1">
        <v>14.426751592356686</v>
      </c>
      <c r="G514" s="2">
        <f t="shared" si="38"/>
        <v>163.46583199382016</v>
      </c>
      <c r="H514" s="2">
        <f t="shared" si="39"/>
        <v>43.050399357276426</v>
      </c>
      <c r="I514" s="2">
        <f t="shared" ref="I514:I577" si="40">(H514*1000)/L514</f>
        <v>6150.0570510394891</v>
      </c>
      <c r="J514" s="4">
        <f t="shared" si="37"/>
        <v>14.813372522211854</v>
      </c>
      <c r="K514" s="4">
        <f t="shared" ref="K514:K577" si="41">(J514*1000)/L514</f>
        <v>2116.1960746016935</v>
      </c>
      <c r="L514">
        <v>7</v>
      </c>
    </row>
    <row r="515" spans="1:12" x14ac:dyDescent="0.3">
      <c r="A515" t="s">
        <v>98</v>
      </c>
      <c r="B515" t="s">
        <v>56</v>
      </c>
      <c r="C515" s="4">
        <v>0.39984676499999999</v>
      </c>
      <c r="D515" s="4">
        <v>0.450333333</v>
      </c>
      <c r="E515">
        <v>7</v>
      </c>
      <c r="F515" s="1">
        <v>27.452229299363054</v>
      </c>
      <c r="G515" s="2">
        <f t="shared" si="38"/>
        <v>591.89560724927321</v>
      </c>
      <c r="H515" s="2">
        <f t="shared" si="39"/>
        <v>132.67330162488199</v>
      </c>
      <c r="I515" s="2">
        <f t="shared" si="40"/>
        <v>18953.328803554567</v>
      </c>
      <c r="J515" s="4">
        <f t="shared" ref="J515:J578" si="42">8.9857 + 0.0035 * F515^2 * E515</f>
        <v>27.44950989086778</v>
      </c>
      <c r="K515" s="4">
        <f t="shared" si="41"/>
        <v>3921.3585558382542</v>
      </c>
      <c r="L515">
        <v>7</v>
      </c>
    </row>
    <row r="516" spans="1:12" x14ac:dyDescent="0.3">
      <c r="A516" t="s">
        <v>98</v>
      </c>
      <c r="B516" t="s">
        <v>56</v>
      </c>
      <c r="C516" s="4">
        <v>0.39984676499999999</v>
      </c>
      <c r="D516" s="4">
        <v>0.450333333</v>
      </c>
      <c r="E516">
        <v>7.5</v>
      </c>
      <c r="F516" s="1">
        <v>20.859872611464969</v>
      </c>
      <c r="G516" s="2">
        <f t="shared" ref="G516:G579" si="43">PI()*(F516/2)^2</f>
        <v>341.75366855814667</v>
      </c>
      <c r="H516" s="2">
        <f t="shared" ref="H516:H579" si="44">0.0673 * ((D516 * F516^2 * E516)^0.976)</f>
        <v>83.027216344309196</v>
      </c>
      <c r="I516" s="2">
        <f t="shared" si="40"/>
        <v>11861.030906329886</v>
      </c>
      <c r="J516" s="4">
        <f t="shared" si="42"/>
        <v>20.407974990871843</v>
      </c>
      <c r="K516" s="4">
        <f t="shared" si="41"/>
        <v>2915.4249986959776</v>
      </c>
      <c r="L516">
        <v>7</v>
      </c>
    </row>
    <row r="517" spans="1:12" x14ac:dyDescent="0.3">
      <c r="A517" t="s">
        <v>98</v>
      </c>
      <c r="B517" t="s">
        <v>49</v>
      </c>
      <c r="C517" s="4">
        <v>0.57917600000000002</v>
      </c>
      <c r="D517" s="4">
        <v>0.60285714300000004</v>
      </c>
      <c r="E517">
        <v>5</v>
      </c>
      <c r="F517" s="1">
        <v>10.095541401273884</v>
      </c>
      <c r="G517" s="2">
        <f t="shared" si="43"/>
        <v>80.047746401117848</v>
      </c>
      <c r="H517" s="2">
        <f t="shared" si="44"/>
        <v>18.020218825252794</v>
      </c>
      <c r="I517" s="2">
        <f t="shared" si="40"/>
        <v>2574.316975036113</v>
      </c>
      <c r="J517" s="4">
        <f t="shared" si="42"/>
        <v>10.769299233234612</v>
      </c>
      <c r="K517" s="4">
        <f t="shared" si="41"/>
        <v>1538.4713190335162</v>
      </c>
      <c r="L517">
        <v>7</v>
      </c>
    </row>
    <row r="518" spans="1:12" x14ac:dyDescent="0.3">
      <c r="A518" t="s">
        <v>98</v>
      </c>
      <c r="B518" t="s">
        <v>49</v>
      </c>
      <c r="C518" s="4">
        <v>0.57917600000000002</v>
      </c>
      <c r="D518" s="4">
        <v>0.60285714300000004</v>
      </c>
      <c r="E518">
        <v>7</v>
      </c>
      <c r="F518" s="1">
        <v>16.878980891719745</v>
      </c>
      <c r="G518" s="2">
        <f t="shared" si="43"/>
        <v>223.75993356560429</v>
      </c>
      <c r="H518" s="2">
        <f t="shared" si="44"/>
        <v>68.249557647187842</v>
      </c>
      <c r="I518" s="2">
        <f t="shared" si="40"/>
        <v>9749.9368067411215</v>
      </c>
      <c r="J518" s="4">
        <f t="shared" si="42"/>
        <v>15.965749900604486</v>
      </c>
      <c r="K518" s="4">
        <f t="shared" si="41"/>
        <v>2280.8214143720693</v>
      </c>
      <c r="L518">
        <v>7</v>
      </c>
    </row>
    <row r="519" spans="1:12" x14ac:dyDescent="0.3">
      <c r="A519" t="s">
        <v>98</v>
      </c>
      <c r="B519" t="s">
        <v>49</v>
      </c>
      <c r="C519" s="4">
        <v>0.57917600000000002</v>
      </c>
      <c r="D519" s="4">
        <v>0.60285714300000004</v>
      </c>
      <c r="E519">
        <v>7</v>
      </c>
      <c r="F519" s="1">
        <v>11.242038216560509</v>
      </c>
      <c r="G519" s="2">
        <f t="shared" si="43"/>
        <v>99.261308514333876</v>
      </c>
      <c r="H519" s="2">
        <f t="shared" si="44"/>
        <v>30.87234140930153</v>
      </c>
      <c r="I519" s="2">
        <f t="shared" si="40"/>
        <v>4410.3344870430756</v>
      </c>
      <c r="J519" s="4">
        <f t="shared" si="42"/>
        <v>12.082093869933871</v>
      </c>
      <c r="K519" s="4">
        <f t="shared" si="41"/>
        <v>1726.0134099905531</v>
      </c>
      <c r="L519">
        <v>7</v>
      </c>
    </row>
    <row r="520" spans="1:12" x14ac:dyDescent="0.3">
      <c r="A520" t="s">
        <v>100</v>
      </c>
      <c r="B520" t="s">
        <v>85</v>
      </c>
      <c r="C520" s="4">
        <v>0.6</v>
      </c>
      <c r="D520" s="4">
        <v>0.66674999999999995</v>
      </c>
      <c r="E520">
        <v>7</v>
      </c>
      <c r="F520" s="1">
        <v>15.891719745222929</v>
      </c>
      <c r="G520" s="2">
        <f t="shared" si="43"/>
        <v>198.34975869622295</v>
      </c>
      <c r="H520" s="2">
        <f t="shared" si="44"/>
        <v>66.942858811652002</v>
      </c>
      <c r="I520" s="2">
        <f t="shared" si="40"/>
        <v>9563.2655445217133</v>
      </c>
      <c r="J520" s="4">
        <f t="shared" si="42"/>
        <v>15.173095533287354</v>
      </c>
      <c r="K520" s="4">
        <f t="shared" si="41"/>
        <v>2167.5850761839079</v>
      </c>
      <c r="L520">
        <v>7</v>
      </c>
    </row>
    <row r="521" spans="1:12" x14ac:dyDescent="0.3">
      <c r="A521" t="s">
        <v>100</v>
      </c>
      <c r="B521" t="s">
        <v>55</v>
      </c>
      <c r="C521" s="4">
        <v>0.52500000000000002</v>
      </c>
      <c r="D521" s="4">
        <v>0.52500000000000002</v>
      </c>
      <c r="E521">
        <v>7</v>
      </c>
      <c r="F521" s="1">
        <v>22.579617834394906</v>
      </c>
      <c r="G521" s="2">
        <f t="shared" si="43"/>
        <v>400.42672539940037</v>
      </c>
      <c r="H521" s="2">
        <f t="shared" si="44"/>
        <v>105.23519483020033</v>
      </c>
      <c r="I521" s="2">
        <f t="shared" si="40"/>
        <v>15033.59926145719</v>
      </c>
      <c r="J521" s="4">
        <f t="shared" si="42"/>
        <v>21.476758967909451</v>
      </c>
      <c r="K521" s="4">
        <f t="shared" si="41"/>
        <v>3068.1084239870643</v>
      </c>
      <c r="L521">
        <v>7</v>
      </c>
    </row>
    <row r="522" spans="1:12" x14ac:dyDescent="0.3">
      <c r="A522" t="s">
        <v>100</v>
      </c>
      <c r="B522" t="s">
        <v>55</v>
      </c>
      <c r="C522" s="4">
        <v>0.52500000000000002</v>
      </c>
      <c r="D522" s="4">
        <v>0.52500000000000002</v>
      </c>
      <c r="E522">
        <v>8</v>
      </c>
      <c r="F522" s="1">
        <v>13.789808917197451</v>
      </c>
      <c r="G522" s="2">
        <f t="shared" si="43"/>
        <v>149.35039581445918</v>
      </c>
      <c r="H522" s="2">
        <f t="shared" si="44"/>
        <v>45.785090008067051</v>
      </c>
      <c r="I522" s="2">
        <f t="shared" si="40"/>
        <v>6540.7271440095792</v>
      </c>
      <c r="J522" s="4">
        <f t="shared" si="42"/>
        <v>14.310147239238914</v>
      </c>
      <c r="K522" s="4">
        <f t="shared" si="41"/>
        <v>2044.306748462702</v>
      </c>
      <c r="L522">
        <v>7</v>
      </c>
    </row>
    <row r="523" spans="1:12" x14ac:dyDescent="0.3">
      <c r="A523" t="s">
        <v>100</v>
      </c>
      <c r="B523" t="s">
        <v>41</v>
      </c>
      <c r="C523" s="4">
        <v>0.56193137999999998</v>
      </c>
      <c r="D523" s="4">
        <v>0.57808694400000005</v>
      </c>
      <c r="E523">
        <v>8</v>
      </c>
      <c r="F523" s="1">
        <v>13.917197452229299</v>
      </c>
      <c r="G523" s="2">
        <f t="shared" si="43"/>
        <v>152.12250179099283</v>
      </c>
      <c r="H523" s="2">
        <f t="shared" si="44"/>
        <v>51.209355333781005</v>
      </c>
      <c r="I523" s="2">
        <f t="shared" si="40"/>
        <v>7315.6221905401444</v>
      </c>
      <c r="J523" s="4">
        <f t="shared" si="42"/>
        <v>14.408974777881454</v>
      </c>
      <c r="K523" s="4">
        <f t="shared" si="41"/>
        <v>2058.4249682687791</v>
      </c>
      <c r="L523">
        <v>7</v>
      </c>
    </row>
    <row r="524" spans="1:12" x14ac:dyDescent="0.3">
      <c r="A524" t="s">
        <v>100</v>
      </c>
      <c r="B524" t="s">
        <v>41</v>
      </c>
      <c r="C524" s="4">
        <v>0.56193137999999998</v>
      </c>
      <c r="D524" s="4">
        <v>0.57808694400000005</v>
      </c>
      <c r="E524">
        <v>3.5</v>
      </c>
      <c r="F524" s="1">
        <v>6.401273885350319</v>
      </c>
      <c r="G524" s="2">
        <f t="shared" si="43"/>
        <v>32.182716539636814</v>
      </c>
      <c r="H524" s="2">
        <f t="shared" si="44"/>
        <v>5.0183717725486581</v>
      </c>
      <c r="I524" s="2">
        <f t="shared" si="40"/>
        <v>716.91025322123676</v>
      </c>
      <c r="J524" s="4">
        <f t="shared" si="42"/>
        <v>9.4876597651020322</v>
      </c>
      <c r="K524" s="4">
        <f t="shared" si="41"/>
        <v>1355.3799664431476</v>
      </c>
      <c r="L524">
        <v>7</v>
      </c>
    </row>
    <row r="525" spans="1:12" x14ac:dyDescent="0.3">
      <c r="A525" t="s">
        <v>100</v>
      </c>
      <c r="B525" t="s">
        <v>56</v>
      </c>
      <c r="C525" s="4">
        <v>0.39984676499999999</v>
      </c>
      <c r="D525" s="4">
        <v>0.450333333</v>
      </c>
      <c r="E525">
        <v>15</v>
      </c>
      <c r="F525" s="1">
        <v>37.420382165605091</v>
      </c>
      <c r="G525" s="2">
        <f t="shared" si="43"/>
        <v>1099.7812683482107</v>
      </c>
      <c r="H525" s="2">
        <f t="shared" si="44"/>
        <v>511.01853356662838</v>
      </c>
      <c r="I525" s="2">
        <f t="shared" si="40"/>
        <v>73002.647652375483</v>
      </c>
      <c r="J525" s="4">
        <f t="shared" si="42"/>
        <v>82.50066257454661</v>
      </c>
      <c r="K525" s="4">
        <f t="shared" si="41"/>
        <v>11785.808939220946</v>
      </c>
      <c r="L525">
        <v>7</v>
      </c>
    </row>
    <row r="526" spans="1:12" x14ac:dyDescent="0.3">
      <c r="A526" t="s">
        <v>100</v>
      </c>
      <c r="B526" t="s">
        <v>56</v>
      </c>
      <c r="C526" s="4">
        <v>0.39984676499999999</v>
      </c>
      <c r="D526" s="4">
        <v>0.450333333</v>
      </c>
      <c r="E526">
        <v>12</v>
      </c>
      <c r="F526" s="1">
        <v>36.337579617834393</v>
      </c>
      <c r="G526" s="2">
        <f t="shared" si="43"/>
        <v>1037.0552013895424</v>
      </c>
      <c r="H526" s="2">
        <f t="shared" si="44"/>
        <v>388.11474363594721</v>
      </c>
      <c r="I526" s="2">
        <f t="shared" si="40"/>
        <v>55444.963376563894</v>
      </c>
      <c r="J526" s="4">
        <f t="shared" si="42"/>
        <v>64.443327084263046</v>
      </c>
      <c r="K526" s="4">
        <f t="shared" si="41"/>
        <v>9206.18958346615</v>
      </c>
      <c r="L526">
        <v>7</v>
      </c>
    </row>
    <row r="527" spans="1:12" x14ac:dyDescent="0.3">
      <c r="A527" t="s">
        <v>100</v>
      </c>
      <c r="B527" t="s">
        <v>56</v>
      </c>
      <c r="C527" s="4">
        <v>0.39984676499999999</v>
      </c>
      <c r="D527" s="4">
        <v>0.450333333</v>
      </c>
      <c r="E527">
        <v>10</v>
      </c>
      <c r="F527" s="1">
        <v>16.433121019108281</v>
      </c>
      <c r="G527" s="2">
        <f t="shared" si="43"/>
        <v>212.09478416320235</v>
      </c>
      <c r="H527" s="2">
        <f t="shared" si="44"/>
        <v>69.016015805219212</v>
      </c>
      <c r="I527" s="2">
        <f t="shared" si="40"/>
        <v>9859.4308293170307</v>
      </c>
      <c r="J527" s="4">
        <f t="shared" si="42"/>
        <v>18.437361325003042</v>
      </c>
      <c r="K527" s="4">
        <f t="shared" si="41"/>
        <v>2633.9087607147203</v>
      </c>
      <c r="L527">
        <v>7</v>
      </c>
    </row>
    <row r="528" spans="1:12" x14ac:dyDescent="0.3">
      <c r="A528" t="s">
        <v>100</v>
      </c>
      <c r="B528" t="s">
        <v>56</v>
      </c>
      <c r="C528" s="4">
        <v>0.39984676499999999</v>
      </c>
      <c r="D528" s="4">
        <v>0.450333333</v>
      </c>
      <c r="E528">
        <v>11</v>
      </c>
      <c r="F528" s="1">
        <v>21.464968152866241</v>
      </c>
      <c r="G528" s="2">
        <f t="shared" si="43"/>
        <v>361.86816511373604</v>
      </c>
      <c r="H528" s="2">
        <f t="shared" si="44"/>
        <v>127.58541942495653</v>
      </c>
      <c r="I528" s="2">
        <f t="shared" si="40"/>
        <v>18226.488489279505</v>
      </c>
      <c r="J528" s="4">
        <f t="shared" si="42"/>
        <v>26.724377025437136</v>
      </c>
      <c r="K528" s="4">
        <f t="shared" si="41"/>
        <v>3817.7681464910193</v>
      </c>
      <c r="L528">
        <v>7</v>
      </c>
    </row>
    <row r="529" spans="1:12" x14ac:dyDescent="0.3">
      <c r="A529" t="s">
        <v>100</v>
      </c>
      <c r="B529" t="s">
        <v>78</v>
      </c>
      <c r="C529" s="4">
        <v>0.43538739399999998</v>
      </c>
      <c r="D529" s="4">
        <v>0.568333333</v>
      </c>
      <c r="E529">
        <v>7.5</v>
      </c>
      <c r="F529" s="1">
        <v>10.382165605095542</v>
      </c>
      <c r="G529" s="2">
        <f t="shared" si="43"/>
        <v>84.657567460370842</v>
      </c>
      <c r="H529" s="2">
        <f t="shared" si="44"/>
        <v>26.690800112160559</v>
      </c>
      <c r="I529" s="2">
        <f t="shared" si="40"/>
        <v>3812.9714445943655</v>
      </c>
      <c r="J529" s="4">
        <f t="shared" si="42"/>
        <v>11.815170769605258</v>
      </c>
      <c r="K529" s="4">
        <f t="shared" si="41"/>
        <v>1687.8815385150369</v>
      </c>
      <c r="L529">
        <v>7</v>
      </c>
    </row>
    <row r="530" spans="1:12" x14ac:dyDescent="0.3">
      <c r="A530" t="s">
        <v>100</v>
      </c>
      <c r="B530" t="s">
        <v>49</v>
      </c>
      <c r="C530" s="4">
        <v>0.57917600000000002</v>
      </c>
      <c r="D530" s="4">
        <v>0.60285714300000004</v>
      </c>
      <c r="E530">
        <v>10</v>
      </c>
      <c r="F530" s="1">
        <v>46.146496815286625</v>
      </c>
      <c r="G530" s="2">
        <f t="shared" si="43"/>
        <v>1672.5047357574811</v>
      </c>
      <c r="H530" s="2">
        <f t="shared" si="44"/>
        <v>688.49873208127281</v>
      </c>
      <c r="I530" s="2">
        <f t="shared" si="40"/>
        <v>98356.961725896108</v>
      </c>
      <c r="J530" s="4">
        <f t="shared" si="42"/>
        <v>83.518170891314057</v>
      </c>
      <c r="K530" s="4">
        <f t="shared" si="41"/>
        <v>11931.167270187723</v>
      </c>
      <c r="L530">
        <v>7</v>
      </c>
    </row>
    <row r="531" spans="1:12" x14ac:dyDescent="0.3">
      <c r="A531" t="s">
        <v>100</v>
      </c>
      <c r="B531" t="s">
        <v>49</v>
      </c>
      <c r="C531" s="4">
        <v>0.57917600000000002</v>
      </c>
      <c r="D531" s="4">
        <v>0.60285714300000004</v>
      </c>
      <c r="E531">
        <v>6</v>
      </c>
      <c r="F531" s="1">
        <v>11.305732484076433</v>
      </c>
      <c r="G531" s="2">
        <f t="shared" si="43"/>
        <v>100.3892688771993</v>
      </c>
      <c r="H531" s="2">
        <f t="shared" si="44"/>
        <v>26.854620651453484</v>
      </c>
      <c r="I531" s="2">
        <f t="shared" si="40"/>
        <v>3836.374378779069</v>
      </c>
      <c r="J531" s="4">
        <f t="shared" si="42"/>
        <v>11.669911327031523</v>
      </c>
      <c r="K531" s="4">
        <f t="shared" si="41"/>
        <v>1667.1301895759318</v>
      </c>
      <c r="L531">
        <v>7</v>
      </c>
    </row>
    <row r="532" spans="1:12" x14ac:dyDescent="0.3">
      <c r="A532" t="s">
        <v>100</v>
      </c>
      <c r="B532" t="s">
        <v>49</v>
      </c>
      <c r="C532" s="4">
        <v>0.57917600000000002</v>
      </c>
      <c r="D532" s="4">
        <v>0.60285714300000004</v>
      </c>
      <c r="E532">
        <v>6</v>
      </c>
      <c r="F532" s="1">
        <v>24.363057324840764</v>
      </c>
      <c r="G532" s="2">
        <f t="shared" si="43"/>
        <v>466.17980463129504</v>
      </c>
      <c r="H532" s="2">
        <f t="shared" si="44"/>
        <v>120.19333845093855</v>
      </c>
      <c r="I532" s="2">
        <f t="shared" si="40"/>
        <v>17170.476921562651</v>
      </c>
      <c r="J532" s="4">
        <f t="shared" si="42"/>
        <v>21.450429806483022</v>
      </c>
      <c r="K532" s="4">
        <f t="shared" si="41"/>
        <v>3064.3471152118605</v>
      </c>
      <c r="L532">
        <v>7</v>
      </c>
    </row>
    <row r="533" spans="1:12" x14ac:dyDescent="0.3">
      <c r="A533" t="s">
        <v>100</v>
      </c>
      <c r="B533" t="s">
        <v>49</v>
      </c>
      <c r="C533" s="4">
        <v>0.57917600000000002</v>
      </c>
      <c r="D533" s="4">
        <v>0.60285714300000004</v>
      </c>
      <c r="E533">
        <v>8.4</v>
      </c>
      <c r="F533" s="1">
        <v>11.942675159235668</v>
      </c>
      <c r="G533" s="2">
        <f t="shared" si="43"/>
        <v>112.01936866380598</v>
      </c>
      <c r="H533" s="2">
        <f t="shared" si="44"/>
        <v>41.505272942932528</v>
      </c>
      <c r="I533" s="2">
        <f t="shared" si="40"/>
        <v>5929.3247061332177</v>
      </c>
      <c r="J533" s="4">
        <f t="shared" si="42"/>
        <v>13.178948204795326</v>
      </c>
      <c r="K533" s="4">
        <f t="shared" si="41"/>
        <v>1882.7068863993322</v>
      </c>
      <c r="L533">
        <v>7</v>
      </c>
    </row>
    <row r="534" spans="1:12" x14ac:dyDescent="0.3">
      <c r="A534" t="s">
        <v>101</v>
      </c>
      <c r="B534" t="s">
        <v>51</v>
      </c>
      <c r="C534" s="4">
        <v>0.40257753800000001</v>
      </c>
      <c r="D534" s="4">
        <v>0.40843333300000001</v>
      </c>
      <c r="E534">
        <v>5</v>
      </c>
      <c r="F534" s="1">
        <v>5.5095541401273884</v>
      </c>
      <c r="G534" s="2">
        <f t="shared" si="43"/>
        <v>23.840907980366573</v>
      </c>
      <c r="H534" s="2">
        <f t="shared" si="44"/>
        <v>3.7785343866451409</v>
      </c>
      <c r="I534" s="2">
        <f t="shared" si="40"/>
        <v>755.7068773290282</v>
      </c>
      <c r="J534" s="4">
        <f t="shared" si="42"/>
        <v>9.5169157694024094</v>
      </c>
      <c r="K534" s="4">
        <f t="shared" si="41"/>
        <v>1903.3831538804818</v>
      </c>
      <c r="L534">
        <v>5</v>
      </c>
    </row>
    <row r="535" spans="1:12" x14ac:dyDescent="0.3">
      <c r="A535" t="s">
        <v>101</v>
      </c>
      <c r="B535" t="s">
        <v>92</v>
      </c>
      <c r="C535" s="4">
        <v>0.80803492399999999</v>
      </c>
      <c r="D535" s="4">
        <v>0.87275320499999998</v>
      </c>
      <c r="E535">
        <v>7</v>
      </c>
      <c r="F535" s="1">
        <v>23.343949044585987</v>
      </c>
      <c r="G535" s="2">
        <f t="shared" si="43"/>
        <v>427.99484138672113</v>
      </c>
      <c r="H535" s="2">
        <f t="shared" si="44"/>
        <v>184.42385432663761</v>
      </c>
      <c r="I535" s="2">
        <f t="shared" si="40"/>
        <v>36884.770865327519</v>
      </c>
      <c r="J535" s="4">
        <f t="shared" si="42"/>
        <v>22.336728946407561</v>
      </c>
      <c r="K535" s="4">
        <f t="shared" si="41"/>
        <v>4467.3457892815122</v>
      </c>
      <c r="L535">
        <v>5</v>
      </c>
    </row>
    <row r="536" spans="1:12" x14ac:dyDescent="0.3">
      <c r="A536" t="s">
        <v>101</v>
      </c>
      <c r="B536" t="s">
        <v>85</v>
      </c>
      <c r="C536" s="4">
        <v>0.6</v>
      </c>
      <c r="D536" s="4">
        <v>0.66674999999999995</v>
      </c>
      <c r="E536">
        <v>5</v>
      </c>
      <c r="F536" s="1">
        <v>4.2993630573248405</v>
      </c>
      <c r="G536" s="2">
        <f t="shared" si="43"/>
        <v>14.517710178829255</v>
      </c>
      <c r="H536" s="2">
        <f t="shared" si="44"/>
        <v>3.7566656457024745</v>
      </c>
      <c r="I536" s="2">
        <f t="shared" si="40"/>
        <v>751.33312914049498</v>
      </c>
      <c r="J536" s="4">
        <f t="shared" si="42"/>
        <v>9.3091791472270682</v>
      </c>
      <c r="K536" s="4">
        <f t="shared" si="41"/>
        <v>1861.8358294454138</v>
      </c>
      <c r="L536">
        <v>5</v>
      </c>
    </row>
    <row r="537" spans="1:12" x14ac:dyDescent="0.3">
      <c r="A537" t="s">
        <v>101</v>
      </c>
      <c r="B537" t="s">
        <v>54</v>
      </c>
      <c r="C537" s="4">
        <v>0.53</v>
      </c>
      <c r="D537" s="4">
        <v>0.54764999999999997</v>
      </c>
      <c r="E537">
        <v>5</v>
      </c>
      <c r="F537" s="1">
        <v>5.4777070063694264</v>
      </c>
      <c r="G537" s="2">
        <f t="shared" si="43"/>
        <v>23.566087129244703</v>
      </c>
      <c r="H537" s="2">
        <f t="shared" si="44"/>
        <v>4.974319328888809</v>
      </c>
      <c r="I537" s="2">
        <f t="shared" si="40"/>
        <v>994.8638657777617</v>
      </c>
      <c r="J537" s="4">
        <f t="shared" si="42"/>
        <v>9.5107922958335021</v>
      </c>
      <c r="K537" s="4">
        <f t="shared" si="41"/>
        <v>1902.1584591667004</v>
      </c>
      <c r="L537">
        <v>5</v>
      </c>
    </row>
    <row r="538" spans="1:12" x14ac:dyDescent="0.3">
      <c r="A538" t="s">
        <v>101</v>
      </c>
      <c r="B538" t="s">
        <v>55</v>
      </c>
      <c r="C538" s="4">
        <v>0.52500000000000002</v>
      </c>
      <c r="D538" s="4">
        <v>0.52500000000000002</v>
      </c>
      <c r="E538">
        <v>7</v>
      </c>
      <c r="F538" s="1">
        <v>12.898089171974522</v>
      </c>
      <c r="G538" s="2">
        <f t="shared" si="43"/>
        <v>130.65939160946331</v>
      </c>
      <c r="H538" s="2">
        <f t="shared" si="44"/>
        <v>35.273760649954497</v>
      </c>
      <c r="I538" s="2">
        <f t="shared" si="40"/>
        <v>7054.7521299909004</v>
      </c>
      <c r="J538" s="4">
        <f t="shared" si="42"/>
        <v>13.061537255061058</v>
      </c>
      <c r="K538" s="4">
        <f t="shared" si="41"/>
        <v>2612.3074510122115</v>
      </c>
      <c r="L538">
        <v>5</v>
      </c>
    </row>
    <row r="539" spans="1:12" x14ac:dyDescent="0.3">
      <c r="A539" t="s">
        <v>101</v>
      </c>
      <c r="B539" t="s">
        <v>41</v>
      </c>
      <c r="C539" s="4">
        <v>0.56193137999999998</v>
      </c>
      <c r="D539" s="4">
        <v>0.57808694400000005</v>
      </c>
      <c r="E539">
        <v>7</v>
      </c>
      <c r="F539" s="1">
        <v>38.757961783439491</v>
      </c>
      <c r="G539" s="2">
        <f t="shared" si="43"/>
        <v>1179.8091001948997</v>
      </c>
      <c r="H539" s="2">
        <f t="shared" si="44"/>
        <v>331.90715301144991</v>
      </c>
      <c r="I539" s="2">
        <f t="shared" si="40"/>
        <v>66381.430602289984</v>
      </c>
      <c r="J539" s="4">
        <f t="shared" si="42"/>
        <v>45.789100239360629</v>
      </c>
      <c r="K539" s="4">
        <f t="shared" si="41"/>
        <v>9157.8200478721246</v>
      </c>
      <c r="L539">
        <v>5</v>
      </c>
    </row>
    <row r="540" spans="1:12" x14ac:dyDescent="0.3">
      <c r="A540" t="s">
        <v>101</v>
      </c>
      <c r="B540" t="s">
        <v>56</v>
      </c>
      <c r="C540" s="4">
        <v>0.39984676499999999</v>
      </c>
      <c r="D540" s="4">
        <v>0.450333333</v>
      </c>
      <c r="E540">
        <v>9</v>
      </c>
      <c r="F540" s="1">
        <v>42.29299363057325</v>
      </c>
      <c r="G540" s="2">
        <f t="shared" si="43"/>
        <v>1404.839582333082</v>
      </c>
      <c r="H540" s="2">
        <f t="shared" si="44"/>
        <v>394.16766856600788</v>
      </c>
      <c r="I540" s="2">
        <f t="shared" si="40"/>
        <v>78833.53371320157</v>
      </c>
      <c r="J540" s="4">
        <f t="shared" si="42"/>
        <v>65.329665272424847</v>
      </c>
      <c r="K540" s="4">
        <f t="shared" si="41"/>
        <v>13065.933054484969</v>
      </c>
      <c r="L540">
        <v>5</v>
      </c>
    </row>
    <row r="541" spans="1:12" x14ac:dyDescent="0.3">
      <c r="A541" t="s">
        <v>101</v>
      </c>
      <c r="B541" t="s">
        <v>80</v>
      </c>
      <c r="C541" s="4">
        <v>0.54</v>
      </c>
      <c r="D541" s="4">
        <v>0.61247410899999999</v>
      </c>
      <c r="E541">
        <v>8</v>
      </c>
      <c r="F541" s="1">
        <v>22.356687898089174</v>
      </c>
      <c r="G541" s="2">
        <f t="shared" si="43"/>
        <v>392.55888323554319</v>
      </c>
      <c r="H541" s="2">
        <f t="shared" si="44"/>
        <v>136.66958960623845</v>
      </c>
      <c r="I541" s="2">
        <f t="shared" si="40"/>
        <v>27333.917921247688</v>
      </c>
      <c r="J541" s="4">
        <f t="shared" si="42"/>
        <v>22.980701825631876</v>
      </c>
      <c r="K541" s="4">
        <f t="shared" si="41"/>
        <v>4596.1403651263754</v>
      </c>
      <c r="L541">
        <v>5</v>
      </c>
    </row>
    <row r="542" spans="1:12" x14ac:dyDescent="0.3">
      <c r="A542" t="s">
        <v>101</v>
      </c>
      <c r="B542" t="s">
        <v>80</v>
      </c>
      <c r="C542" s="4">
        <v>0.54</v>
      </c>
      <c r="D542" s="4">
        <v>0.61247410899999999</v>
      </c>
      <c r="E542">
        <v>7</v>
      </c>
      <c r="F542" s="1">
        <v>16.464968152866241</v>
      </c>
      <c r="G542" s="2">
        <f t="shared" si="43"/>
        <v>212.91765355221364</v>
      </c>
      <c r="H542" s="2">
        <f t="shared" si="44"/>
        <v>66.032120992827004</v>
      </c>
      <c r="I542" s="2">
        <f t="shared" si="40"/>
        <v>13206.424198565399</v>
      </c>
      <c r="J542" s="4">
        <f t="shared" si="42"/>
        <v>15.62753181873504</v>
      </c>
      <c r="K542" s="4">
        <f t="shared" si="41"/>
        <v>3125.506363747008</v>
      </c>
      <c r="L542">
        <v>5</v>
      </c>
    </row>
    <row r="543" spans="1:12" x14ac:dyDescent="0.3">
      <c r="A543" t="s">
        <v>101</v>
      </c>
      <c r="B543" t="s">
        <v>80</v>
      </c>
      <c r="C543" s="4">
        <v>0.54</v>
      </c>
      <c r="D543" s="4">
        <v>0.61247410899999999</v>
      </c>
      <c r="E543">
        <v>7</v>
      </c>
      <c r="F543" s="1">
        <v>11.656050955414013</v>
      </c>
      <c r="G543" s="2">
        <f t="shared" si="43"/>
        <v>106.70696212429367</v>
      </c>
      <c r="H543" s="2">
        <f t="shared" si="44"/>
        <v>33.646259169637048</v>
      </c>
      <c r="I543" s="2">
        <f t="shared" si="40"/>
        <v>6729.2518339274102</v>
      </c>
      <c r="J543" s="4">
        <f t="shared" si="42"/>
        <v>12.314356334942595</v>
      </c>
      <c r="K543" s="4">
        <f t="shared" si="41"/>
        <v>2462.871266988519</v>
      </c>
      <c r="L543">
        <v>5</v>
      </c>
    </row>
    <row r="544" spans="1:12" x14ac:dyDescent="0.3">
      <c r="A544" t="s">
        <v>101</v>
      </c>
      <c r="B544" t="s">
        <v>22</v>
      </c>
      <c r="C544" s="4">
        <v>0.43836446099999998</v>
      </c>
      <c r="D544" s="4">
        <v>0.58666666700000003</v>
      </c>
      <c r="E544">
        <v>6</v>
      </c>
      <c r="F544" s="1">
        <v>7.5796178343949041</v>
      </c>
      <c r="G544" s="2">
        <f t="shared" si="43"/>
        <v>45.121600843325346</v>
      </c>
      <c r="H544" s="2">
        <f t="shared" si="44"/>
        <v>11.981529218003569</v>
      </c>
      <c r="I544" s="2">
        <f t="shared" si="40"/>
        <v>2396.3058436007136</v>
      </c>
      <c r="J544" s="4">
        <f t="shared" si="42"/>
        <v>10.192162736825022</v>
      </c>
      <c r="K544" s="4">
        <f t="shared" si="41"/>
        <v>2038.4325473650047</v>
      </c>
      <c r="L544">
        <v>5</v>
      </c>
    </row>
    <row r="545" spans="1:12" x14ac:dyDescent="0.3">
      <c r="A545" t="s">
        <v>101</v>
      </c>
      <c r="B545" t="s">
        <v>82</v>
      </c>
      <c r="C545" s="4">
        <v>0.46679999999999999</v>
      </c>
      <c r="D545" s="4">
        <v>0.81159999999999999</v>
      </c>
      <c r="E545">
        <v>7.5</v>
      </c>
      <c r="F545" s="1">
        <v>19.713375796178344</v>
      </c>
      <c r="G545" s="2">
        <f t="shared" si="43"/>
        <v>305.21922358465827</v>
      </c>
      <c r="H545" s="2">
        <f t="shared" si="44"/>
        <v>132.11926853038074</v>
      </c>
      <c r="I545" s="2">
        <f t="shared" si="40"/>
        <v>26423.853706076148</v>
      </c>
      <c r="J545" s="4">
        <f t="shared" si="42"/>
        <v>19.186901113635443</v>
      </c>
      <c r="K545" s="4">
        <f t="shared" si="41"/>
        <v>3837.3802227270885</v>
      </c>
      <c r="L545">
        <v>5</v>
      </c>
    </row>
    <row r="546" spans="1:12" x14ac:dyDescent="0.3">
      <c r="A546" t="s">
        <v>101</v>
      </c>
      <c r="B546" t="s">
        <v>88</v>
      </c>
      <c r="C546" s="4">
        <v>0.77</v>
      </c>
      <c r="D546" s="4">
        <v>0.77</v>
      </c>
      <c r="E546">
        <v>3.5</v>
      </c>
      <c r="F546" s="1">
        <v>4.8726114649681529</v>
      </c>
      <c r="G546" s="2">
        <f t="shared" si="43"/>
        <v>18.647192185251804</v>
      </c>
      <c r="H546" s="2">
        <f t="shared" si="44"/>
        <v>3.897188597375723</v>
      </c>
      <c r="I546" s="2">
        <f t="shared" si="40"/>
        <v>779.4377194751446</v>
      </c>
      <c r="J546" s="4">
        <f t="shared" si="42"/>
        <v>9.2765436954846034</v>
      </c>
      <c r="K546" s="4">
        <f t="shared" si="41"/>
        <v>1855.3087390969206</v>
      </c>
      <c r="L546">
        <v>5</v>
      </c>
    </row>
    <row r="547" spans="1:12" x14ac:dyDescent="0.3">
      <c r="A547" t="s">
        <v>102</v>
      </c>
      <c r="B547" t="s">
        <v>92</v>
      </c>
      <c r="C547" s="4">
        <v>0.80803492399999999</v>
      </c>
      <c r="D547" s="4">
        <v>0.87275320499999998</v>
      </c>
      <c r="E547">
        <v>9</v>
      </c>
      <c r="F547" s="1">
        <v>25.159235668789808</v>
      </c>
      <c r="G547" s="2">
        <f t="shared" si="43"/>
        <v>497.14693676857826</v>
      </c>
      <c r="H547" s="2">
        <f t="shared" si="44"/>
        <v>272.7892300970268</v>
      </c>
      <c r="I547" s="2">
        <f t="shared" si="40"/>
        <v>54557.846019405362</v>
      </c>
      <c r="J547" s="4">
        <f t="shared" si="42"/>
        <v>28.924794892287714</v>
      </c>
      <c r="K547" s="4">
        <f t="shared" si="41"/>
        <v>5784.9589784575428</v>
      </c>
      <c r="L547">
        <v>5</v>
      </c>
    </row>
    <row r="548" spans="1:12" x14ac:dyDescent="0.3">
      <c r="A548" t="s">
        <v>102</v>
      </c>
      <c r="B548" t="s">
        <v>92</v>
      </c>
      <c r="C548" s="4">
        <v>0.80803492399999999</v>
      </c>
      <c r="D548" s="4">
        <v>0.87275320499999998</v>
      </c>
      <c r="E548">
        <v>8</v>
      </c>
      <c r="F548" s="1">
        <v>27.133757961783438</v>
      </c>
      <c r="G548" s="2">
        <f t="shared" si="43"/>
        <v>578.24218873266784</v>
      </c>
      <c r="H548" s="2">
        <f t="shared" si="44"/>
        <v>281.80738174598628</v>
      </c>
      <c r="I548" s="2">
        <f t="shared" si="40"/>
        <v>56361.476349197255</v>
      </c>
      <c r="J548" s="4">
        <f t="shared" si="42"/>
        <v>29.600442991602087</v>
      </c>
      <c r="K548" s="4">
        <f t="shared" si="41"/>
        <v>5920.0885983204171</v>
      </c>
      <c r="L548">
        <v>5</v>
      </c>
    </row>
    <row r="549" spans="1:12" x14ac:dyDescent="0.3">
      <c r="A549" t="s">
        <v>102</v>
      </c>
      <c r="B549" t="s">
        <v>60</v>
      </c>
      <c r="C549" s="4">
        <v>0.41</v>
      </c>
      <c r="D549" s="4">
        <v>0.33983503399999998</v>
      </c>
      <c r="E549">
        <v>8</v>
      </c>
      <c r="F549" s="1">
        <v>8.1210191082802545</v>
      </c>
      <c r="G549" s="2">
        <f t="shared" si="43"/>
        <v>51.79775607014389</v>
      </c>
      <c r="H549" s="2">
        <f t="shared" si="44"/>
        <v>10.653893813786668</v>
      </c>
      <c r="I549" s="2">
        <f t="shared" si="40"/>
        <v>2130.7787627573334</v>
      </c>
      <c r="J549" s="4">
        <f t="shared" si="42"/>
        <v>10.832326637997484</v>
      </c>
      <c r="K549" s="4">
        <f t="shared" si="41"/>
        <v>2166.465327599497</v>
      </c>
      <c r="L549">
        <v>5</v>
      </c>
    </row>
    <row r="550" spans="1:12" x14ac:dyDescent="0.3">
      <c r="A550" t="s">
        <v>102</v>
      </c>
      <c r="B550" t="s">
        <v>55</v>
      </c>
      <c r="C550" s="4">
        <v>0.52500000000000002</v>
      </c>
      <c r="D550" s="4">
        <v>0.52500000000000002</v>
      </c>
      <c r="E550">
        <v>8</v>
      </c>
      <c r="F550" s="1">
        <v>21.369426751592353</v>
      </c>
      <c r="G550" s="2">
        <f t="shared" si="43"/>
        <v>358.65395602887583</v>
      </c>
      <c r="H550" s="2">
        <f t="shared" si="44"/>
        <v>107.66190448115111</v>
      </c>
      <c r="I550" s="2">
        <f t="shared" si="40"/>
        <v>21532.380896230221</v>
      </c>
      <c r="J550" s="4">
        <f t="shared" si="42"/>
        <v>21.771967191366784</v>
      </c>
      <c r="K550" s="4">
        <f t="shared" si="41"/>
        <v>4354.3934382733569</v>
      </c>
      <c r="L550">
        <v>5</v>
      </c>
    </row>
    <row r="551" spans="1:12" x14ac:dyDescent="0.3">
      <c r="A551" t="s">
        <v>102</v>
      </c>
      <c r="B551" t="s">
        <v>41</v>
      </c>
      <c r="C551" s="4">
        <v>0.56193137999999998</v>
      </c>
      <c r="D551" s="4">
        <v>0.57808694400000005</v>
      </c>
      <c r="E551">
        <v>6</v>
      </c>
      <c r="F551" s="1">
        <v>42.834394904458598</v>
      </c>
      <c r="G551" s="2">
        <f t="shared" si="43"/>
        <v>1441.0370730456295</v>
      </c>
      <c r="H551" s="2">
        <f t="shared" si="44"/>
        <v>347.1004971738102</v>
      </c>
      <c r="I551" s="2">
        <f t="shared" si="40"/>
        <v>69420.099434762044</v>
      </c>
      <c r="J551" s="4">
        <f t="shared" si="42"/>
        <v>47.516193123453284</v>
      </c>
      <c r="K551" s="4">
        <f t="shared" si="41"/>
        <v>9503.2386246906572</v>
      </c>
      <c r="L551">
        <v>5</v>
      </c>
    </row>
    <row r="552" spans="1:12" x14ac:dyDescent="0.3">
      <c r="A552" t="s">
        <v>102</v>
      </c>
      <c r="B552" t="s">
        <v>41</v>
      </c>
      <c r="C552" s="4">
        <v>0.56193137999999998</v>
      </c>
      <c r="D552" s="4">
        <v>0.57808694400000005</v>
      </c>
      <c r="E552">
        <v>6.5</v>
      </c>
      <c r="F552" s="1">
        <v>50.541401273885342</v>
      </c>
      <c r="G552" s="2">
        <f t="shared" si="43"/>
        <v>2006.2471773598797</v>
      </c>
      <c r="H552" s="2">
        <f t="shared" si="44"/>
        <v>518.37412278982595</v>
      </c>
      <c r="I552" s="2">
        <f t="shared" si="40"/>
        <v>103674.82455796518</v>
      </c>
      <c r="J552" s="4">
        <f t="shared" si="42"/>
        <v>67.099056272059684</v>
      </c>
      <c r="K552" s="4">
        <f t="shared" si="41"/>
        <v>13419.811254411936</v>
      </c>
      <c r="L552">
        <v>5</v>
      </c>
    </row>
    <row r="553" spans="1:12" x14ac:dyDescent="0.3">
      <c r="A553" t="s">
        <v>102</v>
      </c>
      <c r="B553" t="s">
        <v>41</v>
      </c>
      <c r="C553" s="4">
        <v>0.56193137999999998</v>
      </c>
      <c r="D553" s="4">
        <v>0.57808694400000005</v>
      </c>
      <c r="E553">
        <v>6.5</v>
      </c>
      <c r="F553" s="1">
        <v>62.229299363057322</v>
      </c>
      <c r="G553" s="2">
        <f t="shared" si="43"/>
        <v>3041.4431559479203</v>
      </c>
      <c r="H553" s="2">
        <f t="shared" si="44"/>
        <v>778.03994115585135</v>
      </c>
      <c r="I553" s="2">
        <f t="shared" si="40"/>
        <v>155607.98823117028</v>
      </c>
      <c r="J553" s="4">
        <f t="shared" si="42"/>
        <v>97.084749657186904</v>
      </c>
      <c r="K553" s="4">
        <f t="shared" si="41"/>
        <v>19416.949931437379</v>
      </c>
      <c r="L553">
        <v>5</v>
      </c>
    </row>
    <row r="554" spans="1:12" x14ac:dyDescent="0.3">
      <c r="A554" t="s">
        <v>102</v>
      </c>
      <c r="B554" t="s">
        <v>41</v>
      </c>
      <c r="C554" s="4">
        <v>0.56193137999999998</v>
      </c>
      <c r="D554" s="4">
        <v>0.57808694400000005</v>
      </c>
      <c r="E554">
        <v>7</v>
      </c>
      <c r="F554" s="1">
        <v>42.834394904458598</v>
      </c>
      <c r="G554" s="2">
        <f t="shared" si="43"/>
        <v>1441.0370730456295</v>
      </c>
      <c r="H554" s="2">
        <f t="shared" si="44"/>
        <v>403.45518616052715</v>
      </c>
      <c r="I554" s="2">
        <f t="shared" si="40"/>
        <v>80691.037232105431</v>
      </c>
      <c r="J554" s="4">
        <f t="shared" si="42"/>
        <v>53.937941977362165</v>
      </c>
      <c r="K554" s="4">
        <f t="shared" si="41"/>
        <v>10787.588395472432</v>
      </c>
      <c r="L554">
        <v>5</v>
      </c>
    </row>
    <row r="555" spans="1:12" x14ac:dyDescent="0.3">
      <c r="A555" t="s">
        <v>102</v>
      </c>
      <c r="B555" t="s">
        <v>41</v>
      </c>
      <c r="C555" s="4">
        <v>0.56193137999999998</v>
      </c>
      <c r="D555" s="4">
        <v>0.57808694400000005</v>
      </c>
      <c r="E555">
        <v>6</v>
      </c>
      <c r="F555" s="1">
        <v>28.152866242038218</v>
      </c>
      <c r="G555" s="2">
        <f t="shared" si="43"/>
        <v>622.49392183852933</v>
      </c>
      <c r="H555" s="2">
        <f t="shared" si="44"/>
        <v>152.99039221587407</v>
      </c>
      <c r="I555" s="2">
        <f t="shared" si="40"/>
        <v>30598.078443174814</v>
      </c>
      <c r="J555" s="4">
        <f t="shared" si="42"/>
        <v>25.629961430483995</v>
      </c>
      <c r="K555" s="4">
        <f t="shared" si="41"/>
        <v>5125.992286096799</v>
      </c>
      <c r="L555">
        <v>5</v>
      </c>
    </row>
    <row r="556" spans="1:12" x14ac:dyDescent="0.3">
      <c r="A556" t="s">
        <v>102</v>
      </c>
      <c r="B556" t="s">
        <v>56</v>
      </c>
      <c r="C556" s="4">
        <v>0.39984676499999999</v>
      </c>
      <c r="D556" s="4">
        <v>0.450333333</v>
      </c>
      <c r="E556">
        <v>9</v>
      </c>
      <c r="F556" s="1">
        <v>20.445859872611464</v>
      </c>
      <c r="G556" s="2">
        <f t="shared" si="43"/>
        <v>328.3224964689702</v>
      </c>
      <c r="H556" s="2">
        <f t="shared" si="44"/>
        <v>95.390852687955942</v>
      </c>
      <c r="I556" s="2">
        <f t="shared" si="40"/>
        <v>19078.170537591188</v>
      </c>
      <c r="J556" s="4">
        <f t="shared" si="42"/>
        <v>22.153745356809605</v>
      </c>
      <c r="K556" s="4">
        <f t="shared" si="41"/>
        <v>4430.7490713619209</v>
      </c>
      <c r="L556">
        <v>5</v>
      </c>
    </row>
    <row r="557" spans="1:12" x14ac:dyDescent="0.3">
      <c r="A557" t="s">
        <v>102</v>
      </c>
      <c r="B557" t="s">
        <v>56</v>
      </c>
      <c r="C557" s="4">
        <v>0.39984676499999999</v>
      </c>
      <c r="D557" s="4">
        <v>0.450333333</v>
      </c>
      <c r="E557">
        <v>9</v>
      </c>
      <c r="F557" s="1">
        <v>30.668789808917197</v>
      </c>
      <c r="G557" s="2">
        <f t="shared" si="43"/>
        <v>738.72561705518297</v>
      </c>
      <c r="H557" s="2">
        <f t="shared" si="44"/>
        <v>210.49261747088269</v>
      </c>
      <c r="I557" s="2">
        <f t="shared" si="40"/>
        <v>42098.523494176537</v>
      </c>
      <c r="J557" s="4">
        <f t="shared" si="42"/>
        <v>38.613802052821619</v>
      </c>
      <c r="K557" s="4">
        <f t="shared" si="41"/>
        <v>7722.760410564324</v>
      </c>
      <c r="L557">
        <v>5</v>
      </c>
    </row>
    <row r="558" spans="1:12" x14ac:dyDescent="0.3">
      <c r="A558" t="s">
        <v>102</v>
      </c>
      <c r="B558" t="s">
        <v>22</v>
      </c>
      <c r="C558" s="4">
        <v>0.43836446099999998</v>
      </c>
      <c r="D558" s="4">
        <v>0.58666666700000003</v>
      </c>
      <c r="E558">
        <v>5</v>
      </c>
      <c r="F558" s="1">
        <v>7.2292993630573257</v>
      </c>
      <c r="G558" s="2">
        <f t="shared" si="43"/>
        <v>41.047083007127192</v>
      </c>
      <c r="H558" s="2">
        <f t="shared" si="44"/>
        <v>9.143566084648894</v>
      </c>
      <c r="I558" s="2">
        <f t="shared" si="40"/>
        <v>1828.7132169297788</v>
      </c>
      <c r="J558" s="4">
        <f t="shared" si="42"/>
        <v>9.9002984624122679</v>
      </c>
      <c r="K558" s="4">
        <f t="shared" si="41"/>
        <v>1980.0596924824536</v>
      </c>
      <c r="L558">
        <v>5</v>
      </c>
    </row>
    <row r="559" spans="1:12" x14ac:dyDescent="0.3">
      <c r="A559" t="s">
        <v>102</v>
      </c>
      <c r="B559" t="s">
        <v>22</v>
      </c>
      <c r="C559" s="4">
        <v>0.43836446099999998</v>
      </c>
      <c r="D559" s="4">
        <v>0.58666666700000003</v>
      </c>
      <c r="E559">
        <v>3</v>
      </c>
      <c r="F559" s="1">
        <v>6.401273885350319</v>
      </c>
      <c r="G559" s="2">
        <f t="shared" si="43"/>
        <v>32.182716539636814</v>
      </c>
      <c r="H559" s="2">
        <f t="shared" si="44"/>
        <v>4.3799329209467111</v>
      </c>
      <c r="I559" s="2">
        <f t="shared" si="40"/>
        <v>875.98658418934224</v>
      </c>
      <c r="J559" s="4">
        <f t="shared" si="42"/>
        <v>9.4159512272303125</v>
      </c>
      <c r="K559" s="4">
        <f t="shared" si="41"/>
        <v>1883.1902454460626</v>
      </c>
      <c r="L559">
        <v>5</v>
      </c>
    </row>
    <row r="560" spans="1:12" x14ac:dyDescent="0.3">
      <c r="A560" t="s">
        <v>102</v>
      </c>
      <c r="B560" t="s">
        <v>22</v>
      </c>
      <c r="C560" s="4">
        <v>0.43836446099999998</v>
      </c>
      <c r="D560" s="4">
        <v>0.58666666700000003</v>
      </c>
      <c r="E560">
        <v>6.5</v>
      </c>
      <c r="F560" s="1">
        <v>2.9617834394904459</v>
      </c>
      <c r="G560" s="2">
        <f t="shared" si="43"/>
        <v>6.8896392502987247</v>
      </c>
      <c r="H560" s="2">
        <f t="shared" si="44"/>
        <v>2.0693815001634972</v>
      </c>
      <c r="I560" s="2">
        <f t="shared" si="40"/>
        <v>413.87630003269942</v>
      </c>
      <c r="J560" s="4">
        <f t="shared" si="42"/>
        <v>9.1852666659905058</v>
      </c>
      <c r="K560" s="4">
        <f t="shared" si="41"/>
        <v>1837.0533331981012</v>
      </c>
      <c r="L560">
        <v>5</v>
      </c>
    </row>
    <row r="561" spans="1:12" x14ac:dyDescent="0.3">
      <c r="A561" t="s">
        <v>102</v>
      </c>
      <c r="B561" t="s">
        <v>49</v>
      </c>
      <c r="C561" s="4">
        <v>0.57917600000000002</v>
      </c>
      <c r="D561" s="4">
        <v>0.60285714300000004</v>
      </c>
      <c r="E561">
        <v>8</v>
      </c>
      <c r="F561" s="1">
        <v>43.121019108280258</v>
      </c>
      <c r="G561" s="2">
        <f t="shared" si="43"/>
        <v>1460.3868507111408</v>
      </c>
      <c r="H561" s="2">
        <f t="shared" si="44"/>
        <v>485.10205733005182</v>
      </c>
      <c r="I561" s="2">
        <f t="shared" si="40"/>
        <v>97020.411466010366</v>
      </c>
      <c r="J561" s="4">
        <f t="shared" si="42"/>
        <v>61.049524090226789</v>
      </c>
      <c r="K561" s="4">
        <f t="shared" si="41"/>
        <v>12209.904818045357</v>
      </c>
      <c r="L561">
        <v>5</v>
      </c>
    </row>
    <row r="562" spans="1:12" x14ac:dyDescent="0.3">
      <c r="A562" t="s">
        <v>102</v>
      </c>
      <c r="B562" t="s">
        <v>88</v>
      </c>
      <c r="C562" s="4">
        <v>0.77</v>
      </c>
      <c r="D562" s="4">
        <v>0.77</v>
      </c>
      <c r="E562">
        <v>6</v>
      </c>
      <c r="F562" s="1">
        <v>5.2547770700636942</v>
      </c>
      <c r="G562" s="2">
        <f t="shared" si="43"/>
        <v>21.68694977331284</v>
      </c>
      <c r="H562" s="2">
        <f t="shared" si="44"/>
        <v>7.6423622309832684</v>
      </c>
      <c r="I562" s="2">
        <f t="shared" si="40"/>
        <v>1528.4724461966537</v>
      </c>
      <c r="J562" s="4">
        <f t="shared" si="42"/>
        <v>9.5655663231774106</v>
      </c>
      <c r="K562" s="4">
        <f t="shared" si="41"/>
        <v>1913.1132646354822</v>
      </c>
      <c r="L562">
        <v>5</v>
      </c>
    </row>
    <row r="563" spans="1:12" x14ac:dyDescent="0.3">
      <c r="A563" t="s">
        <v>102</v>
      </c>
      <c r="B563" t="s">
        <v>88</v>
      </c>
      <c r="C563" s="4">
        <v>0.77</v>
      </c>
      <c r="D563" s="4">
        <v>0.77</v>
      </c>
      <c r="E563">
        <v>3.8</v>
      </c>
      <c r="F563" s="1">
        <v>4.6178343949044587</v>
      </c>
      <c r="G563" s="2">
        <f t="shared" si="43"/>
        <v>16.748140274890819</v>
      </c>
      <c r="H563" s="2">
        <f t="shared" si="44"/>
        <v>3.8026159859632505</v>
      </c>
      <c r="I563" s="2">
        <f t="shared" si="40"/>
        <v>760.52319719265006</v>
      </c>
      <c r="J563" s="4">
        <f t="shared" si="42"/>
        <v>9.2693144468335422</v>
      </c>
      <c r="K563" s="4">
        <f t="shared" si="41"/>
        <v>1853.8628893667087</v>
      </c>
      <c r="L563">
        <v>5</v>
      </c>
    </row>
    <row r="564" spans="1:12" x14ac:dyDescent="0.3">
      <c r="A564" t="s">
        <v>102</v>
      </c>
      <c r="B564" t="s">
        <v>88</v>
      </c>
      <c r="C564" s="4">
        <v>0.77</v>
      </c>
      <c r="D564" s="4">
        <v>0.77</v>
      </c>
      <c r="E564">
        <v>5.5</v>
      </c>
      <c r="F564" s="1">
        <v>10.859872611464969</v>
      </c>
      <c r="G564" s="2">
        <f t="shared" si="43"/>
        <v>92.627372142905088</v>
      </c>
      <c r="H564" s="2">
        <f t="shared" si="44"/>
        <v>28.9570203740249</v>
      </c>
      <c r="I564" s="2">
        <f t="shared" si="40"/>
        <v>5791.4040748049802</v>
      </c>
      <c r="J564" s="4">
        <f t="shared" si="42"/>
        <v>11.255984037892004</v>
      </c>
      <c r="K564" s="4">
        <f t="shared" si="41"/>
        <v>2251.1968075784007</v>
      </c>
      <c r="L564">
        <v>5</v>
      </c>
    </row>
    <row r="565" spans="1:12" x14ac:dyDescent="0.3">
      <c r="A565" t="s">
        <v>103</v>
      </c>
      <c r="B565" t="s">
        <v>75</v>
      </c>
      <c r="C565" s="4">
        <v>0.86</v>
      </c>
      <c r="D565" s="4">
        <v>0.65666666699999998</v>
      </c>
      <c r="E565">
        <v>5</v>
      </c>
      <c r="F565" s="1">
        <v>12.547770700636942</v>
      </c>
      <c r="G565" s="2">
        <f t="shared" si="43"/>
        <v>123.65823085436149</v>
      </c>
      <c r="H565" s="2">
        <f t="shared" si="44"/>
        <v>29.94611118817684</v>
      </c>
      <c r="I565" s="2">
        <f t="shared" si="40"/>
        <v>5989.2222376353684</v>
      </c>
      <c r="J565" s="4">
        <f t="shared" si="42"/>
        <v>11.741014617225851</v>
      </c>
      <c r="K565" s="4">
        <f t="shared" si="41"/>
        <v>2348.2029234451702</v>
      </c>
      <c r="L565">
        <v>5</v>
      </c>
    </row>
    <row r="566" spans="1:12" x14ac:dyDescent="0.3">
      <c r="A566" t="s">
        <v>103</v>
      </c>
      <c r="B566" t="s">
        <v>26</v>
      </c>
      <c r="C566" s="4">
        <v>0.80908761900000004</v>
      </c>
      <c r="D566" s="4">
        <v>0.87473809499999999</v>
      </c>
      <c r="E566">
        <v>7</v>
      </c>
      <c r="F566" s="1">
        <v>42.547770700636939</v>
      </c>
      <c r="G566" s="2">
        <f t="shared" si="43"/>
        <v>1421.8163416928189</v>
      </c>
      <c r="H566" s="2">
        <f t="shared" si="44"/>
        <v>596.58351977458847</v>
      </c>
      <c r="I566" s="2">
        <f t="shared" si="40"/>
        <v>119316.7039549177</v>
      </c>
      <c r="J566" s="4">
        <f t="shared" si="42"/>
        <v>53.338363394052493</v>
      </c>
      <c r="K566" s="4">
        <f t="shared" si="41"/>
        <v>10667.672678810499</v>
      </c>
      <c r="L566">
        <v>5</v>
      </c>
    </row>
    <row r="567" spans="1:12" x14ac:dyDescent="0.3">
      <c r="A567" t="s">
        <v>103</v>
      </c>
      <c r="B567" t="s">
        <v>26</v>
      </c>
      <c r="C567" s="4">
        <v>0.80908761900000004</v>
      </c>
      <c r="D567" s="4">
        <v>0.87473809499999999</v>
      </c>
      <c r="E567">
        <v>8</v>
      </c>
      <c r="F567" s="1">
        <v>30.031847133757964</v>
      </c>
      <c r="G567" s="2">
        <f t="shared" si="43"/>
        <v>708.35990446165931</v>
      </c>
      <c r="H567" s="2">
        <f t="shared" si="44"/>
        <v>344.30553965396814</v>
      </c>
      <c r="I567" s="2">
        <f t="shared" si="40"/>
        <v>68861.107930793631</v>
      </c>
      <c r="J567" s="4">
        <f t="shared" si="42"/>
        <v>34.239231583431383</v>
      </c>
      <c r="K567" s="4">
        <f t="shared" si="41"/>
        <v>6847.8463166862766</v>
      </c>
      <c r="L567">
        <v>5</v>
      </c>
    </row>
    <row r="568" spans="1:12" x14ac:dyDescent="0.3">
      <c r="A568" t="s">
        <v>103</v>
      </c>
      <c r="B568" t="s">
        <v>26</v>
      </c>
      <c r="C568" s="4">
        <v>0.80908761900000004</v>
      </c>
      <c r="D568" s="4">
        <v>0.87473809499999999</v>
      </c>
      <c r="E568">
        <v>4.5</v>
      </c>
      <c r="F568" s="1">
        <v>12.006369426751593</v>
      </c>
      <c r="G568" s="2">
        <f t="shared" si="43"/>
        <v>113.21742825826193</v>
      </c>
      <c r="H568" s="2">
        <f t="shared" si="44"/>
        <v>32.797073098309212</v>
      </c>
      <c r="I568" s="2">
        <f t="shared" si="40"/>
        <v>6559.4146196618431</v>
      </c>
      <c r="J568" s="4">
        <f t="shared" si="42"/>
        <v>11.256108282283257</v>
      </c>
      <c r="K568" s="4">
        <f t="shared" si="41"/>
        <v>2251.2216564566515</v>
      </c>
      <c r="L568">
        <v>5</v>
      </c>
    </row>
    <row r="569" spans="1:12" x14ac:dyDescent="0.3">
      <c r="A569" t="s">
        <v>103</v>
      </c>
      <c r="B569" t="s">
        <v>68</v>
      </c>
      <c r="C569" s="4">
        <v>0.77800000000000002</v>
      </c>
      <c r="D569" s="4">
        <v>0.77386111099999999</v>
      </c>
      <c r="E569">
        <v>6</v>
      </c>
      <c r="F569" s="1">
        <v>8.8216560509554132</v>
      </c>
      <c r="G569" s="2">
        <f t="shared" si="43"/>
        <v>61.120953871681195</v>
      </c>
      <c r="H569" s="2">
        <f t="shared" si="44"/>
        <v>21.112498452774012</v>
      </c>
      <c r="I569" s="2">
        <f t="shared" si="40"/>
        <v>4222.4996905548023</v>
      </c>
      <c r="J569" s="4">
        <f t="shared" si="42"/>
        <v>10.619953925108522</v>
      </c>
      <c r="K569" s="4">
        <f t="shared" si="41"/>
        <v>2123.9907850217046</v>
      </c>
      <c r="L569">
        <v>5</v>
      </c>
    </row>
    <row r="570" spans="1:12" x14ac:dyDescent="0.3">
      <c r="A570" t="s">
        <v>103</v>
      </c>
      <c r="B570" t="s">
        <v>92</v>
      </c>
      <c r="C570" s="4">
        <v>0.80803492399999999</v>
      </c>
      <c r="D570" s="4">
        <v>0.87275320499999998</v>
      </c>
      <c r="E570">
        <v>5</v>
      </c>
      <c r="F570" s="1">
        <v>8.4713375796178347</v>
      </c>
      <c r="G570" s="2">
        <f t="shared" si="43"/>
        <v>56.362968527475616</v>
      </c>
      <c r="H570" s="2">
        <f t="shared" si="44"/>
        <v>18.360399538851457</v>
      </c>
      <c r="I570" s="2">
        <f t="shared" si="40"/>
        <v>3672.0799077702914</v>
      </c>
      <c r="J570" s="4">
        <f t="shared" si="42"/>
        <v>10.241562306787294</v>
      </c>
      <c r="K570" s="4">
        <f t="shared" si="41"/>
        <v>2048.3124613574591</v>
      </c>
      <c r="L570">
        <v>5</v>
      </c>
    </row>
    <row r="571" spans="1:12" x14ac:dyDescent="0.3">
      <c r="A571" t="s">
        <v>103</v>
      </c>
      <c r="B571" t="s">
        <v>60</v>
      </c>
      <c r="C571" s="4">
        <v>0.41</v>
      </c>
      <c r="D571" s="4">
        <v>0.33983503399999998</v>
      </c>
      <c r="E571">
        <v>8</v>
      </c>
      <c r="F571" s="1">
        <v>7.7388535031847132</v>
      </c>
      <c r="G571" s="2">
        <f t="shared" si="43"/>
        <v>47.037380979406791</v>
      </c>
      <c r="H571" s="2">
        <f t="shared" si="44"/>
        <v>9.6971782284364458</v>
      </c>
      <c r="I571" s="2">
        <f t="shared" si="40"/>
        <v>1939.435645687289</v>
      </c>
      <c r="J571" s="4">
        <f t="shared" si="42"/>
        <v>10.66261589922512</v>
      </c>
      <c r="K571" s="4">
        <f t="shared" si="41"/>
        <v>2132.5231798450241</v>
      </c>
      <c r="L571">
        <v>5</v>
      </c>
    </row>
    <row r="572" spans="1:12" x14ac:dyDescent="0.3">
      <c r="A572" t="s">
        <v>103</v>
      </c>
      <c r="B572" t="s">
        <v>54</v>
      </c>
      <c r="C572" s="4">
        <v>0.53</v>
      </c>
      <c r="D572" s="4">
        <v>0.54764999999999997</v>
      </c>
      <c r="E572">
        <v>5</v>
      </c>
      <c r="F572" s="1">
        <v>8.0573248407643305</v>
      </c>
      <c r="G572" s="2">
        <f t="shared" si="43"/>
        <v>50.988428578144408</v>
      </c>
      <c r="H572" s="2">
        <f t="shared" si="44"/>
        <v>10.565094611314061</v>
      </c>
      <c r="I572" s="2">
        <f t="shared" si="40"/>
        <v>2113.0189222628123</v>
      </c>
      <c r="J572" s="4">
        <f t="shared" si="42"/>
        <v>10.121808462817963</v>
      </c>
      <c r="K572" s="4">
        <f t="shared" si="41"/>
        <v>2024.3616925635929</v>
      </c>
      <c r="L572">
        <v>5</v>
      </c>
    </row>
    <row r="573" spans="1:12" x14ac:dyDescent="0.3">
      <c r="A573" t="s">
        <v>103</v>
      </c>
      <c r="B573" t="s">
        <v>55</v>
      </c>
      <c r="C573" s="4">
        <v>0.52500000000000002</v>
      </c>
      <c r="D573" s="4">
        <v>0.52500000000000002</v>
      </c>
      <c r="E573">
        <v>6.5</v>
      </c>
      <c r="F573" s="1">
        <v>24.458598726114648</v>
      </c>
      <c r="G573" s="2">
        <f t="shared" si="43"/>
        <v>469.84328606407604</v>
      </c>
      <c r="H573" s="2">
        <f t="shared" si="44"/>
        <v>114.42275728321081</v>
      </c>
      <c r="I573" s="2">
        <f t="shared" si="40"/>
        <v>22884.551456642163</v>
      </c>
      <c r="J573" s="4">
        <f t="shared" si="42"/>
        <v>22.595274424925957</v>
      </c>
      <c r="K573" s="4">
        <f t="shared" si="41"/>
        <v>4519.0548849851912</v>
      </c>
      <c r="L573">
        <v>5</v>
      </c>
    </row>
    <row r="574" spans="1:12" x14ac:dyDescent="0.3">
      <c r="A574" t="s">
        <v>103</v>
      </c>
      <c r="B574" t="s">
        <v>56</v>
      </c>
      <c r="C574" s="4">
        <v>0.39984676499999999</v>
      </c>
      <c r="D574" s="4">
        <v>0.450333333</v>
      </c>
      <c r="E574">
        <v>11</v>
      </c>
      <c r="F574" s="1">
        <v>21.656050955414013</v>
      </c>
      <c r="G574" s="2">
        <f t="shared" si="43"/>
        <v>368.33959872102326</v>
      </c>
      <c r="H574" s="2">
        <f t="shared" si="44"/>
        <v>129.81184580417002</v>
      </c>
      <c r="I574" s="2">
        <f t="shared" si="40"/>
        <v>25962.369160834005</v>
      </c>
      <c r="J574" s="4">
        <f t="shared" si="42"/>
        <v>27.0416049048643</v>
      </c>
      <c r="K574" s="4">
        <f t="shared" si="41"/>
        <v>5408.3209809728596</v>
      </c>
      <c r="L574">
        <v>5</v>
      </c>
    </row>
    <row r="575" spans="1:12" x14ac:dyDescent="0.3">
      <c r="A575" t="s">
        <v>103</v>
      </c>
      <c r="B575" t="s">
        <v>56</v>
      </c>
      <c r="C575" s="4">
        <v>0.39984676499999999</v>
      </c>
      <c r="D575" s="4">
        <v>0.450333333</v>
      </c>
      <c r="E575">
        <v>11</v>
      </c>
      <c r="F575" s="1">
        <v>28.949044585987263</v>
      </c>
      <c r="G575" s="2">
        <f t="shared" si="43"/>
        <v>658.20071792994338</v>
      </c>
      <c r="H575" s="2">
        <f t="shared" si="44"/>
        <v>228.75659718339375</v>
      </c>
      <c r="I575" s="2">
        <f t="shared" si="40"/>
        <v>45751.31943667875</v>
      </c>
      <c r="J575" s="4">
        <f t="shared" si="42"/>
        <v>41.250516523996922</v>
      </c>
      <c r="K575" s="4">
        <f t="shared" si="41"/>
        <v>8250.1033047993842</v>
      </c>
      <c r="L575">
        <v>5</v>
      </c>
    </row>
    <row r="576" spans="1:12" x14ac:dyDescent="0.3">
      <c r="A576" t="s">
        <v>103</v>
      </c>
      <c r="B576" t="s">
        <v>56</v>
      </c>
      <c r="C576" s="4">
        <v>0.39984676499999999</v>
      </c>
      <c r="D576" s="4">
        <v>0.450333333</v>
      </c>
      <c r="E576">
        <v>7</v>
      </c>
      <c r="F576" s="1">
        <v>40.955414012738856</v>
      </c>
      <c r="G576" s="2">
        <f t="shared" si="43"/>
        <v>1317.3844182665084</v>
      </c>
      <c r="H576" s="2">
        <f t="shared" si="44"/>
        <v>289.67547291214697</v>
      </c>
      <c r="I576" s="2">
        <f t="shared" si="40"/>
        <v>57935.094582429403</v>
      </c>
      <c r="J576" s="4">
        <f t="shared" si="42"/>
        <v>50.080675455393738</v>
      </c>
      <c r="K576" s="4">
        <f t="shared" si="41"/>
        <v>10016.135091078748</v>
      </c>
      <c r="L576">
        <v>5</v>
      </c>
    </row>
    <row r="577" spans="1:12" x14ac:dyDescent="0.3">
      <c r="A577" t="s">
        <v>103</v>
      </c>
      <c r="B577" t="s">
        <v>39</v>
      </c>
      <c r="C577" s="4">
        <v>0.590536375</v>
      </c>
      <c r="D577" s="4">
        <v>0.61247410899999999</v>
      </c>
      <c r="E577">
        <v>6</v>
      </c>
      <c r="F577" s="1">
        <v>26.146496815286621</v>
      </c>
      <c r="G577" s="2">
        <f t="shared" si="43"/>
        <v>536.92904727836765</v>
      </c>
      <c r="H577" s="2">
        <f t="shared" si="44"/>
        <v>140.11333914984692</v>
      </c>
      <c r="I577" s="2">
        <f t="shared" si="40"/>
        <v>28022.667829969385</v>
      </c>
      <c r="J577" s="4">
        <f t="shared" si="42"/>
        <v>23.342125209947664</v>
      </c>
      <c r="K577" s="4">
        <f t="shared" si="41"/>
        <v>4668.4250419895325</v>
      </c>
      <c r="L577">
        <v>5</v>
      </c>
    </row>
    <row r="578" spans="1:12" x14ac:dyDescent="0.3">
      <c r="A578" t="s">
        <v>103</v>
      </c>
      <c r="B578" t="s">
        <v>49</v>
      </c>
      <c r="C578" s="4">
        <v>0.57917600000000002</v>
      </c>
      <c r="D578" s="4">
        <v>0.60285714300000004</v>
      </c>
      <c r="E578">
        <v>4</v>
      </c>
      <c r="F578" s="1">
        <v>5.5732484076433115</v>
      </c>
      <c r="G578" s="2">
        <f t="shared" si="43"/>
        <v>24.395329175673304</v>
      </c>
      <c r="H578" s="2">
        <f t="shared" si="44"/>
        <v>4.5448387478529257</v>
      </c>
      <c r="I578" s="2">
        <f t="shared" ref="I578:I641" si="45">(H578*1000)/L578</f>
        <v>908.96774957058517</v>
      </c>
      <c r="J578" s="4">
        <f t="shared" si="42"/>
        <v>9.4205553693861823</v>
      </c>
      <c r="K578" s="4">
        <f t="shared" ref="K578:K641" si="46">(J578*1000)/L578</f>
        <v>1884.1110738772363</v>
      </c>
      <c r="L578">
        <v>5</v>
      </c>
    </row>
    <row r="579" spans="1:12" x14ac:dyDescent="0.3">
      <c r="A579" t="s">
        <v>103</v>
      </c>
      <c r="B579" t="s">
        <v>88</v>
      </c>
      <c r="C579" s="4">
        <v>0.77</v>
      </c>
      <c r="D579" s="4">
        <v>0.77</v>
      </c>
      <c r="E579">
        <v>3.5</v>
      </c>
      <c r="F579" s="1">
        <v>5.4777070063694264</v>
      </c>
      <c r="G579" s="2">
        <f t="shared" si="43"/>
        <v>23.566087129244703</v>
      </c>
      <c r="H579" s="2">
        <f t="shared" si="44"/>
        <v>4.8976221748508264</v>
      </c>
      <c r="I579" s="2">
        <f t="shared" si="45"/>
        <v>979.5244349701652</v>
      </c>
      <c r="J579" s="4">
        <f t="shared" ref="J579:J642" si="47">8.9857 + 0.0035 * F579^2 * E579</f>
        <v>9.3532646070834513</v>
      </c>
      <c r="K579" s="4">
        <f t="shared" si="46"/>
        <v>1870.6529214166901</v>
      </c>
      <c r="L579">
        <v>5</v>
      </c>
    </row>
    <row r="580" spans="1:12" x14ac:dyDescent="0.3">
      <c r="A580" t="s">
        <v>104</v>
      </c>
      <c r="B580" t="s">
        <v>75</v>
      </c>
      <c r="C580" s="4">
        <v>0.86</v>
      </c>
      <c r="D580" s="4">
        <v>0.65666666699999998</v>
      </c>
      <c r="E580">
        <v>6.5</v>
      </c>
      <c r="F580" s="1">
        <v>24.394904458598724</v>
      </c>
      <c r="G580" s="2">
        <f t="shared" ref="G580:G643" si="48">PI()*(F580/2)^2</f>
        <v>467.39937194453432</v>
      </c>
      <c r="H580" s="2">
        <f t="shared" ref="H580:H643" si="49">0.0673 * ((D580 * F580^2 * E580)^0.976)</f>
        <v>141.62994220683498</v>
      </c>
      <c r="I580" s="2">
        <f t="shared" si="45"/>
        <v>28325.988441367001</v>
      </c>
      <c r="J580" s="4">
        <f t="shared" si="47"/>
        <v>22.524483520629637</v>
      </c>
      <c r="K580" s="4">
        <f t="shared" si="46"/>
        <v>4504.8967041259275</v>
      </c>
      <c r="L580">
        <v>5</v>
      </c>
    </row>
    <row r="581" spans="1:12" x14ac:dyDescent="0.3">
      <c r="A581" t="s">
        <v>104</v>
      </c>
      <c r="B581" t="s">
        <v>75</v>
      </c>
      <c r="C581" s="4">
        <v>0.86</v>
      </c>
      <c r="D581" s="4">
        <v>0.65666666699999998</v>
      </c>
      <c r="E581">
        <v>7</v>
      </c>
      <c r="F581" s="1">
        <v>11.687898089171975</v>
      </c>
      <c r="G581" s="2">
        <f t="shared" si="48"/>
        <v>107.29085686015551</v>
      </c>
      <c r="H581" s="2">
        <f t="shared" si="49"/>
        <v>36.206031756514591</v>
      </c>
      <c r="I581" s="2">
        <f t="shared" si="45"/>
        <v>7241.2063513029179</v>
      </c>
      <c r="J581" s="4">
        <f t="shared" si="47"/>
        <v>12.332570562700312</v>
      </c>
      <c r="K581" s="4">
        <f t="shared" si="46"/>
        <v>2466.5141125400623</v>
      </c>
      <c r="L581">
        <v>5</v>
      </c>
    </row>
    <row r="582" spans="1:12" x14ac:dyDescent="0.3">
      <c r="A582" t="s">
        <v>104</v>
      </c>
      <c r="B582" t="s">
        <v>26</v>
      </c>
      <c r="C582" s="4">
        <v>0.80908761900000004</v>
      </c>
      <c r="D582" s="4">
        <v>0.87473809499999999</v>
      </c>
      <c r="E582">
        <v>4.5</v>
      </c>
      <c r="F582" s="1">
        <v>18.02547770700637</v>
      </c>
      <c r="G582" s="2">
        <f t="shared" si="48"/>
        <v>255.18987994782037</v>
      </c>
      <c r="H582" s="2">
        <f t="shared" si="49"/>
        <v>72.496066945019692</v>
      </c>
      <c r="I582" s="2">
        <f t="shared" si="45"/>
        <v>14499.213389003937</v>
      </c>
      <c r="J582" s="4">
        <f t="shared" si="47"/>
        <v>14.103156083411092</v>
      </c>
      <c r="K582" s="4">
        <f t="shared" si="46"/>
        <v>2820.6312166822181</v>
      </c>
      <c r="L582">
        <v>5</v>
      </c>
    </row>
    <row r="583" spans="1:12" x14ac:dyDescent="0.3">
      <c r="A583" t="s">
        <v>104</v>
      </c>
      <c r="B583" t="s">
        <v>26</v>
      </c>
      <c r="C583" s="4">
        <v>0.80908761900000004</v>
      </c>
      <c r="D583" s="4">
        <v>0.87473809499999999</v>
      </c>
      <c r="E583">
        <v>8</v>
      </c>
      <c r="F583" s="1">
        <v>14.840764331210192</v>
      </c>
      <c r="G583" s="2">
        <f t="shared" si="48"/>
        <v>172.98259926440858</v>
      </c>
      <c r="H583" s="2">
        <f t="shared" si="49"/>
        <v>86.973409494316442</v>
      </c>
      <c r="I583" s="2">
        <f t="shared" si="45"/>
        <v>17394.681898863288</v>
      </c>
      <c r="J583" s="4">
        <f t="shared" si="47"/>
        <v>15.15265200616658</v>
      </c>
      <c r="K583" s="4">
        <f t="shared" si="46"/>
        <v>3030.5304012333158</v>
      </c>
      <c r="L583">
        <v>5</v>
      </c>
    </row>
    <row r="584" spans="1:12" x14ac:dyDescent="0.3">
      <c r="A584" t="s">
        <v>104</v>
      </c>
      <c r="B584" t="s">
        <v>26</v>
      </c>
      <c r="C584" s="4">
        <v>0.80908761900000004</v>
      </c>
      <c r="D584" s="4">
        <v>0.87473809499999999</v>
      </c>
      <c r="E584">
        <v>7</v>
      </c>
      <c r="F584" s="1">
        <v>17.929936305732483</v>
      </c>
      <c r="G584" s="2">
        <f t="shared" si="48"/>
        <v>252.49185611376296</v>
      </c>
      <c r="H584" s="2">
        <f t="shared" si="49"/>
        <v>110.43060018826704</v>
      </c>
      <c r="I584" s="2">
        <f t="shared" si="45"/>
        <v>22086.120037653407</v>
      </c>
      <c r="J584" s="4">
        <f t="shared" si="47"/>
        <v>16.862024090226782</v>
      </c>
      <c r="K584" s="4">
        <f t="shared" si="46"/>
        <v>3372.4048180453565</v>
      </c>
      <c r="L584">
        <v>5</v>
      </c>
    </row>
    <row r="585" spans="1:12" x14ac:dyDescent="0.3">
      <c r="A585" t="s">
        <v>104</v>
      </c>
      <c r="B585" t="s">
        <v>26</v>
      </c>
      <c r="C585" s="4">
        <v>0.80908761900000004</v>
      </c>
      <c r="D585" s="4">
        <v>0.87473809499999999</v>
      </c>
      <c r="E585">
        <v>8</v>
      </c>
      <c r="F585" s="1">
        <v>17.101910828025478</v>
      </c>
      <c r="G585" s="2">
        <f t="shared" si="48"/>
        <v>229.70960584684852</v>
      </c>
      <c r="H585" s="2">
        <f t="shared" si="49"/>
        <v>114.71150871212161</v>
      </c>
      <c r="I585" s="2">
        <f t="shared" si="45"/>
        <v>22942.301742424323</v>
      </c>
      <c r="J585" s="4">
        <f t="shared" si="47"/>
        <v>17.175009911152582</v>
      </c>
      <c r="K585" s="4">
        <f t="shared" si="46"/>
        <v>3435.0019822305162</v>
      </c>
      <c r="L585">
        <v>5</v>
      </c>
    </row>
    <row r="586" spans="1:12" x14ac:dyDescent="0.3">
      <c r="A586" t="s">
        <v>104</v>
      </c>
      <c r="B586" t="s">
        <v>92</v>
      </c>
      <c r="C586" s="4">
        <v>0.80803492399999999</v>
      </c>
      <c r="D586" s="4">
        <v>0.87275320499999998</v>
      </c>
      <c r="E586">
        <v>9</v>
      </c>
      <c r="F586" s="1">
        <v>15.477707006369426</v>
      </c>
      <c r="G586" s="2">
        <f t="shared" si="48"/>
        <v>188.14952391762716</v>
      </c>
      <c r="H586" s="2">
        <f t="shared" si="49"/>
        <v>105.67521387948651</v>
      </c>
      <c r="I586" s="2">
        <f t="shared" si="45"/>
        <v>21135.042775897302</v>
      </c>
      <c r="J586" s="4">
        <f t="shared" si="47"/>
        <v>16.531821546513044</v>
      </c>
      <c r="K586" s="4">
        <f t="shared" si="46"/>
        <v>3306.3643093026089</v>
      </c>
      <c r="L586">
        <v>5</v>
      </c>
    </row>
    <row r="587" spans="1:12" x14ac:dyDescent="0.3">
      <c r="A587" t="s">
        <v>104</v>
      </c>
      <c r="B587" t="s">
        <v>85</v>
      </c>
      <c r="C587" s="4">
        <v>0.6</v>
      </c>
      <c r="D587" s="4">
        <v>0.66674999999999995</v>
      </c>
      <c r="E587">
        <v>5.5</v>
      </c>
      <c r="F587" s="1">
        <v>5.5414012738853495</v>
      </c>
      <c r="G587" s="2">
        <f t="shared" si="48"/>
        <v>24.117321995842772</v>
      </c>
      <c r="H587" s="2">
        <f t="shared" si="49"/>
        <v>6.7661624488402738</v>
      </c>
      <c r="I587" s="2">
        <f t="shared" si="45"/>
        <v>1353.2324897680548</v>
      </c>
      <c r="J587" s="4">
        <f t="shared" si="47"/>
        <v>9.5768122155056989</v>
      </c>
      <c r="K587" s="4">
        <f t="shared" si="46"/>
        <v>1915.3624431011399</v>
      </c>
      <c r="L587">
        <v>5</v>
      </c>
    </row>
    <row r="588" spans="1:12" x14ac:dyDescent="0.3">
      <c r="A588" t="s">
        <v>104</v>
      </c>
      <c r="B588" t="s">
        <v>15</v>
      </c>
      <c r="C588" s="4">
        <v>0.47982689899999997</v>
      </c>
      <c r="D588" s="4">
        <v>0.51</v>
      </c>
      <c r="E588">
        <v>3</v>
      </c>
      <c r="F588" s="1">
        <v>7.9617834394904454</v>
      </c>
      <c r="G588" s="2">
        <f t="shared" si="48"/>
        <v>49.786386072802657</v>
      </c>
      <c r="H588" s="2">
        <f t="shared" si="49"/>
        <v>5.8485219553870094</v>
      </c>
      <c r="I588" s="2">
        <f t="shared" si="45"/>
        <v>1169.7043910774019</v>
      </c>
      <c r="J588" s="4">
        <f t="shared" si="47"/>
        <v>9.6512949531421146</v>
      </c>
      <c r="K588" s="4">
        <f t="shared" si="46"/>
        <v>1930.2589906284229</v>
      </c>
      <c r="L588">
        <v>5</v>
      </c>
    </row>
    <row r="589" spans="1:12" x14ac:dyDescent="0.3">
      <c r="A589" t="s">
        <v>104</v>
      </c>
      <c r="B589" t="s">
        <v>15</v>
      </c>
      <c r="C589" s="4">
        <v>0.47982689899999997</v>
      </c>
      <c r="D589" s="4">
        <v>0.51</v>
      </c>
      <c r="E589">
        <v>5</v>
      </c>
      <c r="F589" s="1">
        <v>6.4649681528662422</v>
      </c>
      <c r="G589" s="2">
        <f t="shared" si="48"/>
        <v>32.826354938786004</v>
      </c>
      <c r="H589" s="2">
        <f t="shared" si="49"/>
        <v>6.4124482503266629</v>
      </c>
      <c r="I589" s="2">
        <f t="shared" si="45"/>
        <v>1282.4896500653326</v>
      </c>
      <c r="J589" s="4">
        <f t="shared" si="47"/>
        <v>9.7171267313075571</v>
      </c>
      <c r="K589" s="4">
        <f t="shared" si="46"/>
        <v>1943.4253462615113</v>
      </c>
      <c r="L589">
        <v>5</v>
      </c>
    </row>
    <row r="590" spans="1:12" x14ac:dyDescent="0.3">
      <c r="A590" t="s">
        <v>104</v>
      </c>
      <c r="B590" t="s">
        <v>54</v>
      </c>
      <c r="C590" s="4">
        <v>0.53</v>
      </c>
      <c r="D590" s="4">
        <v>0.54764999999999997</v>
      </c>
      <c r="E590">
        <v>5.5</v>
      </c>
      <c r="F590" s="1">
        <v>6.1464968152866239</v>
      </c>
      <c r="G590" s="2">
        <f t="shared" si="48"/>
        <v>29.67188951721322</v>
      </c>
      <c r="H590" s="2">
        <f t="shared" si="49"/>
        <v>6.8357986361061354</v>
      </c>
      <c r="I590" s="2">
        <f t="shared" si="45"/>
        <v>1367.1597272212271</v>
      </c>
      <c r="J590" s="4">
        <f t="shared" si="47"/>
        <v>9.7129538946813252</v>
      </c>
      <c r="K590" s="4">
        <f t="shared" si="46"/>
        <v>1942.590778936265</v>
      </c>
      <c r="L590">
        <v>5</v>
      </c>
    </row>
    <row r="591" spans="1:12" x14ac:dyDescent="0.3">
      <c r="A591" t="s">
        <v>104</v>
      </c>
      <c r="B591" t="s">
        <v>54</v>
      </c>
      <c r="C591" s="4">
        <v>0.53</v>
      </c>
      <c r="D591" s="4">
        <v>0.54764999999999997</v>
      </c>
      <c r="E591">
        <v>4.5</v>
      </c>
      <c r="F591" s="1">
        <v>8.2165605095541405</v>
      </c>
      <c r="G591" s="2">
        <f t="shared" si="48"/>
        <v>53.023696040800587</v>
      </c>
      <c r="H591" s="2">
        <f t="shared" si="49"/>
        <v>9.9038599063271544</v>
      </c>
      <c r="I591" s="2">
        <f t="shared" si="45"/>
        <v>1980.7719812654309</v>
      </c>
      <c r="J591" s="4">
        <f t="shared" si="47"/>
        <v>10.049011899062842</v>
      </c>
      <c r="K591" s="4">
        <f t="shared" si="46"/>
        <v>2009.8023798125682</v>
      </c>
      <c r="L591">
        <v>5</v>
      </c>
    </row>
    <row r="592" spans="1:12" x14ac:dyDescent="0.3">
      <c r="A592" t="s">
        <v>104</v>
      </c>
      <c r="B592" t="s">
        <v>56</v>
      </c>
      <c r="C592" s="4">
        <v>0.39984676499999999</v>
      </c>
      <c r="D592" s="4">
        <v>0.450333333</v>
      </c>
      <c r="E592">
        <v>8</v>
      </c>
      <c r="F592" s="1">
        <v>14.745222929936304</v>
      </c>
      <c r="G592" s="2">
        <f t="shared" si="48"/>
        <v>170.76252473665011</v>
      </c>
      <c r="H592" s="2">
        <f t="shared" si="49"/>
        <v>44.924948578259993</v>
      </c>
      <c r="I592" s="2">
        <f t="shared" si="45"/>
        <v>8984.9897156519983</v>
      </c>
      <c r="J592" s="4">
        <f t="shared" si="47"/>
        <v>15.073504779098542</v>
      </c>
      <c r="K592" s="4">
        <f t="shared" si="46"/>
        <v>3014.7009558197087</v>
      </c>
      <c r="L592">
        <v>5</v>
      </c>
    </row>
    <row r="593" spans="1:12" x14ac:dyDescent="0.3">
      <c r="A593" t="s">
        <v>104</v>
      </c>
      <c r="B593" t="s">
        <v>22</v>
      </c>
      <c r="C593" s="4">
        <v>0.43836446099999998</v>
      </c>
      <c r="D593" s="4">
        <v>0.58666666700000003</v>
      </c>
      <c r="E593">
        <v>5</v>
      </c>
      <c r="F593" s="1">
        <v>10.445859872611464</v>
      </c>
      <c r="G593" s="2">
        <f t="shared" si="48"/>
        <v>85.699496948102421</v>
      </c>
      <c r="H593" s="2">
        <f t="shared" si="49"/>
        <v>18.755941856893966</v>
      </c>
      <c r="I593" s="2">
        <f t="shared" si="45"/>
        <v>3751.1883713787929</v>
      </c>
      <c r="J593" s="4">
        <f t="shared" si="47"/>
        <v>10.895229798369101</v>
      </c>
      <c r="K593" s="4">
        <f t="shared" si="46"/>
        <v>2179.0459596738201</v>
      </c>
      <c r="L593">
        <v>5</v>
      </c>
    </row>
    <row r="594" spans="1:12" x14ac:dyDescent="0.3">
      <c r="A594" t="s">
        <v>104</v>
      </c>
      <c r="B594" t="s">
        <v>49</v>
      </c>
      <c r="C594" s="4">
        <v>0.57917600000000002</v>
      </c>
      <c r="D594" s="4">
        <v>0.60285714300000004</v>
      </c>
      <c r="E594">
        <v>6</v>
      </c>
      <c r="F594" s="1">
        <v>10.286624203821654</v>
      </c>
      <c r="G594" s="2">
        <f t="shared" si="48"/>
        <v>83.106621961430847</v>
      </c>
      <c r="H594" s="2">
        <f t="shared" si="49"/>
        <v>22.332461827792187</v>
      </c>
      <c r="I594" s="2">
        <f t="shared" si="45"/>
        <v>4466.4923655584371</v>
      </c>
      <c r="J594" s="4">
        <f t="shared" si="47"/>
        <v>11.207807387723639</v>
      </c>
      <c r="K594" s="4">
        <f t="shared" si="46"/>
        <v>2241.5614775447275</v>
      </c>
      <c r="L594">
        <v>5</v>
      </c>
    </row>
    <row r="595" spans="1:12" x14ac:dyDescent="0.3">
      <c r="A595" t="s">
        <v>104</v>
      </c>
      <c r="B595" t="s">
        <v>49</v>
      </c>
      <c r="C595" s="4">
        <v>0.57917600000000002</v>
      </c>
      <c r="D595" s="4">
        <v>0.60285714300000004</v>
      </c>
      <c r="E595">
        <v>5</v>
      </c>
      <c r="F595" s="1">
        <v>9.3949044585987256</v>
      </c>
      <c r="G595" s="2">
        <f t="shared" si="48"/>
        <v>69.322563967770421</v>
      </c>
      <c r="H595" s="2">
        <f t="shared" si="49"/>
        <v>15.659754734631555</v>
      </c>
      <c r="I595" s="2">
        <f t="shared" si="45"/>
        <v>3131.9509469263112</v>
      </c>
      <c r="J595" s="4">
        <f t="shared" si="47"/>
        <v>10.530324021258469</v>
      </c>
      <c r="K595" s="4">
        <f t="shared" si="46"/>
        <v>2106.0648042516941</v>
      </c>
      <c r="L595">
        <v>5</v>
      </c>
    </row>
    <row r="596" spans="1:12" x14ac:dyDescent="0.3">
      <c r="A596" t="s">
        <v>104</v>
      </c>
      <c r="B596" t="s">
        <v>49</v>
      </c>
      <c r="C596" s="4">
        <v>0.57917600000000002</v>
      </c>
      <c r="D596" s="4">
        <v>0.60285714300000004</v>
      </c>
      <c r="E596">
        <v>6.5</v>
      </c>
      <c r="F596" s="1">
        <v>4.8726114649681529</v>
      </c>
      <c r="G596" s="2">
        <f t="shared" si="48"/>
        <v>18.647192185251804</v>
      </c>
      <c r="H596" s="2">
        <f t="shared" si="49"/>
        <v>5.6158922351525495</v>
      </c>
      <c r="I596" s="2">
        <f t="shared" si="45"/>
        <v>1123.1784470305099</v>
      </c>
      <c r="J596" s="4">
        <f t="shared" si="47"/>
        <v>9.5258382916142637</v>
      </c>
      <c r="K596" s="4">
        <f t="shared" si="46"/>
        <v>1905.1676583228527</v>
      </c>
      <c r="L596">
        <v>5</v>
      </c>
    </row>
    <row r="597" spans="1:12" x14ac:dyDescent="0.3">
      <c r="A597" t="s">
        <v>104</v>
      </c>
      <c r="B597" t="s">
        <v>49</v>
      </c>
      <c r="C597" s="4">
        <v>0.57917600000000002</v>
      </c>
      <c r="D597" s="4">
        <v>0.60285714300000004</v>
      </c>
      <c r="E597">
        <v>5</v>
      </c>
      <c r="F597" s="1">
        <v>7.4203821656050959</v>
      </c>
      <c r="G597" s="2">
        <f t="shared" si="48"/>
        <v>43.245649816102144</v>
      </c>
      <c r="H597" s="2">
        <f t="shared" si="49"/>
        <v>9.8803229090113032</v>
      </c>
      <c r="I597" s="2">
        <f t="shared" si="45"/>
        <v>1976.0645818022608</v>
      </c>
      <c r="J597" s="4">
        <f t="shared" si="47"/>
        <v>9.949286250963528</v>
      </c>
      <c r="K597" s="4">
        <f t="shared" si="46"/>
        <v>1989.8572501927058</v>
      </c>
      <c r="L597">
        <v>5</v>
      </c>
    </row>
    <row r="598" spans="1:12" x14ac:dyDescent="0.3">
      <c r="A598" t="s">
        <v>104</v>
      </c>
      <c r="B598" t="s">
        <v>49</v>
      </c>
      <c r="C598" s="4">
        <v>0.57917600000000002</v>
      </c>
      <c r="D598" s="4">
        <v>0.60285714300000004</v>
      </c>
      <c r="E598">
        <v>7</v>
      </c>
      <c r="F598" s="1">
        <v>14.745222929936304</v>
      </c>
      <c r="G598" s="2">
        <f t="shared" si="48"/>
        <v>170.76252473665011</v>
      </c>
      <c r="H598" s="2">
        <f t="shared" si="49"/>
        <v>52.423672023124055</v>
      </c>
      <c r="I598" s="2">
        <f t="shared" si="45"/>
        <v>10484.734404624811</v>
      </c>
      <c r="J598" s="4">
        <f t="shared" si="47"/>
        <v>14.312529181711223</v>
      </c>
      <c r="K598" s="4">
        <f t="shared" si="46"/>
        <v>2862.5058363422445</v>
      </c>
      <c r="L598">
        <v>5</v>
      </c>
    </row>
    <row r="599" spans="1:12" x14ac:dyDescent="0.3">
      <c r="A599" t="s">
        <v>105</v>
      </c>
      <c r="B599" t="s">
        <v>75</v>
      </c>
      <c r="C599" s="4">
        <v>0.86</v>
      </c>
      <c r="D599" s="4">
        <v>0.65666666699999998</v>
      </c>
      <c r="E599">
        <v>6</v>
      </c>
      <c r="F599" s="1">
        <v>8.3757961783439487</v>
      </c>
      <c r="G599" s="2">
        <f t="shared" si="48"/>
        <v>55.098792612315002</v>
      </c>
      <c r="H599" s="2">
        <f t="shared" si="49"/>
        <v>16.254227161409638</v>
      </c>
      <c r="I599" s="2">
        <f t="shared" si="45"/>
        <v>3250.8454322819275</v>
      </c>
      <c r="J599" s="4">
        <f t="shared" si="47"/>
        <v>10.458933194044382</v>
      </c>
      <c r="K599" s="4">
        <f t="shared" si="46"/>
        <v>2091.7866388088764</v>
      </c>
      <c r="L599">
        <v>5</v>
      </c>
    </row>
    <row r="600" spans="1:12" x14ac:dyDescent="0.3">
      <c r="A600" t="s">
        <v>105</v>
      </c>
      <c r="B600" t="s">
        <v>75</v>
      </c>
      <c r="C600" s="4">
        <v>0.86</v>
      </c>
      <c r="D600" s="4">
        <v>0.65666666699999998</v>
      </c>
      <c r="E600">
        <v>6.5</v>
      </c>
      <c r="F600" s="1">
        <v>7.1656050955414008</v>
      </c>
      <c r="G600" s="2">
        <f t="shared" si="48"/>
        <v>40.326972718970154</v>
      </c>
      <c r="H600" s="2">
        <f t="shared" si="49"/>
        <v>12.959874470230938</v>
      </c>
      <c r="I600" s="2">
        <f t="shared" si="45"/>
        <v>2591.9748940461877</v>
      </c>
      <c r="J600" s="4">
        <f t="shared" si="47"/>
        <v>10.153819142764412</v>
      </c>
      <c r="K600" s="4">
        <f t="shared" si="46"/>
        <v>2030.7638285528824</v>
      </c>
      <c r="L600">
        <v>5</v>
      </c>
    </row>
    <row r="601" spans="1:12" x14ac:dyDescent="0.3">
      <c r="A601" t="s">
        <v>105</v>
      </c>
      <c r="B601" t="s">
        <v>60</v>
      </c>
      <c r="C601" s="4">
        <v>0.41</v>
      </c>
      <c r="D601" s="4">
        <v>0.33983503399999998</v>
      </c>
      <c r="E601">
        <v>6</v>
      </c>
      <c r="F601" s="1">
        <v>5.2547770700636942</v>
      </c>
      <c r="G601" s="2">
        <f t="shared" si="48"/>
        <v>21.68694977331284</v>
      </c>
      <c r="H601" s="2">
        <f t="shared" si="49"/>
        <v>3.4397777572366404</v>
      </c>
      <c r="I601" s="2">
        <f t="shared" si="45"/>
        <v>687.95555144732805</v>
      </c>
      <c r="J601" s="4">
        <f t="shared" si="47"/>
        <v>9.5655663231774106</v>
      </c>
      <c r="K601" s="4">
        <f t="shared" si="46"/>
        <v>1913.1132646354822</v>
      </c>
      <c r="L601">
        <v>5</v>
      </c>
    </row>
    <row r="602" spans="1:12" x14ac:dyDescent="0.3">
      <c r="A602" t="s">
        <v>105</v>
      </c>
      <c r="B602" t="s">
        <v>96</v>
      </c>
      <c r="C602" s="4">
        <v>0.60413333300000005</v>
      </c>
      <c r="D602" s="4">
        <v>0.60831666699999998</v>
      </c>
      <c r="E602">
        <v>10</v>
      </c>
      <c r="F602" s="1">
        <v>21.146496815286625</v>
      </c>
      <c r="G602" s="2">
        <f t="shared" si="48"/>
        <v>351.20989558327051</v>
      </c>
      <c r="H602" s="2">
        <f t="shared" si="49"/>
        <v>151.42273445988104</v>
      </c>
      <c r="I602" s="2">
        <f t="shared" si="45"/>
        <v>30284.546891976206</v>
      </c>
      <c r="J602" s="4">
        <f t="shared" si="47"/>
        <v>24.63680146456246</v>
      </c>
      <c r="K602" s="4">
        <f t="shared" si="46"/>
        <v>4927.3602929124918</v>
      </c>
      <c r="L602">
        <v>5</v>
      </c>
    </row>
    <row r="603" spans="1:12" x14ac:dyDescent="0.3">
      <c r="A603" t="s">
        <v>105</v>
      </c>
      <c r="B603" t="s">
        <v>70</v>
      </c>
      <c r="C603" s="4">
        <v>0.55560299999999996</v>
      </c>
      <c r="D603" s="4">
        <v>0.55961111100000005</v>
      </c>
      <c r="E603">
        <v>3</v>
      </c>
      <c r="F603" s="1">
        <v>6.1783439490445851</v>
      </c>
      <c r="G603" s="2">
        <f t="shared" si="48"/>
        <v>29.980166819776009</v>
      </c>
      <c r="H603" s="2">
        <f t="shared" si="49"/>
        <v>3.9030558833443703</v>
      </c>
      <c r="I603" s="2">
        <f t="shared" si="45"/>
        <v>780.61117666887401</v>
      </c>
      <c r="J603" s="4">
        <f t="shared" si="47"/>
        <v>9.3865053065033059</v>
      </c>
      <c r="K603" s="4">
        <f t="shared" si="46"/>
        <v>1877.3010613006613</v>
      </c>
      <c r="L603">
        <v>5</v>
      </c>
    </row>
    <row r="604" spans="1:12" x14ac:dyDescent="0.3">
      <c r="A604" t="s">
        <v>105</v>
      </c>
      <c r="B604" t="s">
        <v>70</v>
      </c>
      <c r="C604" s="4">
        <v>0.55560299999999996</v>
      </c>
      <c r="D604" s="4">
        <v>0.55961111100000005</v>
      </c>
      <c r="E604">
        <v>4</v>
      </c>
      <c r="F604" s="1">
        <v>8.1210191082802545</v>
      </c>
      <c r="G604" s="2">
        <f t="shared" si="48"/>
        <v>51.79775607014389</v>
      </c>
      <c r="H604" s="2">
        <f t="shared" si="49"/>
        <v>8.8129728418816438</v>
      </c>
      <c r="I604" s="2">
        <f t="shared" si="45"/>
        <v>1762.5945683763287</v>
      </c>
      <c r="J604" s="4">
        <f t="shared" si="47"/>
        <v>9.9090133189987419</v>
      </c>
      <c r="K604" s="4">
        <f t="shared" si="46"/>
        <v>1981.8026637997486</v>
      </c>
      <c r="L604">
        <v>5</v>
      </c>
    </row>
    <row r="605" spans="1:12" x14ac:dyDescent="0.3">
      <c r="A605" t="s">
        <v>105</v>
      </c>
      <c r="B605" t="s">
        <v>56</v>
      </c>
      <c r="C605" s="4">
        <v>0.39984676499999999</v>
      </c>
      <c r="D605" s="4">
        <v>0.450333333</v>
      </c>
      <c r="E605">
        <v>11</v>
      </c>
      <c r="F605" s="1">
        <v>27.898089171974519</v>
      </c>
      <c r="G605" s="2">
        <f t="shared" si="48"/>
        <v>611.27804478404812</v>
      </c>
      <c r="H605" s="2">
        <f t="shared" si="49"/>
        <v>212.82612750493516</v>
      </c>
      <c r="I605" s="2">
        <f t="shared" si="45"/>
        <v>42565.225500987035</v>
      </c>
      <c r="J605" s="4">
        <f t="shared" si="47"/>
        <v>38.950380108726513</v>
      </c>
      <c r="K605" s="4">
        <f t="shared" si="46"/>
        <v>7790.0760217453035</v>
      </c>
      <c r="L605">
        <v>5</v>
      </c>
    </row>
    <row r="606" spans="1:12" x14ac:dyDescent="0.3">
      <c r="A606" t="s">
        <v>105</v>
      </c>
      <c r="B606" t="s">
        <v>56</v>
      </c>
      <c r="C606" s="4">
        <v>0.39984676499999999</v>
      </c>
      <c r="D606" s="4">
        <v>0.450333333</v>
      </c>
      <c r="E606">
        <v>7</v>
      </c>
      <c r="F606" s="1">
        <v>11.656050955414013</v>
      </c>
      <c r="G606" s="2">
        <f t="shared" si="48"/>
        <v>106.70696212429367</v>
      </c>
      <c r="H606" s="2">
        <f t="shared" si="49"/>
        <v>24.922317970782839</v>
      </c>
      <c r="I606" s="2">
        <f t="shared" si="45"/>
        <v>4984.4635941565675</v>
      </c>
      <c r="J606" s="4">
        <f t="shared" si="47"/>
        <v>12.314356334942595</v>
      </c>
      <c r="K606" s="4">
        <f t="shared" si="46"/>
        <v>2462.871266988519</v>
      </c>
      <c r="L606">
        <v>5</v>
      </c>
    </row>
    <row r="607" spans="1:12" x14ac:dyDescent="0.3">
      <c r="A607" t="s">
        <v>105</v>
      </c>
      <c r="B607" t="s">
        <v>56</v>
      </c>
      <c r="C607" s="4">
        <v>0.39984676499999999</v>
      </c>
      <c r="D607" s="4">
        <v>0.450333333</v>
      </c>
      <c r="E607">
        <v>8</v>
      </c>
      <c r="F607" s="1">
        <v>23.216560509554142</v>
      </c>
      <c r="G607" s="2">
        <f t="shared" si="48"/>
        <v>423.33642881466125</v>
      </c>
      <c r="H607" s="2">
        <f t="shared" si="49"/>
        <v>108.9726794278079</v>
      </c>
      <c r="I607" s="2">
        <f t="shared" si="45"/>
        <v>21794.535885561581</v>
      </c>
      <c r="J607" s="4">
        <f t="shared" si="47"/>
        <v>24.077943093026089</v>
      </c>
      <c r="K607" s="4">
        <f t="shared" si="46"/>
        <v>4815.5886186052176</v>
      </c>
      <c r="L607">
        <v>5</v>
      </c>
    </row>
    <row r="608" spans="1:12" x14ac:dyDescent="0.3">
      <c r="A608" t="s">
        <v>105</v>
      </c>
      <c r="B608" t="s">
        <v>56</v>
      </c>
      <c r="C608" s="4">
        <v>0.39984676499999999</v>
      </c>
      <c r="D608" s="4">
        <v>0.450333333</v>
      </c>
      <c r="E608">
        <v>7.5</v>
      </c>
      <c r="F608" s="1">
        <v>45.06369426751592</v>
      </c>
      <c r="G608" s="2">
        <f t="shared" si="48"/>
        <v>1594.9367496738769</v>
      </c>
      <c r="H608" s="2">
        <f t="shared" si="49"/>
        <v>373.41695274956243</v>
      </c>
      <c r="I608" s="2">
        <f t="shared" si="45"/>
        <v>74683.390549912496</v>
      </c>
      <c r="J608" s="4">
        <f t="shared" si="47"/>
        <v>62.292534202198866</v>
      </c>
      <c r="K608" s="4">
        <f t="shared" si="46"/>
        <v>12458.506840439773</v>
      </c>
      <c r="L608">
        <v>5</v>
      </c>
    </row>
    <row r="609" spans="1:12" x14ac:dyDescent="0.3">
      <c r="A609" t="s">
        <v>105</v>
      </c>
      <c r="B609" t="s">
        <v>56</v>
      </c>
      <c r="C609" s="4">
        <v>0.39984676499999999</v>
      </c>
      <c r="D609" s="4">
        <v>0.450333333</v>
      </c>
      <c r="E609">
        <v>7.5</v>
      </c>
      <c r="F609" s="1">
        <v>27.229299363057322</v>
      </c>
      <c r="G609" s="2">
        <f t="shared" si="48"/>
        <v>582.32148606192902</v>
      </c>
      <c r="H609" s="2">
        <f t="shared" si="49"/>
        <v>139.67391806329971</v>
      </c>
      <c r="I609" s="2">
        <f t="shared" si="45"/>
        <v>27934.78361265994</v>
      </c>
      <c r="J609" s="4">
        <f t="shared" si="47"/>
        <v>28.44836202482859</v>
      </c>
      <c r="K609" s="4">
        <f t="shared" si="46"/>
        <v>5689.6724049657187</v>
      </c>
      <c r="L609">
        <v>5</v>
      </c>
    </row>
    <row r="610" spans="1:12" x14ac:dyDescent="0.3">
      <c r="A610" t="s">
        <v>105</v>
      </c>
      <c r="B610" t="s">
        <v>56</v>
      </c>
      <c r="C610" s="4">
        <v>0.39984676499999999</v>
      </c>
      <c r="D610" s="4">
        <v>0.450333333</v>
      </c>
      <c r="E610">
        <v>8</v>
      </c>
      <c r="F610" s="1">
        <v>20</v>
      </c>
      <c r="G610" s="2">
        <f t="shared" si="48"/>
        <v>314.15926535897933</v>
      </c>
      <c r="H610" s="2">
        <f t="shared" si="49"/>
        <v>81.44993063537575</v>
      </c>
      <c r="I610" s="2">
        <f t="shared" si="45"/>
        <v>16289.986127075152</v>
      </c>
      <c r="J610" s="4">
        <f t="shared" si="47"/>
        <v>20.185700000000001</v>
      </c>
      <c r="K610" s="4">
        <f t="shared" si="46"/>
        <v>4037.1400000000003</v>
      </c>
      <c r="L610">
        <v>5</v>
      </c>
    </row>
    <row r="611" spans="1:12" x14ac:dyDescent="0.3">
      <c r="A611" t="s">
        <v>105</v>
      </c>
      <c r="B611" t="s">
        <v>56</v>
      </c>
      <c r="C611" s="4">
        <v>0.39984676499999999</v>
      </c>
      <c r="D611" s="4">
        <v>0.450333333</v>
      </c>
      <c r="E611">
        <v>7.5</v>
      </c>
      <c r="F611" s="1">
        <v>14.108280254777069</v>
      </c>
      <c r="G611" s="2">
        <f t="shared" si="48"/>
        <v>156.32845568642318</v>
      </c>
      <c r="H611" s="2">
        <f t="shared" si="49"/>
        <v>38.698803141352187</v>
      </c>
      <c r="I611" s="2">
        <f t="shared" si="45"/>
        <v>7739.7606282704382</v>
      </c>
      <c r="J611" s="4">
        <f t="shared" si="47"/>
        <v>14.210593758367478</v>
      </c>
      <c r="K611" s="4">
        <f t="shared" si="46"/>
        <v>2842.1187516734958</v>
      </c>
      <c r="L611">
        <v>5</v>
      </c>
    </row>
    <row r="612" spans="1:12" x14ac:dyDescent="0.3">
      <c r="A612" t="s">
        <v>105</v>
      </c>
      <c r="B612" t="s">
        <v>22</v>
      </c>
      <c r="C612" s="4">
        <v>0.43836446099999998</v>
      </c>
      <c r="D612" s="4">
        <v>0.58666666700000003</v>
      </c>
      <c r="E612">
        <v>4</v>
      </c>
      <c r="F612" s="1">
        <v>3.9171974522292996</v>
      </c>
      <c r="G612" s="2">
        <f t="shared" si="48"/>
        <v>12.051491758326906</v>
      </c>
      <c r="H612" s="2">
        <f t="shared" si="49"/>
        <v>2.2236362209381908</v>
      </c>
      <c r="I612" s="2">
        <f t="shared" si="45"/>
        <v>444.72724418763818</v>
      </c>
      <c r="J612" s="4">
        <f t="shared" si="47"/>
        <v>9.2005221023165245</v>
      </c>
      <c r="K612" s="4">
        <f t="shared" si="46"/>
        <v>1840.1044204633049</v>
      </c>
      <c r="L612">
        <v>5</v>
      </c>
    </row>
    <row r="613" spans="1:12" x14ac:dyDescent="0.3">
      <c r="A613" t="s">
        <v>105</v>
      </c>
      <c r="B613" t="s">
        <v>62</v>
      </c>
      <c r="C613" s="4">
        <v>0.693333333</v>
      </c>
      <c r="D613" s="4">
        <v>0.64166666699999997</v>
      </c>
      <c r="E613">
        <v>6</v>
      </c>
      <c r="F613" s="1">
        <v>6.8789808917197455</v>
      </c>
      <c r="G613" s="2">
        <f t="shared" si="48"/>
        <v>37.165338057802906</v>
      </c>
      <c r="H613" s="2">
        <f t="shared" si="49"/>
        <v>10.82110934846183</v>
      </c>
      <c r="I613" s="2">
        <f t="shared" si="45"/>
        <v>2164.221869692366</v>
      </c>
      <c r="J613" s="4">
        <f t="shared" si="47"/>
        <v>9.9794279402815533</v>
      </c>
      <c r="K613" s="4">
        <f t="shared" si="46"/>
        <v>1995.8855880563108</v>
      </c>
      <c r="L613">
        <v>5</v>
      </c>
    </row>
    <row r="614" spans="1:12" x14ac:dyDescent="0.3">
      <c r="A614" t="s">
        <v>105</v>
      </c>
      <c r="B614" t="s">
        <v>88</v>
      </c>
      <c r="C614" s="4">
        <v>0.77</v>
      </c>
      <c r="D614" s="4">
        <v>0.77</v>
      </c>
      <c r="E614">
        <v>6</v>
      </c>
      <c r="F614" s="1">
        <v>8.0573248407643305</v>
      </c>
      <c r="G614" s="2">
        <f t="shared" si="48"/>
        <v>50.988428578144408</v>
      </c>
      <c r="H614" s="2">
        <f t="shared" si="49"/>
        <v>17.603142986294174</v>
      </c>
      <c r="I614" s="2">
        <f t="shared" si="45"/>
        <v>3520.6285972588348</v>
      </c>
      <c r="J614" s="4">
        <f t="shared" si="47"/>
        <v>10.349030155381557</v>
      </c>
      <c r="K614" s="4">
        <f t="shared" si="46"/>
        <v>2069.8060310763112</v>
      </c>
      <c r="L614">
        <v>5</v>
      </c>
    </row>
    <row r="615" spans="1:12" x14ac:dyDescent="0.3">
      <c r="A615" t="s">
        <v>106</v>
      </c>
      <c r="B615" t="s">
        <v>26</v>
      </c>
      <c r="C615" s="4">
        <v>0.80908761900000004</v>
      </c>
      <c r="D615" s="4">
        <v>0.87473809499999999</v>
      </c>
      <c r="E615">
        <v>12</v>
      </c>
      <c r="F615" s="1">
        <v>82.22993630573248</v>
      </c>
      <c r="G615" s="2">
        <f t="shared" si="48"/>
        <v>5310.6757898029991</v>
      </c>
      <c r="H615" s="2">
        <f t="shared" si="49"/>
        <v>3653.4855825849695</v>
      </c>
      <c r="I615" s="2">
        <f t="shared" si="45"/>
        <v>608914.26376416162</v>
      </c>
      <c r="J615" s="4">
        <f t="shared" si="47"/>
        <v>292.97972184348248</v>
      </c>
      <c r="K615" s="4">
        <f t="shared" si="46"/>
        <v>48829.95364058041</v>
      </c>
      <c r="L615">
        <v>6</v>
      </c>
    </row>
    <row r="616" spans="1:12" x14ac:dyDescent="0.3">
      <c r="A616" t="s">
        <v>106</v>
      </c>
      <c r="B616" t="s">
        <v>39</v>
      </c>
      <c r="C616" s="4">
        <v>0.590536375</v>
      </c>
      <c r="D616" s="4">
        <v>0.61247410899999999</v>
      </c>
      <c r="E616">
        <v>7</v>
      </c>
      <c r="F616" s="1">
        <v>10.605095541401273</v>
      </c>
      <c r="G616" s="2">
        <f t="shared" si="48"/>
        <v>88.33220104363221</v>
      </c>
      <c r="H616" s="2">
        <f t="shared" si="49"/>
        <v>27.979042694914032</v>
      </c>
      <c r="I616" s="2">
        <f t="shared" si="45"/>
        <v>4663.1737824856718</v>
      </c>
      <c r="J616" s="4">
        <f t="shared" si="47"/>
        <v>11.741167260335104</v>
      </c>
      <c r="K616" s="4">
        <f t="shared" si="46"/>
        <v>1956.8612100558505</v>
      </c>
      <c r="L616">
        <v>6</v>
      </c>
    </row>
    <row r="617" spans="1:12" x14ac:dyDescent="0.3">
      <c r="A617" t="s">
        <v>106</v>
      </c>
      <c r="B617" t="s">
        <v>39</v>
      </c>
      <c r="C617" s="4">
        <v>0.590536375</v>
      </c>
      <c r="D617" s="4">
        <v>0.61247410899999999</v>
      </c>
      <c r="E617">
        <v>8</v>
      </c>
      <c r="F617" s="1">
        <v>11.656050955414013</v>
      </c>
      <c r="G617" s="2">
        <f t="shared" si="48"/>
        <v>106.70696212429367</v>
      </c>
      <c r="H617" s="2">
        <f t="shared" si="49"/>
        <v>38.329832916554771</v>
      </c>
      <c r="I617" s="2">
        <f t="shared" si="45"/>
        <v>6388.3054860924613</v>
      </c>
      <c r="J617" s="4">
        <f t="shared" si="47"/>
        <v>12.789878668505821</v>
      </c>
      <c r="K617" s="4">
        <f t="shared" si="46"/>
        <v>2131.6464447509702</v>
      </c>
      <c r="L617">
        <v>6</v>
      </c>
    </row>
    <row r="618" spans="1:12" x14ac:dyDescent="0.3">
      <c r="A618" t="s">
        <v>106</v>
      </c>
      <c r="B618" t="s">
        <v>39</v>
      </c>
      <c r="C618" s="4">
        <v>0.590536375</v>
      </c>
      <c r="D618" s="4">
        <v>0.61247410899999999</v>
      </c>
      <c r="E618">
        <v>11</v>
      </c>
      <c r="F618" s="1">
        <v>16.65605095541401</v>
      </c>
      <c r="G618" s="2">
        <f t="shared" si="48"/>
        <v>217.88832633772219</v>
      </c>
      <c r="H618" s="2">
        <f t="shared" si="49"/>
        <v>104.98338640583005</v>
      </c>
      <c r="I618" s="2">
        <f t="shared" si="45"/>
        <v>17497.231067638342</v>
      </c>
      <c r="J618" s="4">
        <f t="shared" si="47"/>
        <v>19.666525287029899</v>
      </c>
      <c r="K618" s="4">
        <f t="shared" si="46"/>
        <v>3277.7542145049829</v>
      </c>
      <c r="L618">
        <v>6</v>
      </c>
    </row>
    <row r="619" spans="1:12" x14ac:dyDescent="0.3">
      <c r="A619" t="s">
        <v>106</v>
      </c>
      <c r="B619" t="s">
        <v>39</v>
      </c>
      <c r="C619" s="4">
        <v>0.590536375</v>
      </c>
      <c r="D619" s="4">
        <v>0.61247410899999999</v>
      </c>
      <c r="E619">
        <v>11</v>
      </c>
      <c r="F619" s="1">
        <v>17.32484076433121</v>
      </c>
      <c r="G619" s="2">
        <f t="shared" si="48"/>
        <v>235.73734318145486</v>
      </c>
      <c r="H619" s="2">
        <f t="shared" si="49"/>
        <v>113.36900449229465</v>
      </c>
      <c r="I619" s="2">
        <f t="shared" si="45"/>
        <v>18894.83408204911</v>
      </c>
      <c r="J619" s="4">
        <f t="shared" si="47"/>
        <v>20.54147913911315</v>
      </c>
      <c r="K619" s="4">
        <f t="shared" si="46"/>
        <v>3423.5798565188584</v>
      </c>
      <c r="L619">
        <v>6</v>
      </c>
    </row>
    <row r="620" spans="1:12" x14ac:dyDescent="0.3">
      <c r="A620" t="s">
        <v>106</v>
      </c>
      <c r="B620" t="s">
        <v>39</v>
      </c>
      <c r="C620" s="4">
        <v>0.590536375</v>
      </c>
      <c r="D620" s="4">
        <v>0.61247410899999999</v>
      </c>
      <c r="E620">
        <v>10</v>
      </c>
      <c r="F620" s="1">
        <v>19.904458598726112</v>
      </c>
      <c r="G620" s="2">
        <f t="shared" si="48"/>
        <v>311.16491295501663</v>
      </c>
      <c r="H620" s="2">
        <f t="shared" si="49"/>
        <v>135.44526086930338</v>
      </c>
      <c r="I620" s="2">
        <f t="shared" si="45"/>
        <v>22574.210144883895</v>
      </c>
      <c r="J620" s="4">
        <f t="shared" si="47"/>
        <v>22.85226152379407</v>
      </c>
      <c r="K620" s="4">
        <f t="shared" si="46"/>
        <v>3808.7102539656785</v>
      </c>
      <c r="L620">
        <v>6</v>
      </c>
    </row>
    <row r="621" spans="1:12" x14ac:dyDescent="0.3">
      <c r="A621" t="s">
        <v>106</v>
      </c>
      <c r="B621" t="s">
        <v>39</v>
      </c>
      <c r="C621" s="4">
        <v>0.590536375</v>
      </c>
      <c r="D621" s="4">
        <v>0.61247410899999999</v>
      </c>
      <c r="E621">
        <v>7</v>
      </c>
      <c r="F621" s="1">
        <v>36.136942675159233</v>
      </c>
      <c r="G621" s="2">
        <f t="shared" si="48"/>
        <v>1025.634674407926</v>
      </c>
      <c r="H621" s="2">
        <f t="shared" si="49"/>
        <v>306.30178399601749</v>
      </c>
      <c r="I621" s="2">
        <f t="shared" si="45"/>
        <v>51050.297332669579</v>
      </c>
      <c r="J621" s="4">
        <f t="shared" si="47"/>
        <v>40.979726334739745</v>
      </c>
      <c r="K621" s="4">
        <f t="shared" si="46"/>
        <v>6829.9543891232906</v>
      </c>
      <c r="L621">
        <v>6</v>
      </c>
    </row>
    <row r="622" spans="1:12" x14ac:dyDescent="0.3">
      <c r="A622" t="s">
        <v>106</v>
      </c>
      <c r="B622" t="s">
        <v>39</v>
      </c>
      <c r="C622" s="4">
        <v>0.590536375</v>
      </c>
      <c r="D622" s="4">
        <v>0.61247410899999999</v>
      </c>
      <c r="E622">
        <v>8</v>
      </c>
      <c r="F622" s="1">
        <v>43.436305732484072</v>
      </c>
      <c r="G622" s="2">
        <f t="shared" si="48"/>
        <v>1481.820654634372</v>
      </c>
      <c r="H622" s="2">
        <f t="shared" si="49"/>
        <v>499.70919954598992</v>
      </c>
      <c r="I622" s="2">
        <f t="shared" si="45"/>
        <v>83284.866590998325</v>
      </c>
      <c r="J622" s="4">
        <f t="shared" si="47"/>
        <v>61.813654359203206</v>
      </c>
      <c r="K622" s="4">
        <f t="shared" si="46"/>
        <v>10302.275726533868</v>
      </c>
      <c r="L622">
        <v>6</v>
      </c>
    </row>
    <row r="623" spans="1:12" x14ac:dyDescent="0.3">
      <c r="A623" t="s">
        <v>106</v>
      </c>
      <c r="B623" t="s">
        <v>39</v>
      </c>
      <c r="C623" s="4">
        <v>0.590536375</v>
      </c>
      <c r="D623" s="4">
        <v>0.61247410899999999</v>
      </c>
      <c r="E623">
        <v>8</v>
      </c>
      <c r="F623" s="1">
        <v>49.803184713375792</v>
      </c>
      <c r="G623" s="2">
        <f t="shared" si="48"/>
        <v>1948.0679954144443</v>
      </c>
      <c r="H623" s="2">
        <f t="shared" si="49"/>
        <v>652.64108356207942</v>
      </c>
      <c r="I623" s="2">
        <f t="shared" si="45"/>
        <v>108773.51392701325</v>
      </c>
      <c r="J623" s="4">
        <f t="shared" si="47"/>
        <v>78.435701812649583</v>
      </c>
      <c r="K623" s="4">
        <f t="shared" si="46"/>
        <v>13072.61696877493</v>
      </c>
      <c r="L623">
        <v>6</v>
      </c>
    </row>
    <row r="624" spans="1:12" x14ac:dyDescent="0.3">
      <c r="A624" t="s">
        <v>106</v>
      </c>
      <c r="B624" t="s">
        <v>107</v>
      </c>
      <c r="C624" s="4">
        <v>0.53168696000000004</v>
      </c>
      <c r="D624" s="4">
        <v>0.61247410899999999</v>
      </c>
      <c r="E624">
        <v>9</v>
      </c>
      <c r="F624" s="1">
        <v>17.101910828025478</v>
      </c>
      <c r="G624" s="2">
        <f t="shared" si="48"/>
        <v>229.70960584684852</v>
      </c>
      <c r="H624" s="2">
        <f t="shared" si="49"/>
        <v>90.877530080108329</v>
      </c>
      <c r="I624" s="2">
        <f t="shared" si="45"/>
        <v>15146.255013351389</v>
      </c>
      <c r="J624" s="4">
        <f t="shared" si="47"/>
        <v>18.198673650046654</v>
      </c>
      <c r="K624" s="4">
        <f t="shared" si="46"/>
        <v>3033.1122750077757</v>
      </c>
      <c r="L624">
        <v>6</v>
      </c>
    </row>
    <row r="625" spans="1:12" x14ac:dyDescent="0.3">
      <c r="A625" t="s">
        <v>106</v>
      </c>
      <c r="B625" t="s">
        <v>107</v>
      </c>
      <c r="C625" s="4">
        <v>0.53168696000000004</v>
      </c>
      <c r="D625" s="4">
        <v>0.61247410899999999</v>
      </c>
      <c r="E625">
        <v>13</v>
      </c>
      <c r="F625" s="1">
        <v>32.00636942675159</v>
      </c>
      <c r="G625" s="2">
        <f t="shared" si="48"/>
        <v>804.56791349092009</v>
      </c>
      <c r="H625" s="2">
        <f t="shared" si="49"/>
        <v>442.22458651182421</v>
      </c>
      <c r="I625" s="2">
        <f t="shared" si="45"/>
        <v>73704.097751970708</v>
      </c>
      <c r="J625" s="4">
        <f t="shared" si="47"/>
        <v>55.5962496166173</v>
      </c>
      <c r="K625" s="4">
        <f t="shared" si="46"/>
        <v>9266.0416027695501</v>
      </c>
      <c r="L625">
        <v>6</v>
      </c>
    </row>
    <row r="626" spans="1:12" x14ac:dyDescent="0.3">
      <c r="A626" t="s">
        <v>108</v>
      </c>
      <c r="B626" t="s">
        <v>26</v>
      </c>
      <c r="C626" s="4">
        <v>0.80908761900000004</v>
      </c>
      <c r="D626" s="4">
        <v>0.87473809499999999</v>
      </c>
      <c r="E626">
        <v>11</v>
      </c>
      <c r="F626" s="1">
        <v>21.178343949044585</v>
      </c>
      <c r="G626" s="2">
        <f t="shared" si="48"/>
        <v>352.26855329672253</v>
      </c>
      <c r="H626" s="2">
        <f t="shared" si="49"/>
        <v>237.59017153989205</v>
      </c>
      <c r="I626" s="2">
        <f t="shared" si="45"/>
        <v>39598.361923315344</v>
      </c>
      <c r="J626" s="4">
        <f t="shared" si="47"/>
        <v>26.253806718325286</v>
      </c>
      <c r="K626" s="4">
        <f t="shared" si="46"/>
        <v>4375.6344530542146</v>
      </c>
      <c r="L626">
        <v>6</v>
      </c>
    </row>
    <row r="627" spans="1:12" x14ac:dyDescent="0.3">
      <c r="A627" t="s">
        <v>108</v>
      </c>
      <c r="B627" t="s">
        <v>66</v>
      </c>
      <c r="C627" s="4">
        <v>0.62643652800000005</v>
      </c>
      <c r="D627" s="4">
        <v>0.57808694400000005</v>
      </c>
      <c r="E627">
        <v>4</v>
      </c>
      <c r="F627" s="1">
        <v>4.2038216560509554</v>
      </c>
      <c r="G627" s="2">
        <f t="shared" si="48"/>
        <v>13.879647854920218</v>
      </c>
      <c r="H627" s="2">
        <f t="shared" si="49"/>
        <v>2.5158490589046738</v>
      </c>
      <c r="I627" s="2">
        <f t="shared" si="45"/>
        <v>419.30817648411227</v>
      </c>
      <c r="J627" s="4">
        <f t="shared" si="47"/>
        <v>9.2331096312223622</v>
      </c>
      <c r="K627" s="4">
        <f t="shared" si="46"/>
        <v>1538.8516052037269</v>
      </c>
      <c r="L627">
        <v>6</v>
      </c>
    </row>
    <row r="628" spans="1:12" x14ac:dyDescent="0.3">
      <c r="A628" t="s">
        <v>108</v>
      </c>
      <c r="B628" t="s">
        <v>66</v>
      </c>
      <c r="C628" s="4">
        <v>0.62643652800000005</v>
      </c>
      <c r="D628" s="4">
        <v>0.57808694400000005</v>
      </c>
      <c r="E628">
        <v>4.5</v>
      </c>
      <c r="F628" s="1">
        <v>16.898089171974522</v>
      </c>
      <c r="G628" s="2">
        <f t="shared" si="48"/>
        <v>224.26684659986489</v>
      </c>
      <c r="H628" s="2">
        <f t="shared" si="49"/>
        <v>42.657440460861892</v>
      </c>
      <c r="I628" s="2">
        <f t="shared" si="45"/>
        <v>7109.5734101436492</v>
      </c>
      <c r="J628" s="4">
        <f t="shared" si="47"/>
        <v>13.483040328208041</v>
      </c>
      <c r="K628" s="4">
        <f t="shared" si="46"/>
        <v>2247.1733880346733</v>
      </c>
      <c r="L628">
        <v>6</v>
      </c>
    </row>
    <row r="629" spans="1:12" x14ac:dyDescent="0.3">
      <c r="A629" t="s">
        <v>108</v>
      </c>
      <c r="B629" t="s">
        <v>66</v>
      </c>
      <c r="C629" s="4">
        <v>0.62643652800000005</v>
      </c>
      <c r="D629" s="4">
        <v>0.57808694400000005</v>
      </c>
      <c r="E629">
        <v>5.5</v>
      </c>
      <c r="F629" s="1">
        <v>28.283439490445858</v>
      </c>
      <c r="G629" s="2">
        <f t="shared" si="48"/>
        <v>628.28157727075984</v>
      </c>
      <c r="H629" s="2">
        <f t="shared" si="49"/>
        <v>141.80948232728588</v>
      </c>
      <c r="I629" s="2">
        <f t="shared" si="45"/>
        <v>23634.91372121431</v>
      </c>
      <c r="J629" s="4">
        <f t="shared" si="47"/>
        <v>24.384794276136958</v>
      </c>
      <c r="K629" s="4">
        <f t="shared" si="46"/>
        <v>4064.1323793561601</v>
      </c>
      <c r="L629">
        <v>6</v>
      </c>
    </row>
    <row r="630" spans="1:12" x14ac:dyDescent="0.3">
      <c r="A630" t="s">
        <v>108</v>
      </c>
      <c r="B630" t="s">
        <v>39</v>
      </c>
      <c r="C630" s="4">
        <v>0.590536375</v>
      </c>
      <c r="D630" s="4">
        <v>0.61247410899999999</v>
      </c>
      <c r="E630">
        <v>7</v>
      </c>
      <c r="F630" s="1">
        <v>19.108280254777068</v>
      </c>
      <c r="G630" s="2">
        <f t="shared" si="48"/>
        <v>286.76958377934329</v>
      </c>
      <c r="H630" s="2">
        <f t="shared" si="49"/>
        <v>88.302489536715541</v>
      </c>
      <c r="I630" s="2">
        <f t="shared" si="45"/>
        <v>14717.081589452589</v>
      </c>
      <c r="J630" s="4">
        <f t="shared" si="47"/>
        <v>17.931296170230027</v>
      </c>
      <c r="K630" s="4">
        <f t="shared" si="46"/>
        <v>2988.5493617050047</v>
      </c>
      <c r="L630">
        <v>6</v>
      </c>
    </row>
    <row r="631" spans="1:12" x14ac:dyDescent="0.3">
      <c r="A631" t="s">
        <v>108</v>
      </c>
      <c r="B631" t="s">
        <v>39</v>
      </c>
      <c r="C631" s="4">
        <v>0.590536375</v>
      </c>
      <c r="D631" s="4">
        <v>0.61247410899999999</v>
      </c>
      <c r="E631">
        <v>11</v>
      </c>
      <c r="F631" s="1">
        <v>26.656050955414013</v>
      </c>
      <c r="G631" s="2">
        <f t="shared" si="48"/>
        <v>558.06077927419665</v>
      </c>
      <c r="H631" s="2">
        <f t="shared" si="49"/>
        <v>262.88473881855384</v>
      </c>
      <c r="I631" s="2">
        <f t="shared" si="45"/>
        <v>43814.123136425645</v>
      </c>
      <c r="J631" s="4">
        <f t="shared" si="47"/>
        <v>36.341684522698692</v>
      </c>
      <c r="K631" s="4">
        <f t="shared" si="46"/>
        <v>6056.9474204497819</v>
      </c>
      <c r="L631">
        <v>6</v>
      </c>
    </row>
    <row r="632" spans="1:12" x14ac:dyDescent="0.3">
      <c r="A632" t="s">
        <v>108</v>
      </c>
      <c r="B632" t="s">
        <v>39</v>
      </c>
      <c r="C632" s="4">
        <v>0.590536375</v>
      </c>
      <c r="D632" s="4">
        <v>0.61247410899999999</v>
      </c>
      <c r="E632">
        <v>8</v>
      </c>
      <c r="F632" s="1">
        <v>37.680254777070061</v>
      </c>
      <c r="G632" s="2">
        <f t="shared" si="48"/>
        <v>1115.1095690797395</v>
      </c>
      <c r="H632" s="2">
        <f t="shared" si="49"/>
        <v>378.61927355031207</v>
      </c>
      <c r="I632" s="2">
        <f t="shared" si="45"/>
        <v>63103.212258385349</v>
      </c>
      <c r="J632" s="4">
        <f t="shared" si="47"/>
        <v>48.740144801817515</v>
      </c>
      <c r="K632" s="4">
        <f t="shared" si="46"/>
        <v>8123.3574669695854</v>
      </c>
      <c r="L632">
        <v>6</v>
      </c>
    </row>
    <row r="633" spans="1:12" x14ac:dyDescent="0.3">
      <c r="A633" t="s">
        <v>108</v>
      </c>
      <c r="B633" t="s">
        <v>39</v>
      </c>
      <c r="C633" s="4">
        <v>0.590536375</v>
      </c>
      <c r="D633" s="4">
        <v>0.61247410899999999</v>
      </c>
      <c r="E633">
        <v>9</v>
      </c>
      <c r="F633" s="1">
        <v>51.072611464968155</v>
      </c>
      <c r="G633" s="2">
        <f t="shared" si="48"/>
        <v>2048.6417128947664</v>
      </c>
      <c r="H633" s="2">
        <f t="shared" si="49"/>
        <v>769.0179644533215</v>
      </c>
      <c r="I633" s="2">
        <f t="shared" si="45"/>
        <v>128169.66074222025</v>
      </c>
      <c r="J633" s="4">
        <f t="shared" si="47"/>
        <v>91.150666718325283</v>
      </c>
      <c r="K633" s="4">
        <f t="shared" si="46"/>
        <v>15191.777786387547</v>
      </c>
      <c r="L633">
        <v>6</v>
      </c>
    </row>
    <row r="634" spans="1:12" x14ac:dyDescent="0.3">
      <c r="A634" t="s">
        <v>108</v>
      </c>
      <c r="B634" t="s">
        <v>73</v>
      </c>
      <c r="C634" s="4">
        <v>0.39</v>
      </c>
      <c r="D634" s="4">
        <v>0.28861111099999998</v>
      </c>
      <c r="E634">
        <v>5</v>
      </c>
      <c r="F634" s="1">
        <v>8.1210191082802545</v>
      </c>
      <c r="G634" s="2">
        <f t="shared" si="48"/>
        <v>51.79775607014389</v>
      </c>
      <c r="H634" s="2">
        <f t="shared" si="49"/>
        <v>5.7416283964780446</v>
      </c>
      <c r="I634" s="2">
        <f t="shared" si="45"/>
        <v>956.93806607967406</v>
      </c>
      <c r="J634" s="4">
        <f t="shared" si="47"/>
        <v>10.139841648748428</v>
      </c>
      <c r="K634" s="4">
        <f t="shared" si="46"/>
        <v>1689.9736081247381</v>
      </c>
      <c r="L634">
        <v>6</v>
      </c>
    </row>
    <row r="635" spans="1:12" x14ac:dyDescent="0.3">
      <c r="A635" t="s">
        <v>108</v>
      </c>
      <c r="B635" t="s">
        <v>73</v>
      </c>
      <c r="C635" s="4">
        <v>0.39</v>
      </c>
      <c r="D635" s="4">
        <v>0.28861111099999998</v>
      </c>
      <c r="E635">
        <v>6</v>
      </c>
      <c r="F635" s="1">
        <v>8.4713375796178347</v>
      </c>
      <c r="G635" s="2">
        <f t="shared" si="48"/>
        <v>56.362968527475616</v>
      </c>
      <c r="H635" s="2">
        <f t="shared" si="49"/>
        <v>7.4493520606772137</v>
      </c>
      <c r="I635" s="2">
        <f t="shared" si="45"/>
        <v>1241.5586767795355</v>
      </c>
      <c r="J635" s="4">
        <f t="shared" si="47"/>
        <v>10.492734768144752</v>
      </c>
      <c r="K635" s="4">
        <f t="shared" si="46"/>
        <v>1748.7891280241254</v>
      </c>
      <c r="L635">
        <v>6</v>
      </c>
    </row>
    <row r="636" spans="1:12" x14ac:dyDescent="0.3">
      <c r="A636" t="s">
        <v>108</v>
      </c>
      <c r="B636" t="s">
        <v>73</v>
      </c>
      <c r="C636" s="4">
        <v>0.39</v>
      </c>
      <c r="D636" s="4">
        <v>0.28861111099999998</v>
      </c>
      <c r="E636">
        <v>4</v>
      </c>
      <c r="F636" s="1">
        <v>8.6942675159235669</v>
      </c>
      <c r="G636" s="2">
        <f t="shared" si="48"/>
        <v>59.368473081918566</v>
      </c>
      <c r="H636" s="2">
        <f t="shared" si="49"/>
        <v>5.2756255543509862</v>
      </c>
      <c r="I636" s="2">
        <f t="shared" si="45"/>
        <v>879.27092572516437</v>
      </c>
      <c r="J636" s="4">
        <f t="shared" si="47"/>
        <v>10.043964026938212</v>
      </c>
      <c r="K636" s="4">
        <f t="shared" si="46"/>
        <v>1673.9940044897021</v>
      </c>
      <c r="L636">
        <v>6</v>
      </c>
    </row>
    <row r="637" spans="1:12" x14ac:dyDescent="0.3">
      <c r="A637" t="s">
        <v>108</v>
      </c>
      <c r="B637" t="s">
        <v>73</v>
      </c>
      <c r="C637" s="4">
        <v>0.39</v>
      </c>
      <c r="D637" s="4">
        <v>0.28861111099999998</v>
      </c>
      <c r="E637">
        <v>6</v>
      </c>
      <c r="F637" s="1">
        <v>8.7579617834394909</v>
      </c>
      <c r="G637" s="2">
        <f t="shared" si="48"/>
        <v>60.241527148091237</v>
      </c>
      <c r="H637" s="2">
        <f t="shared" si="49"/>
        <v>7.9492647871924085</v>
      </c>
      <c r="I637" s="2">
        <f t="shared" si="45"/>
        <v>1324.877464532068</v>
      </c>
      <c r="J637" s="4">
        <f t="shared" si="47"/>
        <v>10.596439786603918</v>
      </c>
      <c r="K637" s="4">
        <f t="shared" si="46"/>
        <v>1766.0732977673197</v>
      </c>
      <c r="L637">
        <v>6</v>
      </c>
    </row>
    <row r="638" spans="1:12" x14ac:dyDescent="0.3">
      <c r="A638" t="s">
        <v>108</v>
      </c>
      <c r="B638" t="s">
        <v>73</v>
      </c>
      <c r="C638" s="4">
        <v>0.39</v>
      </c>
      <c r="D638" s="4">
        <v>0.28861111099999998</v>
      </c>
      <c r="E638">
        <v>5</v>
      </c>
      <c r="F638" s="1">
        <v>9.2356687898089174</v>
      </c>
      <c r="G638" s="2">
        <f t="shared" si="48"/>
        <v>66.992561099563275</v>
      </c>
      <c r="H638" s="2">
        <f t="shared" si="49"/>
        <v>7.3802239551130695</v>
      </c>
      <c r="I638" s="2">
        <f t="shared" si="45"/>
        <v>1230.0373258521784</v>
      </c>
      <c r="J638" s="4">
        <f t="shared" si="47"/>
        <v>10.478407614913383</v>
      </c>
      <c r="K638" s="4">
        <f t="shared" si="46"/>
        <v>1746.4012691522305</v>
      </c>
      <c r="L638">
        <v>6</v>
      </c>
    </row>
    <row r="639" spans="1:12" x14ac:dyDescent="0.3">
      <c r="A639" t="s">
        <v>108</v>
      </c>
      <c r="B639" t="s">
        <v>73</v>
      </c>
      <c r="C639" s="4">
        <v>0.39</v>
      </c>
      <c r="D639" s="4">
        <v>0.28861111099999998</v>
      </c>
      <c r="E639">
        <v>3</v>
      </c>
      <c r="F639" s="1">
        <v>10.414012738853504</v>
      </c>
      <c r="G639" s="2">
        <f t="shared" si="48"/>
        <v>85.177735622059473</v>
      </c>
      <c r="H639" s="2">
        <f t="shared" si="49"/>
        <v>5.6668469382309388</v>
      </c>
      <c r="I639" s="2">
        <f t="shared" si="45"/>
        <v>944.47448970515643</v>
      </c>
      <c r="J639" s="4">
        <f t="shared" si="47"/>
        <v>10.124442443912532</v>
      </c>
      <c r="K639" s="4">
        <f t="shared" si="46"/>
        <v>1687.4070739854221</v>
      </c>
      <c r="L639">
        <v>6</v>
      </c>
    </row>
    <row r="640" spans="1:12" x14ac:dyDescent="0.3">
      <c r="A640" t="s">
        <v>108</v>
      </c>
      <c r="B640" t="s">
        <v>73</v>
      </c>
      <c r="C640" s="4">
        <v>0.39</v>
      </c>
      <c r="D640" s="4">
        <v>0.28861111099999998</v>
      </c>
      <c r="E640">
        <v>4.5</v>
      </c>
      <c r="F640" s="1">
        <v>10.923566878980891</v>
      </c>
      <c r="G640" s="2">
        <f t="shared" si="48"/>
        <v>93.717096561266558</v>
      </c>
      <c r="H640" s="2">
        <f t="shared" si="49"/>
        <v>9.240669985712147</v>
      </c>
      <c r="I640" s="2">
        <f t="shared" si="45"/>
        <v>1540.1116642853578</v>
      </c>
      <c r="J640" s="4">
        <f t="shared" si="47"/>
        <v>10.865057935413201</v>
      </c>
      <c r="K640" s="4">
        <f t="shared" si="46"/>
        <v>1810.8429892355334</v>
      </c>
      <c r="L640">
        <v>6</v>
      </c>
    </row>
    <row r="641" spans="1:12" x14ac:dyDescent="0.3">
      <c r="A641" t="s">
        <v>108</v>
      </c>
      <c r="B641" t="s">
        <v>73</v>
      </c>
      <c r="C641" s="4">
        <v>0.39</v>
      </c>
      <c r="D641" s="4">
        <v>0.28861111099999998</v>
      </c>
      <c r="E641">
        <v>5</v>
      </c>
      <c r="F641" s="1">
        <v>28.938853503184713</v>
      </c>
      <c r="G641" s="2">
        <f t="shared" si="48"/>
        <v>657.73737985257094</v>
      </c>
      <c r="H641" s="2">
        <f t="shared" si="49"/>
        <v>68.594115615264116</v>
      </c>
      <c r="I641" s="2">
        <f t="shared" si="45"/>
        <v>11432.352602544021</v>
      </c>
      <c r="J641" s="4">
        <f t="shared" si="47"/>
        <v>23.641201736378758</v>
      </c>
      <c r="K641" s="4">
        <f t="shared" si="46"/>
        <v>3940.2002893964595</v>
      </c>
      <c r="L641">
        <v>6</v>
      </c>
    </row>
    <row r="642" spans="1:12" x14ac:dyDescent="0.3">
      <c r="A642" t="s">
        <v>108</v>
      </c>
      <c r="B642" t="s">
        <v>73</v>
      </c>
      <c r="C642" s="4">
        <v>0.39</v>
      </c>
      <c r="D642" s="4">
        <v>0.28861111099999998</v>
      </c>
      <c r="E642">
        <v>4.8</v>
      </c>
      <c r="F642" s="1">
        <v>30.788535031847132</v>
      </c>
      <c r="G642" s="2">
        <f t="shared" si="48"/>
        <v>744.50553576267612</v>
      </c>
      <c r="H642" s="2">
        <f t="shared" si="49"/>
        <v>74.388777591164057</v>
      </c>
      <c r="I642" s="2">
        <f t="shared" ref="I642:I705" si="50">(H642*1000)/L642</f>
        <v>12398.129598527345</v>
      </c>
      <c r="J642" s="4">
        <f t="shared" si="47"/>
        <v>24.910989342042271</v>
      </c>
      <c r="K642" s="4">
        <f t="shared" ref="K642:K705" si="51">(J642*1000)/L642</f>
        <v>4151.8315570070454</v>
      </c>
      <c r="L642">
        <v>6</v>
      </c>
    </row>
    <row r="643" spans="1:12" x14ac:dyDescent="0.3">
      <c r="A643" t="s">
        <v>108</v>
      </c>
      <c r="B643" t="s">
        <v>109</v>
      </c>
      <c r="C643" s="4">
        <v>0.470857311</v>
      </c>
      <c r="D643" s="4">
        <v>0.375</v>
      </c>
      <c r="E643">
        <v>7</v>
      </c>
      <c r="F643" s="1">
        <v>6.7515923566878975</v>
      </c>
      <c r="G643" s="2">
        <f t="shared" si="48"/>
        <v>35.801589370496679</v>
      </c>
      <c r="H643" s="2">
        <f t="shared" si="49"/>
        <v>7.1793676876723653</v>
      </c>
      <c r="I643" s="2">
        <f t="shared" si="50"/>
        <v>1196.5612812787276</v>
      </c>
      <c r="J643" s="4">
        <f t="shared" ref="J643:J706" si="52">8.9857 + 0.0035 * F643^2 * E643</f>
        <v>10.102507984096718</v>
      </c>
      <c r="K643" s="4">
        <f t="shared" si="51"/>
        <v>1683.7513306827861</v>
      </c>
      <c r="L643">
        <v>6</v>
      </c>
    </row>
    <row r="644" spans="1:12" x14ac:dyDescent="0.3">
      <c r="A644" t="s">
        <v>110</v>
      </c>
      <c r="B644" t="s">
        <v>26</v>
      </c>
      <c r="C644" s="4">
        <v>0.80908761900000004</v>
      </c>
      <c r="D644" s="4">
        <v>0.87473809499999999</v>
      </c>
      <c r="E644">
        <v>8</v>
      </c>
      <c r="F644" s="1">
        <v>6.7515923566878975</v>
      </c>
      <c r="G644" s="2">
        <f t="shared" ref="G644:G707" si="53">PI()*(F644/2)^2</f>
        <v>35.801589370496679</v>
      </c>
      <c r="H644" s="2">
        <f t="shared" ref="H644:H707" si="54">0.0673 * ((D644 * F644^2 * E644)^0.976)</f>
        <v>18.694109687881372</v>
      </c>
      <c r="I644" s="2">
        <f t="shared" si="50"/>
        <v>3115.684947980229</v>
      </c>
      <c r="J644" s="4">
        <f t="shared" si="52"/>
        <v>10.26205198182482</v>
      </c>
      <c r="K644" s="4">
        <f t="shared" si="51"/>
        <v>1710.3419969708032</v>
      </c>
      <c r="L644">
        <v>6</v>
      </c>
    </row>
    <row r="645" spans="1:12" x14ac:dyDescent="0.3">
      <c r="A645" t="s">
        <v>110</v>
      </c>
      <c r="B645" t="s">
        <v>26</v>
      </c>
      <c r="C645" s="4">
        <v>0.80908761900000004</v>
      </c>
      <c r="D645" s="4">
        <v>0.87473809499999999</v>
      </c>
      <c r="E645">
        <v>9</v>
      </c>
      <c r="F645" s="1">
        <v>12.802547770700638</v>
      </c>
      <c r="G645" s="2">
        <f t="shared" si="53"/>
        <v>128.73086615854726</v>
      </c>
      <c r="H645" s="2">
        <f t="shared" si="54"/>
        <v>73.125913363358706</v>
      </c>
      <c r="I645" s="2">
        <f t="shared" si="50"/>
        <v>12187.65222722645</v>
      </c>
      <c r="J645" s="4">
        <f t="shared" si="52"/>
        <v>14.148714726763764</v>
      </c>
      <c r="K645" s="4">
        <f t="shared" si="51"/>
        <v>2358.119121127294</v>
      </c>
      <c r="L645">
        <v>6</v>
      </c>
    </row>
    <row r="646" spans="1:12" x14ac:dyDescent="0.3">
      <c r="A646" t="s">
        <v>110</v>
      </c>
      <c r="B646" t="s">
        <v>26</v>
      </c>
      <c r="C646" s="4">
        <v>0.80908761900000004</v>
      </c>
      <c r="D646" s="4">
        <v>0.87473809499999999</v>
      </c>
      <c r="E646">
        <v>10</v>
      </c>
      <c r="F646" s="1">
        <v>15.987261146496815</v>
      </c>
      <c r="G646" s="2">
        <f t="shared" si="53"/>
        <v>200.74189497424902</v>
      </c>
      <c r="H646" s="2">
        <f t="shared" si="54"/>
        <v>125.04174178630221</v>
      </c>
      <c r="I646" s="2">
        <f t="shared" si="50"/>
        <v>20840.290297717034</v>
      </c>
      <c r="J646" s="4">
        <f t="shared" si="52"/>
        <v>17.931438163820033</v>
      </c>
      <c r="K646" s="4">
        <f t="shared" si="51"/>
        <v>2988.5730273033387</v>
      </c>
      <c r="L646">
        <v>6</v>
      </c>
    </row>
    <row r="647" spans="1:12" x14ac:dyDescent="0.3">
      <c r="A647" t="s">
        <v>110</v>
      </c>
      <c r="B647" t="s">
        <v>26</v>
      </c>
      <c r="C647" s="4">
        <v>0.80908761900000004</v>
      </c>
      <c r="D647" s="4">
        <v>0.87473809499999999</v>
      </c>
      <c r="E647">
        <v>11</v>
      </c>
      <c r="F647" s="1">
        <v>24.076433121019104</v>
      </c>
      <c r="G647" s="2">
        <f t="shared" si="53"/>
        <v>455.27539120808535</v>
      </c>
      <c r="H647" s="2">
        <f t="shared" si="54"/>
        <v>305.17936447512142</v>
      </c>
      <c r="I647" s="2">
        <f t="shared" si="50"/>
        <v>50863.227412520238</v>
      </c>
      <c r="J647" s="4">
        <f t="shared" si="52"/>
        <v>31.303173325489873</v>
      </c>
      <c r="K647" s="4">
        <f t="shared" si="51"/>
        <v>5217.195554248312</v>
      </c>
      <c r="L647">
        <v>6</v>
      </c>
    </row>
    <row r="648" spans="1:12" x14ac:dyDescent="0.3">
      <c r="A648" t="s">
        <v>110</v>
      </c>
      <c r="B648" t="s">
        <v>26</v>
      </c>
      <c r="C648" s="4">
        <v>0.80908761900000004</v>
      </c>
      <c r="D648" s="4">
        <v>0.87473809499999999</v>
      </c>
      <c r="E648">
        <v>12</v>
      </c>
      <c r="F648" s="1">
        <v>77.064331210191085</v>
      </c>
      <c r="G648" s="2">
        <f t="shared" si="53"/>
        <v>4664.4099057647009</v>
      </c>
      <c r="H648" s="2">
        <f t="shared" si="54"/>
        <v>3218.8948622323383</v>
      </c>
      <c r="I648" s="2">
        <f t="shared" si="50"/>
        <v>536482.47703872307</v>
      </c>
      <c r="J648" s="4">
        <f t="shared" si="52"/>
        <v>258.41996808470935</v>
      </c>
      <c r="K648" s="4">
        <f t="shared" si="51"/>
        <v>43069.99468078489</v>
      </c>
      <c r="L648">
        <v>6</v>
      </c>
    </row>
    <row r="649" spans="1:12" x14ac:dyDescent="0.3">
      <c r="A649" t="s">
        <v>110</v>
      </c>
      <c r="B649" t="s">
        <v>26</v>
      </c>
      <c r="C649" s="4">
        <v>0.80908761900000004</v>
      </c>
      <c r="D649" s="4">
        <v>0.87473809499999999</v>
      </c>
      <c r="E649">
        <v>12</v>
      </c>
      <c r="F649" s="1">
        <v>77.108917197452229</v>
      </c>
      <c r="G649" s="2">
        <f t="shared" si="53"/>
        <v>4669.8087064208203</v>
      </c>
      <c r="H649" s="2">
        <f t="shared" si="54"/>
        <v>3222.5310907008184</v>
      </c>
      <c r="I649" s="2">
        <f t="shared" si="50"/>
        <v>537088.515116803</v>
      </c>
      <c r="J649" s="4">
        <f t="shared" si="52"/>
        <v>258.70867467726885</v>
      </c>
      <c r="K649" s="4">
        <f t="shared" si="51"/>
        <v>43118.112446211475</v>
      </c>
      <c r="L649">
        <v>6</v>
      </c>
    </row>
    <row r="650" spans="1:12" x14ac:dyDescent="0.3">
      <c r="A650" t="s">
        <v>110</v>
      </c>
      <c r="B650" t="s">
        <v>85</v>
      </c>
      <c r="C650" s="4">
        <v>0.6</v>
      </c>
      <c r="D650" s="4">
        <v>0.66674999999999995</v>
      </c>
      <c r="E650">
        <v>8</v>
      </c>
      <c r="F650" s="1">
        <v>8.4394904458598727</v>
      </c>
      <c r="G650" s="2">
        <f t="shared" si="53"/>
        <v>55.939983391401071</v>
      </c>
      <c r="H650" s="2">
        <f t="shared" si="54"/>
        <v>22.171142647711353</v>
      </c>
      <c r="I650" s="2">
        <f t="shared" si="50"/>
        <v>3695.1904412852255</v>
      </c>
      <c r="J650" s="4">
        <f t="shared" si="52"/>
        <v>10.979999971601281</v>
      </c>
      <c r="K650" s="4">
        <f t="shared" si="51"/>
        <v>1829.9999952668802</v>
      </c>
      <c r="L650">
        <v>6</v>
      </c>
    </row>
    <row r="651" spans="1:12" x14ac:dyDescent="0.3">
      <c r="A651" t="s">
        <v>110</v>
      </c>
      <c r="B651" t="s">
        <v>56</v>
      </c>
      <c r="C651" s="4">
        <v>0.39984676499999999</v>
      </c>
      <c r="D651" s="4">
        <v>0.450333333</v>
      </c>
      <c r="E651">
        <v>6</v>
      </c>
      <c r="F651" s="1">
        <v>7.7707006369426743</v>
      </c>
      <c r="G651" s="2">
        <f t="shared" si="53"/>
        <v>47.425316499686062</v>
      </c>
      <c r="H651" s="2">
        <f t="shared" si="54"/>
        <v>9.7166873380284784</v>
      </c>
      <c r="I651" s="2">
        <f t="shared" si="50"/>
        <v>1619.4478896714129</v>
      </c>
      <c r="J651" s="4">
        <f t="shared" si="52"/>
        <v>10.253759556168607</v>
      </c>
      <c r="K651" s="4">
        <f t="shared" si="51"/>
        <v>1708.9599260281011</v>
      </c>
      <c r="L651">
        <v>6</v>
      </c>
    </row>
    <row r="652" spans="1:12" x14ac:dyDescent="0.3">
      <c r="A652" t="s">
        <v>110</v>
      </c>
      <c r="B652" t="s">
        <v>56</v>
      </c>
      <c r="C652" s="4">
        <v>0.39984676499999999</v>
      </c>
      <c r="D652" s="4">
        <v>0.450333333</v>
      </c>
      <c r="E652">
        <v>7</v>
      </c>
      <c r="F652" s="1">
        <v>9.7133757961783438</v>
      </c>
      <c r="G652" s="2">
        <f t="shared" si="53"/>
        <v>74.102057030759482</v>
      </c>
      <c r="H652" s="2">
        <f t="shared" si="54"/>
        <v>17.459292479338561</v>
      </c>
      <c r="I652" s="2">
        <f t="shared" si="50"/>
        <v>2909.88207988976</v>
      </c>
      <c r="J652" s="4">
        <f t="shared" si="52"/>
        <v>11.29726689926569</v>
      </c>
      <c r="K652" s="4">
        <f t="shared" si="51"/>
        <v>1882.8778165442816</v>
      </c>
      <c r="L652">
        <v>6</v>
      </c>
    </row>
    <row r="653" spans="1:12" x14ac:dyDescent="0.3">
      <c r="A653" t="s">
        <v>110</v>
      </c>
      <c r="B653" t="s">
        <v>56</v>
      </c>
      <c r="C653" s="4">
        <v>0.39984676499999999</v>
      </c>
      <c r="D653" s="4">
        <v>0.450333333</v>
      </c>
      <c r="E653">
        <v>7</v>
      </c>
      <c r="F653" s="1">
        <v>13.439490445859873</v>
      </c>
      <c r="G653" s="2">
        <f t="shared" si="53"/>
        <v>141.85854043822386</v>
      </c>
      <c r="H653" s="2">
        <f t="shared" si="54"/>
        <v>32.906618648879373</v>
      </c>
      <c r="I653" s="2">
        <f t="shared" si="50"/>
        <v>5484.4364414798956</v>
      </c>
      <c r="J653" s="4">
        <f t="shared" si="52"/>
        <v>13.410887634386789</v>
      </c>
      <c r="K653" s="4">
        <f t="shared" si="51"/>
        <v>2235.1479390644649</v>
      </c>
      <c r="L653">
        <v>6</v>
      </c>
    </row>
    <row r="654" spans="1:12" x14ac:dyDescent="0.3">
      <c r="A654" t="s">
        <v>110</v>
      </c>
      <c r="B654" t="s">
        <v>56</v>
      </c>
      <c r="C654" s="4">
        <v>0.39984676499999999</v>
      </c>
      <c r="D654" s="4">
        <v>0.450333333</v>
      </c>
      <c r="E654">
        <v>7</v>
      </c>
      <c r="F654" s="1">
        <v>35.994904458598725</v>
      </c>
      <c r="G654" s="2">
        <f t="shared" si="53"/>
        <v>1017.5878940778152</v>
      </c>
      <c r="H654" s="2">
        <f t="shared" si="54"/>
        <v>225.14510444380736</v>
      </c>
      <c r="I654" s="2">
        <f t="shared" si="50"/>
        <v>37524.184073967896</v>
      </c>
      <c r="J654" s="4">
        <f t="shared" si="52"/>
        <v>40.72871210109944</v>
      </c>
      <c r="K654" s="4">
        <f t="shared" si="51"/>
        <v>6788.1186835165727</v>
      </c>
      <c r="L654">
        <v>6</v>
      </c>
    </row>
    <row r="655" spans="1:12" x14ac:dyDescent="0.3">
      <c r="A655" t="s">
        <v>110</v>
      </c>
      <c r="B655" t="s">
        <v>56</v>
      </c>
      <c r="C655" s="4">
        <v>0.39984676499999999</v>
      </c>
      <c r="D655" s="4">
        <v>0.450333333</v>
      </c>
      <c r="E655">
        <v>8</v>
      </c>
      <c r="F655" s="1">
        <v>54.08407643312102</v>
      </c>
      <c r="G655" s="2">
        <f t="shared" si="53"/>
        <v>2297.3582117511933</v>
      </c>
      <c r="H655" s="2">
        <f t="shared" si="54"/>
        <v>567.84743834262008</v>
      </c>
      <c r="I655" s="2">
        <f t="shared" si="50"/>
        <v>94641.239723770006</v>
      </c>
      <c r="J655" s="4">
        <f t="shared" si="52"/>
        <v>90.888145061462936</v>
      </c>
      <c r="K655" s="4">
        <f t="shared" si="51"/>
        <v>15148.02417691049</v>
      </c>
      <c r="L655">
        <v>6</v>
      </c>
    </row>
    <row r="656" spans="1:12" x14ac:dyDescent="0.3">
      <c r="A656" t="s">
        <v>110</v>
      </c>
      <c r="B656" t="s">
        <v>56</v>
      </c>
      <c r="C656" s="4">
        <v>0.39984676499999999</v>
      </c>
      <c r="D656" s="4">
        <v>0.450333333</v>
      </c>
      <c r="E656">
        <v>10</v>
      </c>
      <c r="F656" s="1">
        <v>66.27006369426752</v>
      </c>
      <c r="G656" s="2">
        <f t="shared" si="53"/>
        <v>3449.2498761933789</v>
      </c>
      <c r="H656" s="2">
        <f t="shared" si="54"/>
        <v>1049.7258241204129</v>
      </c>
      <c r="I656" s="2">
        <f t="shared" si="50"/>
        <v>174954.30402006881</v>
      </c>
      <c r="J656" s="4">
        <f t="shared" si="52"/>
        <v>162.6959469714796</v>
      </c>
      <c r="K656" s="4">
        <f t="shared" si="51"/>
        <v>27115.991161913265</v>
      </c>
      <c r="L656">
        <v>6</v>
      </c>
    </row>
    <row r="657" spans="1:12" x14ac:dyDescent="0.3">
      <c r="A657" t="s">
        <v>110</v>
      </c>
      <c r="B657" t="s">
        <v>39</v>
      </c>
      <c r="C657" s="4">
        <v>0.590536375</v>
      </c>
      <c r="D657" s="4">
        <v>0.61247410899999999</v>
      </c>
      <c r="E657">
        <v>8</v>
      </c>
      <c r="F657" s="1">
        <v>16.114649681528661</v>
      </c>
      <c r="G657" s="2">
        <f t="shared" si="53"/>
        <v>203.95371431257763</v>
      </c>
      <c r="H657" s="2">
        <f t="shared" si="54"/>
        <v>72.131282875153943</v>
      </c>
      <c r="I657" s="2">
        <f t="shared" si="50"/>
        <v>12021.880479192325</v>
      </c>
      <c r="J657" s="4">
        <f t="shared" si="52"/>
        <v>16.256794162034971</v>
      </c>
      <c r="K657" s="4">
        <f t="shared" si="51"/>
        <v>2709.4656936724955</v>
      </c>
      <c r="L657">
        <v>6</v>
      </c>
    </row>
    <row r="658" spans="1:12" x14ac:dyDescent="0.3">
      <c r="A658" t="s">
        <v>110</v>
      </c>
      <c r="B658" t="s">
        <v>39</v>
      </c>
      <c r="C658" s="4">
        <v>0.590536375</v>
      </c>
      <c r="D658" s="4">
        <v>0.61247410899999999</v>
      </c>
      <c r="E658">
        <v>11</v>
      </c>
      <c r="F658" s="1">
        <v>75.277070063694268</v>
      </c>
      <c r="G658" s="2">
        <f t="shared" si="53"/>
        <v>4450.5665102893199</v>
      </c>
      <c r="H658" s="2">
        <f t="shared" si="54"/>
        <v>1994.6080074118768</v>
      </c>
      <c r="I658" s="2">
        <f t="shared" si="50"/>
        <v>332434.66790197947</v>
      </c>
      <c r="J658" s="4">
        <f t="shared" si="52"/>
        <v>227.15123517891195</v>
      </c>
      <c r="K658" s="4">
        <f t="shared" si="51"/>
        <v>37858.539196485326</v>
      </c>
      <c r="L658">
        <v>6</v>
      </c>
    </row>
    <row r="659" spans="1:12" x14ac:dyDescent="0.3">
      <c r="A659" t="s">
        <v>110</v>
      </c>
      <c r="B659" t="s">
        <v>107</v>
      </c>
      <c r="C659" s="4">
        <v>0.53168696000000004</v>
      </c>
      <c r="D659" s="4">
        <v>0.61247410899999999</v>
      </c>
      <c r="E659">
        <v>8</v>
      </c>
      <c r="F659" s="1">
        <v>10.923566878980891</v>
      </c>
      <c r="G659" s="2">
        <f t="shared" si="53"/>
        <v>93.717096561266558</v>
      </c>
      <c r="H659" s="2">
        <f t="shared" si="54"/>
        <v>33.768826579627209</v>
      </c>
      <c r="I659" s="2">
        <f t="shared" si="50"/>
        <v>5628.1377632712019</v>
      </c>
      <c r="J659" s="4">
        <f t="shared" si="52"/>
        <v>12.326780774067913</v>
      </c>
      <c r="K659" s="4">
        <f t="shared" si="51"/>
        <v>2054.4634623446523</v>
      </c>
      <c r="L659">
        <v>6</v>
      </c>
    </row>
    <row r="660" spans="1:12" x14ac:dyDescent="0.3">
      <c r="A660" t="s">
        <v>110</v>
      </c>
      <c r="B660" t="s">
        <v>73</v>
      </c>
      <c r="C660" s="4">
        <v>0.39</v>
      </c>
      <c r="D660" s="4">
        <v>0.28861111099999998</v>
      </c>
      <c r="E660">
        <v>2.8</v>
      </c>
      <c r="F660" s="1">
        <v>4.6496815286624198</v>
      </c>
      <c r="G660" s="2">
        <f t="shared" si="53"/>
        <v>16.979945688445781</v>
      </c>
      <c r="H660" s="2">
        <f t="shared" si="54"/>
        <v>1.0977841037398965</v>
      </c>
      <c r="I660" s="2">
        <f t="shared" si="50"/>
        <v>182.96401728998276</v>
      </c>
      <c r="J660" s="4">
        <f t="shared" si="52"/>
        <v>9.1975714755162485</v>
      </c>
      <c r="K660" s="4">
        <f t="shared" si="51"/>
        <v>1532.928579252708</v>
      </c>
      <c r="L660">
        <v>6</v>
      </c>
    </row>
    <row r="661" spans="1:12" x14ac:dyDescent="0.3">
      <c r="A661" t="s">
        <v>110</v>
      </c>
      <c r="B661" t="s">
        <v>73</v>
      </c>
      <c r="C661" s="4">
        <v>0.39</v>
      </c>
      <c r="D661" s="4">
        <v>0.28861111099999998</v>
      </c>
      <c r="E661">
        <v>4.8</v>
      </c>
      <c r="F661" s="1">
        <v>7.8343949044585992</v>
      </c>
      <c r="G661" s="2">
        <f t="shared" si="53"/>
        <v>48.205967033307623</v>
      </c>
      <c r="H661" s="2">
        <f t="shared" si="54"/>
        <v>5.1436416159522453</v>
      </c>
      <c r="I661" s="2">
        <f t="shared" si="50"/>
        <v>857.27360265870755</v>
      </c>
      <c r="J661" s="4">
        <f t="shared" si="52"/>
        <v>10.016846091119316</v>
      </c>
      <c r="K661" s="4">
        <f t="shared" si="51"/>
        <v>1669.474348519886</v>
      </c>
      <c r="L661">
        <v>6</v>
      </c>
    </row>
    <row r="662" spans="1:12" x14ac:dyDescent="0.3">
      <c r="A662" t="s">
        <v>110</v>
      </c>
      <c r="B662" t="s">
        <v>73</v>
      </c>
      <c r="C662" s="4">
        <v>0.39</v>
      </c>
      <c r="D662" s="4">
        <v>0.28861111099999998</v>
      </c>
      <c r="E662">
        <v>4.5</v>
      </c>
      <c r="F662" s="1">
        <v>7.8343949044585992</v>
      </c>
      <c r="G662" s="2">
        <f t="shared" si="53"/>
        <v>48.205967033307623</v>
      </c>
      <c r="H662" s="2">
        <f t="shared" si="54"/>
        <v>4.8296389705527076</v>
      </c>
      <c r="I662" s="2">
        <f t="shared" si="50"/>
        <v>804.9398284254512</v>
      </c>
      <c r="J662" s="4">
        <f t="shared" si="52"/>
        <v>9.952399460424358</v>
      </c>
      <c r="K662" s="4">
        <f t="shared" si="51"/>
        <v>1658.7332434040597</v>
      </c>
      <c r="L662">
        <v>6</v>
      </c>
    </row>
    <row r="663" spans="1:12" x14ac:dyDescent="0.3">
      <c r="A663" t="s">
        <v>110</v>
      </c>
      <c r="B663" t="s">
        <v>73</v>
      </c>
      <c r="C663" s="4">
        <v>0.39</v>
      </c>
      <c r="D663" s="4">
        <v>0.28861111099999998</v>
      </c>
      <c r="E663">
        <v>2</v>
      </c>
      <c r="F663" s="1">
        <v>8.3439490445859867</v>
      </c>
      <c r="G663" s="2">
        <f t="shared" si="53"/>
        <v>54.680586969303455</v>
      </c>
      <c r="H663" s="2">
        <f t="shared" si="54"/>
        <v>2.4751602459119386</v>
      </c>
      <c r="I663" s="2">
        <f t="shared" si="50"/>
        <v>412.52670765198974</v>
      </c>
      <c r="J663" s="4">
        <f t="shared" si="52"/>
        <v>9.473050399610532</v>
      </c>
      <c r="K663" s="4">
        <f t="shared" si="51"/>
        <v>1578.8417332684221</v>
      </c>
      <c r="L663">
        <v>6</v>
      </c>
    </row>
    <row r="664" spans="1:12" x14ac:dyDescent="0.3">
      <c r="A664" t="s">
        <v>110</v>
      </c>
      <c r="B664" t="s">
        <v>73</v>
      </c>
      <c r="C664" s="4">
        <v>0.39</v>
      </c>
      <c r="D664" s="4">
        <v>0.28861111099999998</v>
      </c>
      <c r="E664">
        <v>6</v>
      </c>
      <c r="F664" s="1">
        <v>8.4713375796178347</v>
      </c>
      <c r="G664" s="2">
        <f t="shared" si="53"/>
        <v>56.362968527475616</v>
      </c>
      <c r="H664" s="2">
        <f t="shared" si="54"/>
        <v>7.4493520606772137</v>
      </c>
      <c r="I664" s="2">
        <f t="shared" si="50"/>
        <v>1241.5586767795355</v>
      </c>
      <c r="J664" s="4">
        <f t="shared" si="52"/>
        <v>10.492734768144752</v>
      </c>
      <c r="K664" s="4">
        <f t="shared" si="51"/>
        <v>1748.7891280241254</v>
      </c>
      <c r="L664">
        <v>6</v>
      </c>
    </row>
    <row r="665" spans="1:12" x14ac:dyDescent="0.3">
      <c r="A665" t="s">
        <v>111</v>
      </c>
      <c r="B665" t="s">
        <v>90</v>
      </c>
      <c r="C665" s="4">
        <v>0.37226847299999999</v>
      </c>
      <c r="D665" s="4">
        <v>0.42234285700000002</v>
      </c>
      <c r="E665">
        <v>6</v>
      </c>
      <c r="F665" s="1">
        <v>7.7388535031847132</v>
      </c>
      <c r="G665" s="2">
        <f t="shared" si="53"/>
        <v>47.037380979406791</v>
      </c>
      <c r="H665" s="2">
        <f t="shared" si="54"/>
        <v>9.0539198877354874</v>
      </c>
      <c r="I665" s="2">
        <f t="shared" si="50"/>
        <v>1508.9866479559143</v>
      </c>
      <c r="J665" s="4">
        <f t="shared" si="52"/>
        <v>10.243386924418839</v>
      </c>
      <c r="K665" s="4">
        <f t="shared" si="51"/>
        <v>1707.2311540698065</v>
      </c>
      <c r="L665">
        <v>6</v>
      </c>
    </row>
    <row r="666" spans="1:12" x14ac:dyDescent="0.3">
      <c r="A666" t="s">
        <v>111</v>
      </c>
      <c r="B666" t="s">
        <v>66</v>
      </c>
      <c r="C666" s="4">
        <v>0.62643652800000005</v>
      </c>
      <c r="D666" s="4">
        <v>0.57808694400000005</v>
      </c>
      <c r="E666">
        <v>5</v>
      </c>
      <c r="F666" s="1">
        <v>4.8726114649681529</v>
      </c>
      <c r="G666" s="2">
        <f t="shared" si="53"/>
        <v>18.647192185251804</v>
      </c>
      <c r="H666" s="2">
        <f t="shared" si="54"/>
        <v>4.1727860086013493</v>
      </c>
      <c r="I666" s="2">
        <f t="shared" si="50"/>
        <v>695.46433476689162</v>
      </c>
      <c r="J666" s="4">
        <f t="shared" si="52"/>
        <v>9.4011909935494344</v>
      </c>
      <c r="K666" s="4">
        <f t="shared" si="51"/>
        <v>1566.8651655915726</v>
      </c>
      <c r="L666">
        <v>6</v>
      </c>
    </row>
    <row r="667" spans="1:12" x14ac:dyDescent="0.3">
      <c r="A667" t="s">
        <v>111</v>
      </c>
      <c r="B667" t="s">
        <v>66</v>
      </c>
      <c r="C667" s="4">
        <v>0.62643652800000005</v>
      </c>
      <c r="D667" s="4">
        <v>0.57808694400000005</v>
      </c>
      <c r="E667">
        <v>4</v>
      </c>
      <c r="F667" s="1">
        <v>13.933121019108281</v>
      </c>
      <c r="G667" s="2">
        <f t="shared" si="53"/>
        <v>152.47080734795819</v>
      </c>
      <c r="H667" s="2">
        <f t="shared" si="54"/>
        <v>26.092364441171203</v>
      </c>
      <c r="I667" s="2">
        <f t="shared" si="50"/>
        <v>4348.7274068618672</v>
      </c>
      <c r="J667" s="4">
        <f t="shared" si="52"/>
        <v>11.703546058663637</v>
      </c>
      <c r="K667" s="4">
        <f t="shared" si="51"/>
        <v>1950.5910097772728</v>
      </c>
      <c r="L667">
        <v>6</v>
      </c>
    </row>
    <row r="668" spans="1:12" x14ac:dyDescent="0.3">
      <c r="A668" t="s">
        <v>111</v>
      </c>
      <c r="B668" t="s">
        <v>66</v>
      </c>
      <c r="C668" s="4">
        <v>0.62643652800000005</v>
      </c>
      <c r="D668" s="4">
        <v>0.57808694400000005</v>
      </c>
      <c r="E668">
        <v>5</v>
      </c>
      <c r="F668" s="1">
        <v>17.86687898089172</v>
      </c>
      <c r="G668" s="2">
        <f t="shared" si="53"/>
        <v>250.71901500218488</v>
      </c>
      <c r="H668" s="2">
        <f t="shared" si="54"/>
        <v>52.712567210137777</v>
      </c>
      <c r="I668" s="2">
        <f t="shared" si="50"/>
        <v>8785.427868356297</v>
      </c>
      <c r="J668" s="4">
        <f t="shared" si="52"/>
        <v>14.572143879062031</v>
      </c>
      <c r="K668" s="4">
        <f t="shared" si="51"/>
        <v>2428.6906465103384</v>
      </c>
      <c r="L668">
        <v>6</v>
      </c>
    </row>
    <row r="669" spans="1:12" x14ac:dyDescent="0.3">
      <c r="A669" t="s">
        <v>111</v>
      </c>
      <c r="B669" t="s">
        <v>56</v>
      </c>
      <c r="C669" s="4">
        <v>0.39984676499999999</v>
      </c>
      <c r="D669" s="4">
        <v>0.450333333</v>
      </c>
      <c r="E669">
        <v>9</v>
      </c>
      <c r="F669" s="1">
        <v>14.840764331210192</v>
      </c>
      <c r="G669" s="2">
        <f t="shared" si="53"/>
        <v>172.98259926440858</v>
      </c>
      <c r="H669" s="2">
        <f t="shared" si="54"/>
        <v>51.037296996084002</v>
      </c>
      <c r="I669" s="2">
        <f t="shared" si="50"/>
        <v>8506.2161660140009</v>
      </c>
      <c r="J669" s="4">
        <f t="shared" si="52"/>
        <v>15.923521006937403</v>
      </c>
      <c r="K669" s="4">
        <f t="shared" si="51"/>
        <v>2653.9201678229006</v>
      </c>
      <c r="L669">
        <v>6</v>
      </c>
    </row>
    <row r="670" spans="1:12" x14ac:dyDescent="0.3">
      <c r="A670" t="s">
        <v>111</v>
      </c>
      <c r="B670" t="s">
        <v>56</v>
      </c>
      <c r="C670" s="4">
        <v>0.39984676499999999</v>
      </c>
      <c r="D670" s="4">
        <v>0.450333333</v>
      </c>
      <c r="E670">
        <v>10</v>
      </c>
      <c r="F670" s="1">
        <v>19.267515923566879</v>
      </c>
      <c r="G670" s="2">
        <f t="shared" si="53"/>
        <v>291.56899139676153</v>
      </c>
      <c r="H670" s="2">
        <f t="shared" si="54"/>
        <v>94.155167050032347</v>
      </c>
      <c r="I670" s="2">
        <f t="shared" si="50"/>
        <v>15692.527841672059</v>
      </c>
      <c r="J670" s="4">
        <f t="shared" si="52"/>
        <v>21.979000945271615</v>
      </c>
      <c r="K670" s="4">
        <f t="shared" si="51"/>
        <v>3663.1668242119358</v>
      </c>
      <c r="L670">
        <v>6</v>
      </c>
    </row>
    <row r="671" spans="1:12" x14ac:dyDescent="0.3">
      <c r="A671" t="s">
        <v>111</v>
      </c>
      <c r="B671" t="s">
        <v>56</v>
      </c>
      <c r="C671" s="4">
        <v>0.39984676499999999</v>
      </c>
      <c r="D671" s="4">
        <v>0.450333333</v>
      </c>
      <c r="E671">
        <v>8</v>
      </c>
      <c r="F671" s="1">
        <v>45.317834394904459</v>
      </c>
      <c r="G671" s="2">
        <f t="shared" si="53"/>
        <v>1612.9770102853365</v>
      </c>
      <c r="H671" s="2">
        <f t="shared" si="54"/>
        <v>402.08469671041792</v>
      </c>
      <c r="I671" s="2">
        <f t="shared" si="50"/>
        <v>67014.116118402992</v>
      </c>
      <c r="J671" s="4">
        <f t="shared" si="52"/>
        <v>66.489471198831595</v>
      </c>
      <c r="K671" s="4">
        <f t="shared" si="51"/>
        <v>11081.5785331386</v>
      </c>
      <c r="L671">
        <v>6</v>
      </c>
    </row>
    <row r="672" spans="1:12" x14ac:dyDescent="0.3">
      <c r="A672" t="s">
        <v>111</v>
      </c>
      <c r="B672" t="s">
        <v>39</v>
      </c>
      <c r="C672" s="4">
        <v>0.590536375</v>
      </c>
      <c r="D672" s="4">
        <v>0.61247410899999999</v>
      </c>
      <c r="E672">
        <v>6</v>
      </c>
      <c r="F672" s="1">
        <v>7.1019108280254777</v>
      </c>
      <c r="G672" s="2">
        <f t="shared" si="53"/>
        <v>39.613235088230461</v>
      </c>
      <c r="H672" s="2">
        <f t="shared" si="54"/>
        <v>11.004561280164936</v>
      </c>
      <c r="I672" s="2">
        <f t="shared" si="50"/>
        <v>1834.0935466941557</v>
      </c>
      <c r="J672" s="4">
        <f t="shared" si="52"/>
        <v>10.044879885593735</v>
      </c>
      <c r="K672" s="4">
        <f t="shared" si="51"/>
        <v>1674.1466475989557</v>
      </c>
      <c r="L672">
        <v>6</v>
      </c>
    </row>
    <row r="673" spans="1:12" x14ac:dyDescent="0.3">
      <c r="A673" t="s">
        <v>111</v>
      </c>
      <c r="B673" t="s">
        <v>39</v>
      </c>
      <c r="C673" s="4">
        <v>0.590536375</v>
      </c>
      <c r="D673" s="4">
        <v>0.61247410899999999</v>
      </c>
      <c r="E673">
        <v>8</v>
      </c>
      <c r="F673" s="1">
        <v>13.280254777070065</v>
      </c>
      <c r="G673" s="2">
        <f t="shared" si="53"/>
        <v>138.51687820501735</v>
      </c>
      <c r="H673" s="2">
        <f t="shared" si="54"/>
        <v>49.445574442252841</v>
      </c>
      <c r="I673" s="2">
        <f t="shared" si="50"/>
        <v>8240.9290737088068</v>
      </c>
      <c r="J673" s="4">
        <f t="shared" si="52"/>
        <v>13.923924674428983</v>
      </c>
      <c r="K673" s="4">
        <f t="shared" si="51"/>
        <v>2320.6541124048304</v>
      </c>
      <c r="L673">
        <v>6</v>
      </c>
    </row>
    <row r="674" spans="1:12" x14ac:dyDescent="0.3">
      <c r="A674" t="s">
        <v>111</v>
      </c>
      <c r="B674" t="s">
        <v>39</v>
      </c>
      <c r="C674" s="4">
        <v>0.590536375</v>
      </c>
      <c r="D674" s="4">
        <v>0.61247410899999999</v>
      </c>
      <c r="E674">
        <v>9</v>
      </c>
      <c r="F674" s="1">
        <v>17.611464968152866</v>
      </c>
      <c r="G674" s="2">
        <f t="shared" si="53"/>
        <v>243.6019990166034</v>
      </c>
      <c r="H674" s="2">
        <f t="shared" si="54"/>
        <v>96.237906187964882</v>
      </c>
      <c r="I674" s="2">
        <f t="shared" si="50"/>
        <v>16039.651031327479</v>
      </c>
      <c r="J674" s="4">
        <f t="shared" si="52"/>
        <v>18.755856497220982</v>
      </c>
      <c r="K674" s="4">
        <f t="shared" si="51"/>
        <v>3125.9760828701637</v>
      </c>
      <c r="L674">
        <v>6</v>
      </c>
    </row>
    <row r="675" spans="1:12" x14ac:dyDescent="0.3">
      <c r="A675" t="s">
        <v>111</v>
      </c>
      <c r="B675" t="s">
        <v>39</v>
      </c>
      <c r="C675" s="4">
        <v>0.590536375</v>
      </c>
      <c r="D675" s="4">
        <v>0.61247410899999999</v>
      </c>
      <c r="E675">
        <v>6</v>
      </c>
      <c r="F675" s="1">
        <v>29.822292993630573</v>
      </c>
      <c r="G675" s="2">
        <f t="shared" si="53"/>
        <v>698.50890437348005</v>
      </c>
      <c r="H675" s="2">
        <f t="shared" si="54"/>
        <v>181.13084340692612</v>
      </c>
      <c r="I675" s="2">
        <f t="shared" si="50"/>
        <v>30188.473901154353</v>
      </c>
      <c r="J675" s="4">
        <f t="shared" si="52"/>
        <v>27.66245234735689</v>
      </c>
      <c r="K675" s="4">
        <f t="shared" si="51"/>
        <v>4610.4087245594819</v>
      </c>
      <c r="L675">
        <v>6</v>
      </c>
    </row>
    <row r="676" spans="1:12" x14ac:dyDescent="0.3">
      <c r="A676" t="s">
        <v>111</v>
      </c>
      <c r="B676" t="s">
        <v>39</v>
      </c>
      <c r="C676" s="4">
        <v>0.590536375</v>
      </c>
      <c r="D676" s="4">
        <v>0.61247410899999999</v>
      </c>
      <c r="E676">
        <v>8</v>
      </c>
      <c r="F676" s="1">
        <v>37.867515923566884</v>
      </c>
      <c r="G676" s="2">
        <f t="shared" si="53"/>
        <v>1126.2207242548823</v>
      </c>
      <c r="H676" s="2">
        <f t="shared" si="54"/>
        <v>382.30092312885773</v>
      </c>
      <c r="I676" s="2">
        <f t="shared" si="50"/>
        <v>63716.820521476293</v>
      </c>
      <c r="J676" s="4">
        <f t="shared" si="52"/>
        <v>49.136265342204567</v>
      </c>
      <c r="K676" s="4">
        <f t="shared" si="51"/>
        <v>8189.3775570340949</v>
      </c>
      <c r="L676">
        <v>6</v>
      </c>
    </row>
    <row r="677" spans="1:12" x14ac:dyDescent="0.3">
      <c r="A677" t="s">
        <v>111</v>
      </c>
      <c r="B677" t="s">
        <v>39</v>
      </c>
      <c r="C677" s="4">
        <v>0.590536375</v>
      </c>
      <c r="D677" s="4">
        <v>0.61247410899999999</v>
      </c>
      <c r="E677">
        <v>8</v>
      </c>
      <c r="F677" s="1">
        <v>52.650318471337577</v>
      </c>
      <c r="G677" s="2">
        <f t="shared" si="53"/>
        <v>2177.1677188284834</v>
      </c>
      <c r="H677" s="2">
        <f t="shared" si="54"/>
        <v>727.45021628388838</v>
      </c>
      <c r="I677" s="2">
        <f t="shared" si="50"/>
        <v>121241.70271398139</v>
      </c>
      <c r="J677" s="4">
        <f t="shared" si="52"/>
        <v>86.603268983731581</v>
      </c>
      <c r="K677" s="4">
        <f t="shared" si="51"/>
        <v>14433.878163955264</v>
      </c>
      <c r="L677">
        <v>6</v>
      </c>
    </row>
    <row r="678" spans="1:12" x14ac:dyDescent="0.3">
      <c r="A678" t="s">
        <v>111</v>
      </c>
      <c r="B678" t="s">
        <v>39</v>
      </c>
      <c r="C678" s="4">
        <v>0.590536375</v>
      </c>
      <c r="D678" s="4">
        <v>0.61247410899999999</v>
      </c>
      <c r="E678">
        <v>9</v>
      </c>
      <c r="F678" s="1">
        <v>60.147133757961782</v>
      </c>
      <c r="G678" s="2">
        <f t="shared" si="53"/>
        <v>2841.31742079267</v>
      </c>
      <c r="H678" s="2">
        <f t="shared" si="54"/>
        <v>1058.2321172023203</v>
      </c>
      <c r="I678" s="2">
        <f t="shared" si="50"/>
        <v>176372.01953372007</v>
      </c>
      <c r="J678" s="4">
        <f t="shared" si="52"/>
        <v>122.94254752789159</v>
      </c>
      <c r="K678" s="4">
        <f t="shared" si="51"/>
        <v>20490.424587981932</v>
      </c>
      <c r="L678">
        <v>6</v>
      </c>
    </row>
    <row r="679" spans="1:12" x14ac:dyDescent="0.3">
      <c r="A679" t="s">
        <v>111</v>
      </c>
      <c r="B679" t="s">
        <v>39</v>
      </c>
      <c r="C679" s="4">
        <v>0.590536375</v>
      </c>
      <c r="D679" s="4">
        <v>0.61247410899999999</v>
      </c>
      <c r="E679">
        <v>12</v>
      </c>
      <c r="F679" s="1">
        <v>63.994267515923568</v>
      </c>
      <c r="G679" s="2">
        <f t="shared" si="53"/>
        <v>3216.414610929648</v>
      </c>
      <c r="H679" s="2">
        <f t="shared" si="54"/>
        <v>1581.542848737683</v>
      </c>
      <c r="I679" s="2">
        <f t="shared" si="50"/>
        <v>263590.4747896138</v>
      </c>
      <c r="J679" s="4">
        <f t="shared" si="52"/>
        <v>180.9868835457828</v>
      </c>
      <c r="K679" s="4">
        <f t="shared" si="51"/>
        <v>30164.480590963798</v>
      </c>
      <c r="L679">
        <v>6</v>
      </c>
    </row>
    <row r="680" spans="1:12" x14ac:dyDescent="0.3">
      <c r="A680" t="s">
        <v>111</v>
      </c>
      <c r="B680" t="s">
        <v>47</v>
      </c>
      <c r="C680" s="4">
        <v>0.40238543599999999</v>
      </c>
      <c r="D680" s="4">
        <v>0.40883333300000002</v>
      </c>
      <c r="E680">
        <v>7</v>
      </c>
      <c r="F680" s="1">
        <v>10.636942675159235</v>
      </c>
      <c r="G680" s="2">
        <f t="shared" si="53"/>
        <v>88.863521355801183</v>
      </c>
      <c r="H680" s="2">
        <f t="shared" si="54"/>
        <v>18.969084352889404</v>
      </c>
      <c r="I680" s="2">
        <f t="shared" si="50"/>
        <v>3161.5140588149006</v>
      </c>
      <c r="J680" s="4">
        <f t="shared" si="52"/>
        <v>11.75774146212828</v>
      </c>
      <c r="K680" s="4">
        <f t="shared" si="51"/>
        <v>1959.62357702138</v>
      </c>
      <c r="L680">
        <v>6</v>
      </c>
    </row>
    <row r="681" spans="1:12" x14ac:dyDescent="0.3">
      <c r="A681" t="s">
        <v>112</v>
      </c>
      <c r="B681" t="s">
        <v>69</v>
      </c>
      <c r="C681" s="4">
        <v>0.31264018999999998</v>
      </c>
      <c r="D681" s="4">
        <v>0.356821212</v>
      </c>
      <c r="E681">
        <v>5</v>
      </c>
      <c r="F681" s="1">
        <v>14.171974522292993</v>
      </c>
      <c r="G681" s="2">
        <f t="shared" si="53"/>
        <v>157.74318563306795</v>
      </c>
      <c r="H681" s="2">
        <f t="shared" si="54"/>
        <v>20.940821021478847</v>
      </c>
      <c r="I681" s="2">
        <f t="shared" si="50"/>
        <v>3490.136836913141</v>
      </c>
      <c r="J681" s="4">
        <f t="shared" si="52"/>
        <v>12.50048508255913</v>
      </c>
      <c r="K681" s="4">
        <f t="shared" si="51"/>
        <v>2083.4141804265219</v>
      </c>
      <c r="L681">
        <v>6</v>
      </c>
    </row>
    <row r="682" spans="1:12" x14ac:dyDescent="0.3">
      <c r="A682" t="s">
        <v>112</v>
      </c>
      <c r="B682" t="s">
        <v>69</v>
      </c>
      <c r="C682" s="4">
        <v>0.31264018999999998</v>
      </c>
      <c r="D682" s="4">
        <v>0.356821212</v>
      </c>
      <c r="E682">
        <v>9</v>
      </c>
      <c r="F682" s="1">
        <v>27.515923566878982</v>
      </c>
      <c r="G682" s="2">
        <f t="shared" si="53"/>
        <v>594.64540892484649</v>
      </c>
      <c r="H682" s="2">
        <f t="shared" si="54"/>
        <v>135.71121972984997</v>
      </c>
      <c r="I682" s="2">
        <f t="shared" si="50"/>
        <v>22618.536621641662</v>
      </c>
      <c r="J682" s="4">
        <f t="shared" si="52"/>
        <v>32.835170566757277</v>
      </c>
      <c r="K682" s="4">
        <f t="shared" si="51"/>
        <v>5472.5284277928795</v>
      </c>
      <c r="L682">
        <v>6</v>
      </c>
    </row>
    <row r="683" spans="1:12" x14ac:dyDescent="0.3">
      <c r="A683" t="s">
        <v>112</v>
      </c>
      <c r="B683" t="s">
        <v>85</v>
      </c>
      <c r="C683" s="4">
        <v>0.6</v>
      </c>
      <c r="D683" s="4">
        <v>0.66674999999999995</v>
      </c>
      <c r="E683">
        <v>7</v>
      </c>
      <c r="F683" s="1">
        <v>10.891719745222931</v>
      </c>
      <c r="G683" s="2">
        <f t="shared" si="53"/>
        <v>93.171437769908678</v>
      </c>
      <c r="H683" s="2">
        <f t="shared" si="54"/>
        <v>32.020709385908688</v>
      </c>
      <c r="I683" s="2">
        <f t="shared" si="50"/>
        <v>5336.7848976514479</v>
      </c>
      <c r="J683" s="4">
        <f t="shared" si="52"/>
        <v>11.892124195707737</v>
      </c>
      <c r="K683" s="4">
        <f t="shared" si="51"/>
        <v>1982.0206992846227</v>
      </c>
      <c r="L683">
        <v>6</v>
      </c>
    </row>
    <row r="684" spans="1:12" x14ac:dyDescent="0.3">
      <c r="A684" t="s">
        <v>112</v>
      </c>
      <c r="B684" t="s">
        <v>85</v>
      </c>
      <c r="C684" s="4">
        <v>0.6</v>
      </c>
      <c r="D684" s="4">
        <v>0.66674999999999995</v>
      </c>
      <c r="E684">
        <v>6.5</v>
      </c>
      <c r="F684" s="1">
        <v>12.32484076433121</v>
      </c>
      <c r="G684" s="2">
        <f t="shared" si="53"/>
        <v>119.30331609180131</v>
      </c>
      <c r="H684" s="2">
        <f t="shared" si="54"/>
        <v>37.915042118252494</v>
      </c>
      <c r="I684" s="2">
        <f t="shared" si="50"/>
        <v>6319.1736863754159</v>
      </c>
      <c r="J684" s="4">
        <f t="shared" si="52"/>
        <v>12.441463671954237</v>
      </c>
      <c r="K684" s="4">
        <f t="shared" si="51"/>
        <v>2073.5772786590396</v>
      </c>
      <c r="L684">
        <v>6</v>
      </c>
    </row>
    <row r="685" spans="1:12" x14ac:dyDescent="0.3">
      <c r="A685" t="s">
        <v>112</v>
      </c>
      <c r="B685" t="s">
        <v>113</v>
      </c>
      <c r="C685" s="4">
        <v>0.6</v>
      </c>
      <c r="D685" s="4">
        <v>0.51040266700000003</v>
      </c>
      <c r="E685">
        <v>8</v>
      </c>
      <c r="F685" s="1">
        <v>72.045222929936301</v>
      </c>
      <c r="G685" s="2">
        <f t="shared" si="53"/>
        <v>4076.6202781612951</v>
      </c>
      <c r="H685" s="2">
        <f t="shared" si="54"/>
        <v>1123.0503980013036</v>
      </c>
      <c r="I685" s="2">
        <f t="shared" si="50"/>
        <v>187175.06633355061</v>
      </c>
      <c r="J685" s="4">
        <f t="shared" si="52"/>
        <v>154.32009611667817</v>
      </c>
      <c r="K685" s="4">
        <f t="shared" si="51"/>
        <v>25720.016019446364</v>
      </c>
      <c r="L685">
        <v>6</v>
      </c>
    </row>
    <row r="686" spans="1:12" x14ac:dyDescent="0.3">
      <c r="A686" t="s">
        <v>112</v>
      </c>
      <c r="B686" t="s">
        <v>113</v>
      </c>
      <c r="C686" s="4">
        <v>0.6</v>
      </c>
      <c r="D686" s="4">
        <v>0.51040266700000003</v>
      </c>
      <c r="E686">
        <v>9</v>
      </c>
      <c r="F686" s="1">
        <v>10.350318471337578</v>
      </c>
      <c r="G686" s="2">
        <f t="shared" si="53"/>
        <v>84.138992463036487</v>
      </c>
      <c r="H686" s="2">
        <f t="shared" si="54"/>
        <v>28.540950058387384</v>
      </c>
      <c r="I686" s="2">
        <f t="shared" si="50"/>
        <v>4756.8250097312311</v>
      </c>
      <c r="J686" s="4">
        <f t="shared" si="52"/>
        <v>12.360266412430523</v>
      </c>
      <c r="K686" s="4">
        <f t="shared" si="51"/>
        <v>2060.0444020717537</v>
      </c>
      <c r="L686">
        <v>6</v>
      </c>
    </row>
    <row r="687" spans="1:12" x14ac:dyDescent="0.3">
      <c r="A687" t="s">
        <v>112</v>
      </c>
      <c r="B687" t="s">
        <v>113</v>
      </c>
      <c r="C687" s="4">
        <v>0.6</v>
      </c>
      <c r="D687" s="4">
        <v>0.51040266700000003</v>
      </c>
      <c r="E687">
        <v>11</v>
      </c>
      <c r="F687" s="1">
        <v>29.005732484076432</v>
      </c>
      <c r="G687" s="2">
        <f t="shared" si="53"/>
        <v>660.78101360950598</v>
      </c>
      <c r="H687" s="2">
        <f t="shared" si="54"/>
        <v>259.48114148745344</v>
      </c>
      <c r="I687" s="2">
        <f t="shared" si="50"/>
        <v>43246.856914575576</v>
      </c>
      <c r="J687" s="4">
        <f t="shared" si="52"/>
        <v>41.377001902105562</v>
      </c>
      <c r="K687" s="4">
        <f t="shared" si="51"/>
        <v>6896.1669836842602</v>
      </c>
      <c r="L687">
        <v>6</v>
      </c>
    </row>
    <row r="688" spans="1:12" x14ac:dyDescent="0.3">
      <c r="A688" t="s">
        <v>112</v>
      </c>
      <c r="B688" t="s">
        <v>66</v>
      </c>
      <c r="C688" s="4">
        <v>0.62643652800000005</v>
      </c>
      <c r="D688" s="4">
        <v>0.57808694400000005</v>
      </c>
      <c r="E688">
        <v>5</v>
      </c>
      <c r="F688" s="1">
        <v>6.5286624203821653</v>
      </c>
      <c r="G688" s="2">
        <f t="shared" si="53"/>
        <v>33.476365995352509</v>
      </c>
      <c r="H688" s="2">
        <f t="shared" si="54"/>
        <v>7.3867257884065873</v>
      </c>
      <c r="I688" s="2">
        <f t="shared" si="50"/>
        <v>1231.1209647344313</v>
      </c>
      <c r="J688" s="4">
        <f t="shared" si="52"/>
        <v>9.7316100774879306</v>
      </c>
      <c r="K688" s="4">
        <f t="shared" si="51"/>
        <v>1621.9350129146551</v>
      </c>
      <c r="L688">
        <v>6</v>
      </c>
    </row>
    <row r="689" spans="1:12" x14ac:dyDescent="0.3">
      <c r="A689" t="s">
        <v>112</v>
      </c>
      <c r="B689" t="s">
        <v>66</v>
      </c>
      <c r="C689" s="4">
        <v>0.62643652800000005</v>
      </c>
      <c r="D689" s="4">
        <v>0.57808694400000005</v>
      </c>
      <c r="E689">
        <v>5</v>
      </c>
      <c r="F689" s="1">
        <v>6.6242038216560513</v>
      </c>
      <c r="G689" s="2">
        <f t="shared" si="53"/>
        <v>34.463331312859758</v>
      </c>
      <c r="H689" s="2">
        <f t="shared" si="54"/>
        <v>7.5992034251848786</v>
      </c>
      <c r="I689" s="2">
        <f t="shared" si="50"/>
        <v>1266.5339041974796</v>
      </c>
      <c r="J689" s="4">
        <f t="shared" si="52"/>
        <v>9.753601334739745</v>
      </c>
      <c r="K689" s="4">
        <f t="shared" si="51"/>
        <v>1625.6002224566244</v>
      </c>
      <c r="L689">
        <v>6</v>
      </c>
    </row>
    <row r="690" spans="1:12" x14ac:dyDescent="0.3">
      <c r="A690" t="s">
        <v>112</v>
      </c>
      <c r="B690" t="s">
        <v>66</v>
      </c>
      <c r="C690" s="4">
        <v>0.62643652800000005</v>
      </c>
      <c r="D690" s="4">
        <v>0.57808694400000005</v>
      </c>
      <c r="E690">
        <v>4</v>
      </c>
      <c r="F690" s="1">
        <v>16.376433121019108</v>
      </c>
      <c r="G690" s="2">
        <f t="shared" si="53"/>
        <v>210.63401845800774</v>
      </c>
      <c r="H690" s="2">
        <f t="shared" si="54"/>
        <v>35.767373154564218</v>
      </c>
      <c r="I690" s="2">
        <f t="shared" si="50"/>
        <v>5961.2288590940361</v>
      </c>
      <c r="J690" s="4">
        <f t="shared" si="52"/>
        <v>12.740325864740964</v>
      </c>
      <c r="K690" s="4">
        <f t="shared" si="51"/>
        <v>2123.3876441234938</v>
      </c>
      <c r="L690">
        <v>6</v>
      </c>
    </row>
    <row r="691" spans="1:12" x14ac:dyDescent="0.3">
      <c r="A691" t="s">
        <v>112</v>
      </c>
      <c r="B691" t="s">
        <v>66</v>
      </c>
      <c r="C691" s="4">
        <v>0.62643652800000005</v>
      </c>
      <c r="D691" s="4">
        <v>0.57808694400000005</v>
      </c>
      <c r="E691">
        <v>5.5</v>
      </c>
      <c r="F691" s="1">
        <v>16.448407643312102</v>
      </c>
      <c r="G691" s="2">
        <f t="shared" si="53"/>
        <v>212.48956264301634</v>
      </c>
      <c r="H691" s="2">
        <f t="shared" si="54"/>
        <v>49.22527491464092</v>
      </c>
      <c r="I691" s="2">
        <f t="shared" si="50"/>
        <v>8204.2124857734871</v>
      </c>
      <c r="J691" s="4">
        <f t="shared" si="52"/>
        <v>14.193789694510933</v>
      </c>
      <c r="K691" s="4">
        <f t="shared" si="51"/>
        <v>2365.6316157518222</v>
      </c>
      <c r="L691">
        <v>6</v>
      </c>
    </row>
    <row r="692" spans="1:12" x14ac:dyDescent="0.3">
      <c r="A692" t="s">
        <v>112</v>
      </c>
      <c r="B692" t="s">
        <v>66</v>
      </c>
      <c r="C692" s="4">
        <v>0.62643652800000005</v>
      </c>
      <c r="D692" s="4">
        <v>0.57808694400000005</v>
      </c>
      <c r="E692">
        <v>6</v>
      </c>
      <c r="F692" s="1">
        <v>21.91783439490446</v>
      </c>
      <c r="G692" s="2">
        <f t="shared" si="53"/>
        <v>377.29857397916408</v>
      </c>
      <c r="H692" s="2">
        <f t="shared" si="54"/>
        <v>93.849725213354347</v>
      </c>
      <c r="I692" s="2">
        <f t="shared" si="50"/>
        <v>15641.620868892393</v>
      </c>
      <c r="J692" s="4">
        <f t="shared" si="52"/>
        <v>19.073920755811596</v>
      </c>
      <c r="K692" s="4">
        <f t="shared" si="51"/>
        <v>3178.9867926352658</v>
      </c>
      <c r="L692">
        <v>6</v>
      </c>
    </row>
    <row r="693" spans="1:12" x14ac:dyDescent="0.3">
      <c r="A693" t="s">
        <v>112</v>
      </c>
      <c r="B693" t="s">
        <v>56</v>
      </c>
      <c r="C693" s="4">
        <v>0.39984676499999999</v>
      </c>
      <c r="D693" s="4">
        <v>0.450333333</v>
      </c>
      <c r="E693">
        <v>13</v>
      </c>
      <c r="F693" s="1">
        <v>17.261146496815286</v>
      </c>
      <c r="G693" s="2">
        <f t="shared" si="53"/>
        <v>234.00716669265282</v>
      </c>
      <c r="H693" s="2">
        <f t="shared" si="54"/>
        <v>98.13704709337874</v>
      </c>
      <c r="I693" s="2">
        <f t="shared" si="50"/>
        <v>16356.174515563123</v>
      </c>
      <c r="J693" s="4">
        <f t="shared" si="52"/>
        <v>22.542296616495598</v>
      </c>
      <c r="K693" s="4">
        <f t="shared" si="51"/>
        <v>3757.0494360825996</v>
      </c>
      <c r="L693">
        <v>6</v>
      </c>
    </row>
    <row r="694" spans="1:12" x14ac:dyDescent="0.3">
      <c r="A694" t="s">
        <v>112</v>
      </c>
      <c r="B694" t="s">
        <v>39</v>
      </c>
      <c r="C694" s="4">
        <v>0.590536375</v>
      </c>
      <c r="D694" s="4">
        <v>0.61247410899999999</v>
      </c>
      <c r="E694">
        <v>9</v>
      </c>
      <c r="F694" s="1">
        <v>41.731210191082802</v>
      </c>
      <c r="G694" s="2">
        <f t="shared" si="53"/>
        <v>1367.7661137791385</v>
      </c>
      <c r="H694" s="2">
        <f t="shared" si="54"/>
        <v>518.43368748768023</v>
      </c>
      <c r="I694" s="2">
        <f t="shared" si="50"/>
        <v>86405.614581280039</v>
      </c>
      <c r="J694" s="4">
        <f t="shared" si="52"/>
        <v>63.842757976388491</v>
      </c>
      <c r="K694" s="4">
        <f t="shared" si="51"/>
        <v>10640.459662731415</v>
      </c>
      <c r="L694">
        <v>6</v>
      </c>
    </row>
    <row r="695" spans="1:12" x14ac:dyDescent="0.3">
      <c r="A695" t="s">
        <v>112</v>
      </c>
      <c r="B695" t="s">
        <v>39</v>
      </c>
      <c r="C695" s="4">
        <v>0.590536375</v>
      </c>
      <c r="D695" s="4">
        <v>0.61247410899999999</v>
      </c>
      <c r="E695">
        <v>10</v>
      </c>
      <c r="F695" s="1">
        <v>66.91783439490446</v>
      </c>
      <c r="G695" s="2">
        <f t="shared" si="53"/>
        <v>3517.0102740056614</v>
      </c>
      <c r="H695" s="2">
        <f t="shared" si="54"/>
        <v>1444.3433249354709</v>
      </c>
      <c r="I695" s="2">
        <f t="shared" si="50"/>
        <v>240723.88748924516</v>
      </c>
      <c r="J695" s="4">
        <f t="shared" si="52"/>
        <v>165.71557960363506</v>
      </c>
      <c r="K695" s="4">
        <f t="shared" si="51"/>
        <v>27619.263267272512</v>
      </c>
      <c r="L695">
        <v>6</v>
      </c>
    </row>
    <row r="696" spans="1:12" x14ac:dyDescent="0.3">
      <c r="A696" t="s">
        <v>112</v>
      </c>
      <c r="B696" t="s">
        <v>39</v>
      </c>
      <c r="C696" s="4">
        <v>0.590536375</v>
      </c>
      <c r="D696" s="4">
        <v>0.61247410899999999</v>
      </c>
      <c r="E696">
        <v>11</v>
      </c>
      <c r="F696" s="1">
        <v>101.86369426751592</v>
      </c>
      <c r="G696" s="2">
        <f t="shared" si="53"/>
        <v>8149.4580126194851</v>
      </c>
      <c r="H696" s="2">
        <f t="shared" si="54"/>
        <v>3599.6963424044147</v>
      </c>
      <c r="I696" s="2">
        <f t="shared" si="50"/>
        <v>599949.39040073578</v>
      </c>
      <c r="J696" s="4">
        <f t="shared" si="52"/>
        <v>408.46987007829938</v>
      </c>
      <c r="K696" s="4">
        <f t="shared" si="51"/>
        <v>68078.311679716557</v>
      </c>
      <c r="L696">
        <v>6</v>
      </c>
    </row>
    <row r="697" spans="1:12" x14ac:dyDescent="0.3">
      <c r="A697" t="s">
        <v>112</v>
      </c>
      <c r="B697" t="s">
        <v>73</v>
      </c>
      <c r="C697" s="4">
        <v>0.39</v>
      </c>
      <c r="D697" s="4">
        <v>0.28861111099999998</v>
      </c>
      <c r="E697">
        <v>4.5</v>
      </c>
      <c r="F697" s="1">
        <v>29.359235668789808</v>
      </c>
      <c r="G697" s="2">
        <f t="shared" si="53"/>
        <v>676.98550725961843</v>
      </c>
      <c r="H697" s="2">
        <f t="shared" si="54"/>
        <v>63.658111937855431</v>
      </c>
      <c r="I697" s="2">
        <f t="shared" si="50"/>
        <v>10609.685322975905</v>
      </c>
      <c r="J697" s="4">
        <f t="shared" si="52"/>
        <v>22.56164432512475</v>
      </c>
      <c r="K697" s="4">
        <f t="shared" si="51"/>
        <v>3760.2740541874587</v>
      </c>
      <c r="L697">
        <v>6</v>
      </c>
    </row>
    <row r="698" spans="1:12" x14ac:dyDescent="0.3">
      <c r="A698" t="s">
        <v>114</v>
      </c>
      <c r="B698" t="s">
        <v>72</v>
      </c>
      <c r="C698" s="4">
        <v>0.43916666700000001</v>
      </c>
      <c r="D698" s="4">
        <v>0.51877777800000002</v>
      </c>
      <c r="E698">
        <v>4</v>
      </c>
      <c r="F698" s="1">
        <v>5.1910828025477711</v>
      </c>
      <c r="G698" s="2">
        <f t="shared" si="53"/>
        <v>21.164391865092711</v>
      </c>
      <c r="H698" s="2">
        <f t="shared" si="54"/>
        <v>3.4168896905565767</v>
      </c>
      <c r="I698" s="2">
        <f t="shared" si="50"/>
        <v>683.3779381113153</v>
      </c>
      <c r="J698" s="4">
        <f t="shared" si="52"/>
        <v>9.3629627692807009</v>
      </c>
      <c r="K698" s="4">
        <f t="shared" si="51"/>
        <v>1872.5925538561401</v>
      </c>
      <c r="L698">
        <v>5</v>
      </c>
    </row>
    <row r="699" spans="1:12" x14ac:dyDescent="0.3">
      <c r="A699" t="s">
        <v>114</v>
      </c>
      <c r="B699" t="s">
        <v>115</v>
      </c>
      <c r="C699" s="4">
        <v>0.56572270000000002</v>
      </c>
      <c r="D699" s="4">
        <v>0.61247410899999999</v>
      </c>
      <c r="E699">
        <v>6</v>
      </c>
      <c r="F699" s="1">
        <v>28.115286624203822</v>
      </c>
      <c r="G699" s="2">
        <f t="shared" si="53"/>
        <v>620.83316939826443</v>
      </c>
      <c r="H699" s="2">
        <f t="shared" si="54"/>
        <v>161.44481566696393</v>
      </c>
      <c r="I699" s="2">
        <f t="shared" si="50"/>
        <v>32288.963133392786</v>
      </c>
      <c r="J699" s="4">
        <f t="shared" si="52"/>
        <v>25.585556181183819</v>
      </c>
      <c r="K699" s="4">
        <f t="shared" si="51"/>
        <v>5117.1112362367639</v>
      </c>
      <c r="L699">
        <v>5</v>
      </c>
    </row>
    <row r="700" spans="1:12" x14ac:dyDescent="0.3">
      <c r="A700" t="s">
        <v>114</v>
      </c>
      <c r="B700" t="s">
        <v>116</v>
      </c>
      <c r="C700" s="4">
        <v>0.46921933300000002</v>
      </c>
      <c r="D700" s="4">
        <v>0.46713991199999999</v>
      </c>
      <c r="E700">
        <v>5</v>
      </c>
      <c r="F700" s="1">
        <v>21.777707006369425</v>
      </c>
      <c r="G700" s="2">
        <f t="shared" si="53"/>
        <v>372.48962649359208</v>
      </c>
      <c r="H700" s="2">
        <f t="shared" si="54"/>
        <v>63.007138098209104</v>
      </c>
      <c r="I700" s="2">
        <f t="shared" si="50"/>
        <v>12601.427619641821</v>
      </c>
      <c r="J700" s="4">
        <f t="shared" si="52"/>
        <v>17.285399142967258</v>
      </c>
      <c r="K700" s="4">
        <f t="shared" si="51"/>
        <v>3457.0798285934516</v>
      </c>
      <c r="L700">
        <v>5</v>
      </c>
    </row>
    <row r="701" spans="1:12" x14ac:dyDescent="0.3">
      <c r="A701" t="s">
        <v>114</v>
      </c>
      <c r="B701" t="s">
        <v>18</v>
      </c>
      <c r="C701" s="4">
        <v>0.45255480399999998</v>
      </c>
      <c r="D701" s="4">
        <v>0.57808694400000005</v>
      </c>
      <c r="E701">
        <v>8</v>
      </c>
      <c r="F701" s="1">
        <v>44.621019108280251</v>
      </c>
      <c r="G701" s="2">
        <f t="shared" si="53"/>
        <v>1563.7555042131935</v>
      </c>
      <c r="H701" s="2">
        <f t="shared" si="54"/>
        <v>497.77982581185967</v>
      </c>
      <c r="I701" s="2">
        <f t="shared" si="50"/>
        <v>99555.96516237194</v>
      </c>
      <c r="J701" s="4">
        <f t="shared" si="52"/>
        <v>64.734689695322317</v>
      </c>
      <c r="K701" s="4">
        <f t="shared" si="51"/>
        <v>12946.937939064464</v>
      </c>
      <c r="L701">
        <v>5</v>
      </c>
    </row>
    <row r="702" spans="1:12" x14ac:dyDescent="0.3">
      <c r="A702" t="s">
        <v>114</v>
      </c>
      <c r="B702" t="s">
        <v>56</v>
      </c>
      <c r="C702" s="4">
        <v>0.39984676499999999</v>
      </c>
      <c r="D702" s="4">
        <v>0.450333333</v>
      </c>
      <c r="E702">
        <v>7</v>
      </c>
      <c r="F702" s="1">
        <v>61.585350318471342</v>
      </c>
      <c r="G702" s="2">
        <f t="shared" si="53"/>
        <v>2978.8231048366797</v>
      </c>
      <c r="H702" s="2">
        <f t="shared" si="54"/>
        <v>642.30298952295982</v>
      </c>
      <c r="I702" s="2">
        <f t="shared" si="50"/>
        <v>128460.59790459197</v>
      </c>
      <c r="J702" s="4">
        <f t="shared" si="52"/>
        <v>101.90820665929654</v>
      </c>
      <c r="K702" s="4">
        <f t="shared" si="51"/>
        <v>20381.641331859308</v>
      </c>
      <c r="L702">
        <v>5</v>
      </c>
    </row>
    <row r="703" spans="1:12" x14ac:dyDescent="0.3">
      <c r="A703" t="s">
        <v>114</v>
      </c>
      <c r="B703" t="s">
        <v>117</v>
      </c>
      <c r="C703" s="4">
        <v>0.56572270000000002</v>
      </c>
      <c r="D703" s="4">
        <v>0.61247410899999999</v>
      </c>
      <c r="E703">
        <v>6</v>
      </c>
      <c r="F703" s="1">
        <v>27.028025477707004</v>
      </c>
      <c r="G703" s="2">
        <f t="shared" si="53"/>
        <v>573.74448056082633</v>
      </c>
      <c r="H703" s="2">
        <f t="shared" si="54"/>
        <v>149.48233235549213</v>
      </c>
      <c r="I703" s="2">
        <f t="shared" si="50"/>
        <v>29896.466471098429</v>
      </c>
      <c r="J703" s="4">
        <f t="shared" si="52"/>
        <v>24.326497385695156</v>
      </c>
      <c r="K703" s="4">
        <f t="shared" si="51"/>
        <v>4865.2994771390313</v>
      </c>
      <c r="L703">
        <v>5</v>
      </c>
    </row>
    <row r="704" spans="1:12" x14ac:dyDescent="0.3">
      <c r="A704" t="s">
        <v>114</v>
      </c>
      <c r="B704" t="s">
        <v>118</v>
      </c>
      <c r="C704" s="4">
        <v>0.56023871300000005</v>
      </c>
      <c r="D704" s="4">
        <v>0.74103703700000001</v>
      </c>
      <c r="E704">
        <v>6</v>
      </c>
      <c r="F704" s="1">
        <v>12.611464968152866</v>
      </c>
      <c r="G704" s="2">
        <f t="shared" si="53"/>
        <v>124.91683069428197</v>
      </c>
      <c r="H704" s="2">
        <f t="shared" si="54"/>
        <v>40.65825834569543</v>
      </c>
      <c r="I704" s="2">
        <f t="shared" si="50"/>
        <v>8131.6516691390862</v>
      </c>
      <c r="J704" s="4">
        <f t="shared" si="52"/>
        <v>12.325730021501887</v>
      </c>
      <c r="K704" s="4">
        <f t="shared" si="51"/>
        <v>2465.1460043003772</v>
      </c>
      <c r="L704">
        <v>5</v>
      </c>
    </row>
    <row r="705" spans="1:12" x14ac:dyDescent="0.3">
      <c r="A705" t="s">
        <v>114</v>
      </c>
      <c r="B705" t="s">
        <v>107</v>
      </c>
      <c r="C705" s="4">
        <v>0.53168696000000004</v>
      </c>
      <c r="D705" s="4">
        <v>0.61247410899999999</v>
      </c>
      <c r="E705">
        <v>9</v>
      </c>
      <c r="F705" s="1">
        <v>10.318471337579616</v>
      </c>
      <c r="G705" s="2">
        <f t="shared" si="53"/>
        <v>83.622010630056508</v>
      </c>
      <c r="H705" s="2">
        <f t="shared" si="54"/>
        <v>33.894604388349364</v>
      </c>
      <c r="I705" s="2">
        <f t="shared" si="50"/>
        <v>6778.9208776698724</v>
      </c>
      <c r="J705" s="4">
        <f t="shared" si="52"/>
        <v>12.33953179845024</v>
      </c>
      <c r="K705" s="4">
        <f t="shared" si="51"/>
        <v>2467.9063596900478</v>
      </c>
      <c r="L705">
        <v>5</v>
      </c>
    </row>
    <row r="706" spans="1:12" x14ac:dyDescent="0.3">
      <c r="A706" t="s">
        <v>114</v>
      </c>
      <c r="B706" t="s">
        <v>107</v>
      </c>
      <c r="C706" s="4">
        <v>0.53168696000000004</v>
      </c>
      <c r="D706" s="4">
        <v>0.61247410899999999</v>
      </c>
      <c r="E706">
        <v>6</v>
      </c>
      <c r="F706" s="1">
        <v>35.389808917197456</v>
      </c>
      <c r="G706" s="2">
        <f t="shared" si="53"/>
        <v>983.66295672685794</v>
      </c>
      <c r="H706" s="2">
        <f t="shared" si="54"/>
        <v>252.98722687630479</v>
      </c>
      <c r="I706" s="2">
        <f t="shared" ref="I706:I769" si="55">(H706*1000)/L706</f>
        <v>50597.445375260955</v>
      </c>
      <c r="J706" s="4">
        <f t="shared" si="52"/>
        <v>35.286910079110719</v>
      </c>
      <c r="K706" s="4">
        <f t="shared" ref="K706:K769" si="56">(J706*1000)/L706</f>
        <v>7057.3820158221442</v>
      </c>
      <c r="L706">
        <v>5</v>
      </c>
    </row>
    <row r="707" spans="1:12" x14ac:dyDescent="0.3">
      <c r="A707" t="s">
        <v>114</v>
      </c>
      <c r="B707" t="s">
        <v>119</v>
      </c>
      <c r="C707" s="4">
        <v>0.432770245</v>
      </c>
      <c r="D707" s="4">
        <v>0.61247410899999999</v>
      </c>
      <c r="E707">
        <v>5</v>
      </c>
      <c r="F707" s="1">
        <v>60.509554140127392</v>
      </c>
      <c r="G707" s="2">
        <f t="shared" si="53"/>
        <v>2875.6616595650826</v>
      </c>
      <c r="H707" s="2">
        <f t="shared" si="54"/>
        <v>603.29228764125605</v>
      </c>
      <c r="I707" s="2">
        <f t="shared" si="55"/>
        <v>120658.45752825119</v>
      </c>
      <c r="J707" s="4">
        <f t="shared" ref="J707:J770" si="57">8.9857 + 0.0035 * F707^2 * E707</f>
        <v>73.060307489147633</v>
      </c>
      <c r="K707" s="4">
        <f t="shared" si="56"/>
        <v>14612.061497829525</v>
      </c>
      <c r="L707">
        <v>5</v>
      </c>
    </row>
    <row r="708" spans="1:12" x14ac:dyDescent="0.3">
      <c r="A708" t="s">
        <v>114</v>
      </c>
      <c r="B708" t="s">
        <v>120</v>
      </c>
      <c r="C708" s="4">
        <v>0.98708677300000003</v>
      </c>
      <c r="D708" s="4">
        <v>0.60285714300000004</v>
      </c>
      <c r="E708">
        <v>7</v>
      </c>
      <c r="F708" s="1">
        <v>32.536305732484081</v>
      </c>
      <c r="G708" s="2">
        <f t="shared" ref="G708:G771" si="58">PI()*(F708/2)^2</f>
        <v>831.43128494164887</v>
      </c>
      <c r="H708" s="2">
        <f t="shared" ref="H708:H771" si="59">0.0673 * ((D708 * F708^2 * E708)^0.976)</f>
        <v>245.73262592294091</v>
      </c>
      <c r="I708" s="2">
        <f t="shared" si="55"/>
        <v>49146.525184588179</v>
      </c>
      <c r="J708" s="4">
        <f t="shared" si="57"/>
        <v>34.921674172583074</v>
      </c>
      <c r="K708" s="4">
        <f t="shared" si="56"/>
        <v>6984.3348345166141</v>
      </c>
      <c r="L708">
        <v>5</v>
      </c>
    </row>
    <row r="709" spans="1:12" x14ac:dyDescent="0.3">
      <c r="A709" t="s">
        <v>114</v>
      </c>
      <c r="B709" t="s">
        <v>120</v>
      </c>
      <c r="C709" s="4">
        <v>0.98708677300000003</v>
      </c>
      <c r="D709" s="4">
        <v>0.60285714300000004</v>
      </c>
      <c r="E709">
        <v>6</v>
      </c>
      <c r="F709" s="1">
        <v>58.191719745222926</v>
      </c>
      <c r="G709" s="2">
        <f t="shared" si="58"/>
        <v>2659.5751450768225</v>
      </c>
      <c r="H709" s="2">
        <f t="shared" si="59"/>
        <v>657.64117530157864</v>
      </c>
      <c r="I709" s="2">
        <f t="shared" si="55"/>
        <v>131528.23506031572</v>
      </c>
      <c r="J709" s="4">
        <f t="shared" si="57"/>
        <v>80.097501185037927</v>
      </c>
      <c r="K709" s="4">
        <f t="shared" si="56"/>
        <v>16019.500237007585</v>
      </c>
      <c r="L709">
        <v>5</v>
      </c>
    </row>
    <row r="710" spans="1:12" x14ac:dyDescent="0.3">
      <c r="A710" t="s">
        <v>114</v>
      </c>
      <c r="B710" t="s">
        <v>120</v>
      </c>
      <c r="C710" s="4">
        <v>0.98708677300000003</v>
      </c>
      <c r="D710" s="4">
        <v>0.60285714300000004</v>
      </c>
      <c r="E710">
        <v>9</v>
      </c>
      <c r="F710" s="1">
        <v>71.001910828025487</v>
      </c>
      <c r="G710" s="2">
        <f t="shared" si="58"/>
        <v>3959.4052525909265</v>
      </c>
      <c r="H710" s="2">
        <f t="shared" si="59"/>
        <v>1440.536047442459</v>
      </c>
      <c r="I710" s="2">
        <f t="shared" si="55"/>
        <v>288107.20948849182</v>
      </c>
      <c r="J710" s="4">
        <f t="shared" si="57"/>
        <v>167.78574724877282</v>
      </c>
      <c r="K710" s="4">
        <f t="shared" si="56"/>
        <v>33557.149449754565</v>
      </c>
      <c r="L710">
        <v>5</v>
      </c>
    </row>
    <row r="711" spans="1:12" x14ac:dyDescent="0.3">
      <c r="A711" t="s">
        <v>114</v>
      </c>
      <c r="B711" t="s">
        <v>62</v>
      </c>
      <c r="C711" s="4">
        <v>0.693333333</v>
      </c>
      <c r="D711" s="4">
        <v>0.64166666699999997</v>
      </c>
      <c r="E711">
        <v>6.8</v>
      </c>
      <c r="F711" s="1">
        <v>20.563057324840763</v>
      </c>
      <c r="G711" s="2">
        <f t="shared" si="58"/>
        <v>332.09723048041138</v>
      </c>
      <c r="H711" s="2">
        <f t="shared" si="59"/>
        <v>103.66328768506681</v>
      </c>
      <c r="I711" s="2">
        <f t="shared" si="55"/>
        <v>20732.657537013361</v>
      </c>
      <c r="J711" s="4">
        <f t="shared" si="57"/>
        <v>19.049275971763556</v>
      </c>
      <c r="K711" s="4">
        <f t="shared" si="56"/>
        <v>3809.8551943527114</v>
      </c>
      <c r="L711">
        <v>5</v>
      </c>
    </row>
    <row r="712" spans="1:12" x14ac:dyDescent="0.3">
      <c r="A712" t="s">
        <v>114</v>
      </c>
      <c r="B712" t="s">
        <v>62</v>
      </c>
      <c r="C712" s="4">
        <v>0.693333333</v>
      </c>
      <c r="D712" s="4">
        <v>0.64166666699999997</v>
      </c>
      <c r="E712">
        <v>6</v>
      </c>
      <c r="F712" s="1">
        <v>8.1847133757961785</v>
      </c>
      <c r="G712" s="2">
        <f t="shared" si="58"/>
        <v>52.613456219560696</v>
      </c>
      <c r="H712" s="2">
        <f t="shared" si="59"/>
        <v>15.191740039044717</v>
      </c>
      <c r="I712" s="2">
        <f t="shared" si="55"/>
        <v>3038.3480078089433</v>
      </c>
      <c r="J712" s="4">
        <f t="shared" si="57"/>
        <v>10.392480193922674</v>
      </c>
      <c r="K712" s="4">
        <f t="shared" si="56"/>
        <v>2078.4960387845349</v>
      </c>
      <c r="L712">
        <v>5</v>
      </c>
    </row>
    <row r="713" spans="1:12" x14ac:dyDescent="0.3">
      <c r="A713" t="s">
        <v>121</v>
      </c>
      <c r="B713" t="s">
        <v>75</v>
      </c>
      <c r="C713" s="4">
        <v>0.86</v>
      </c>
      <c r="D713" s="4">
        <v>0.65666666699999998</v>
      </c>
      <c r="E713">
        <v>7</v>
      </c>
      <c r="F713" s="4">
        <v>8.4394904458598727</v>
      </c>
      <c r="G713" s="2">
        <f t="shared" si="58"/>
        <v>55.939983391401071</v>
      </c>
      <c r="H713" s="2">
        <f t="shared" si="59"/>
        <v>19.174706121006373</v>
      </c>
      <c r="I713" s="2">
        <f t="shared" si="55"/>
        <v>3834.9412242012745</v>
      </c>
      <c r="J713" s="4">
        <f t="shared" si="57"/>
        <v>10.730712475151121</v>
      </c>
      <c r="K713" s="4">
        <f t="shared" si="56"/>
        <v>2146.1424950302239</v>
      </c>
      <c r="L713">
        <v>5</v>
      </c>
    </row>
    <row r="714" spans="1:12" x14ac:dyDescent="0.3">
      <c r="A714" t="s">
        <v>121</v>
      </c>
      <c r="B714" t="s">
        <v>51</v>
      </c>
      <c r="C714" s="4">
        <v>0.40257753800000001</v>
      </c>
      <c r="D714" s="4">
        <v>0.40843333300000001</v>
      </c>
      <c r="E714">
        <v>6</v>
      </c>
      <c r="F714" s="4">
        <v>23.346496815286624</v>
      </c>
      <c r="G714" s="2">
        <f t="shared" si="58"/>
        <v>428.08826964258498</v>
      </c>
      <c r="H714" s="2">
        <f t="shared" si="59"/>
        <v>75.633423386061367</v>
      </c>
      <c r="I714" s="2">
        <f t="shared" si="55"/>
        <v>15126.684677212272</v>
      </c>
      <c r="J714" s="4">
        <f t="shared" si="57"/>
        <v>20.431937184469959</v>
      </c>
      <c r="K714" s="4">
        <f t="shared" si="56"/>
        <v>4086.3874368939919</v>
      </c>
      <c r="L714">
        <v>5</v>
      </c>
    </row>
    <row r="715" spans="1:12" x14ac:dyDescent="0.3">
      <c r="A715" t="s">
        <v>121</v>
      </c>
      <c r="B715" t="s">
        <v>26</v>
      </c>
      <c r="C715" s="4">
        <v>0.80908761900000004</v>
      </c>
      <c r="D715" s="4">
        <v>0.87473809499999999</v>
      </c>
      <c r="E715">
        <v>8</v>
      </c>
      <c r="F715" s="4">
        <v>22.738853503184714</v>
      </c>
      <c r="G715" s="2">
        <f t="shared" si="58"/>
        <v>406.0944075899281</v>
      </c>
      <c r="H715" s="2">
        <f t="shared" si="59"/>
        <v>200.03965434404421</v>
      </c>
      <c r="I715" s="2">
        <f t="shared" si="55"/>
        <v>40007.930868808842</v>
      </c>
      <c r="J715" s="4">
        <f t="shared" si="57"/>
        <v>23.463252841900278</v>
      </c>
      <c r="K715" s="4">
        <f t="shared" si="56"/>
        <v>4692.6505683800551</v>
      </c>
      <c r="L715">
        <v>5</v>
      </c>
    </row>
    <row r="716" spans="1:12" x14ac:dyDescent="0.3">
      <c r="A716" t="s">
        <v>121</v>
      </c>
      <c r="B716" t="s">
        <v>85</v>
      </c>
      <c r="C716" s="4">
        <v>0.6</v>
      </c>
      <c r="D716" s="4">
        <v>0.66674999999999995</v>
      </c>
      <c r="E716">
        <v>5</v>
      </c>
      <c r="F716" s="1">
        <v>6.114649681528662</v>
      </c>
      <c r="G716" s="2">
        <f t="shared" si="58"/>
        <v>29.365205379004752</v>
      </c>
      <c r="H716" s="2">
        <f t="shared" si="59"/>
        <v>7.4712802223108312</v>
      </c>
      <c r="I716" s="2">
        <f t="shared" si="55"/>
        <v>1494.2560444621663</v>
      </c>
      <c r="J716" s="4">
        <f t="shared" si="57"/>
        <v>9.6400064627368245</v>
      </c>
      <c r="K716" s="4">
        <f t="shared" si="56"/>
        <v>1928.001292547365</v>
      </c>
      <c r="L716">
        <v>5</v>
      </c>
    </row>
    <row r="717" spans="1:12" x14ac:dyDescent="0.3">
      <c r="A717" t="s">
        <v>121</v>
      </c>
      <c r="B717" t="s">
        <v>18</v>
      </c>
      <c r="C717" s="4">
        <v>0.45255480399999998</v>
      </c>
      <c r="D717" s="4">
        <v>0.57808694400000005</v>
      </c>
      <c r="E717">
        <v>6</v>
      </c>
      <c r="F717" s="1">
        <v>35.421656050955413</v>
      </c>
      <c r="G717" s="2">
        <f t="shared" si="58"/>
        <v>985.43414126614016</v>
      </c>
      <c r="H717" s="2">
        <f t="shared" si="59"/>
        <v>239.53491605584139</v>
      </c>
      <c r="I717" s="2">
        <f t="shared" si="55"/>
        <v>47906.983211168277</v>
      </c>
      <c r="J717" s="4">
        <f t="shared" si="57"/>
        <v>35.334268065235918</v>
      </c>
      <c r="K717" s="4">
        <f t="shared" si="56"/>
        <v>7066.8536130471839</v>
      </c>
      <c r="L717">
        <v>5</v>
      </c>
    </row>
    <row r="718" spans="1:12" x14ac:dyDescent="0.3">
      <c r="A718" t="s">
        <v>121</v>
      </c>
      <c r="B718" t="s">
        <v>18</v>
      </c>
      <c r="C718" s="4">
        <v>0.45255480399999998</v>
      </c>
      <c r="D718" s="4">
        <v>0.57808694400000005</v>
      </c>
      <c r="E718">
        <v>5</v>
      </c>
      <c r="F718" s="1">
        <v>11.369426751592357</v>
      </c>
      <c r="G718" s="2">
        <f t="shared" si="58"/>
        <v>101.52360189748202</v>
      </c>
      <c r="H718" s="2">
        <f t="shared" si="59"/>
        <v>21.813070269476693</v>
      </c>
      <c r="I718" s="2">
        <f t="shared" si="55"/>
        <v>4362.6140538953387</v>
      </c>
      <c r="J718" s="4">
        <f t="shared" si="57"/>
        <v>11.247817631546919</v>
      </c>
      <c r="K718" s="4">
        <f t="shared" si="56"/>
        <v>2249.5635263093836</v>
      </c>
      <c r="L718">
        <v>5</v>
      </c>
    </row>
    <row r="719" spans="1:12" x14ac:dyDescent="0.3">
      <c r="A719" t="s">
        <v>121</v>
      </c>
      <c r="B719" t="s">
        <v>18</v>
      </c>
      <c r="C719" s="4">
        <v>0.45255480399999998</v>
      </c>
      <c r="D719" s="4">
        <v>0.57808694400000005</v>
      </c>
      <c r="E719">
        <v>5.5</v>
      </c>
      <c r="F719" s="1">
        <v>21.56751592356688</v>
      </c>
      <c r="G719" s="2">
        <f t="shared" si="58"/>
        <v>365.33403713129644</v>
      </c>
      <c r="H719" s="2">
        <f t="shared" si="59"/>
        <v>83.539567578381295</v>
      </c>
      <c r="I719" s="2">
        <f t="shared" si="55"/>
        <v>16707.913515676257</v>
      </c>
      <c r="J719" s="4">
        <f t="shared" si="57"/>
        <v>17.939986554931235</v>
      </c>
      <c r="K719" s="4">
        <f t="shared" si="56"/>
        <v>3587.9973109862467</v>
      </c>
      <c r="L719">
        <v>5</v>
      </c>
    </row>
    <row r="720" spans="1:12" x14ac:dyDescent="0.3">
      <c r="A720" t="s">
        <v>121</v>
      </c>
      <c r="B720" t="s">
        <v>18</v>
      </c>
      <c r="C720" s="4">
        <v>0.45255480399999998</v>
      </c>
      <c r="D720" s="4">
        <v>0.57808694400000005</v>
      </c>
      <c r="E720">
        <v>5</v>
      </c>
      <c r="F720" s="1">
        <v>21.140764331210192</v>
      </c>
      <c r="G720" s="2">
        <f t="shared" si="58"/>
        <v>351.01950638890355</v>
      </c>
      <c r="H720" s="2">
        <f t="shared" si="59"/>
        <v>73.206676451504151</v>
      </c>
      <c r="I720" s="2">
        <f t="shared" si="55"/>
        <v>14641.335290300831</v>
      </c>
      <c r="J720" s="4">
        <f t="shared" si="57"/>
        <v>16.80700853888596</v>
      </c>
      <c r="K720" s="4">
        <f t="shared" si="56"/>
        <v>3361.4017077771919</v>
      </c>
      <c r="L720">
        <v>5</v>
      </c>
    </row>
    <row r="721" spans="1:12" x14ac:dyDescent="0.3">
      <c r="A721" t="s">
        <v>121</v>
      </c>
      <c r="B721" t="s">
        <v>18</v>
      </c>
      <c r="C721" s="4">
        <v>0.45255480399999998</v>
      </c>
      <c r="D721" s="4">
        <v>0.57808694400000005</v>
      </c>
      <c r="E721">
        <v>6</v>
      </c>
      <c r="F721" s="1">
        <v>25.640127388535031</v>
      </c>
      <c r="G721" s="2">
        <f t="shared" si="58"/>
        <v>516.33342305359247</v>
      </c>
      <c r="H721" s="2">
        <f t="shared" si="59"/>
        <v>127.47006237308528</v>
      </c>
      <c r="I721" s="2">
        <f t="shared" si="55"/>
        <v>25494.012474617055</v>
      </c>
      <c r="J721" s="4">
        <f t="shared" si="57"/>
        <v>22.79143878250639</v>
      </c>
      <c r="K721" s="4">
        <f t="shared" si="56"/>
        <v>4558.2877565012777</v>
      </c>
      <c r="L721">
        <v>5</v>
      </c>
    </row>
    <row r="722" spans="1:12" x14ac:dyDescent="0.3">
      <c r="A722" t="s">
        <v>121</v>
      </c>
      <c r="B722" t="s">
        <v>56</v>
      </c>
      <c r="C722" s="4">
        <v>0.39984676499999999</v>
      </c>
      <c r="D722" s="4">
        <v>0.450333333</v>
      </c>
      <c r="E722">
        <v>8</v>
      </c>
      <c r="F722" s="1">
        <v>44.068789808917195</v>
      </c>
      <c r="G722" s="2">
        <f t="shared" si="58"/>
        <v>1525.28897115466</v>
      </c>
      <c r="H722" s="2">
        <f t="shared" si="59"/>
        <v>380.73615696613865</v>
      </c>
      <c r="I722" s="2">
        <f t="shared" si="55"/>
        <v>76147.231393227732</v>
      </c>
      <c r="J722" s="4">
        <f t="shared" si="57"/>
        <v>63.363330586230674</v>
      </c>
      <c r="K722" s="4">
        <f t="shared" si="56"/>
        <v>12672.666117246135</v>
      </c>
      <c r="L722">
        <v>5</v>
      </c>
    </row>
    <row r="723" spans="1:12" x14ac:dyDescent="0.3">
      <c r="A723" t="s">
        <v>121</v>
      </c>
      <c r="B723" t="s">
        <v>56</v>
      </c>
      <c r="C723" s="4">
        <v>0.39984676499999999</v>
      </c>
      <c r="D723" s="4">
        <v>0.450333333</v>
      </c>
      <c r="E723">
        <v>9</v>
      </c>
      <c r="F723" s="1">
        <v>54.057961783439488</v>
      </c>
      <c r="G723" s="2">
        <f t="shared" si="58"/>
        <v>2295.140175517909</v>
      </c>
      <c r="H723" s="2">
        <f t="shared" si="59"/>
        <v>636.42480617984609</v>
      </c>
      <c r="I723" s="2">
        <f t="shared" si="55"/>
        <v>127284.96123596921</v>
      </c>
      <c r="J723" s="4">
        <f t="shared" si="57"/>
        <v>101.03699181366383</v>
      </c>
      <c r="K723" s="4">
        <f t="shared" si="56"/>
        <v>20207.398362732765</v>
      </c>
      <c r="L723">
        <v>5</v>
      </c>
    </row>
    <row r="724" spans="1:12" x14ac:dyDescent="0.3">
      <c r="A724" t="s">
        <v>121</v>
      </c>
      <c r="B724" t="s">
        <v>122</v>
      </c>
      <c r="C724" s="4">
        <v>0.85750000000000004</v>
      </c>
      <c r="D724" s="4">
        <v>0.61247410899999999</v>
      </c>
      <c r="E724">
        <v>7</v>
      </c>
      <c r="F724" s="1">
        <v>78.634394904458588</v>
      </c>
      <c r="G724" s="2">
        <f t="shared" si="58"/>
        <v>4856.4059194976544</v>
      </c>
      <c r="H724" s="2">
        <f t="shared" si="59"/>
        <v>1397.2176924168739</v>
      </c>
      <c r="I724" s="2">
        <f t="shared" si="55"/>
        <v>279443.53848337481</v>
      </c>
      <c r="J724" s="4">
        <f t="shared" si="57"/>
        <v>160.47821751876339</v>
      </c>
      <c r="K724" s="4">
        <f t="shared" si="56"/>
        <v>32095.643503752675</v>
      </c>
      <c r="L724">
        <v>5</v>
      </c>
    </row>
    <row r="725" spans="1:12" x14ac:dyDescent="0.3">
      <c r="A725" t="s">
        <v>121</v>
      </c>
      <c r="B725" t="s">
        <v>119</v>
      </c>
      <c r="C725" s="4">
        <v>0.432770245</v>
      </c>
      <c r="D725" s="4">
        <v>0.61247410899999999</v>
      </c>
      <c r="E725">
        <v>5</v>
      </c>
      <c r="F725" s="1">
        <v>9.7133757961783438</v>
      </c>
      <c r="G725" s="2">
        <f t="shared" si="58"/>
        <v>74.102057030759482</v>
      </c>
      <c r="H725" s="2">
        <f t="shared" si="59"/>
        <v>16.972820988755007</v>
      </c>
      <c r="I725" s="2">
        <f t="shared" si="55"/>
        <v>3394.5641977510013</v>
      </c>
      <c r="J725" s="4">
        <f t="shared" si="57"/>
        <v>10.636819213761207</v>
      </c>
      <c r="K725" s="4">
        <f t="shared" si="56"/>
        <v>2127.3638427522415</v>
      </c>
      <c r="L725">
        <v>5</v>
      </c>
    </row>
    <row r="726" spans="1:12" x14ac:dyDescent="0.3">
      <c r="A726" t="s">
        <v>121</v>
      </c>
      <c r="B726" t="s">
        <v>73</v>
      </c>
      <c r="C726" s="4">
        <v>0.39</v>
      </c>
      <c r="D726" s="4">
        <v>0.28861111099999998</v>
      </c>
      <c r="E726">
        <v>6</v>
      </c>
      <c r="F726" s="1">
        <v>18.754140127388535</v>
      </c>
      <c r="G726" s="2">
        <f t="shared" si="58"/>
        <v>276.23849209842371</v>
      </c>
      <c r="H726" s="2">
        <f t="shared" si="59"/>
        <v>35.143245622510541</v>
      </c>
      <c r="I726" s="2">
        <f t="shared" si="55"/>
        <v>7028.649124502108</v>
      </c>
      <c r="J726" s="4">
        <f t="shared" si="57"/>
        <v>16.371773210272224</v>
      </c>
      <c r="K726" s="4">
        <f t="shared" si="56"/>
        <v>3274.3546420544449</v>
      </c>
      <c r="L726">
        <v>5</v>
      </c>
    </row>
    <row r="727" spans="1:12" x14ac:dyDescent="0.3">
      <c r="A727" t="s">
        <v>121</v>
      </c>
      <c r="B727" t="s">
        <v>28</v>
      </c>
      <c r="C727" s="4">
        <v>0.48464433800000001</v>
      </c>
      <c r="D727" s="4">
        <v>0.62688577999999995</v>
      </c>
      <c r="E727">
        <v>5</v>
      </c>
      <c r="F727" s="1">
        <v>67.557961783439495</v>
      </c>
      <c r="G727" s="2">
        <f t="shared" si="58"/>
        <v>3584.6186361436112</v>
      </c>
      <c r="H727" s="2">
        <f t="shared" si="59"/>
        <v>765.23405333008623</v>
      </c>
      <c r="I727" s="2">
        <f t="shared" si="55"/>
        <v>153046.81066601723</v>
      </c>
      <c r="J727" s="4">
        <f t="shared" si="57"/>
        <v>88.857068505821744</v>
      </c>
      <c r="K727" s="4">
        <f t="shared" si="56"/>
        <v>17771.413701164351</v>
      </c>
      <c r="L727">
        <v>5</v>
      </c>
    </row>
    <row r="728" spans="1:12" x14ac:dyDescent="0.3">
      <c r="A728" t="s">
        <v>121</v>
      </c>
      <c r="B728" t="s">
        <v>120</v>
      </c>
      <c r="C728" s="4">
        <v>0.98708677300000003</v>
      </c>
      <c r="D728" s="4">
        <v>0.60285714300000004</v>
      </c>
      <c r="E728">
        <v>7</v>
      </c>
      <c r="F728" s="1">
        <v>5.5414012738853495</v>
      </c>
      <c r="G728" s="2">
        <f t="shared" si="58"/>
        <v>24.117321995842772</v>
      </c>
      <c r="H728" s="2">
        <f t="shared" si="59"/>
        <v>7.7600670915249443</v>
      </c>
      <c r="I728" s="2">
        <f t="shared" si="55"/>
        <v>1552.013418304989</v>
      </c>
      <c r="J728" s="4">
        <f t="shared" si="57"/>
        <v>9.7380246379163449</v>
      </c>
      <c r="K728" s="4">
        <f t="shared" si="56"/>
        <v>1947.604927583269</v>
      </c>
      <c r="L728">
        <v>5</v>
      </c>
    </row>
    <row r="729" spans="1:12" x14ac:dyDescent="0.3">
      <c r="A729" t="s">
        <v>121</v>
      </c>
      <c r="B729" t="s">
        <v>109</v>
      </c>
      <c r="C729" s="4">
        <v>0.470857311</v>
      </c>
      <c r="D729" s="4">
        <v>0.375</v>
      </c>
      <c r="E729">
        <v>5</v>
      </c>
      <c r="F729" s="1">
        <v>61.340764331210188</v>
      </c>
      <c r="G729" s="2">
        <f t="shared" si="58"/>
        <v>2955.2093196411975</v>
      </c>
      <c r="H729" s="2">
        <f t="shared" si="59"/>
        <v>383.84042483622329</v>
      </c>
      <c r="I729" s="2">
        <f t="shared" si="55"/>
        <v>76768.084967244664</v>
      </c>
      <c r="J729" s="4">
        <f t="shared" si="57"/>
        <v>74.832763952898688</v>
      </c>
      <c r="K729" s="4">
        <f t="shared" si="56"/>
        <v>14966.552790579739</v>
      </c>
      <c r="L729">
        <v>5</v>
      </c>
    </row>
    <row r="730" spans="1:12" x14ac:dyDescent="0.3">
      <c r="A730" t="s">
        <v>121</v>
      </c>
      <c r="B730" t="s">
        <v>94</v>
      </c>
      <c r="C730" s="4">
        <v>0.28577490700000002</v>
      </c>
      <c r="D730" s="4">
        <v>0.3422</v>
      </c>
      <c r="E730">
        <v>6</v>
      </c>
      <c r="F730" s="1">
        <v>6.8471337579617835</v>
      </c>
      <c r="G730" s="2">
        <f t="shared" si="58"/>
        <v>36.822011139444854</v>
      </c>
      <c r="H730" s="2">
        <f t="shared" si="59"/>
        <v>5.8057879598449702</v>
      </c>
      <c r="I730" s="2">
        <f t="shared" si="55"/>
        <v>1161.157591968994</v>
      </c>
      <c r="J730" s="4">
        <f t="shared" si="57"/>
        <v>9.9702480546878167</v>
      </c>
      <c r="K730" s="4">
        <f t="shared" si="56"/>
        <v>1994.0496109375631</v>
      </c>
      <c r="L730">
        <v>5</v>
      </c>
    </row>
    <row r="731" spans="1:12" x14ac:dyDescent="0.3">
      <c r="A731" t="s">
        <v>123</v>
      </c>
      <c r="B731" t="s">
        <v>75</v>
      </c>
      <c r="C731" s="4">
        <v>0.86</v>
      </c>
      <c r="D731" s="4">
        <v>0.65666666699999998</v>
      </c>
      <c r="E731">
        <v>8</v>
      </c>
      <c r="F731" s="1">
        <v>13.535031847133757</v>
      </c>
      <c r="G731" s="2">
        <f t="shared" si="58"/>
        <v>143.88265575039969</v>
      </c>
      <c r="H731" s="2">
        <f t="shared" si="59"/>
        <v>54.924751702683182</v>
      </c>
      <c r="I731" s="2">
        <f t="shared" si="55"/>
        <v>10984.950340536638</v>
      </c>
      <c r="J731" s="4">
        <f t="shared" si="57"/>
        <v>14.1152184388819</v>
      </c>
      <c r="K731" s="4">
        <f t="shared" si="56"/>
        <v>2823.04368777638</v>
      </c>
      <c r="L731">
        <v>5</v>
      </c>
    </row>
    <row r="732" spans="1:12" x14ac:dyDescent="0.3">
      <c r="A732" t="s">
        <v>123</v>
      </c>
      <c r="B732" t="s">
        <v>60</v>
      </c>
      <c r="C732" s="4">
        <v>0.41</v>
      </c>
      <c r="D732" s="4">
        <v>0.33983503399999998</v>
      </c>
      <c r="E732">
        <v>7</v>
      </c>
      <c r="F732" s="1">
        <v>5.1910828025477711</v>
      </c>
      <c r="G732" s="2">
        <f t="shared" si="58"/>
        <v>21.164391865092711</v>
      </c>
      <c r="H732" s="2">
        <f t="shared" si="59"/>
        <v>3.90419944376568</v>
      </c>
      <c r="I732" s="2">
        <f t="shared" si="55"/>
        <v>780.83988875313594</v>
      </c>
      <c r="J732" s="4">
        <f t="shared" si="57"/>
        <v>9.645909846241226</v>
      </c>
      <c r="K732" s="4">
        <f t="shared" si="56"/>
        <v>1929.1819692482452</v>
      </c>
      <c r="L732">
        <v>5</v>
      </c>
    </row>
    <row r="733" spans="1:12" x14ac:dyDescent="0.3">
      <c r="A733" t="s">
        <v>123</v>
      </c>
      <c r="B733" t="s">
        <v>124</v>
      </c>
      <c r="C733" s="4">
        <v>0.64800000000000002</v>
      </c>
      <c r="D733" s="4">
        <v>0.66733333299999997</v>
      </c>
      <c r="E733">
        <v>7</v>
      </c>
      <c r="F733" s="1">
        <v>8.6942675159235669</v>
      </c>
      <c r="G733" s="2">
        <f t="shared" si="58"/>
        <v>59.368473081918566</v>
      </c>
      <c r="H733" s="2">
        <f t="shared" si="59"/>
        <v>20.642968783980272</v>
      </c>
      <c r="I733" s="2">
        <f t="shared" si="55"/>
        <v>4128.5937567960545</v>
      </c>
      <c r="J733" s="4">
        <f t="shared" si="57"/>
        <v>10.837662047141873</v>
      </c>
      <c r="K733" s="4">
        <f t="shared" si="56"/>
        <v>2167.5324094283742</v>
      </c>
      <c r="L733">
        <v>5</v>
      </c>
    </row>
    <row r="734" spans="1:12" x14ac:dyDescent="0.3">
      <c r="A734" t="s">
        <v>123</v>
      </c>
      <c r="B734" t="s">
        <v>85</v>
      </c>
      <c r="C734" s="4">
        <v>0.6</v>
      </c>
      <c r="D734" s="4">
        <v>0.66674999999999995</v>
      </c>
      <c r="E734">
        <v>6</v>
      </c>
      <c r="F734" s="1">
        <v>8.1847133757961785</v>
      </c>
      <c r="G734" s="2">
        <f t="shared" si="58"/>
        <v>52.613456219560696</v>
      </c>
      <c r="H734" s="2">
        <f t="shared" si="59"/>
        <v>15.771078015209122</v>
      </c>
      <c r="I734" s="2">
        <f t="shared" si="55"/>
        <v>3154.2156030418246</v>
      </c>
      <c r="J734" s="4">
        <f t="shared" si="57"/>
        <v>10.392480193922674</v>
      </c>
      <c r="K734" s="4">
        <f t="shared" si="56"/>
        <v>2078.4960387845349</v>
      </c>
      <c r="L734">
        <v>5</v>
      </c>
    </row>
    <row r="735" spans="1:12" x14ac:dyDescent="0.3">
      <c r="A735" t="s">
        <v>123</v>
      </c>
      <c r="B735" t="s">
        <v>113</v>
      </c>
      <c r="C735" s="4">
        <v>0.6</v>
      </c>
      <c r="D735" s="4">
        <v>0.51040266700000003</v>
      </c>
      <c r="E735">
        <v>8</v>
      </c>
      <c r="F735" s="1">
        <v>37.028662420382162</v>
      </c>
      <c r="G735" s="2">
        <f t="shared" si="58"/>
        <v>1076.8765754348442</v>
      </c>
      <c r="H735" s="2">
        <f t="shared" si="59"/>
        <v>306.29516386915117</v>
      </c>
      <c r="I735" s="2">
        <f t="shared" si="55"/>
        <v>61259.032773830229</v>
      </c>
      <c r="J735" s="4">
        <f t="shared" si="57"/>
        <v>47.377111537993422</v>
      </c>
      <c r="K735" s="4">
        <f t="shared" si="56"/>
        <v>9475.4223075986847</v>
      </c>
      <c r="L735">
        <v>5</v>
      </c>
    </row>
    <row r="736" spans="1:12" x14ac:dyDescent="0.3">
      <c r="A736" t="s">
        <v>123</v>
      </c>
      <c r="B736" t="s">
        <v>125</v>
      </c>
      <c r="C736" s="4">
        <v>0.51642601200000005</v>
      </c>
      <c r="D736" s="4">
        <v>0.60835714299999999</v>
      </c>
      <c r="E736">
        <v>4</v>
      </c>
      <c r="F736" s="1">
        <v>3.9808917197452227</v>
      </c>
      <c r="G736" s="2">
        <f t="shared" si="58"/>
        <v>12.446596518200664</v>
      </c>
      <c r="H736" s="2">
        <f t="shared" si="59"/>
        <v>2.3775304788550691</v>
      </c>
      <c r="I736" s="2">
        <f t="shared" si="55"/>
        <v>475.50609577101375</v>
      </c>
      <c r="J736" s="4">
        <f t="shared" si="57"/>
        <v>9.2075649843807046</v>
      </c>
      <c r="K736" s="4">
        <f t="shared" si="56"/>
        <v>1841.5129968761407</v>
      </c>
      <c r="L736">
        <v>5</v>
      </c>
    </row>
    <row r="737" spans="1:12" x14ac:dyDescent="0.3">
      <c r="A737" t="s">
        <v>123</v>
      </c>
      <c r="B737" t="s">
        <v>126</v>
      </c>
      <c r="C737" s="4">
        <v>0.490852183</v>
      </c>
      <c r="D737" s="4">
        <v>0.607288889</v>
      </c>
      <c r="E737">
        <v>4</v>
      </c>
      <c r="F737" s="1">
        <v>3.9490445859872612</v>
      </c>
      <c r="G737" s="2">
        <f t="shared" si="58"/>
        <v>12.248247556086621</v>
      </c>
      <c r="H737" s="2">
        <f t="shared" si="59"/>
        <v>2.3365330014311816</v>
      </c>
      <c r="I737" s="2">
        <f t="shared" si="55"/>
        <v>467.30660028623635</v>
      </c>
      <c r="J737" s="4">
        <f t="shared" si="57"/>
        <v>9.2040293439896139</v>
      </c>
      <c r="K737" s="4">
        <f t="shared" si="56"/>
        <v>1840.8058687979228</v>
      </c>
      <c r="L737">
        <v>5</v>
      </c>
    </row>
    <row r="738" spans="1:12" x14ac:dyDescent="0.3">
      <c r="A738" t="s">
        <v>123</v>
      </c>
      <c r="B738" t="s">
        <v>126</v>
      </c>
      <c r="C738" s="4">
        <v>0.490852183</v>
      </c>
      <c r="D738" s="4">
        <v>0.607288889</v>
      </c>
      <c r="E738">
        <v>5</v>
      </c>
      <c r="F738" s="1">
        <v>4.6178343949044587</v>
      </c>
      <c r="G738" s="2">
        <f t="shared" si="58"/>
        <v>16.748140274890819</v>
      </c>
      <c r="H738" s="2">
        <f t="shared" si="59"/>
        <v>3.9426416279145227</v>
      </c>
      <c r="I738" s="2">
        <f t="shared" si="55"/>
        <v>788.52832558290459</v>
      </c>
      <c r="J738" s="4">
        <f t="shared" si="57"/>
        <v>9.3588769037283459</v>
      </c>
      <c r="K738" s="4">
        <f t="shared" si="56"/>
        <v>1871.7753807456691</v>
      </c>
      <c r="L738">
        <v>5</v>
      </c>
    </row>
    <row r="739" spans="1:12" x14ac:dyDescent="0.3">
      <c r="A739" t="s">
        <v>123</v>
      </c>
      <c r="B739" t="s">
        <v>18</v>
      </c>
      <c r="C739" s="4">
        <v>0.45255480399999998</v>
      </c>
      <c r="D739" s="4">
        <v>0.57808694400000005</v>
      </c>
      <c r="E739">
        <v>9</v>
      </c>
      <c r="F739" s="1">
        <v>103.62165605095541</v>
      </c>
      <c r="G739" s="2">
        <f t="shared" si="58"/>
        <v>8433.1716267702959</v>
      </c>
      <c r="H739" s="2">
        <f t="shared" si="59"/>
        <v>2892.1479826513792</v>
      </c>
      <c r="I739" s="2">
        <f t="shared" si="55"/>
        <v>578429.59653027577</v>
      </c>
      <c r="J739" s="4">
        <f t="shared" si="57"/>
        <v>347.21529948638891</v>
      </c>
      <c r="K739" s="4">
        <f t="shared" si="56"/>
        <v>69443.059897277781</v>
      </c>
      <c r="L739">
        <v>5</v>
      </c>
    </row>
    <row r="740" spans="1:12" x14ac:dyDescent="0.3">
      <c r="A740" t="s">
        <v>123</v>
      </c>
      <c r="B740" t="s">
        <v>18</v>
      </c>
      <c r="C740" s="4">
        <v>0.45255480399999998</v>
      </c>
      <c r="D740" s="4">
        <v>0.57808694400000005</v>
      </c>
      <c r="E740">
        <v>10</v>
      </c>
      <c r="F740" s="1">
        <v>114.11210191082803</v>
      </c>
      <c r="G740" s="2">
        <f t="shared" si="58"/>
        <v>10227.118578237156</v>
      </c>
      <c r="H740" s="2">
        <f t="shared" si="59"/>
        <v>3869.2953155607574</v>
      </c>
      <c r="I740" s="2">
        <f t="shared" si="55"/>
        <v>773859.06311215158</v>
      </c>
      <c r="J740" s="4">
        <f t="shared" si="57"/>
        <v>464.74071308775211</v>
      </c>
      <c r="K740" s="4">
        <f t="shared" si="56"/>
        <v>92948.142617550417</v>
      </c>
      <c r="L740">
        <v>5</v>
      </c>
    </row>
    <row r="741" spans="1:12" x14ac:dyDescent="0.3">
      <c r="A741" t="s">
        <v>123</v>
      </c>
      <c r="B741" t="s">
        <v>56</v>
      </c>
      <c r="C741" s="4">
        <v>0.39984676499999999</v>
      </c>
      <c r="D741" s="4">
        <v>0.450333333</v>
      </c>
      <c r="E741">
        <v>9</v>
      </c>
      <c r="F741" s="1">
        <v>20.445859872611464</v>
      </c>
      <c r="G741" s="2">
        <f t="shared" si="58"/>
        <v>328.3224964689702</v>
      </c>
      <c r="H741" s="2">
        <f t="shared" si="59"/>
        <v>95.390852687955942</v>
      </c>
      <c r="I741" s="2">
        <f t="shared" si="55"/>
        <v>19078.170537591188</v>
      </c>
      <c r="J741" s="4">
        <f t="shared" si="57"/>
        <v>22.153745356809605</v>
      </c>
      <c r="K741" s="4">
        <f t="shared" si="56"/>
        <v>4430.7490713619209</v>
      </c>
      <c r="L741">
        <v>5</v>
      </c>
    </row>
    <row r="742" spans="1:12" x14ac:dyDescent="0.3">
      <c r="A742" t="s">
        <v>123</v>
      </c>
      <c r="B742" t="s">
        <v>39</v>
      </c>
      <c r="C742" s="4">
        <v>0.590536375</v>
      </c>
      <c r="D742" s="4">
        <v>0.61247410899999999</v>
      </c>
      <c r="E742">
        <v>7</v>
      </c>
      <c r="F742" s="1">
        <v>52.821019108280254</v>
      </c>
      <c r="G742" s="2">
        <f t="shared" si="58"/>
        <v>2191.3080466077167</v>
      </c>
      <c r="H742" s="2">
        <f t="shared" si="59"/>
        <v>642.60959684930765</v>
      </c>
      <c r="I742" s="2">
        <f t="shared" si="55"/>
        <v>128521.91936986153</v>
      </c>
      <c r="J742" s="4">
        <f t="shared" si="57"/>
        <v>77.342171461114035</v>
      </c>
      <c r="K742" s="4">
        <f t="shared" si="56"/>
        <v>15468.434292222806</v>
      </c>
      <c r="L742">
        <v>5</v>
      </c>
    </row>
    <row r="743" spans="1:12" x14ac:dyDescent="0.3">
      <c r="A743" t="s">
        <v>123</v>
      </c>
      <c r="B743" t="s">
        <v>28</v>
      </c>
      <c r="C743" s="4">
        <v>0.48464433800000001</v>
      </c>
      <c r="D743" s="4">
        <v>0.62688577999999995</v>
      </c>
      <c r="E743">
        <v>7</v>
      </c>
      <c r="F743" s="1">
        <v>10</v>
      </c>
      <c r="G743" s="2">
        <f t="shared" si="58"/>
        <v>78.539816339744831</v>
      </c>
      <c r="H743" s="2">
        <f t="shared" si="59"/>
        <v>25.520351269072634</v>
      </c>
      <c r="I743" s="2">
        <f t="shared" si="55"/>
        <v>5104.070253814527</v>
      </c>
      <c r="J743" s="4">
        <f t="shared" si="57"/>
        <v>11.435700000000001</v>
      </c>
      <c r="K743" s="4">
        <f t="shared" si="56"/>
        <v>2287.1400000000003</v>
      </c>
      <c r="L743">
        <v>5</v>
      </c>
    </row>
    <row r="744" spans="1:12" x14ac:dyDescent="0.3">
      <c r="A744" t="s">
        <v>123</v>
      </c>
      <c r="B744" t="s">
        <v>47</v>
      </c>
      <c r="C744" s="4">
        <v>0.40238543599999999</v>
      </c>
      <c r="D744" s="4">
        <v>0.40883333300000002</v>
      </c>
      <c r="E744">
        <v>6</v>
      </c>
      <c r="F744" s="1">
        <v>10.318471337579616</v>
      </c>
      <c r="G744" s="2">
        <f t="shared" si="58"/>
        <v>83.622010630056508</v>
      </c>
      <c r="H744" s="2">
        <f t="shared" si="59"/>
        <v>15.379317320992111</v>
      </c>
      <c r="I744" s="2">
        <f t="shared" si="55"/>
        <v>3075.8634641984222</v>
      </c>
      <c r="J744" s="4">
        <f t="shared" si="57"/>
        <v>11.221587865633493</v>
      </c>
      <c r="K744" s="4">
        <f t="shared" si="56"/>
        <v>2244.3175731266988</v>
      </c>
      <c r="L744">
        <v>5</v>
      </c>
    </row>
    <row r="745" spans="1:12" x14ac:dyDescent="0.3">
      <c r="A745" t="s">
        <v>123</v>
      </c>
      <c r="B745" t="s">
        <v>47</v>
      </c>
      <c r="C745" s="4">
        <v>0.40238543599999999</v>
      </c>
      <c r="D745" s="4">
        <v>0.40883333300000002</v>
      </c>
      <c r="E745">
        <v>8</v>
      </c>
      <c r="F745" s="1">
        <v>11.687898089171975</v>
      </c>
      <c r="G745" s="2">
        <f t="shared" si="58"/>
        <v>107.29085686015551</v>
      </c>
      <c r="H745" s="2">
        <f t="shared" si="59"/>
        <v>25.97296691096912</v>
      </c>
      <c r="I745" s="2">
        <f t="shared" si="55"/>
        <v>5194.5933821938243</v>
      </c>
      <c r="J745" s="4">
        <f t="shared" si="57"/>
        <v>12.810694928800357</v>
      </c>
      <c r="K745" s="4">
        <f t="shared" si="56"/>
        <v>2562.1389857600716</v>
      </c>
      <c r="L745">
        <v>5</v>
      </c>
    </row>
    <row r="746" spans="1:12" x14ac:dyDescent="0.3">
      <c r="A746" t="s">
        <v>123</v>
      </c>
      <c r="B746" t="s">
        <v>47</v>
      </c>
      <c r="C746" s="4">
        <v>0.40238543599999999</v>
      </c>
      <c r="D746" s="4">
        <v>0.40883333300000002</v>
      </c>
      <c r="E746">
        <v>7</v>
      </c>
      <c r="F746" s="1">
        <v>12.579617834394904</v>
      </c>
      <c r="G746" s="2">
        <f t="shared" si="58"/>
        <v>124.28673419214456</v>
      </c>
      <c r="H746" s="2">
        <f t="shared" si="59"/>
        <v>26.317873507690436</v>
      </c>
      <c r="I746" s="2">
        <f t="shared" si="55"/>
        <v>5263.5747015380875</v>
      </c>
      <c r="J746" s="4">
        <f t="shared" si="57"/>
        <v>12.862746229055944</v>
      </c>
      <c r="K746" s="4">
        <f t="shared" si="56"/>
        <v>2572.5492458111885</v>
      </c>
      <c r="L746">
        <v>5</v>
      </c>
    </row>
    <row r="747" spans="1:12" x14ac:dyDescent="0.3">
      <c r="A747" t="s">
        <v>127</v>
      </c>
      <c r="B747" t="s">
        <v>51</v>
      </c>
      <c r="C747" s="4">
        <v>0.40257753800000001</v>
      </c>
      <c r="D747" s="4">
        <v>0.40843333300000001</v>
      </c>
      <c r="E747">
        <v>8</v>
      </c>
      <c r="F747" s="1">
        <v>11.942675159235668</v>
      </c>
      <c r="G747" s="2">
        <f t="shared" si="58"/>
        <v>112.01936866380598</v>
      </c>
      <c r="H747" s="2">
        <f t="shared" si="59"/>
        <v>27.063721971458278</v>
      </c>
      <c r="I747" s="2">
        <f t="shared" si="55"/>
        <v>5412.7443942916561</v>
      </c>
      <c r="J747" s="4">
        <f t="shared" si="57"/>
        <v>12.979269718852692</v>
      </c>
      <c r="K747" s="4">
        <f t="shared" si="56"/>
        <v>2595.8539437705381</v>
      </c>
      <c r="L747">
        <v>5</v>
      </c>
    </row>
    <row r="748" spans="1:12" x14ac:dyDescent="0.3">
      <c r="A748" t="s">
        <v>127</v>
      </c>
      <c r="B748" t="s">
        <v>69</v>
      </c>
      <c r="C748" s="4">
        <v>0.31264018999999998</v>
      </c>
      <c r="D748" s="4">
        <v>0.356821212</v>
      </c>
      <c r="E748">
        <v>4.5</v>
      </c>
      <c r="F748" s="1">
        <v>12.834394904458597</v>
      </c>
      <c r="G748" s="2">
        <f t="shared" si="58"/>
        <v>129.37211481116489</v>
      </c>
      <c r="H748" s="2">
        <f t="shared" si="59"/>
        <v>15.570089278041378</v>
      </c>
      <c r="I748" s="2">
        <f t="shared" si="55"/>
        <v>3114.0178556082756</v>
      </c>
      <c r="J748" s="4">
        <f t="shared" si="57"/>
        <v>11.580066657876586</v>
      </c>
      <c r="K748" s="4">
        <f t="shared" si="56"/>
        <v>2316.0133315753169</v>
      </c>
      <c r="L748">
        <v>5</v>
      </c>
    </row>
    <row r="749" spans="1:12" x14ac:dyDescent="0.3">
      <c r="A749" t="s">
        <v>127</v>
      </c>
      <c r="B749" t="s">
        <v>124</v>
      </c>
      <c r="C749" s="4">
        <v>0.64800000000000002</v>
      </c>
      <c r="D749" s="4">
        <v>0.66733333299999997</v>
      </c>
      <c r="E749">
        <v>7</v>
      </c>
      <c r="F749" s="1">
        <v>9.1082802547770694</v>
      </c>
      <c r="G749" s="2">
        <f t="shared" si="58"/>
        <v>65.157235763375468</v>
      </c>
      <c r="H749" s="2">
        <f t="shared" si="59"/>
        <v>22.605242247233235</v>
      </c>
      <c r="I749" s="2">
        <f t="shared" si="55"/>
        <v>4521.0484494466473</v>
      </c>
      <c r="J749" s="4">
        <f t="shared" si="57"/>
        <v>11.018238845389265</v>
      </c>
      <c r="K749" s="4">
        <f t="shared" si="56"/>
        <v>2203.6477690778529</v>
      </c>
      <c r="L749">
        <v>5</v>
      </c>
    </row>
    <row r="750" spans="1:12" x14ac:dyDescent="0.3">
      <c r="A750" t="s">
        <v>127</v>
      </c>
      <c r="B750" t="s">
        <v>115</v>
      </c>
      <c r="C750" s="4">
        <v>0.56572270000000002</v>
      </c>
      <c r="D750" s="4">
        <v>0.61247410899999999</v>
      </c>
      <c r="E750">
        <v>8</v>
      </c>
      <c r="F750" s="1">
        <v>31.370063694267515</v>
      </c>
      <c r="G750" s="2">
        <f t="shared" si="58"/>
        <v>772.89532849617251</v>
      </c>
      <c r="H750" s="2">
        <f t="shared" si="59"/>
        <v>264.7442779426911</v>
      </c>
      <c r="I750" s="2">
        <f t="shared" si="55"/>
        <v>52948.855588538223</v>
      </c>
      <c r="J750" s="4">
        <f t="shared" si="57"/>
        <v>36.53996509310722</v>
      </c>
      <c r="K750" s="4">
        <f t="shared" si="56"/>
        <v>7307.9930186214433</v>
      </c>
      <c r="L750">
        <v>5</v>
      </c>
    </row>
    <row r="751" spans="1:12" x14ac:dyDescent="0.3">
      <c r="A751" t="s">
        <v>127</v>
      </c>
      <c r="B751" t="s">
        <v>113</v>
      </c>
      <c r="C751" s="4">
        <v>0.6</v>
      </c>
      <c r="D751" s="4">
        <v>0.51040266700000003</v>
      </c>
      <c r="E751">
        <v>6</v>
      </c>
      <c r="F751" s="1">
        <v>80.32101910828024</v>
      </c>
      <c r="G751" s="2">
        <f t="shared" si="58"/>
        <v>5066.9696344804015</v>
      </c>
      <c r="H751" s="2">
        <f t="shared" si="59"/>
        <v>1048.6735817764752</v>
      </c>
      <c r="I751" s="2">
        <f t="shared" si="55"/>
        <v>209734.71635529507</v>
      </c>
      <c r="J751" s="4">
        <f t="shared" si="57"/>
        <v>144.46648832244713</v>
      </c>
      <c r="K751" s="4">
        <f t="shared" si="56"/>
        <v>28893.29766448943</v>
      </c>
      <c r="L751">
        <v>5</v>
      </c>
    </row>
    <row r="752" spans="1:12" x14ac:dyDescent="0.3">
      <c r="A752" t="s">
        <v>127</v>
      </c>
      <c r="B752" t="s">
        <v>126</v>
      </c>
      <c r="C752" s="4">
        <v>0.490852183</v>
      </c>
      <c r="D752" s="4">
        <v>0.607288889</v>
      </c>
      <c r="E752">
        <v>6</v>
      </c>
      <c r="F752" s="1">
        <v>6.7515923566878975</v>
      </c>
      <c r="G752" s="2">
        <f t="shared" si="58"/>
        <v>35.801589370496679</v>
      </c>
      <c r="H752" s="2">
        <f t="shared" si="59"/>
        <v>9.8874763874812128</v>
      </c>
      <c r="I752" s="2">
        <f t="shared" si="55"/>
        <v>1977.4952774962426</v>
      </c>
      <c r="J752" s="4">
        <f t="shared" si="57"/>
        <v>9.9429639863686141</v>
      </c>
      <c r="K752" s="4">
        <f t="shared" si="56"/>
        <v>1988.5927972737227</v>
      </c>
      <c r="L752">
        <v>5</v>
      </c>
    </row>
    <row r="753" spans="1:12" x14ac:dyDescent="0.3">
      <c r="A753" t="s">
        <v>127</v>
      </c>
      <c r="B753" t="s">
        <v>18</v>
      </c>
      <c r="C753" s="4">
        <v>0.45255480399999998</v>
      </c>
      <c r="D753" s="4">
        <v>0.57808694400000005</v>
      </c>
      <c r="E753">
        <v>6</v>
      </c>
      <c r="F753" s="1">
        <v>19.962420382165604</v>
      </c>
      <c r="G753" s="2">
        <f t="shared" si="58"/>
        <v>312.97977600687028</v>
      </c>
      <c r="H753" s="2">
        <f t="shared" si="59"/>
        <v>78.200975450462707</v>
      </c>
      <c r="I753" s="2">
        <f t="shared" si="55"/>
        <v>15640.19509009254</v>
      </c>
      <c r="J753" s="4">
        <f t="shared" si="57"/>
        <v>17.354162777800312</v>
      </c>
      <c r="K753" s="4">
        <f t="shared" si="56"/>
        <v>3470.8325555600627</v>
      </c>
      <c r="L753">
        <v>5</v>
      </c>
    </row>
    <row r="754" spans="1:12" x14ac:dyDescent="0.3">
      <c r="A754" t="s">
        <v>127</v>
      </c>
      <c r="B754" t="s">
        <v>18</v>
      </c>
      <c r="C754" s="4">
        <v>0.45255480399999998</v>
      </c>
      <c r="D754" s="4">
        <v>0.57808694400000005</v>
      </c>
      <c r="E754">
        <v>7</v>
      </c>
      <c r="F754" s="1">
        <v>29.359872611464969</v>
      </c>
      <c r="G754" s="2">
        <f t="shared" si="58"/>
        <v>677.01488170535072</v>
      </c>
      <c r="H754" s="2">
        <f t="shared" si="59"/>
        <v>193.01551068577083</v>
      </c>
      <c r="I754" s="2">
        <f t="shared" si="55"/>
        <v>38603.102137154165</v>
      </c>
      <c r="J754" s="4">
        <f t="shared" si="57"/>
        <v>30.104751934155544</v>
      </c>
      <c r="K754" s="4">
        <f t="shared" si="56"/>
        <v>6020.9503868311094</v>
      </c>
      <c r="L754">
        <v>5</v>
      </c>
    </row>
    <row r="755" spans="1:12" x14ac:dyDescent="0.3">
      <c r="A755" t="s">
        <v>127</v>
      </c>
      <c r="B755" t="s">
        <v>56</v>
      </c>
      <c r="C755" s="4">
        <v>0.39984676499999999</v>
      </c>
      <c r="D755" s="4">
        <v>0.450333333</v>
      </c>
      <c r="E755">
        <v>8</v>
      </c>
      <c r="F755" s="1">
        <v>19.840764331210188</v>
      </c>
      <c r="G755" s="2">
        <f t="shared" si="58"/>
        <v>309.17664384081314</v>
      </c>
      <c r="H755" s="2">
        <f t="shared" si="59"/>
        <v>80.188882506712957</v>
      </c>
      <c r="I755" s="2">
        <f t="shared" si="55"/>
        <v>16037.776501342591</v>
      </c>
      <c r="J755" s="4">
        <f t="shared" si="57"/>
        <v>20.008066018905431</v>
      </c>
      <c r="K755" s="4">
        <f t="shared" si="56"/>
        <v>4001.6132037810867</v>
      </c>
      <c r="L755">
        <v>5</v>
      </c>
    </row>
    <row r="756" spans="1:12" x14ac:dyDescent="0.3">
      <c r="A756" t="s">
        <v>127</v>
      </c>
      <c r="B756" t="s">
        <v>118</v>
      </c>
      <c r="C756" s="4">
        <v>0.56023871300000005</v>
      </c>
      <c r="D756" s="4">
        <v>0.74103703700000001</v>
      </c>
      <c r="E756">
        <v>6</v>
      </c>
      <c r="F756" s="1">
        <v>7.484076433121019</v>
      </c>
      <c r="G756" s="2">
        <f t="shared" si="58"/>
        <v>43.991250733928432</v>
      </c>
      <c r="H756" s="2">
        <f t="shared" si="59"/>
        <v>14.681561047765641</v>
      </c>
      <c r="I756" s="2">
        <f t="shared" si="55"/>
        <v>2936.312209553128</v>
      </c>
      <c r="J756" s="4">
        <f t="shared" si="57"/>
        <v>10.161939401192745</v>
      </c>
      <c r="K756" s="4">
        <f t="shared" si="56"/>
        <v>2032.3878802385491</v>
      </c>
      <c r="L756">
        <v>5</v>
      </c>
    </row>
    <row r="757" spans="1:12" x14ac:dyDescent="0.3">
      <c r="A757" t="s">
        <v>127</v>
      </c>
      <c r="B757" t="s">
        <v>27</v>
      </c>
      <c r="C757" s="4">
        <v>0.50857142899999996</v>
      </c>
      <c r="D757" s="4">
        <v>0.49666666700000001</v>
      </c>
      <c r="E757">
        <v>6</v>
      </c>
      <c r="F757" s="1">
        <v>8.503184713375795</v>
      </c>
      <c r="G757" s="2">
        <f t="shared" si="58"/>
        <v>56.78754682790445</v>
      </c>
      <c r="H757" s="2">
        <f t="shared" si="59"/>
        <v>12.746573289289815</v>
      </c>
      <c r="I757" s="2">
        <f t="shared" si="55"/>
        <v>2549.3146578579626</v>
      </c>
      <c r="J757" s="4">
        <f t="shared" si="57"/>
        <v>10.504087155665543</v>
      </c>
      <c r="K757" s="4">
        <f t="shared" si="56"/>
        <v>2100.8174311331086</v>
      </c>
      <c r="L757">
        <v>5</v>
      </c>
    </row>
    <row r="758" spans="1:12" x14ac:dyDescent="0.3">
      <c r="A758" t="s">
        <v>127</v>
      </c>
      <c r="B758" t="s">
        <v>27</v>
      </c>
      <c r="C758" s="4">
        <v>0.50857142899999996</v>
      </c>
      <c r="D758" s="4">
        <v>0.49666666700000001</v>
      </c>
      <c r="E758">
        <v>8</v>
      </c>
      <c r="F758" s="1">
        <v>60.440127388535032</v>
      </c>
      <c r="G758" s="2">
        <f t="shared" si="58"/>
        <v>2869.0665584865874</v>
      </c>
      <c r="H758" s="2">
        <f t="shared" si="59"/>
        <v>776.13535906269624</v>
      </c>
      <c r="I758" s="2">
        <f t="shared" si="55"/>
        <v>155227.07181253925</v>
      </c>
      <c r="J758" s="4">
        <f t="shared" si="57"/>
        <v>111.26995196478559</v>
      </c>
      <c r="K758" s="4">
        <f t="shared" si="56"/>
        <v>22253.990392957119</v>
      </c>
      <c r="L758">
        <v>5</v>
      </c>
    </row>
    <row r="759" spans="1:12" x14ac:dyDescent="0.3">
      <c r="A759" t="s">
        <v>127</v>
      </c>
      <c r="B759" t="s">
        <v>73</v>
      </c>
      <c r="C759" s="4">
        <v>0.39</v>
      </c>
      <c r="D759" s="4">
        <v>0.28861111099999998</v>
      </c>
      <c r="E759">
        <v>6</v>
      </c>
      <c r="F759" s="1">
        <v>12.802547770700638</v>
      </c>
      <c r="G759" s="2">
        <f t="shared" si="58"/>
        <v>128.73086615854726</v>
      </c>
      <c r="H759" s="2">
        <f t="shared" si="59"/>
        <v>16.680105788229486</v>
      </c>
      <c r="I759" s="2">
        <f t="shared" si="55"/>
        <v>3336.0211576458978</v>
      </c>
      <c r="J759" s="4">
        <f t="shared" si="57"/>
        <v>12.427709817842508</v>
      </c>
      <c r="K759" s="4">
        <f t="shared" si="56"/>
        <v>2485.5419635685016</v>
      </c>
      <c r="L759">
        <v>5</v>
      </c>
    </row>
    <row r="760" spans="1:12" x14ac:dyDescent="0.3">
      <c r="A760" t="s">
        <v>127</v>
      </c>
      <c r="B760" t="s">
        <v>32</v>
      </c>
      <c r="C760" s="4">
        <v>0.65716857299999998</v>
      </c>
      <c r="D760" s="4">
        <v>0.85527777800000004</v>
      </c>
      <c r="E760">
        <v>5</v>
      </c>
      <c r="F760" s="1">
        <v>7.484076433121019</v>
      </c>
      <c r="G760" s="2">
        <f t="shared" si="58"/>
        <v>43.991250733928432</v>
      </c>
      <c r="H760" s="2">
        <f t="shared" si="59"/>
        <v>14.133971078286709</v>
      </c>
      <c r="I760" s="2">
        <f t="shared" si="55"/>
        <v>2826.7942156573417</v>
      </c>
      <c r="J760" s="4">
        <f t="shared" si="57"/>
        <v>9.9658995009939542</v>
      </c>
      <c r="K760" s="4">
        <f t="shared" si="56"/>
        <v>1993.1799001987906</v>
      </c>
      <c r="L760">
        <v>5</v>
      </c>
    </row>
    <row r="761" spans="1:12" x14ac:dyDescent="0.3">
      <c r="A761" t="s">
        <v>127</v>
      </c>
      <c r="B761" t="s">
        <v>128</v>
      </c>
      <c r="C761" s="4">
        <v>0.84850681500000003</v>
      </c>
      <c r="D761" s="4">
        <v>0.85527777800000004</v>
      </c>
      <c r="E761">
        <v>10</v>
      </c>
      <c r="F761" s="1">
        <v>14.840764331210192</v>
      </c>
      <c r="G761" s="2">
        <f t="shared" si="58"/>
        <v>172.98259926440858</v>
      </c>
      <c r="H761" s="2">
        <f t="shared" si="59"/>
        <v>105.78749084404964</v>
      </c>
      <c r="I761" s="2">
        <f t="shared" si="55"/>
        <v>21157.498168809929</v>
      </c>
      <c r="J761" s="4">
        <f t="shared" si="57"/>
        <v>16.694390007708222</v>
      </c>
      <c r="K761" s="4">
        <f t="shared" si="56"/>
        <v>3338.8780015416442</v>
      </c>
      <c r="L761">
        <v>5</v>
      </c>
    </row>
    <row r="762" spans="1:12" x14ac:dyDescent="0.3">
      <c r="A762" t="s">
        <v>127</v>
      </c>
      <c r="B762" t="s">
        <v>47</v>
      </c>
      <c r="C762" s="4">
        <v>0.40238543599999999</v>
      </c>
      <c r="D762" s="4">
        <v>0.40883333300000002</v>
      </c>
      <c r="E762">
        <v>8</v>
      </c>
      <c r="F762" s="1">
        <v>11.847133757961783</v>
      </c>
      <c r="G762" s="2">
        <f t="shared" si="58"/>
        <v>110.2342280047796</v>
      </c>
      <c r="H762" s="2">
        <f t="shared" si="59"/>
        <v>26.668170524065015</v>
      </c>
      <c r="I762" s="2">
        <f t="shared" si="55"/>
        <v>5333.6341048130034</v>
      </c>
      <c r="J762" s="4">
        <f t="shared" si="57"/>
        <v>12.915628191813056</v>
      </c>
      <c r="K762" s="4">
        <f t="shared" si="56"/>
        <v>2583.125638362611</v>
      </c>
      <c r="L762">
        <v>5</v>
      </c>
    </row>
    <row r="763" spans="1:12" x14ac:dyDescent="0.3">
      <c r="A763" t="s">
        <v>127</v>
      </c>
      <c r="B763" t="s">
        <v>47</v>
      </c>
      <c r="C763" s="4">
        <v>0.40238543599999999</v>
      </c>
      <c r="D763" s="4">
        <v>0.40883333300000002</v>
      </c>
      <c r="E763">
        <v>8</v>
      </c>
      <c r="F763" s="1">
        <v>14.203821656050955</v>
      </c>
      <c r="G763" s="2">
        <f t="shared" si="58"/>
        <v>158.45294035292184</v>
      </c>
      <c r="H763" s="2">
        <f t="shared" si="59"/>
        <v>38.001002078672563</v>
      </c>
      <c r="I763" s="2">
        <f t="shared" si="55"/>
        <v>7600.2004157345127</v>
      </c>
      <c r="J763" s="4">
        <f t="shared" si="57"/>
        <v>14.63465938983326</v>
      </c>
      <c r="K763" s="4">
        <f t="shared" si="56"/>
        <v>2926.9318779666519</v>
      </c>
      <c r="L763">
        <v>5</v>
      </c>
    </row>
    <row r="764" spans="1:12" x14ac:dyDescent="0.3">
      <c r="A764" t="s">
        <v>127</v>
      </c>
      <c r="B764" t="s">
        <v>47</v>
      </c>
      <c r="C764" s="4">
        <v>0.40238543599999999</v>
      </c>
      <c r="D764" s="4">
        <v>0.40883333300000002</v>
      </c>
      <c r="E764">
        <v>8</v>
      </c>
      <c r="F764" s="1">
        <v>14.808917197452228</v>
      </c>
      <c r="G764" s="2">
        <f t="shared" si="58"/>
        <v>172.24098125746809</v>
      </c>
      <c r="H764" s="2">
        <f t="shared" si="59"/>
        <v>41.225085863015096</v>
      </c>
      <c r="I764" s="2">
        <f t="shared" si="55"/>
        <v>8245.0171726030203</v>
      </c>
      <c r="J764" s="4">
        <f t="shared" si="57"/>
        <v>15.126212799707897</v>
      </c>
      <c r="K764" s="4">
        <f t="shared" si="56"/>
        <v>3025.2425599415792</v>
      </c>
      <c r="L764">
        <v>5</v>
      </c>
    </row>
    <row r="765" spans="1:12" x14ac:dyDescent="0.3">
      <c r="A765" t="s">
        <v>127</v>
      </c>
      <c r="B765" t="s">
        <v>120</v>
      </c>
      <c r="C765" s="4">
        <v>0.98708677300000003</v>
      </c>
      <c r="D765" s="4">
        <v>0.60285714300000004</v>
      </c>
      <c r="E765">
        <v>7</v>
      </c>
      <c r="F765" s="1">
        <v>44.022292993630572</v>
      </c>
      <c r="G765" s="2">
        <f t="shared" si="58"/>
        <v>1522.0720157730859</v>
      </c>
      <c r="H765" s="2">
        <f t="shared" si="59"/>
        <v>443.37280219305563</v>
      </c>
      <c r="I765" s="2">
        <f t="shared" si="55"/>
        <v>88674.560438611123</v>
      </c>
      <c r="J765" s="4">
        <f t="shared" si="57"/>
        <v>56.465775870217854</v>
      </c>
      <c r="K765" s="4">
        <f t="shared" si="56"/>
        <v>11293.155174043572</v>
      </c>
      <c r="L765">
        <v>5</v>
      </c>
    </row>
    <row r="766" spans="1:12" x14ac:dyDescent="0.3">
      <c r="A766" t="s">
        <v>129</v>
      </c>
      <c r="B766" t="s">
        <v>26</v>
      </c>
      <c r="C766" s="4">
        <v>0.80908761900000004</v>
      </c>
      <c r="D766" s="4">
        <v>0.87473809499999999</v>
      </c>
      <c r="E766">
        <v>6</v>
      </c>
      <c r="F766" s="1">
        <v>7.1019108280254777</v>
      </c>
      <c r="G766" s="2">
        <f t="shared" si="58"/>
        <v>39.613235088230461</v>
      </c>
      <c r="H766" s="2">
        <f t="shared" si="59"/>
        <v>15.582892397292609</v>
      </c>
      <c r="I766" s="2">
        <f t="shared" si="55"/>
        <v>3116.578479458522</v>
      </c>
      <c r="J766" s="4">
        <f t="shared" si="57"/>
        <v>10.044879885593735</v>
      </c>
      <c r="K766" s="4">
        <f t="shared" si="56"/>
        <v>2008.9759771187469</v>
      </c>
      <c r="L766">
        <v>5</v>
      </c>
    </row>
    <row r="767" spans="1:12" x14ac:dyDescent="0.3">
      <c r="A767" t="s">
        <v>129</v>
      </c>
      <c r="B767" t="s">
        <v>26</v>
      </c>
      <c r="C767" s="4">
        <v>0.80908761900000004</v>
      </c>
      <c r="D767" s="4">
        <v>0.87473809499999999</v>
      </c>
      <c r="E767">
        <v>8</v>
      </c>
      <c r="F767" s="1">
        <v>6.5605095541401273</v>
      </c>
      <c r="G767" s="2">
        <f t="shared" si="58"/>
        <v>33.803761270167257</v>
      </c>
      <c r="H767" s="2">
        <f t="shared" si="59"/>
        <v>17.675267704444853</v>
      </c>
      <c r="I767" s="2">
        <f t="shared" si="55"/>
        <v>3535.0535408889709</v>
      </c>
      <c r="J767" s="4">
        <f t="shared" si="57"/>
        <v>10.190827997078989</v>
      </c>
      <c r="K767" s="4">
        <f t="shared" si="56"/>
        <v>2038.1655994157977</v>
      </c>
      <c r="L767">
        <v>5</v>
      </c>
    </row>
    <row r="768" spans="1:12" x14ac:dyDescent="0.3">
      <c r="A768" t="s">
        <v>129</v>
      </c>
      <c r="B768" t="s">
        <v>26</v>
      </c>
      <c r="C768" s="4">
        <v>0.80908761900000004</v>
      </c>
      <c r="D768" s="4">
        <v>0.87473809499999999</v>
      </c>
      <c r="E768">
        <v>7</v>
      </c>
      <c r="F768" s="1">
        <v>8.4713375796178347</v>
      </c>
      <c r="G768" s="2">
        <f t="shared" si="58"/>
        <v>56.362968527475616</v>
      </c>
      <c r="H768" s="2">
        <f t="shared" si="59"/>
        <v>25.554418360719247</v>
      </c>
      <c r="I768" s="2">
        <f t="shared" si="55"/>
        <v>5110.8836721438493</v>
      </c>
      <c r="J768" s="4">
        <f t="shared" si="57"/>
        <v>10.743907229502211</v>
      </c>
      <c r="K768" s="4">
        <f t="shared" si="56"/>
        <v>2148.7814459004421</v>
      </c>
      <c r="L768">
        <v>5</v>
      </c>
    </row>
    <row r="769" spans="1:12" x14ac:dyDescent="0.3">
      <c r="A769" t="s">
        <v>129</v>
      </c>
      <c r="B769" t="s">
        <v>26</v>
      </c>
      <c r="C769" s="4">
        <v>0.80908761900000004</v>
      </c>
      <c r="D769" s="4">
        <v>0.87473809499999999</v>
      </c>
      <c r="E769">
        <v>8</v>
      </c>
      <c r="F769" s="1">
        <v>11.273885350318471</v>
      </c>
      <c r="G769" s="2">
        <f t="shared" si="58"/>
        <v>99.824492113589415</v>
      </c>
      <c r="H769" s="2">
        <f t="shared" si="59"/>
        <v>50.857095497394546</v>
      </c>
      <c r="I769" s="2">
        <f t="shared" si="55"/>
        <v>10171.41909947891</v>
      </c>
      <c r="J769" s="4">
        <f t="shared" si="57"/>
        <v>12.544513744979511</v>
      </c>
      <c r="K769" s="4">
        <f t="shared" si="56"/>
        <v>2508.9027489959021</v>
      </c>
      <c r="L769">
        <v>5</v>
      </c>
    </row>
    <row r="770" spans="1:12" x14ac:dyDescent="0.3">
      <c r="A770" t="s">
        <v>129</v>
      </c>
      <c r="B770" t="s">
        <v>26</v>
      </c>
      <c r="C770" s="4">
        <v>0.80908761900000004</v>
      </c>
      <c r="D770" s="4">
        <v>0.87473809499999999</v>
      </c>
      <c r="E770">
        <v>8</v>
      </c>
      <c r="F770" s="1">
        <v>13.471337579617833</v>
      </c>
      <c r="G770" s="2">
        <f t="shared" si="58"/>
        <v>142.53165237792811</v>
      </c>
      <c r="H770" s="2">
        <f t="shared" si="59"/>
        <v>71.996864512225599</v>
      </c>
      <c r="I770" s="2">
        <f t="shared" ref="I770:I833" si="60">(H770*1000)/L770</f>
        <v>14399.37290244512</v>
      </c>
      <c r="J770" s="4">
        <f t="shared" si="57"/>
        <v>14.067054213152662</v>
      </c>
      <c r="K770" s="4">
        <f t="shared" ref="K770:K833" si="61">(J770*1000)/L770</f>
        <v>2813.4108426305324</v>
      </c>
      <c r="L770">
        <v>5</v>
      </c>
    </row>
    <row r="771" spans="1:12" x14ac:dyDescent="0.3">
      <c r="A771" t="s">
        <v>129</v>
      </c>
      <c r="B771" t="s">
        <v>26</v>
      </c>
      <c r="C771" s="4">
        <v>0.80908761900000004</v>
      </c>
      <c r="D771" s="4">
        <v>0.87473809499999999</v>
      </c>
      <c r="E771">
        <v>8</v>
      </c>
      <c r="F771" s="1">
        <v>14.458598726114648</v>
      </c>
      <c r="G771" s="2">
        <f t="shared" si="58"/>
        <v>164.18833202850868</v>
      </c>
      <c r="H771" s="2">
        <f t="shared" si="59"/>
        <v>82.655205662417345</v>
      </c>
      <c r="I771" s="2">
        <f t="shared" si="60"/>
        <v>16531.041132483468</v>
      </c>
      <c r="J771" s="4">
        <f t="shared" ref="J771:J834" si="62">8.9857 + 0.0035 * F771^2 * E771</f>
        <v>14.839130159438515</v>
      </c>
      <c r="K771" s="4">
        <f t="shared" si="61"/>
        <v>2967.8260318877028</v>
      </c>
      <c r="L771">
        <v>5</v>
      </c>
    </row>
    <row r="772" spans="1:12" x14ac:dyDescent="0.3">
      <c r="A772" t="s">
        <v>129</v>
      </c>
      <c r="B772" t="s">
        <v>85</v>
      </c>
      <c r="C772" s="4">
        <v>0.6</v>
      </c>
      <c r="D772" s="4">
        <v>0.66674999999999995</v>
      </c>
      <c r="E772">
        <v>6.5</v>
      </c>
      <c r="F772" s="1">
        <v>4.8726114649681529</v>
      </c>
      <c r="G772" s="2">
        <f t="shared" ref="G772:G835" si="63">PI()*(F772/2)^2</f>
        <v>18.647192185251804</v>
      </c>
      <c r="H772" s="2">
        <f t="shared" ref="H772:H835" si="64">0.0673 * ((D772 * F772^2 * E772)^0.976)</f>
        <v>6.196085643075949</v>
      </c>
      <c r="I772" s="2">
        <f t="shared" si="60"/>
        <v>1239.2171286151897</v>
      </c>
      <c r="J772" s="4">
        <f t="shared" si="62"/>
        <v>9.5258382916142637</v>
      </c>
      <c r="K772" s="4">
        <f t="shared" si="61"/>
        <v>1905.1676583228527</v>
      </c>
      <c r="L772">
        <v>5</v>
      </c>
    </row>
    <row r="773" spans="1:12" x14ac:dyDescent="0.3">
      <c r="A773" t="s">
        <v>129</v>
      </c>
      <c r="B773" t="s">
        <v>18</v>
      </c>
      <c r="C773" s="4">
        <v>0.45255480399999998</v>
      </c>
      <c r="D773" s="4">
        <v>0.57808694400000005</v>
      </c>
      <c r="E773">
        <v>3</v>
      </c>
      <c r="F773" s="4">
        <v>4.2675159235668794</v>
      </c>
      <c r="G773" s="2">
        <f t="shared" si="63"/>
        <v>14.303429573171918</v>
      </c>
      <c r="H773" s="2">
        <f t="shared" si="64"/>
        <v>1.9565575528330952</v>
      </c>
      <c r="I773" s="2">
        <f t="shared" si="60"/>
        <v>391.31151056661901</v>
      </c>
      <c r="J773" s="4">
        <f t="shared" si="62"/>
        <v>9.176922767657917</v>
      </c>
      <c r="K773" s="4">
        <f t="shared" si="61"/>
        <v>1835.3845535315836</v>
      </c>
      <c r="L773">
        <v>5</v>
      </c>
    </row>
    <row r="774" spans="1:12" x14ac:dyDescent="0.3">
      <c r="A774" t="s">
        <v>129</v>
      </c>
      <c r="B774" t="s">
        <v>78</v>
      </c>
      <c r="C774" s="4">
        <v>0.43538739399999998</v>
      </c>
      <c r="D774" s="4">
        <v>0.568333333</v>
      </c>
      <c r="E774">
        <v>2</v>
      </c>
      <c r="F774" s="4">
        <v>4.2038216560509554</v>
      </c>
      <c r="G774" s="2">
        <f t="shared" si="63"/>
        <v>13.879647854920218</v>
      </c>
      <c r="H774" s="2">
        <f t="shared" si="64"/>
        <v>1.2579594267604506</v>
      </c>
      <c r="I774" s="2">
        <f t="shared" si="60"/>
        <v>251.59188535209015</v>
      </c>
      <c r="J774" s="4">
        <f t="shared" si="62"/>
        <v>9.10940481561118</v>
      </c>
      <c r="K774" s="4">
        <f t="shared" si="61"/>
        <v>1821.8809631222362</v>
      </c>
      <c r="L774">
        <v>5</v>
      </c>
    </row>
    <row r="775" spans="1:12" x14ac:dyDescent="0.3">
      <c r="A775" t="s">
        <v>129</v>
      </c>
      <c r="B775" t="s">
        <v>117</v>
      </c>
      <c r="C775" s="4">
        <v>0.56572270000000002</v>
      </c>
      <c r="D775" s="4">
        <v>0.61247410899999999</v>
      </c>
      <c r="E775">
        <v>4.5</v>
      </c>
      <c r="F775" s="4">
        <v>5.8280254777070066</v>
      </c>
      <c r="G775" s="2">
        <f t="shared" si="63"/>
        <v>26.676740531073417</v>
      </c>
      <c r="H775" s="2">
        <f t="shared" si="64"/>
        <v>5.6499676440574245</v>
      </c>
      <c r="I775" s="2">
        <f t="shared" si="60"/>
        <v>1129.993528811485</v>
      </c>
      <c r="J775" s="4">
        <f t="shared" si="62"/>
        <v>9.5206626252586304</v>
      </c>
      <c r="K775" s="4">
        <f t="shared" si="61"/>
        <v>1904.1325250517261</v>
      </c>
      <c r="L775">
        <v>5</v>
      </c>
    </row>
    <row r="776" spans="1:12" x14ac:dyDescent="0.3">
      <c r="A776" t="s">
        <v>129</v>
      </c>
      <c r="B776" t="s">
        <v>122</v>
      </c>
      <c r="C776" s="4">
        <v>0.85750000000000004</v>
      </c>
      <c r="D776" s="4">
        <v>0.61247410899999999</v>
      </c>
      <c r="E776">
        <v>5</v>
      </c>
      <c r="F776" s="4">
        <v>5.5732484076433115</v>
      </c>
      <c r="G776" s="2">
        <f t="shared" si="63"/>
        <v>24.395329175673304</v>
      </c>
      <c r="H776" s="2">
        <f t="shared" si="64"/>
        <v>5.7386668798551037</v>
      </c>
      <c r="I776" s="2">
        <f t="shared" si="60"/>
        <v>1147.7333759710207</v>
      </c>
      <c r="J776" s="4">
        <f t="shared" si="62"/>
        <v>9.5292692117327267</v>
      </c>
      <c r="K776" s="4">
        <f t="shared" si="61"/>
        <v>1905.8538423465452</v>
      </c>
      <c r="L776">
        <v>5</v>
      </c>
    </row>
    <row r="777" spans="1:12" x14ac:dyDescent="0.3">
      <c r="A777" t="s">
        <v>129</v>
      </c>
      <c r="B777" t="s">
        <v>47</v>
      </c>
      <c r="C777" s="4">
        <v>0.40238543599999999</v>
      </c>
      <c r="D777" s="4">
        <v>0.40883333300000002</v>
      </c>
      <c r="E777">
        <v>7</v>
      </c>
      <c r="F777" s="4">
        <v>12.32484076433121</v>
      </c>
      <c r="G777" s="2">
        <f t="shared" si="63"/>
        <v>119.30331609180131</v>
      </c>
      <c r="H777" s="2">
        <f t="shared" si="64"/>
        <v>25.287451817891892</v>
      </c>
      <c r="I777" s="2">
        <f t="shared" si="60"/>
        <v>5057.4903635783785</v>
      </c>
      <c r="J777" s="4">
        <f t="shared" si="62"/>
        <v>12.707291646719948</v>
      </c>
      <c r="K777" s="4">
        <f t="shared" si="61"/>
        <v>2541.4583293439896</v>
      </c>
      <c r="L777">
        <v>5</v>
      </c>
    </row>
    <row r="778" spans="1:12" x14ac:dyDescent="0.3">
      <c r="A778" t="s">
        <v>129</v>
      </c>
      <c r="B778" t="s">
        <v>120</v>
      </c>
      <c r="C778" s="4">
        <v>0.98708677300000003</v>
      </c>
      <c r="D778" s="4">
        <v>0.60285714300000004</v>
      </c>
      <c r="E778">
        <v>9</v>
      </c>
      <c r="F778" s="4">
        <v>17.67515923566879</v>
      </c>
      <c r="G778" s="2">
        <f t="shared" si="63"/>
        <v>245.36722512120065</v>
      </c>
      <c r="H778" s="2">
        <f t="shared" si="64"/>
        <v>95.43292798161724</v>
      </c>
      <c r="I778" s="2">
        <f t="shared" si="60"/>
        <v>19086.585596323446</v>
      </c>
      <c r="J778" s="4">
        <f t="shared" si="62"/>
        <v>18.826654501196803</v>
      </c>
      <c r="K778" s="4">
        <f t="shared" si="61"/>
        <v>3765.3309002393603</v>
      </c>
      <c r="L778">
        <v>5</v>
      </c>
    </row>
    <row r="779" spans="1:12" x14ac:dyDescent="0.3">
      <c r="A779" t="s">
        <v>129</v>
      </c>
      <c r="B779" t="s">
        <v>120</v>
      </c>
      <c r="C779" s="4">
        <v>0.98708677300000003</v>
      </c>
      <c r="D779" s="4">
        <v>0.60285714300000004</v>
      </c>
      <c r="E779">
        <v>8</v>
      </c>
      <c r="F779" s="4">
        <v>46.465605095541399</v>
      </c>
      <c r="G779" s="2">
        <f t="shared" si="63"/>
        <v>1695.7158343239264</v>
      </c>
      <c r="H779" s="2">
        <f t="shared" si="64"/>
        <v>561.25604842048381</v>
      </c>
      <c r="I779" s="2">
        <f t="shared" si="60"/>
        <v>112251.20968409677</v>
      </c>
      <c r="J779" s="4">
        <f t="shared" si="62"/>
        <v>69.439168793054478</v>
      </c>
      <c r="K779" s="4">
        <f t="shared" si="61"/>
        <v>13887.833758610894</v>
      </c>
      <c r="L779">
        <v>5</v>
      </c>
    </row>
    <row r="780" spans="1:12" x14ac:dyDescent="0.3">
      <c r="A780" t="s">
        <v>129</v>
      </c>
      <c r="B780" t="s">
        <v>120</v>
      </c>
      <c r="C780" s="4">
        <v>0.98708677300000003</v>
      </c>
      <c r="D780" s="4">
        <v>0.60285714300000004</v>
      </c>
      <c r="E780">
        <v>10</v>
      </c>
      <c r="F780" s="4">
        <v>88.566242038216558</v>
      </c>
      <c r="G780" s="2">
        <f t="shared" si="63"/>
        <v>6160.646880005228</v>
      </c>
      <c r="H780" s="2">
        <f t="shared" si="64"/>
        <v>2457.9434675416778</v>
      </c>
      <c r="I780" s="2">
        <f t="shared" si="60"/>
        <v>491588.69350833556</v>
      </c>
      <c r="J780" s="4">
        <f t="shared" si="62"/>
        <v>283.52497300701856</v>
      </c>
      <c r="K780" s="4">
        <f t="shared" si="61"/>
        <v>56704.994601403712</v>
      </c>
      <c r="L780">
        <v>5</v>
      </c>
    </row>
    <row r="781" spans="1:12" x14ac:dyDescent="0.3">
      <c r="A781" t="s">
        <v>130</v>
      </c>
      <c r="B781" t="s">
        <v>85</v>
      </c>
      <c r="C781" s="4">
        <v>0.6</v>
      </c>
      <c r="D781" s="4">
        <v>0.66674999999999995</v>
      </c>
      <c r="E781">
        <v>3</v>
      </c>
      <c r="F781" s="1">
        <v>4.4585987261146496</v>
      </c>
      <c r="G781" s="2">
        <f t="shared" si="63"/>
        <v>15.613010672430914</v>
      </c>
      <c r="H781" s="2">
        <f t="shared" si="64"/>
        <v>2.4496755818941538</v>
      </c>
      <c r="I781" s="2">
        <f t="shared" si="60"/>
        <v>408.27926364902561</v>
      </c>
      <c r="J781" s="4">
        <f t="shared" si="62"/>
        <v>9.1944305773053667</v>
      </c>
      <c r="K781" s="4">
        <f t="shared" si="61"/>
        <v>1532.4050962175613</v>
      </c>
      <c r="L781">
        <v>6</v>
      </c>
    </row>
    <row r="782" spans="1:12" x14ac:dyDescent="0.3">
      <c r="A782" t="s">
        <v>130</v>
      </c>
      <c r="B782" t="s">
        <v>37</v>
      </c>
      <c r="C782" s="4">
        <v>0.39790071399999999</v>
      </c>
      <c r="D782" s="4">
        <v>0.50565277799999997</v>
      </c>
      <c r="E782">
        <v>4.5</v>
      </c>
      <c r="F782" s="1">
        <v>7.0063694267515917</v>
      </c>
      <c r="G782" s="2">
        <f t="shared" si="63"/>
        <v>38.554577374778376</v>
      </c>
      <c r="H782" s="2">
        <f t="shared" si="64"/>
        <v>6.712940805430085</v>
      </c>
      <c r="I782" s="2">
        <f t="shared" si="60"/>
        <v>1118.8234675716808</v>
      </c>
      <c r="J782" s="4">
        <f t="shared" si="62"/>
        <v>9.7588550975698798</v>
      </c>
      <c r="K782" s="4">
        <f t="shared" si="61"/>
        <v>1626.47584959498</v>
      </c>
      <c r="L782">
        <v>6</v>
      </c>
    </row>
    <row r="783" spans="1:12" x14ac:dyDescent="0.3">
      <c r="A783" t="s">
        <v>130</v>
      </c>
      <c r="B783" t="s">
        <v>66</v>
      </c>
      <c r="C783" s="4">
        <v>0.62643652800000005</v>
      </c>
      <c r="D783" s="4">
        <v>0.57808694400000005</v>
      </c>
      <c r="E783">
        <v>5</v>
      </c>
      <c r="F783" s="1">
        <v>4.2356687898089174</v>
      </c>
      <c r="G783" s="2">
        <f t="shared" si="63"/>
        <v>14.090742131868904</v>
      </c>
      <c r="H783" s="2">
        <f t="shared" si="64"/>
        <v>3.1744379594700267</v>
      </c>
      <c r="I783" s="2">
        <f t="shared" si="60"/>
        <v>529.07299324500445</v>
      </c>
      <c r="J783" s="4">
        <f t="shared" si="62"/>
        <v>9.2996655766968228</v>
      </c>
      <c r="K783" s="4">
        <f t="shared" si="61"/>
        <v>1549.9442627828039</v>
      </c>
      <c r="L783">
        <v>6</v>
      </c>
    </row>
    <row r="784" spans="1:12" x14ac:dyDescent="0.3">
      <c r="A784" t="s">
        <v>130</v>
      </c>
      <c r="B784" t="s">
        <v>41</v>
      </c>
      <c r="C784" s="4">
        <v>0.56193137999999998</v>
      </c>
      <c r="D784" s="4">
        <v>0.57808694400000005</v>
      </c>
      <c r="E784">
        <v>4.5</v>
      </c>
      <c r="F784" s="1">
        <v>20.859872611464969</v>
      </c>
      <c r="G784" s="2">
        <f t="shared" si="63"/>
        <v>341.75366855814667</v>
      </c>
      <c r="H784" s="2">
        <f t="shared" si="64"/>
        <v>64.350532844804832</v>
      </c>
      <c r="I784" s="2">
        <f t="shared" si="60"/>
        <v>10725.088807467471</v>
      </c>
      <c r="J784" s="4">
        <f t="shared" si="62"/>
        <v>15.839064994523104</v>
      </c>
      <c r="K784" s="4">
        <f t="shared" si="61"/>
        <v>2639.8441657538506</v>
      </c>
      <c r="L784">
        <v>6</v>
      </c>
    </row>
    <row r="785" spans="1:12" x14ac:dyDescent="0.3">
      <c r="A785" t="s">
        <v>130</v>
      </c>
      <c r="B785" t="s">
        <v>41</v>
      </c>
      <c r="C785" s="4">
        <v>0.56193137999999998</v>
      </c>
      <c r="D785" s="4">
        <v>0.57808694400000005</v>
      </c>
      <c r="E785">
        <v>7</v>
      </c>
      <c r="F785" s="1">
        <v>24.522292993630572</v>
      </c>
      <c r="G785" s="2">
        <f t="shared" si="63"/>
        <v>472.2935728410352</v>
      </c>
      <c r="H785" s="2">
        <f t="shared" si="64"/>
        <v>135.81861545605577</v>
      </c>
      <c r="I785" s="2">
        <f t="shared" si="60"/>
        <v>22636.435909342628</v>
      </c>
      <c r="J785" s="4">
        <f t="shared" si="62"/>
        <v>23.718599914803846</v>
      </c>
      <c r="K785" s="4">
        <f t="shared" si="61"/>
        <v>3953.0999858006412</v>
      </c>
      <c r="L785">
        <v>6</v>
      </c>
    </row>
    <row r="786" spans="1:12" x14ac:dyDescent="0.3">
      <c r="A786" t="s">
        <v>130</v>
      </c>
      <c r="B786" t="s">
        <v>41</v>
      </c>
      <c r="C786" s="4">
        <v>0.56193137999999998</v>
      </c>
      <c r="D786" s="4">
        <v>0.57808694400000005</v>
      </c>
      <c r="E786">
        <v>8</v>
      </c>
      <c r="F786" s="1">
        <v>21.656050955414013</v>
      </c>
      <c r="G786" s="2">
        <f t="shared" si="63"/>
        <v>368.33959872102326</v>
      </c>
      <c r="H786" s="2">
        <f t="shared" si="64"/>
        <v>121.39112638409081</v>
      </c>
      <c r="I786" s="2">
        <f t="shared" si="60"/>
        <v>20231.854397348467</v>
      </c>
      <c r="J786" s="4">
        <f t="shared" si="62"/>
        <v>22.117267203537672</v>
      </c>
      <c r="K786" s="4">
        <f t="shared" si="61"/>
        <v>3686.211200589612</v>
      </c>
      <c r="L786">
        <v>6</v>
      </c>
    </row>
    <row r="787" spans="1:12" x14ac:dyDescent="0.3">
      <c r="A787" t="s">
        <v>130</v>
      </c>
      <c r="B787" t="s">
        <v>41</v>
      </c>
      <c r="C787" s="4">
        <v>0.56193137999999998</v>
      </c>
      <c r="D787" s="4">
        <v>0.57808694400000005</v>
      </c>
      <c r="E787">
        <v>8</v>
      </c>
      <c r="F787" s="1">
        <v>17.515923566878982</v>
      </c>
      <c r="G787" s="2">
        <f t="shared" si="63"/>
        <v>240.96610859236495</v>
      </c>
      <c r="H787" s="2">
        <f t="shared" si="64"/>
        <v>80.226438606997235</v>
      </c>
      <c r="I787" s="2">
        <f t="shared" si="60"/>
        <v>13371.073101166206</v>
      </c>
      <c r="J787" s="4">
        <f t="shared" si="62"/>
        <v>17.5763121952209</v>
      </c>
      <c r="K787" s="4">
        <f t="shared" si="61"/>
        <v>2929.3853658701501</v>
      </c>
      <c r="L787">
        <v>6</v>
      </c>
    </row>
    <row r="788" spans="1:12" x14ac:dyDescent="0.3">
      <c r="A788" t="s">
        <v>130</v>
      </c>
      <c r="B788" t="s">
        <v>41</v>
      </c>
      <c r="C788" s="4">
        <v>0.56193137999999998</v>
      </c>
      <c r="D788" s="4">
        <v>0.57808694400000005</v>
      </c>
      <c r="E788">
        <v>6</v>
      </c>
      <c r="F788" s="1">
        <v>8.9171974522292992</v>
      </c>
      <c r="G788" s="2">
        <f t="shared" si="63"/>
        <v>62.452042689723655</v>
      </c>
      <c r="H788" s="2">
        <f t="shared" si="64"/>
        <v>16.219662528186532</v>
      </c>
      <c r="I788" s="2">
        <f t="shared" si="60"/>
        <v>2703.2770880310886</v>
      </c>
      <c r="J788" s="4">
        <f t="shared" si="62"/>
        <v>10.655544618442939</v>
      </c>
      <c r="K788" s="4">
        <f t="shared" si="61"/>
        <v>1775.9241030738231</v>
      </c>
      <c r="L788">
        <v>6</v>
      </c>
    </row>
    <row r="789" spans="1:12" x14ac:dyDescent="0.3">
      <c r="A789" t="s">
        <v>130</v>
      </c>
      <c r="B789" t="s">
        <v>41</v>
      </c>
      <c r="C789" s="4">
        <v>0.56193137999999998</v>
      </c>
      <c r="D789" s="4">
        <v>0.57808694400000005</v>
      </c>
      <c r="E789">
        <v>7.5</v>
      </c>
      <c r="F789" s="1">
        <v>31.050955414012737</v>
      </c>
      <c r="G789" s="2">
        <f t="shared" si="63"/>
        <v>757.25093216732841</v>
      </c>
      <c r="H789" s="2">
        <f t="shared" si="64"/>
        <v>230.30879298066816</v>
      </c>
      <c r="I789" s="2">
        <f t="shared" si="60"/>
        <v>38384.798830111358</v>
      </c>
      <c r="J789" s="4">
        <f t="shared" si="62"/>
        <v>34.294948093228932</v>
      </c>
      <c r="K789" s="4">
        <f t="shared" si="61"/>
        <v>5715.8246822048213</v>
      </c>
      <c r="L789">
        <v>6</v>
      </c>
    </row>
    <row r="790" spans="1:12" x14ac:dyDescent="0.3">
      <c r="A790" t="s">
        <v>130</v>
      </c>
      <c r="B790" t="s">
        <v>122</v>
      </c>
      <c r="C790" s="4">
        <v>0.85750000000000004</v>
      </c>
      <c r="D790" s="4">
        <v>0.61247410899999999</v>
      </c>
      <c r="E790">
        <v>2.7</v>
      </c>
      <c r="F790" s="1">
        <v>4.1401273885350314</v>
      </c>
      <c r="G790" s="2">
        <f t="shared" si="63"/>
        <v>13.462238794085838</v>
      </c>
      <c r="H790" s="2">
        <f t="shared" si="64"/>
        <v>1.7604937096755811</v>
      </c>
      <c r="I790" s="2">
        <f t="shared" si="60"/>
        <v>293.41561827926353</v>
      </c>
      <c r="J790" s="4">
        <f t="shared" si="62"/>
        <v>9.1476791877966654</v>
      </c>
      <c r="K790" s="4">
        <f t="shared" si="61"/>
        <v>1524.6131979661111</v>
      </c>
      <c r="L790">
        <v>6</v>
      </c>
    </row>
    <row r="791" spans="1:12" x14ac:dyDescent="0.3">
      <c r="A791" t="s">
        <v>130</v>
      </c>
      <c r="B791" t="s">
        <v>122</v>
      </c>
      <c r="C791" s="4">
        <v>0.85750000000000004</v>
      </c>
      <c r="D791" s="4">
        <v>0.61247410899999999</v>
      </c>
      <c r="E791">
        <v>2</v>
      </c>
      <c r="F791" s="1">
        <v>5.0955414012738851</v>
      </c>
      <c r="G791" s="2">
        <f t="shared" si="63"/>
        <v>20.392503735419968</v>
      </c>
      <c r="H791" s="2">
        <f t="shared" si="64"/>
        <v>1.9699422830751157</v>
      </c>
      <c r="I791" s="2">
        <f t="shared" si="60"/>
        <v>328.32371384585264</v>
      </c>
      <c r="J791" s="4">
        <f t="shared" si="62"/>
        <v>9.1674517952046735</v>
      </c>
      <c r="K791" s="4">
        <f t="shared" si="61"/>
        <v>1527.9086325341123</v>
      </c>
      <c r="L791">
        <v>6</v>
      </c>
    </row>
    <row r="792" spans="1:12" x14ac:dyDescent="0.3">
      <c r="A792" t="s">
        <v>130</v>
      </c>
      <c r="B792" t="s">
        <v>122</v>
      </c>
      <c r="C792" s="4">
        <v>0.85750000000000004</v>
      </c>
      <c r="D792" s="4">
        <v>0.61247410899999999</v>
      </c>
      <c r="E792">
        <v>4.5</v>
      </c>
      <c r="F792" s="1">
        <v>11.624203821656051</v>
      </c>
      <c r="G792" s="2">
        <f t="shared" si="63"/>
        <v>106.12466055278617</v>
      </c>
      <c r="H792" s="2">
        <f t="shared" si="64"/>
        <v>21.743883123361989</v>
      </c>
      <c r="I792" s="2">
        <f t="shared" si="60"/>
        <v>3623.9805205603316</v>
      </c>
      <c r="J792" s="4">
        <f t="shared" si="62"/>
        <v>11.1138733031766</v>
      </c>
      <c r="K792" s="4">
        <f t="shared" si="61"/>
        <v>1852.3122171961002</v>
      </c>
      <c r="L792">
        <v>6</v>
      </c>
    </row>
    <row r="793" spans="1:12" x14ac:dyDescent="0.3">
      <c r="A793" t="s">
        <v>130</v>
      </c>
      <c r="B793" t="s">
        <v>122</v>
      </c>
      <c r="C793" s="4">
        <v>0.85750000000000004</v>
      </c>
      <c r="D793" s="4">
        <v>0.61247410899999999</v>
      </c>
      <c r="E793">
        <v>6.5</v>
      </c>
      <c r="F793" s="1">
        <v>11.942675159235668</v>
      </c>
      <c r="G793" s="2">
        <f t="shared" si="63"/>
        <v>112.01936866380598</v>
      </c>
      <c r="H793" s="2">
        <f t="shared" si="64"/>
        <v>32.81848212699002</v>
      </c>
      <c r="I793" s="2">
        <f t="shared" si="60"/>
        <v>5469.7470211650034</v>
      </c>
      <c r="J793" s="4">
        <f t="shared" si="62"/>
        <v>12.230475396567812</v>
      </c>
      <c r="K793" s="4">
        <f t="shared" si="61"/>
        <v>2038.4125660946354</v>
      </c>
      <c r="L793">
        <v>6</v>
      </c>
    </row>
    <row r="794" spans="1:12" x14ac:dyDescent="0.3">
      <c r="A794" t="s">
        <v>130</v>
      </c>
      <c r="B794" t="s">
        <v>122</v>
      </c>
      <c r="C794" s="4">
        <v>0.85750000000000004</v>
      </c>
      <c r="D794" s="4">
        <v>0.61247410899999999</v>
      </c>
      <c r="E794">
        <v>4.5</v>
      </c>
      <c r="F794" s="1">
        <v>6.6878980891719744</v>
      </c>
      <c r="G794" s="2">
        <f t="shared" si="63"/>
        <v>35.12927401296956</v>
      </c>
      <c r="H794" s="2">
        <f t="shared" si="64"/>
        <v>7.391175200097674</v>
      </c>
      <c r="I794" s="2">
        <f t="shared" si="60"/>
        <v>1231.8625333496122</v>
      </c>
      <c r="J794" s="4">
        <f t="shared" si="62"/>
        <v>9.6901656984056146</v>
      </c>
      <c r="K794" s="4">
        <f t="shared" si="61"/>
        <v>1615.0276164009358</v>
      </c>
      <c r="L794">
        <v>6</v>
      </c>
    </row>
    <row r="795" spans="1:12" x14ac:dyDescent="0.3">
      <c r="A795" t="s">
        <v>130</v>
      </c>
      <c r="B795" t="s">
        <v>122</v>
      </c>
      <c r="C795" s="4">
        <v>0.85750000000000004</v>
      </c>
      <c r="D795" s="4">
        <v>0.61247410899999999</v>
      </c>
      <c r="E795">
        <v>3.5</v>
      </c>
      <c r="F795" s="1">
        <v>6.6878980891719744</v>
      </c>
      <c r="G795" s="2">
        <f t="shared" si="63"/>
        <v>35.12927401296956</v>
      </c>
      <c r="H795" s="2">
        <f t="shared" si="64"/>
        <v>5.7834701010306562</v>
      </c>
      <c r="I795" s="2">
        <f t="shared" si="60"/>
        <v>963.91168350510941</v>
      </c>
      <c r="J795" s="4">
        <f t="shared" si="62"/>
        <v>9.5336177654265892</v>
      </c>
      <c r="K795" s="4">
        <f t="shared" si="61"/>
        <v>1588.9362942377647</v>
      </c>
      <c r="L795">
        <v>6</v>
      </c>
    </row>
    <row r="796" spans="1:12" x14ac:dyDescent="0.3">
      <c r="A796" t="s">
        <v>130</v>
      </c>
      <c r="B796" t="s">
        <v>122</v>
      </c>
      <c r="C796" s="4">
        <v>0.85750000000000004</v>
      </c>
      <c r="D796" s="4">
        <v>0.61247410899999999</v>
      </c>
      <c r="E796">
        <v>5.5</v>
      </c>
      <c r="F796" s="1">
        <v>3.6624203821656049</v>
      </c>
      <c r="G796" s="2">
        <f t="shared" si="63"/>
        <v>10.534799293005044</v>
      </c>
      <c r="H796" s="2">
        <f t="shared" si="64"/>
        <v>2.7751226971666414</v>
      </c>
      <c r="I796" s="2">
        <f t="shared" si="60"/>
        <v>462.52044952777356</v>
      </c>
      <c r="J796" s="4">
        <f t="shared" si="62"/>
        <v>9.2439064688222636</v>
      </c>
      <c r="K796" s="4">
        <f t="shared" si="61"/>
        <v>1540.6510781370441</v>
      </c>
      <c r="L796">
        <v>6</v>
      </c>
    </row>
    <row r="797" spans="1:12" x14ac:dyDescent="0.3">
      <c r="A797" t="s">
        <v>130</v>
      </c>
      <c r="B797" t="s">
        <v>122</v>
      </c>
      <c r="C797" s="4">
        <v>0.85750000000000004</v>
      </c>
      <c r="D797" s="4">
        <v>0.61247410899999999</v>
      </c>
      <c r="E797">
        <v>6.5</v>
      </c>
      <c r="F797" s="1">
        <v>19.331210191082803</v>
      </c>
      <c r="G797" s="2">
        <f t="shared" si="63"/>
        <v>293.49990659420916</v>
      </c>
      <c r="H797" s="2">
        <f t="shared" si="64"/>
        <v>84.022148241514429</v>
      </c>
      <c r="I797" s="2">
        <f t="shared" si="60"/>
        <v>14003.691373585738</v>
      </c>
      <c r="J797" s="4">
        <f t="shared" si="62"/>
        <v>17.487276889528985</v>
      </c>
      <c r="K797" s="4">
        <f t="shared" si="61"/>
        <v>2914.5461482548308</v>
      </c>
      <c r="L797">
        <v>6</v>
      </c>
    </row>
    <row r="798" spans="1:12" x14ac:dyDescent="0.3">
      <c r="A798" t="s">
        <v>130</v>
      </c>
      <c r="B798" t="s">
        <v>122</v>
      </c>
      <c r="C798" s="4">
        <v>0.85750000000000004</v>
      </c>
      <c r="D798" s="4">
        <v>0.61247410899999999</v>
      </c>
      <c r="E798">
        <v>7</v>
      </c>
      <c r="F798" s="1">
        <v>8.7579617834394909</v>
      </c>
      <c r="G798" s="2">
        <f t="shared" si="63"/>
        <v>60.241527148091237</v>
      </c>
      <c r="H798" s="2">
        <f t="shared" si="64"/>
        <v>19.257465369355607</v>
      </c>
      <c r="I798" s="2">
        <f t="shared" si="60"/>
        <v>3209.5775615592679</v>
      </c>
      <c r="J798" s="4">
        <f t="shared" si="62"/>
        <v>10.864896417704571</v>
      </c>
      <c r="K798" s="4">
        <f t="shared" si="61"/>
        <v>1810.8160696174284</v>
      </c>
      <c r="L798">
        <v>6</v>
      </c>
    </row>
    <row r="799" spans="1:12" x14ac:dyDescent="0.3">
      <c r="A799" t="s">
        <v>130</v>
      </c>
      <c r="B799" t="s">
        <v>122</v>
      </c>
      <c r="C799" s="4">
        <v>0.85750000000000004</v>
      </c>
      <c r="D799" s="4">
        <v>0.61247410899999999</v>
      </c>
      <c r="E799">
        <v>8</v>
      </c>
      <c r="F799" s="1">
        <v>51.910828025477706</v>
      </c>
      <c r="G799" s="2">
        <f t="shared" si="63"/>
        <v>2116.4391865092707</v>
      </c>
      <c r="H799" s="2">
        <f t="shared" si="64"/>
        <v>707.63947436848491</v>
      </c>
      <c r="I799" s="2">
        <f t="shared" si="60"/>
        <v>117939.91239474749</v>
      </c>
      <c r="J799" s="4">
        <f t="shared" si="62"/>
        <v>84.438253856140207</v>
      </c>
      <c r="K799" s="4">
        <f t="shared" si="61"/>
        <v>14073.042309356701</v>
      </c>
      <c r="L799">
        <v>6</v>
      </c>
    </row>
    <row r="800" spans="1:12" x14ac:dyDescent="0.3">
      <c r="A800" t="s">
        <v>130</v>
      </c>
      <c r="B800" t="s">
        <v>32</v>
      </c>
      <c r="C800" s="4">
        <v>0.65716857299999998</v>
      </c>
      <c r="D800" s="4">
        <v>0.85527777800000004</v>
      </c>
      <c r="E800">
        <v>1.9</v>
      </c>
      <c r="F800" s="1">
        <v>6.5286624203821653</v>
      </c>
      <c r="G800" s="2">
        <f t="shared" si="63"/>
        <v>33.476365995352509</v>
      </c>
      <c r="H800" s="2">
        <f t="shared" si="64"/>
        <v>4.2106782618799521</v>
      </c>
      <c r="I800" s="2">
        <f t="shared" si="60"/>
        <v>701.77971031332538</v>
      </c>
      <c r="J800" s="4">
        <f t="shared" si="62"/>
        <v>9.2691458294454137</v>
      </c>
      <c r="K800" s="4">
        <f t="shared" si="61"/>
        <v>1544.8576382409021</v>
      </c>
      <c r="L800">
        <v>6</v>
      </c>
    </row>
    <row r="801" spans="1:12" x14ac:dyDescent="0.3">
      <c r="A801" t="s">
        <v>130</v>
      </c>
      <c r="B801" t="s">
        <v>32</v>
      </c>
      <c r="C801" s="4">
        <v>0.65716857299999998</v>
      </c>
      <c r="D801" s="4">
        <v>0.85527777800000004</v>
      </c>
      <c r="E801">
        <v>1.5</v>
      </c>
      <c r="F801" s="1">
        <v>1.2738853503184713</v>
      </c>
      <c r="G801" s="2">
        <f t="shared" si="63"/>
        <v>1.274531483463748</v>
      </c>
      <c r="H801" s="2">
        <f t="shared" si="64"/>
        <v>0.13766742170206037</v>
      </c>
      <c r="I801" s="2">
        <f t="shared" si="60"/>
        <v>22.944570283676729</v>
      </c>
      <c r="J801" s="4">
        <f t="shared" si="62"/>
        <v>8.994219615400219</v>
      </c>
      <c r="K801" s="4">
        <f t="shared" si="61"/>
        <v>1499.0366025667033</v>
      </c>
      <c r="L801">
        <v>6</v>
      </c>
    </row>
    <row r="802" spans="1:12" x14ac:dyDescent="0.3">
      <c r="A802" t="s">
        <v>130</v>
      </c>
      <c r="B802" t="s">
        <v>131</v>
      </c>
      <c r="C802" s="4">
        <v>0.52520999999999995</v>
      </c>
      <c r="D802" s="4">
        <v>0.58666666700000003</v>
      </c>
      <c r="E802">
        <v>7</v>
      </c>
      <c r="F802" s="1">
        <v>4.6178343949044587</v>
      </c>
      <c r="G802" s="2">
        <f t="shared" si="63"/>
        <v>16.748140274890819</v>
      </c>
      <c r="H802" s="2">
        <f t="shared" si="64"/>
        <v>5.293762315458169</v>
      </c>
      <c r="I802" s="2">
        <f t="shared" si="60"/>
        <v>882.29371924302814</v>
      </c>
      <c r="J802" s="4">
        <f t="shared" si="62"/>
        <v>9.5081476652196848</v>
      </c>
      <c r="K802" s="4">
        <f t="shared" si="61"/>
        <v>1584.6912775366143</v>
      </c>
      <c r="L802">
        <v>6</v>
      </c>
    </row>
    <row r="803" spans="1:12" x14ac:dyDescent="0.3">
      <c r="A803" t="s">
        <v>130</v>
      </c>
      <c r="B803" t="s">
        <v>23</v>
      </c>
      <c r="C803" s="4">
        <v>0.76500000000000001</v>
      </c>
      <c r="D803" s="4">
        <v>0.61247410899999999</v>
      </c>
      <c r="E803">
        <v>7</v>
      </c>
      <c r="F803" s="1">
        <v>23.726114649681527</v>
      </c>
      <c r="G803" s="2">
        <f t="shared" si="63"/>
        <v>442.12302288091672</v>
      </c>
      <c r="H803" s="2">
        <f t="shared" si="64"/>
        <v>134.73199843978188</v>
      </c>
      <c r="I803" s="2">
        <f t="shared" si="60"/>
        <v>22455.333073296977</v>
      </c>
      <c r="J803" s="4">
        <f t="shared" si="62"/>
        <v>22.777448651060894</v>
      </c>
      <c r="K803" s="4">
        <f t="shared" si="61"/>
        <v>3796.2414418434823</v>
      </c>
      <c r="L803">
        <v>6</v>
      </c>
    </row>
    <row r="804" spans="1:12" x14ac:dyDescent="0.3">
      <c r="A804" t="s">
        <v>130</v>
      </c>
      <c r="B804" t="s">
        <v>132</v>
      </c>
      <c r="C804" s="4">
        <v>0.68500000000000005</v>
      </c>
      <c r="D804" s="4">
        <v>0.54</v>
      </c>
      <c r="E804">
        <v>2.5</v>
      </c>
      <c r="F804" s="1">
        <v>5.7324840764331206</v>
      </c>
      <c r="G804" s="2">
        <f t="shared" si="63"/>
        <v>25.809262540140899</v>
      </c>
      <c r="H804" s="2">
        <f t="shared" si="64"/>
        <v>2.7258758951187816</v>
      </c>
      <c r="I804" s="2">
        <f t="shared" si="60"/>
        <v>454.3126491864636</v>
      </c>
      <c r="J804" s="4">
        <f t="shared" si="62"/>
        <v>9.2732370197573939</v>
      </c>
      <c r="K804" s="4">
        <f t="shared" si="61"/>
        <v>1545.5395032928991</v>
      </c>
      <c r="L804">
        <v>6</v>
      </c>
    </row>
    <row r="805" spans="1:12" x14ac:dyDescent="0.3">
      <c r="A805" t="s">
        <v>130</v>
      </c>
      <c r="B805" t="s">
        <v>132</v>
      </c>
      <c r="C805" s="4">
        <v>0.68500000000000005</v>
      </c>
      <c r="D805" s="4">
        <v>0.54</v>
      </c>
      <c r="E805">
        <v>4.5</v>
      </c>
      <c r="F805" s="1">
        <v>2.5477707006369426</v>
      </c>
      <c r="G805" s="2">
        <f t="shared" si="63"/>
        <v>5.098125933854992</v>
      </c>
      <c r="H805" s="2">
        <f t="shared" si="64"/>
        <v>0.99355466958642291</v>
      </c>
      <c r="I805" s="2">
        <f t="shared" si="60"/>
        <v>165.5924449310705</v>
      </c>
      <c r="J805" s="4">
        <f t="shared" si="62"/>
        <v>9.0879353848026287</v>
      </c>
      <c r="K805" s="4">
        <f t="shared" si="61"/>
        <v>1514.655897467105</v>
      </c>
      <c r="L805">
        <v>6</v>
      </c>
    </row>
    <row r="806" spans="1:12" x14ac:dyDescent="0.3">
      <c r="A806" t="s">
        <v>130</v>
      </c>
      <c r="B806" t="s">
        <v>133</v>
      </c>
      <c r="C806" s="4">
        <v>0.50016547600000005</v>
      </c>
      <c r="D806" s="4">
        <v>0.61774072899999999</v>
      </c>
      <c r="E806">
        <v>2</v>
      </c>
      <c r="F806" s="1">
        <v>1.592356687898089</v>
      </c>
      <c r="G806" s="2">
        <f t="shared" si="63"/>
        <v>1.9914554429121063</v>
      </c>
      <c r="H806" s="2">
        <f t="shared" si="64"/>
        <v>0.20513038825014149</v>
      </c>
      <c r="I806" s="2">
        <f t="shared" si="60"/>
        <v>34.188398041690249</v>
      </c>
      <c r="J806" s="4">
        <f t="shared" si="62"/>
        <v>9.0034491987504559</v>
      </c>
      <c r="K806" s="4">
        <f t="shared" si="61"/>
        <v>1500.5748664584091</v>
      </c>
      <c r="L806">
        <v>6</v>
      </c>
    </row>
    <row r="807" spans="1:12" x14ac:dyDescent="0.3">
      <c r="A807" t="s">
        <v>134</v>
      </c>
      <c r="B807" t="s">
        <v>61</v>
      </c>
      <c r="C807" s="4">
        <v>0.9</v>
      </c>
      <c r="D807" s="4">
        <v>0.61247410899999999</v>
      </c>
      <c r="E807">
        <v>4</v>
      </c>
      <c r="F807" s="1">
        <v>2.5477707006369426</v>
      </c>
      <c r="G807" s="2">
        <f t="shared" si="63"/>
        <v>5.098125933854992</v>
      </c>
      <c r="H807" s="2">
        <f t="shared" si="64"/>
        <v>1.0014937106388553</v>
      </c>
      <c r="I807" s="2">
        <f t="shared" si="60"/>
        <v>166.91561843980921</v>
      </c>
      <c r="J807" s="4">
        <f t="shared" si="62"/>
        <v>9.0765758976023356</v>
      </c>
      <c r="K807" s="4">
        <f t="shared" si="61"/>
        <v>1512.7626496003893</v>
      </c>
      <c r="L807">
        <v>6</v>
      </c>
    </row>
    <row r="808" spans="1:12" x14ac:dyDescent="0.3">
      <c r="A808" t="s">
        <v>134</v>
      </c>
      <c r="B808" t="s">
        <v>41</v>
      </c>
      <c r="C808" s="4">
        <v>0.56193137999999998</v>
      </c>
      <c r="D808" s="4">
        <v>0.57808694400000005</v>
      </c>
      <c r="E808">
        <v>5</v>
      </c>
      <c r="F808" s="1">
        <v>9.0764331210191074</v>
      </c>
      <c r="G808" s="2">
        <f t="shared" si="63"/>
        <v>64.702387340214344</v>
      </c>
      <c r="H808" s="2">
        <f t="shared" si="64"/>
        <v>14.052888721931872</v>
      </c>
      <c r="I808" s="2">
        <f t="shared" si="60"/>
        <v>2342.1481203219787</v>
      </c>
      <c r="J808" s="4">
        <f t="shared" si="62"/>
        <v>10.427378668505821</v>
      </c>
      <c r="K808" s="4">
        <f t="shared" si="61"/>
        <v>1737.89644475097</v>
      </c>
      <c r="L808">
        <v>6</v>
      </c>
    </row>
    <row r="809" spans="1:12" x14ac:dyDescent="0.3">
      <c r="A809" t="s">
        <v>134</v>
      </c>
      <c r="B809" t="s">
        <v>41</v>
      </c>
      <c r="C809" s="4">
        <v>0.56193137999999998</v>
      </c>
      <c r="D809" s="4">
        <v>0.57808694400000005</v>
      </c>
      <c r="E809">
        <v>6</v>
      </c>
      <c r="F809" s="1">
        <v>6.6878980891719744</v>
      </c>
      <c r="G809" s="2">
        <f t="shared" si="63"/>
        <v>35.12927401296956</v>
      </c>
      <c r="H809" s="2">
        <f t="shared" si="64"/>
        <v>9.2504189014098355</v>
      </c>
      <c r="I809" s="2">
        <f t="shared" si="60"/>
        <v>1541.7364835683059</v>
      </c>
      <c r="J809" s="4">
        <f t="shared" si="62"/>
        <v>9.9249875978741535</v>
      </c>
      <c r="K809" s="4">
        <f t="shared" si="61"/>
        <v>1654.1645996456921</v>
      </c>
      <c r="L809">
        <v>6</v>
      </c>
    </row>
    <row r="810" spans="1:12" x14ac:dyDescent="0.3">
      <c r="A810" t="s">
        <v>134</v>
      </c>
      <c r="B810" t="s">
        <v>41</v>
      </c>
      <c r="C810" s="4">
        <v>0.56193137999999998</v>
      </c>
      <c r="D810" s="4">
        <v>0.57808694400000005</v>
      </c>
      <c r="E810">
        <v>6</v>
      </c>
      <c r="F810" s="1">
        <v>5.2547770700636942</v>
      </c>
      <c r="G810" s="2">
        <f t="shared" si="63"/>
        <v>21.68694977331284</v>
      </c>
      <c r="H810" s="2">
        <f t="shared" si="64"/>
        <v>5.777207891581936</v>
      </c>
      <c r="I810" s="2">
        <f t="shared" si="60"/>
        <v>962.86798193032257</v>
      </c>
      <c r="J810" s="4">
        <f t="shared" si="62"/>
        <v>9.5655663231774106</v>
      </c>
      <c r="K810" s="4">
        <f t="shared" si="61"/>
        <v>1594.2610538629017</v>
      </c>
      <c r="L810">
        <v>6</v>
      </c>
    </row>
    <row r="811" spans="1:12" x14ac:dyDescent="0.3">
      <c r="A811" t="s">
        <v>134</v>
      </c>
      <c r="B811" t="s">
        <v>41</v>
      </c>
      <c r="C811" s="4">
        <v>0.56193137999999998</v>
      </c>
      <c r="D811" s="4">
        <v>0.57808694400000005</v>
      </c>
      <c r="E811">
        <v>6</v>
      </c>
      <c r="F811" s="1">
        <v>9.5541401273885338</v>
      </c>
      <c r="G811" s="2">
        <f t="shared" si="63"/>
        <v>71.692395944835823</v>
      </c>
      <c r="H811" s="2">
        <f t="shared" si="64"/>
        <v>18.557951095563411</v>
      </c>
      <c r="I811" s="2">
        <f t="shared" si="60"/>
        <v>3092.9918492605684</v>
      </c>
      <c r="J811" s="4">
        <f t="shared" si="62"/>
        <v>10.902613465049292</v>
      </c>
      <c r="K811" s="4">
        <f t="shared" si="61"/>
        <v>1817.1022441748819</v>
      </c>
      <c r="L811">
        <v>6</v>
      </c>
    </row>
    <row r="812" spans="1:12" x14ac:dyDescent="0.3">
      <c r="A812" t="s">
        <v>134</v>
      </c>
      <c r="B812" t="s">
        <v>41</v>
      </c>
      <c r="C812" s="4">
        <v>0.56193137999999998</v>
      </c>
      <c r="D812" s="4">
        <v>0.57808694400000005</v>
      </c>
      <c r="E812">
        <v>5.7</v>
      </c>
      <c r="F812" s="1">
        <v>25.159235668789808</v>
      </c>
      <c r="G812" s="2">
        <f t="shared" si="63"/>
        <v>497.14693676857826</v>
      </c>
      <c r="H812" s="2">
        <f t="shared" si="64"/>
        <v>116.84648642125957</v>
      </c>
      <c r="I812" s="2">
        <f t="shared" si="60"/>
        <v>19474.414403543262</v>
      </c>
      <c r="J812" s="4">
        <f t="shared" si="62"/>
        <v>21.61379343178222</v>
      </c>
      <c r="K812" s="4">
        <f t="shared" si="61"/>
        <v>3602.2989052970365</v>
      </c>
      <c r="L812">
        <v>6</v>
      </c>
    </row>
    <row r="813" spans="1:12" x14ac:dyDescent="0.3">
      <c r="A813" t="s">
        <v>134</v>
      </c>
      <c r="B813" t="s">
        <v>41</v>
      </c>
      <c r="C813" s="4">
        <v>0.56193137999999998</v>
      </c>
      <c r="D813" s="4">
        <v>0.57808694400000005</v>
      </c>
      <c r="E813">
        <v>6.3</v>
      </c>
      <c r="F813" s="1">
        <v>13.694267515923567</v>
      </c>
      <c r="G813" s="2">
        <f t="shared" si="63"/>
        <v>147.28804455777941</v>
      </c>
      <c r="H813" s="2">
        <f t="shared" si="64"/>
        <v>39.300721000078404</v>
      </c>
      <c r="I813" s="2">
        <f t="shared" si="60"/>
        <v>6550.1201666797342</v>
      </c>
      <c r="J813" s="4">
        <f t="shared" si="62"/>
        <v>13.12080182968883</v>
      </c>
      <c r="K813" s="4">
        <f t="shared" si="61"/>
        <v>2186.8003049481381</v>
      </c>
      <c r="L813">
        <v>6</v>
      </c>
    </row>
    <row r="814" spans="1:12" x14ac:dyDescent="0.3">
      <c r="A814" t="s">
        <v>134</v>
      </c>
      <c r="B814" t="s">
        <v>135</v>
      </c>
      <c r="C814" s="4">
        <v>0.84088890000000005</v>
      </c>
      <c r="D814" s="4">
        <v>0.84088888900000003</v>
      </c>
      <c r="E814">
        <v>9</v>
      </c>
      <c r="F814" s="1">
        <v>25.477707006369425</v>
      </c>
      <c r="G814" s="2">
        <f t="shared" si="63"/>
        <v>509.81259338549921</v>
      </c>
      <c r="H814" s="2">
        <f t="shared" si="64"/>
        <v>269.60355981818287</v>
      </c>
      <c r="I814" s="2">
        <f t="shared" si="60"/>
        <v>44933.926636363816</v>
      </c>
      <c r="J814" s="4">
        <f t="shared" si="62"/>
        <v>29.432776960525779</v>
      </c>
      <c r="K814" s="4">
        <f t="shared" si="61"/>
        <v>4905.4628267542967</v>
      </c>
      <c r="L814">
        <v>6</v>
      </c>
    </row>
    <row r="815" spans="1:12" x14ac:dyDescent="0.3">
      <c r="A815" t="s">
        <v>134</v>
      </c>
      <c r="B815" t="s">
        <v>122</v>
      </c>
      <c r="C815" s="4">
        <v>0.85750000000000004</v>
      </c>
      <c r="D815" s="4">
        <v>0.61247410899999999</v>
      </c>
      <c r="E815">
        <v>2.5</v>
      </c>
      <c r="F815" s="1">
        <v>1.910828025477707</v>
      </c>
      <c r="G815" s="2">
        <f t="shared" si="63"/>
        <v>2.8676958377934336</v>
      </c>
      <c r="H815" s="2">
        <f t="shared" si="64"/>
        <v>0.36103284139023539</v>
      </c>
      <c r="I815" s="2">
        <f t="shared" si="60"/>
        <v>60.172140231705896</v>
      </c>
      <c r="J815" s="4">
        <f t="shared" si="62"/>
        <v>9.017648557750821</v>
      </c>
      <c r="K815" s="4">
        <f t="shared" si="61"/>
        <v>1502.9414262918035</v>
      </c>
      <c r="L815">
        <v>6</v>
      </c>
    </row>
    <row r="816" spans="1:12" x14ac:dyDescent="0.3">
      <c r="A816" t="s">
        <v>134</v>
      </c>
      <c r="B816" t="s">
        <v>122</v>
      </c>
      <c r="C816" s="4">
        <v>0.85750000000000004</v>
      </c>
      <c r="D816" s="4">
        <v>0.61247410899999999</v>
      </c>
      <c r="E816">
        <v>4</v>
      </c>
      <c r="F816" s="1">
        <v>3.6624203821656049</v>
      </c>
      <c r="G816" s="2">
        <f t="shared" si="63"/>
        <v>10.534799293005044</v>
      </c>
      <c r="H816" s="2">
        <f t="shared" si="64"/>
        <v>2.0337555730791772</v>
      </c>
      <c r="I816" s="2">
        <f t="shared" si="60"/>
        <v>338.95926217986283</v>
      </c>
      <c r="J816" s="4">
        <f t="shared" si="62"/>
        <v>9.1734865227798288</v>
      </c>
      <c r="K816" s="4">
        <f t="shared" si="61"/>
        <v>1528.9144204633049</v>
      </c>
      <c r="L816">
        <v>6</v>
      </c>
    </row>
    <row r="817" spans="1:12" x14ac:dyDescent="0.3">
      <c r="A817" t="s">
        <v>134</v>
      </c>
      <c r="B817" t="s">
        <v>122</v>
      </c>
      <c r="C817" s="4">
        <v>0.85750000000000004</v>
      </c>
      <c r="D817" s="4">
        <v>0.61247410899999999</v>
      </c>
      <c r="E817">
        <v>7.5</v>
      </c>
      <c r="F817" s="1">
        <v>12.261146496815286</v>
      </c>
      <c r="G817" s="2">
        <f t="shared" si="63"/>
        <v>118.0733932102588</v>
      </c>
      <c r="H817" s="2">
        <f t="shared" si="64"/>
        <v>39.726943910293258</v>
      </c>
      <c r="I817" s="2">
        <f t="shared" si="60"/>
        <v>6621.1573183822102</v>
      </c>
      <c r="J817" s="4">
        <f t="shared" si="62"/>
        <v>12.932012477179601</v>
      </c>
      <c r="K817" s="4">
        <f t="shared" si="61"/>
        <v>2155.3354128632668</v>
      </c>
      <c r="L817">
        <v>6</v>
      </c>
    </row>
    <row r="818" spans="1:12" x14ac:dyDescent="0.3">
      <c r="A818" t="s">
        <v>134</v>
      </c>
      <c r="B818" t="s">
        <v>122</v>
      </c>
      <c r="C818" s="4">
        <v>0.85750000000000004</v>
      </c>
      <c r="D818" s="4">
        <v>0.61247410899999999</v>
      </c>
      <c r="E818">
        <v>3</v>
      </c>
      <c r="F818" s="1">
        <v>4.1401273885350314</v>
      </c>
      <c r="G818" s="2">
        <f t="shared" si="63"/>
        <v>13.462238794085838</v>
      </c>
      <c r="H818" s="2">
        <f t="shared" si="64"/>
        <v>1.9511640630047671</v>
      </c>
      <c r="I818" s="2">
        <f t="shared" si="60"/>
        <v>325.19401050079449</v>
      </c>
      <c r="J818" s="4">
        <f t="shared" si="62"/>
        <v>9.1656768753296269</v>
      </c>
      <c r="K818" s="4">
        <f t="shared" si="61"/>
        <v>1527.6128125549378</v>
      </c>
      <c r="L818">
        <v>6</v>
      </c>
    </row>
    <row r="819" spans="1:12" x14ac:dyDescent="0.3">
      <c r="A819" t="s">
        <v>134</v>
      </c>
      <c r="B819" t="s">
        <v>122</v>
      </c>
      <c r="C819" s="4">
        <v>0.85750000000000004</v>
      </c>
      <c r="D819" s="4">
        <v>0.61247410899999999</v>
      </c>
      <c r="E819">
        <v>6.5</v>
      </c>
      <c r="F819" s="1">
        <v>3.3439490445859872</v>
      </c>
      <c r="G819" s="2">
        <f t="shared" si="63"/>
        <v>8.7823185032423901</v>
      </c>
      <c r="H819" s="2">
        <f t="shared" si="64"/>
        <v>2.7350858834002549</v>
      </c>
      <c r="I819" s="2">
        <f t="shared" si="60"/>
        <v>455.84764723337577</v>
      </c>
      <c r="J819" s="4">
        <f t="shared" si="62"/>
        <v>9.2400903910909165</v>
      </c>
      <c r="K819" s="4">
        <f t="shared" si="61"/>
        <v>1540.0150651818194</v>
      </c>
      <c r="L819">
        <v>6</v>
      </c>
    </row>
    <row r="820" spans="1:12" x14ac:dyDescent="0.3">
      <c r="A820" t="s">
        <v>134</v>
      </c>
      <c r="B820" t="s">
        <v>122</v>
      </c>
      <c r="C820" s="4">
        <v>0.85750000000000004</v>
      </c>
      <c r="D820" s="4">
        <v>0.61247410899999999</v>
      </c>
      <c r="E820">
        <v>6</v>
      </c>
      <c r="F820" s="1">
        <v>6.2101910828025479</v>
      </c>
      <c r="G820" s="2">
        <f t="shared" si="63"/>
        <v>30.290037286693146</v>
      </c>
      <c r="H820" s="2">
        <f t="shared" si="64"/>
        <v>8.4689428443508206</v>
      </c>
      <c r="I820" s="2">
        <f t="shared" si="60"/>
        <v>1411.49047405847</v>
      </c>
      <c r="J820" s="4">
        <f t="shared" si="62"/>
        <v>9.7955959389833254</v>
      </c>
      <c r="K820" s="4">
        <f t="shared" si="61"/>
        <v>1632.5993231638877</v>
      </c>
      <c r="L820">
        <v>6</v>
      </c>
    </row>
    <row r="821" spans="1:12" x14ac:dyDescent="0.3">
      <c r="A821" t="s">
        <v>134</v>
      </c>
      <c r="B821" t="s">
        <v>20</v>
      </c>
      <c r="C821" s="4">
        <v>0.74387999999999999</v>
      </c>
      <c r="D821" s="4">
        <v>0.59130000000000005</v>
      </c>
      <c r="E821">
        <v>3.7</v>
      </c>
      <c r="F821" s="1">
        <v>5.0955414012738851</v>
      </c>
      <c r="G821" s="2">
        <f t="shared" si="63"/>
        <v>20.392503735419968</v>
      </c>
      <c r="H821" s="2">
        <f t="shared" si="64"/>
        <v>3.4697642649820359</v>
      </c>
      <c r="I821" s="2">
        <f t="shared" si="60"/>
        <v>578.29404416367265</v>
      </c>
      <c r="J821" s="4">
        <f t="shared" si="62"/>
        <v>9.3219408211286456</v>
      </c>
      <c r="K821" s="4">
        <f t="shared" si="61"/>
        <v>1553.6568035214411</v>
      </c>
      <c r="L821">
        <v>6</v>
      </c>
    </row>
    <row r="822" spans="1:12" x14ac:dyDescent="0.3">
      <c r="A822" t="s">
        <v>134</v>
      </c>
      <c r="B822" t="s">
        <v>32</v>
      </c>
      <c r="C822" s="4">
        <v>0.65716857299999998</v>
      </c>
      <c r="D822" s="4">
        <v>0.85527777800000004</v>
      </c>
      <c r="E822">
        <v>2</v>
      </c>
      <c r="F822" s="1">
        <v>2.5477707006369426</v>
      </c>
      <c r="G822" s="2">
        <f t="shared" si="63"/>
        <v>5.098125933854992</v>
      </c>
      <c r="H822" s="2">
        <f t="shared" si="64"/>
        <v>0.70531307902694229</v>
      </c>
      <c r="I822" s="2">
        <f t="shared" si="60"/>
        <v>117.55217983782372</v>
      </c>
      <c r="J822" s="4">
        <f t="shared" si="62"/>
        <v>9.0311379488011685</v>
      </c>
      <c r="K822" s="4">
        <f t="shared" si="61"/>
        <v>1505.1896581335279</v>
      </c>
      <c r="L822">
        <v>6</v>
      </c>
    </row>
    <row r="823" spans="1:12" x14ac:dyDescent="0.3">
      <c r="A823" t="s">
        <v>134</v>
      </c>
      <c r="B823" t="s">
        <v>32</v>
      </c>
      <c r="C823" s="4">
        <v>0.65716857299999998</v>
      </c>
      <c r="D823" s="4">
        <v>0.85527777800000004</v>
      </c>
      <c r="E823">
        <v>2.5</v>
      </c>
      <c r="F823" s="1">
        <v>2.7070063694267517</v>
      </c>
      <c r="G823" s="2">
        <f t="shared" si="63"/>
        <v>5.7553062300159885</v>
      </c>
      <c r="H823" s="2">
        <f t="shared" si="64"/>
        <v>0.98709783273246976</v>
      </c>
      <c r="I823" s="2">
        <f t="shared" si="60"/>
        <v>164.51630545541164</v>
      </c>
      <c r="J823" s="4">
        <f t="shared" si="62"/>
        <v>9.0498189804860232</v>
      </c>
      <c r="K823" s="4">
        <f t="shared" si="61"/>
        <v>1508.3031634143372</v>
      </c>
      <c r="L823">
        <v>6</v>
      </c>
    </row>
    <row r="824" spans="1:12" x14ac:dyDescent="0.3">
      <c r="A824" t="s">
        <v>134</v>
      </c>
      <c r="B824" t="s">
        <v>131</v>
      </c>
      <c r="C824" s="4">
        <v>0.52520999999999995</v>
      </c>
      <c r="D824" s="4">
        <v>0.58666666700000003</v>
      </c>
      <c r="E824">
        <v>5.5</v>
      </c>
      <c r="F824" s="1">
        <v>7.1656050955414008</v>
      </c>
      <c r="G824" s="2">
        <f t="shared" si="63"/>
        <v>40.326972718970154</v>
      </c>
      <c r="H824" s="2">
        <f t="shared" si="64"/>
        <v>9.8630826158246201</v>
      </c>
      <c r="I824" s="2">
        <f t="shared" si="60"/>
        <v>1643.8471026374366</v>
      </c>
      <c r="J824" s="4">
        <f t="shared" si="62"/>
        <v>9.9741085054160408</v>
      </c>
      <c r="K824" s="4">
        <f t="shared" si="61"/>
        <v>1662.3514175693401</v>
      </c>
      <c r="L824">
        <v>6</v>
      </c>
    </row>
    <row r="825" spans="1:12" x14ac:dyDescent="0.3">
      <c r="A825" t="s">
        <v>134</v>
      </c>
      <c r="B825" t="s">
        <v>131</v>
      </c>
      <c r="C825" s="4">
        <v>0.52520999999999995</v>
      </c>
      <c r="D825" s="4">
        <v>0.58666666700000003</v>
      </c>
      <c r="E825">
        <v>5.2</v>
      </c>
      <c r="F825" s="1">
        <v>9.5541401273885338</v>
      </c>
      <c r="G825" s="2">
        <f t="shared" si="63"/>
        <v>71.692395944835823</v>
      </c>
      <c r="H825" s="2">
        <f t="shared" si="64"/>
        <v>16.372626824159475</v>
      </c>
      <c r="I825" s="2">
        <f t="shared" si="60"/>
        <v>2728.7711373599127</v>
      </c>
      <c r="J825" s="4">
        <f t="shared" si="62"/>
        <v>10.647025003042719</v>
      </c>
      <c r="K825" s="4">
        <f t="shared" si="61"/>
        <v>1774.5041671737865</v>
      </c>
      <c r="L825">
        <v>6</v>
      </c>
    </row>
    <row r="826" spans="1:12" x14ac:dyDescent="0.3">
      <c r="A826" t="s">
        <v>134</v>
      </c>
      <c r="B826" t="s">
        <v>23</v>
      </c>
      <c r="C826" s="4">
        <v>0.76500000000000001</v>
      </c>
      <c r="D826" s="4">
        <v>0.61247410899999999</v>
      </c>
      <c r="E826">
        <v>9.5</v>
      </c>
      <c r="F826" s="1">
        <v>26.273885350318469</v>
      </c>
      <c r="G826" s="2">
        <f t="shared" si="63"/>
        <v>542.173744332821</v>
      </c>
      <c r="H826" s="2">
        <f t="shared" si="64"/>
        <v>221.50440455055957</v>
      </c>
      <c r="I826" s="2">
        <f t="shared" si="60"/>
        <v>36917.400758426593</v>
      </c>
      <c r="J826" s="4">
        <f t="shared" si="62"/>
        <v>31.93874195910584</v>
      </c>
      <c r="K826" s="4">
        <f t="shared" si="61"/>
        <v>5323.1236598509731</v>
      </c>
      <c r="L826">
        <v>6</v>
      </c>
    </row>
    <row r="827" spans="1:12" x14ac:dyDescent="0.3">
      <c r="A827" t="s">
        <v>134</v>
      </c>
      <c r="B827" t="s">
        <v>23</v>
      </c>
      <c r="C827" s="4">
        <v>0.76500000000000001</v>
      </c>
      <c r="D827" s="4">
        <v>0.61247410899999999</v>
      </c>
      <c r="E827">
        <v>9.5</v>
      </c>
      <c r="F827" s="1">
        <v>18.789808917197451</v>
      </c>
      <c r="G827" s="2">
        <f t="shared" si="63"/>
        <v>277.29025587108168</v>
      </c>
      <c r="H827" s="2">
        <f t="shared" si="64"/>
        <v>115.12440154947417</v>
      </c>
      <c r="I827" s="2">
        <f t="shared" si="60"/>
        <v>19187.400258245696</v>
      </c>
      <c r="J827" s="4">
        <f t="shared" si="62"/>
        <v>20.724842561564365</v>
      </c>
      <c r="K827" s="4">
        <f t="shared" si="61"/>
        <v>3454.1404269273939</v>
      </c>
      <c r="L827">
        <v>6</v>
      </c>
    </row>
    <row r="828" spans="1:12" x14ac:dyDescent="0.3">
      <c r="A828" t="s">
        <v>136</v>
      </c>
      <c r="B828" t="s">
        <v>26</v>
      </c>
      <c r="C828" s="4">
        <v>0.80908761900000004</v>
      </c>
      <c r="D828" s="4">
        <v>0.87473809499999999</v>
      </c>
      <c r="E828">
        <v>5.5</v>
      </c>
      <c r="F828" s="1">
        <v>27.70700636942675</v>
      </c>
      <c r="G828" s="2">
        <f t="shared" si="63"/>
        <v>602.93304989606929</v>
      </c>
      <c r="H828" s="2">
        <f t="shared" si="64"/>
        <v>204.08774391719379</v>
      </c>
      <c r="I828" s="2">
        <f t="shared" si="60"/>
        <v>34014.623986198967</v>
      </c>
      <c r="J828" s="4">
        <f t="shared" si="62"/>
        <v>23.763505387642496</v>
      </c>
      <c r="K828" s="4">
        <f t="shared" si="61"/>
        <v>3960.5842312737495</v>
      </c>
      <c r="L828">
        <v>6</v>
      </c>
    </row>
    <row r="829" spans="1:12" x14ac:dyDescent="0.3">
      <c r="A829" t="s">
        <v>136</v>
      </c>
      <c r="B829" t="s">
        <v>85</v>
      </c>
      <c r="C829" s="4">
        <v>0.6</v>
      </c>
      <c r="D829" s="4">
        <v>0.66674999999999995</v>
      </c>
      <c r="E829">
        <v>6.5</v>
      </c>
      <c r="F829" s="1">
        <v>3.5031847133757958</v>
      </c>
      <c r="G829" s="2">
        <f t="shared" si="63"/>
        <v>9.6386443436945939</v>
      </c>
      <c r="H829" s="2">
        <f t="shared" si="64"/>
        <v>3.2538554847649013</v>
      </c>
      <c r="I829" s="2">
        <f t="shared" si="60"/>
        <v>542.30924746081689</v>
      </c>
      <c r="J829" s="4">
        <f t="shared" si="62"/>
        <v>9.2648948963446784</v>
      </c>
      <c r="K829" s="4">
        <f t="shared" si="61"/>
        <v>1544.1491493907797</v>
      </c>
      <c r="L829">
        <v>6</v>
      </c>
    </row>
    <row r="830" spans="1:12" x14ac:dyDescent="0.3">
      <c r="A830" t="s">
        <v>136</v>
      </c>
      <c r="B830" t="s">
        <v>87</v>
      </c>
      <c r="C830" s="4">
        <v>0.59</v>
      </c>
      <c r="D830" s="4">
        <v>0.59</v>
      </c>
      <c r="E830">
        <v>2</v>
      </c>
      <c r="F830" s="1">
        <v>12.579617834394904</v>
      </c>
      <c r="G830" s="2">
        <f t="shared" si="63"/>
        <v>124.28673419214456</v>
      </c>
      <c r="H830" s="2">
        <f t="shared" si="64"/>
        <v>11.084669812396147</v>
      </c>
      <c r="I830" s="2">
        <f t="shared" si="60"/>
        <v>1847.4449687326912</v>
      </c>
      <c r="J830" s="4">
        <f t="shared" si="62"/>
        <v>10.093427494015984</v>
      </c>
      <c r="K830" s="4">
        <f t="shared" si="61"/>
        <v>1682.2379156693305</v>
      </c>
      <c r="L830">
        <v>6</v>
      </c>
    </row>
    <row r="831" spans="1:12" x14ac:dyDescent="0.3">
      <c r="A831" t="s">
        <v>136</v>
      </c>
      <c r="B831" t="s">
        <v>37</v>
      </c>
      <c r="C831" s="4">
        <v>0.39790071399999999</v>
      </c>
      <c r="D831" s="4">
        <v>0.50565277799999997</v>
      </c>
      <c r="E831">
        <v>8.5</v>
      </c>
      <c r="F831" s="1">
        <v>15.031847133757962</v>
      </c>
      <c r="G831" s="2">
        <f t="shared" si="63"/>
        <v>177.46576375749231</v>
      </c>
      <c r="H831" s="2">
        <f t="shared" si="64"/>
        <v>55.413551331797386</v>
      </c>
      <c r="I831" s="2">
        <f t="shared" si="60"/>
        <v>9235.5918886328982</v>
      </c>
      <c r="J831" s="4">
        <f t="shared" si="62"/>
        <v>15.707903740516857</v>
      </c>
      <c r="K831" s="4">
        <f t="shared" si="61"/>
        <v>2617.9839567528093</v>
      </c>
      <c r="L831">
        <v>6</v>
      </c>
    </row>
    <row r="832" spans="1:12" x14ac:dyDescent="0.3">
      <c r="A832" t="s">
        <v>136</v>
      </c>
      <c r="B832" t="s">
        <v>70</v>
      </c>
      <c r="C832" s="4">
        <v>0.55560299999999996</v>
      </c>
      <c r="D832" s="4">
        <v>0.55961111100000005</v>
      </c>
      <c r="E832">
        <v>10</v>
      </c>
      <c r="F832" s="1">
        <v>21.496815286624201</v>
      </c>
      <c r="G832" s="2">
        <f t="shared" si="63"/>
        <v>362.94275447073136</v>
      </c>
      <c r="H832" s="2">
        <f t="shared" si="64"/>
        <v>144.12735367691752</v>
      </c>
      <c r="I832" s="2">
        <f t="shared" si="60"/>
        <v>24021.225612819588</v>
      </c>
      <c r="J832" s="4">
        <f t="shared" si="62"/>
        <v>25.159657361353396</v>
      </c>
      <c r="K832" s="4">
        <f t="shared" si="61"/>
        <v>4193.2762268922324</v>
      </c>
      <c r="L832">
        <v>6</v>
      </c>
    </row>
    <row r="833" spans="1:12" x14ac:dyDescent="0.3">
      <c r="A833" t="s">
        <v>136</v>
      </c>
      <c r="B833" t="s">
        <v>122</v>
      </c>
      <c r="C833" s="4">
        <v>0.85750000000000004</v>
      </c>
      <c r="D833" s="4">
        <v>0.61247410899999999</v>
      </c>
      <c r="E833">
        <v>8.5</v>
      </c>
      <c r="F833" s="1">
        <v>45.70063694267516</v>
      </c>
      <c r="G833" s="2">
        <f t="shared" si="63"/>
        <v>1640.341933772273</v>
      </c>
      <c r="H833" s="2">
        <f t="shared" si="64"/>
        <v>585.4553816790899</v>
      </c>
      <c r="I833" s="2">
        <f t="shared" si="60"/>
        <v>97575.896946514971</v>
      </c>
      <c r="J833" s="4">
        <f t="shared" si="62"/>
        <v>71.120009454744604</v>
      </c>
      <c r="K833" s="4">
        <f t="shared" si="61"/>
        <v>11853.334909124102</v>
      </c>
      <c r="L833">
        <v>6</v>
      </c>
    </row>
    <row r="834" spans="1:12" x14ac:dyDescent="0.3">
      <c r="A834" t="s">
        <v>136</v>
      </c>
      <c r="B834" t="s">
        <v>20</v>
      </c>
      <c r="C834" s="4">
        <v>0.74387999999999999</v>
      </c>
      <c r="D834" s="4">
        <v>0.59130000000000005</v>
      </c>
      <c r="E834">
        <v>5</v>
      </c>
      <c r="F834" s="1">
        <v>17.292993630573246</v>
      </c>
      <c r="G834" s="2">
        <f t="shared" si="63"/>
        <v>234.87145835487661</v>
      </c>
      <c r="H834" s="2">
        <f t="shared" si="64"/>
        <v>50.561141778050505</v>
      </c>
      <c r="I834" s="2">
        <f t="shared" ref="I834:I897" si="65">(H834*1000)/L834</f>
        <v>8426.8569630084185</v>
      </c>
      <c r="J834" s="4">
        <f t="shared" si="62"/>
        <v>14.219033502373319</v>
      </c>
      <c r="K834" s="4">
        <f t="shared" ref="K834:K897" si="66">(J834*1000)/L834</f>
        <v>2369.8389170622199</v>
      </c>
      <c r="L834">
        <v>6</v>
      </c>
    </row>
    <row r="835" spans="1:12" x14ac:dyDescent="0.3">
      <c r="A835" t="s">
        <v>136</v>
      </c>
      <c r="B835" t="s">
        <v>131</v>
      </c>
      <c r="C835" s="4">
        <v>0.52520999999999995</v>
      </c>
      <c r="D835" s="4">
        <v>0.58666666700000003</v>
      </c>
      <c r="E835">
        <v>6</v>
      </c>
      <c r="F835" s="1">
        <v>23.407643312101911</v>
      </c>
      <c r="G835" s="2">
        <f t="shared" si="63"/>
        <v>430.33360665887716</v>
      </c>
      <c r="H835" s="2">
        <f t="shared" si="64"/>
        <v>108.24975369849021</v>
      </c>
      <c r="I835" s="2">
        <f t="shared" si="65"/>
        <v>18041.625616415036</v>
      </c>
      <c r="J835" s="4">
        <f t="shared" ref="J835:J898" si="67">8.9857 + 0.0035 * F835^2 * E835</f>
        <v>20.491973073958377</v>
      </c>
      <c r="K835" s="4">
        <f t="shared" si="66"/>
        <v>3415.3288456597293</v>
      </c>
      <c r="L835">
        <v>6</v>
      </c>
    </row>
    <row r="836" spans="1:12" x14ac:dyDescent="0.3">
      <c r="A836" t="s">
        <v>136</v>
      </c>
      <c r="B836" t="s">
        <v>131</v>
      </c>
      <c r="C836" s="4">
        <v>0.52520999999999995</v>
      </c>
      <c r="D836" s="4">
        <v>0.58666666700000003</v>
      </c>
      <c r="E836">
        <v>5</v>
      </c>
      <c r="F836" s="1">
        <v>15.509554140127388</v>
      </c>
      <c r="G836" s="2">
        <f t="shared" ref="G836:G899" si="68">PI()*(F836/2)^2</f>
        <v>188.92459837600856</v>
      </c>
      <c r="H836" s="2">
        <f t="shared" ref="H836:H899" si="69">0.0673 * ((D836 * F836^2 * E836)^0.976)</f>
        <v>40.570435266581676</v>
      </c>
      <c r="I836" s="2">
        <f t="shared" si="65"/>
        <v>6761.7392110969458</v>
      </c>
      <c r="J836" s="4">
        <f t="shared" si="67"/>
        <v>13.195259718446994</v>
      </c>
      <c r="K836" s="4">
        <f t="shared" si="66"/>
        <v>2199.209953074499</v>
      </c>
      <c r="L836">
        <v>6</v>
      </c>
    </row>
    <row r="837" spans="1:12" x14ac:dyDescent="0.3">
      <c r="A837" t="s">
        <v>137</v>
      </c>
      <c r="B837" t="s">
        <v>37</v>
      </c>
      <c r="C837" s="4">
        <v>0.39790071399999999</v>
      </c>
      <c r="D837" s="4">
        <v>0.50565277799999997</v>
      </c>
      <c r="E837">
        <v>4.5</v>
      </c>
      <c r="F837" s="1">
        <v>10.828025477707007</v>
      </c>
      <c r="G837" s="2">
        <f t="shared" si="68"/>
        <v>92.084899680255816</v>
      </c>
      <c r="H837" s="2">
        <f t="shared" si="69"/>
        <v>15.701841557191905</v>
      </c>
      <c r="I837" s="2">
        <f t="shared" si="65"/>
        <v>2616.9735928653176</v>
      </c>
      <c r="J837" s="4">
        <f t="shared" si="67"/>
        <v>10.832326637997484</v>
      </c>
      <c r="K837" s="4">
        <f t="shared" si="66"/>
        <v>1805.3877729995809</v>
      </c>
      <c r="L837">
        <v>6</v>
      </c>
    </row>
    <row r="838" spans="1:12" x14ac:dyDescent="0.3">
      <c r="A838" t="s">
        <v>137</v>
      </c>
      <c r="B838" t="s">
        <v>45</v>
      </c>
      <c r="C838" s="4">
        <v>0.81991655299999999</v>
      </c>
      <c r="D838" s="4">
        <v>0.72276027399999998</v>
      </c>
      <c r="E838">
        <v>2</v>
      </c>
      <c r="F838" s="1">
        <v>2.8662420382165603</v>
      </c>
      <c r="G838" s="2">
        <f t="shared" si="68"/>
        <v>6.4523156350352249</v>
      </c>
      <c r="H838" s="2">
        <f t="shared" si="69"/>
        <v>0.75313608538187993</v>
      </c>
      <c r="I838" s="2">
        <f t="shared" si="65"/>
        <v>125.52268089697999</v>
      </c>
      <c r="J838" s="4">
        <f t="shared" si="67"/>
        <v>9.0432074039514792</v>
      </c>
      <c r="K838" s="4">
        <f t="shared" si="66"/>
        <v>1507.2012339919131</v>
      </c>
      <c r="L838">
        <v>6</v>
      </c>
    </row>
    <row r="839" spans="1:12" x14ac:dyDescent="0.3">
      <c r="A839" t="s">
        <v>137</v>
      </c>
      <c r="B839" t="s">
        <v>41</v>
      </c>
      <c r="C839" s="4">
        <v>0.56193137999999998</v>
      </c>
      <c r="D839" s="4">
        <v>0.57808694400000005</v>
      </c>
      <c r="E839">
        <v>6</v>
      </c>
      <c r="F839" s="1">
        <v>30.414012738853501</v>
      </c>
      <c r="G839" s="2">
        <f t="shared" si="68"/>
        <v>726.50286012876552</v>
      </c>
      <c r="H839" s="2">
        <f t="shared" si="69"/>
        <v>177.89179528535169</v>
      </c>
      <c r="I839" s="2">
        <f t="shared" si="65"/>
        <v>29648.632547558616</v>
      </c>
      <c r="J839" s="4">
        <f t="shared" si="67"/>
        <v>28.410955588462002</v>
      </c>
      <c r="K839" s="4">
        <f t="shared" si="66"/>
        <v>4735.1592647436673</v>
      </c>
      <c r="L839">
        <v>6</v>
      </c>
    </row>
    <row r="840" spans="1:12" x14ac:dyDescent="0.3">
      <c r="A840" t="s">
        <v>137</v>
      </c>
      <c r="B840" t="s">
        <v>135</v>
      </c>
      <c r="C840" s="4">
        <v>0.84088890000000005</v>
      </c>
      <c r="D840" s="4">
        <v>0.84088888900000003</v>
      </c>
      <c r="E840">
        <v>10</v>
      </c>
      <c r="F840" s="1">
        <v>20.38216560509554</v>
      </c>
      <c r="G840" s="2">
        <f t="shared" si="68"/>
        <v>326.28005976671949</v>
      </c>
      <c r="H840" s="2">
        <f t="shared" si="69"/>
        <v>193.29320522367121</v>
      </c>
      <c r="I840" s="2">
        <f t="shared" si="65"/>
        <v>32215.534203945204</v>
      </c>
      <c r="J840" s="4">
        <f t="shared" si="67"/>
        <v>23.525843616373891</v>
      </c>
      <c r="K840" s="4">
        <f t="shared" si="66"/>
        <v>3920.9739360623153</v>
      </c>
      <c r="L840">
        <v>6</v>
      </c>
    </row>
    <row r="841" spans="1:12" x14ac:dyDescent="0.3">
      <c r="A841" t="s">
        <v>137</v>
      </c>
      <c r="B841" t="s">
        <v>135</v>
      </c>
      <c r="C841" s="4">
        <v>0.84088890000000005</v>
      </c>
      <c r="D841" s="4">
        <v>0.84088888900000003</v>
      </c>
      <c r="E841">
        <v>9</v>
      </c>
      <c r="F841" s="1">
        <v>17.834394904458598</v>
      </c>
      <c r="G841" s="2">
        <f t="shared" si="68"/>
        <v>249.80817075889462</v>
      </c>
      <c r="H841" s="2">
        <f t="shared" si="69"/>
        <v>134.38691872755896</v>
      </c>
      <c r="I841" s="2">
        <f t="shared" si="65"/>
        <v>22397.819787926492</v>
      </c>
      <c r="J841" s="4">
        <f t="shared" si="67"/>
        <v>19.004767710657632</v>
      </c>
      <c r="K841" s="4">
        <f t="shared" si="66"/>
        <v>3167.4612851096049</v>
      </c>
      <c r="L841">
        <v>6</v>
      </c>
    </row>
    <row r="842" spans="1:12" x14ac:dyDescent="0.3">
      <c r="A842" t="s">
        <v>137</v>
      </c>
      <c r="B842" t="s">
        <v>135</v>
      </c>
      <c r="C842" s="4">
        <v>0.84088890000000005</v>
      </c>
      <c r="D842" s="4">
        <v>0.84088888900000003</v>
      </c>
      <c r="E842">
        <v>8.5</v>
      </c>
      <c r="F842" s="1">
        <v>32.324840764331206</v>
      </c>
      <c r="G842" s="2">
        <f t="shared" si="68"/>
        <v>820.65887346964985</v>
      </c>
      <c r="H842" s="2">
        <f t="shared" si="69"/>
        <v>405.77740871943149</v>
      </c>
      <c r="I842" s="2">
        <f t="shared" si="65"/>
        <v>67629.568119905249</v>
      </c>
      <c r="J842" s="4">
        <f t="shared" si="67"/>
        <v>40.071336080571214</v>
      </c>
      <c r="K842" s="4">
        <f t="shared" si="66"/>
        <v>6678.5560134285361</v>
      </c>
      <c r="L842">
        <v>6</v>
      </c>
    </row>
    <row r="843" spans="1:12" x14ac:dyDescent="0.3">
      <c r="A843" t="s">
        <v>137</v>
      </c>
      <c r="B843" t="s">
        <v>122</v>
      </c>
      <c r="C843" s="4">
        <v>0.85750000000000004</v>
      </c>
      <c r="D843" s="4">
        <v>0.61247410899999999</v>
      </c>
      <c r="E843">
        <v>5</v>
      </c>
      <c r="F843" s="1">
        <v>14.012738853503183</v>
      </c>
      <c r="G843" s="2">
        <f t="shared" si="68"/>
        <v>154.2183094991135</v>
      </c>
      <c r="H843" s="2">
        <f t="shared" si="69"/>
        <v>34.707263169601717</v>
      </c>
      <c r="I843" s="2">
        <f t="shared" si="65"/>
        <v>5784.5438616002866</v>
      </c>
      <c r="J843" s="4">
        <f t="shared" si="67"/>
        <v>12.421944878088359</v>
      </c>
      <c r="K843" s="4">
        <f t="shared" si="66"/>
        <v>2070.3241463480599</v>
      </c>
      <c r="L843">
        <v>6</v>
      </c>
    </row>
    <row r="844" spans="1:12" x14ac:dyDescent="0.3">
      <c r="A844" t="s">
        <v>137</v>
      </c>
      <c r="B844" t="s">
        <v>119</v>
      </c>
      <c r="C844" s="4">
        <v>0.432770245</v>
      </c>
      <c r="D844" s="4">
        <v>0.61247410899999999</v>
      </c>
      <c r="E844">
        <v>3</v>
      </c>
      <c r="F844" s="1">
        <v>2.8662420382165603</v>
      </c>
      <c r="G844" s="2">
        <f t="shared" si="68"/>
        <v>6.4523156350352249</v>
      </c>
      <c r="H844" s="2">
        <f t="shared" si="69"/>
        <v>0.95182639315767614</v>
      </c>
      <c r="I844" s="2">
        <f t="shared" si="65"/>
        <v>158.63773219294603</v>
      </c>
      <c r="J844" s="4">
        <f t="shared" si="67"/>
        <v>9.0719611059272172</v>
      </c>
      <c r="K844" s="4">
        <f t="shared" si="66"/>
        <v>1511.9935176545362</v>
      </c>
      <c r="L844">
        <v>6</v>
      </c>
    </row>
    <row r="845" spans="1:12" x14ac:dyDescent="0.3">
      <c r="A845" t="s">
        <v>138</v>
      </c>
      <c r="B845" t="s">
        <v>26</v>
      </c>
      <c r="C845" s="4">
        <v>0.80908761900000004</v>
      </c>
      <c r="D845" s="4">
        <v>0.87473809499999999</v>
      </c>
      <c r="E845">
        <v>9.5</v>
      </c>
      <c r="F845" s="1">
        <v>10.19108280254777</v>
      </c>
      <c r="G845" s="2">
        <f t="shared" si="68"/>
        <v>81.570014941679872</v>
      </c>
      <c r="H845" s="2">
        <f t="shared" si="69"/>
        <v>49.384692644416972</v>
      </c>
      <c r="I845" s="2">
        <f t="shared" si="65"/>
        <v>8230.7821074028288</v>
      </c>
      <c r="J845" s="4">
        <f t="shared" si="67"/>
        <v>12.438984108888798</v>
      </c>
      <c r="K845" s="4">
        <f t="shared" si="66"/>
        <v>2073.164018148133</v>
      </c>
      <c r="L845">
        <v>6</v>
      </c>
    </row>
    <row r="846" spans="1:12" x14ac:dyDescent="0.3">
      <c r="A846" t="s">
        <v>138</v>
      </c>
      <c r="B846" t="s">
        <v>26</v>
      </c>
      <c r="C846" s="4">
        <v>0.80908761900000004</v>
      </c>
      <c r="D846" s="4">
        <v>0.87473809499999999</v>
      </c>
      <c r="E846">
        <v>9.5</v>
      </c>
      <c r="F846" s="1">
        <v>7.9617834394904454</v>
      </c>
      <c r="G846" s="2">
        <f t="shared" si="68"/>
        <v>49.786386072802657</v>
      </c>
      <c r="H846" s="2">
        <f t="shared" si="69"/>
        <v>30.501310153878983</v>
      </c>
      <c r="I846" s="2">
        <f t="shared" si="65"/>
        <v>5083.5516923131636</v>
      </c>
      <c r="J846" s="4">
        <f t="shared" si="67"/>
        <v>11.093417351616697</v>
      </c>
      <c r="K846" s="4">
        <f t="shared" si="66"/>
        <v>1848.9028919361162</v>
      </c>
      <c r="L846">
        <v>6</v>
      </c>
    </row>
    <row r="847" spans="1:12" x14ac:dyDescent="0.3">
      <c r="A847" t="s">
        <v>138</v>
      </c>
      <c r="B847" t="s">
        <v>85</v>
      </c>
      <c r="C847" s="4">
        <v>0.6</v>
      </c>
      <c r="D847" s="4">
        <v>0.66674999999999995</v>
      </c>
      <c r="E847">
        <v>7</v>
      </c>
      <c r="F847" s="1">
        <v>6.3694267515923562</v>
      </c>
      <c r="G847" s="2">
        <f t="shared" si="68"/>
        <v>31.863287086593701</v>
      </c>
      <c r="H847" s="2">
        <f t="shared" si="69"/>
        <v>11.23627970459831</v>
      </c>
      <c r="I847" s="2">
        <f t="shared" si="65"/>
        <v>1872.7132840997183</v>
      </c>
      <c r="J847" s="4">
        <f t="shared" si="67"/>
        <v>9.9796551300255576</v>
      </c>
      <c r="K847" s="4">
        <f t="shared" si="66"/>
        <v>1663.2758550042597</v>
      </c>
      <c r="L847">
        <v>6</v>
      </c>
    </row>
    <row r="848" spans="1:12" x14ac:dyDescent="0.3">
      <c r="A848" t="s">
        <v>138</v>
      </c>
      <c r="B848" t="s">
        <v>85</v>
      </c>
      <c r="C848" s="4">
        <v>0.6</v>
      </c>
      <c r="D848" s="4">
        <v>0.66674999999999995</v>
      </c>
      <c r="E848">
        <v>7.3</v>
      </c>
      <c r="F848" s="1">
        <v>9.5541401273885338</v>
      </c>
      <c r="G848" s="2">
        <f t="shared" si="68"/>
        <v>71.692395944835823</v>
      </c>
      <c r="H848" s="2">
        <f t="shared" si="69"/>
        <v>25.830933636588764</v>
      </c>
      <c r="I848" s="2">
        <f t="shared" si="65"/>
        <v>4305.1556060981275</v>
      </c>
      <c r="J848" s="4">
        <f t="shared" si="67"/>
        <v>11.317944715809972</v>
      </c>
      <c r="K848" s="4">
        <f t="shared" si="66"/>
        <v>1886.324119301662</v>
      </c>
      <c r="L848">
        <v>6</v>
      </c>
    </row>
    <row r="849" spans="1:12" x14ac:dyDescent="0.3">
      <c r="A849" t="s">
        <v>138</v>
      </c>
      <c r="B849" t="s">
        <v>85</v>
      </c>
      <c r="C849" s="4">
        <v>0.6</v>
      </c>
      <c r="D849" s="4">
        <v>0.66674999999999995</v>
      </c>
      <c r="E849">
        <v>7.5</v>
      </c>
      <c r="F849" s="1">
        <v>5.7324840764331206</v>
      </c>
      <c r="G849" s="2">
        <f t="shared" si="68"/>
        <v>25.809262540140899</v>
      </c>
      <c r="H849" s="2">
        <f t="shared" si="69"/>
        <v>9.7847115199566392</v>
      </c>
      <c r="I849" s="2">
        <f t="shared" si="65"/>
        <v>1630.7852533261066</v>
      </c>
      <c r="J849" s="4">
        <f t="shared" si="67"/>
        <v>9.8483110592721808</v>
      </c>
      <c r="K849" s="4">
        <f t="shared" si="66"/>
        <v>1641.3851765453635</v>
      </c>
      <c r="L849">
        <v>6</v>
      </c>
    </row>
    <row r="850" spans="1:12" x14ac:dyDescent="0.3">
      <c r="A850" t="s">
        <v>138</v>
      </c>
      <c r="B850" t="s">
        <v>37</v>
      </c>
      <c r="C850" s="4">
        <v>0.39790071399999999</v>
      </c>
      <c r="D850" s="4">
        <v>0.50565277799999997</v>
      </c>
      <c r="E850">
        <v>6.5</v>
      </c>
      <c r="F850" s="1">
        <v>7.3248407643312099</v>
      </c>
      <c r="G850" s="2">
        <f t="shared" si="68"/>
        <v>42.139197172020175</v>
      </c>
      <c r="H850" s="2">
        <f t="shared" si="69"/>
        <v>10.482491120219917</v>
      </c>
      <c r="I850" s="2">
        <f t="shared" si="65"/>
        <v>1747.081853369986</v>
      </c>
      <c r="J850" s="4">
        <f t="shared" si="67"/>
        <v>10.206312398068887</v>
      </c>
      <c r="K850" s="4">
        <f t="shared" si="66"/>
        <v>1701.0520663448144</v>
      </c>
      <c r="L850">
        <v>6</v>
      </c>
    </row>
    <row r="851" spans="1:12" x14ac:dyDescent="0.3">
      <c r="A851" t="s">
        <v>138</v>
      </c>
      <c r="B851" t="s">
        <v>18</v>
      </c>
      <c r="C851" s="4">
        <v>0.45255480399999998</v>
      </c>
      <c r="D851" s="4">
        <v>0.57808694400000005</v>
      </c>
      <c r="E851">
        <v>3.5</v>
      </c>
      <c r="F851" s="1">
        <v>6.0509554140127388</v>
      </c>
      <c r="G851" s="2">
        <f t="shared" si="68"/>
        <v>28.756616595650822</v>
      </c>
      <c r="H851" s="2">
        <f t="shared" si="69"/>
        <v>4.4962573077241785</v>
      </c>
      <c r="I851" s="2">
        <f t="shared" si="65"/>
        <v>749.37621795402981</v>
      </c>
      <c r="J851" s="4">
        <f t="shared" si="67"/>
        <v>9.4342222524240338</v>
      </c>
      <c r="K851" s="4">
        <f t="shared" si="66"/>
        <v>1572.3703754040055</v>
      </c>
      <c r="L851">
        <v>6</v>
      </c>
    </row>
    <row r="852" spans="1:12" x14ac:dyDescent="0.3">
      <c r="A852" t="s">
        <v>138</v>
      </c>
      <c r="B852" t="s">
        <v>18</v>
      </c>
      <c r="C852" s="4">
        <v>0.45255480399999998</v>
      </c>
      <c r="D852" s="4">
        <v>0.57808694400000005</v>
      </c>
      <c r="E852">
        <v>6</v>
      </c>
      <c r="F852" s="1">
        <v>24.840764331210192</v>
      </c>
      <c r="G852" s="2">
        <f t="shared" si="68"/>
        <v>484.64059658709033</v>
      </c>
      <c r="H852" s="2">
        <f t="shared" si="69"/>
        <v>119.82791458135016</v>
      </c>
      <c r="I852" s="2">
        <f t="shared" si="65"/>
        <v>19971.319096891693</v>
      </c>
      <c r="J852" s="4">
        <f t="shared" si="67"/>
        <v>21.944035023733214</v>
      </c>
      <c r="K852" s="4">
        <f t="shared" si="66"/>
        <v>3657.3391706222023</v>
      </c>
      <c r="L852">
        <v>6</v>
      </c>
    </row>
    <row r="853" spans="1:12" x14ac:dyDescent="0.3">
      <c r="A853" t="s">
        <v>138</v>
      </c>
      <c r="B853" t="s">
        <v>66</v>
      </c>
      <c r="C853" s="4">
        <v>0.62643652800000005</v>
      </c>
      <c r="D853" s="4">
        <v>0.57808694400000005</v>
      </c>
      <c r="E853">
        <v>4.5</v>
      </c>
      <c r="F853" s="1">
        <v>15.286624203821656</v>
      </c>
      <c r="G853" s="2">
        <f t="shared" si="68"/>
        <v>183.53253361877975</v>
      </c>
      <c r="H853" s="2">
        <f t="shared" si="69"/>
        <v>35.077773956167825</v>
      </c>
      <c r="I853" s="2">
        <f t="shared" si="65"/>
        <v>5846.2956593613044</v>
      </c>
      <c r="J853" s="4">
        <f t="shared" si="67"/>
        <v>12.666173852894641</v>
      </c>
      <c r="K853" s="4">
        <f t="shared" si="66"/>
        <v>2111.0289754824403</v>
      </c>
      <c r="L853">
        <v>6</v>
      </c>
    </row>
    <row r="854" spans="1:12" x14ac:dyDescent="0.3">
      <c r="A854" t="s">
        <v>138</v>
      </c>
      <c r="B854" t="s">
        <v>66</v>
      </c>
      <c r="C854" s="4">
        <v>0.62643652800000005</v>
      </c>
      <c r="D854" s="4">
        <v>0.57808694400000005</v>
      </c>
      <c r="E854">
        <v>4</v>
      </c>
      <c r="F854" s="1">
        <v>9.2356687898089174</v>
      </c>
      <c r="G854" s="2">
        <f t="shared" si="68"/>
        <v>66.992561099563275</v>
      </c>
      <c r="H854" s="2">
        <f t="shared" si="69"/>
        <v>11.692978732364748</v>
      </c>
      <c r="I854" s="2">
        <f t="shared" si="65"/>
        <v>1948.8297887274582</v>
      </c>
      <c r="J854" s="4">
        <f t="shared" si="67"/>
        <v>10.179866091930707</v>
      </c>
      <c r="K854" s="4">
        <f t="shared" si="66"/>
        <v>1696.6443486551179</v>
      </c>
      <c r="L854">
        <v>6</v>
      </c>
    </row>
    <row r="855" spans="1:12" x14ac:dyDescent="0.3">
      <c r="A855" t="s">
        <v>138</v>
      </c>
      <c r="B855" t="s">
        <v>66</v>
      </c>
      <c r="C855" s="4">
        <v>0.62643652800000005</v>
      </c>
      <c r="D855" s="4">
        <v>0.57808694400000005</v>
      </c>
      <c r="E855">
        <v>3.5</v>
      </c>
      <c r="F855" s="1">
        <v>5.0955414012738851</v>
      </c>
      <c r="G855" s="2">
        <f t="shared" si="68"/>
        <v>20.392503735419968</v>
      </c>
      <c r="H855" s="2">
        <f t="shared" si="69"/>
        <v>3.2148915988082054</v>
      </c>
      <c r="I855" s="2">
        <f t="shared" si="65"/>
        <v>535.81526646803422</v>
      </c>
      <c r="J855" s="4">
        <f t="shared" si="67"/>
        <v>9.3037656416081784</v>
      </c>
      <c r="K855" s="4">
        <f t="shared" si="66"/>
        <v>1550.6276069346966</v>
      </c>
      <c r="L855">
        <v>6</v>
      </c>
    </row>
    <row r="856" spans="1:12" x14ac:dyDescent="0.3">
      <c r="A856" t="s">
        <v>138</v>
      </c>
      <c r="B856" t="s">
        <v>66</v>
      </c>
      <c r="C856" s="4">
        <v>0.62643652800000005</v>
      </c>
      <c r="D856" s="4">
        <v>0.57808694400000005</v>
      </c>
      <c r="E856">
        <v>5</v>
      </c>
      <c r="F856" s="1">
        <v>6.0509554140127388</v>
      </c>
      <c r="G856" s="2">
        <f t="shared" si="68"/>
        <v>28.756616595650822</v>
      </c>
      <c r="H856" s="2">
        <f t="shared" si="69"/>
        <v>6.3684753129143576</v>
      </c>
      <c r="I856" s="2">
        <f t="shared" si="65"/>
        <v>1061.4125521523929</v>
      </c>
      <c r="J856" s="4">
        <f t="shared" si="67"/>
        <v>9.6264460748914757</v>
      </c>
      <c r="K856" s="4">
        <f t="shared" si="66"/>
        <v>1604.4076791485793</v>
      </c>
      <c r="L856">
        <v>6</v>
      </c>
    </row>
    <row r="857" spans="1:12" x14ac:dyDescent="0.3">
      <c r="A857" t="s">
        <v>138</v>
      </c>
      <c r="B857" t="s">
        <v>41</v>
      </c>
      <c r="C857" s="4">
        <v>0.56193137999999998</v>
      </c>
      <c r="D857" s="4">
        <v>0.57808694400000005</v>
      </c>
      <c r="E857">
        <v>6</v>
      </c>
      <c r="F857" s="1">
        <v>31.210191082802545</v>
      </c>
      <c r="G857" s="2">
        <f t="shared" si="68"/>
        <v>765.03752294911476</v>
      </c>
      <c r="H857" s="2">
        <f t="shared" si="69"/>
        <v>187.09519604214972</v>
      </c>
      <c r="I857" s="2">
        <f t="shared" si="65"/>
        <v>31182.532673691621</v>
      </c>
      <c r="J857" s="4">
        <f t="shared" si="67"/>
        <v>29.441296575925996</v>
      </c>
      <c r="K857" s="4">
        <f t="shared" si="66"/>
        <v>4906.8827626543325</v>
      </c>
      <c r="L857">
        <v>6</v>
      </c>
    </row>
    <row r="858" spans="1:12" x14ac:dyDescent="0.3">
      <c r="A858" t="s">
        <v>138</v>
      </c>
      <c r="B858" t="s">
        <v>122</v>
      </c>
      <c r="C858" s="4">
        <v>0.85750000000000004</v>
      </c>
      <c r="D858" s="4">
        <v>0.61247410899999999</v>
      </c>
      <c r="E858">
        <v>3.5</v>
      </c>
      <c r="F858" s="1">
        <v>9.5541401273885338</v>
      </c>
      <c r="G858" s="2">
        <f t="shared" si="68"/>
        <v>71.692395944835823</v>
      </c>
      <c r="H858" s="2">
        <f t="shared" si="69"/>
        <v>11.6026481007495</v>
      </c>
      <c r="I858" s="2">
        <f t="shared" si="65"/>
        <v>1933.7746834582501</v>
      </c>
      <c r="J858" s="4">
        <f t="shared" si="67"/>
        <v>10.103899521278754</v>
      </c>
      <c r="K858" s="4">
        <f t="shared" si="66"/>
        <v>1683.9832535464591</v>
      </c>
      <c r="L858">
        <v>6</v>
      </c>
    </row>
    <row r="859" spans="1:12" x14ac:dyDescent="0.3">
      <c r="A859" t="s">
        <v>138</v>
      </c>
      <c r="B859" t="s">
        <v>122</v>
      </c>
      <c r="C859" s="4">
        <v>0.85750000000000004</v>
      </c>
      <c r="D859" s="4">
        <v>0.61247410899999999</v>
      </c>
      <c r="E859">
        <v>6</v>
      </c>
      <c r="F859" s="1">
        <v>6.6878980891719744</v>
      </c>
      <c r="G859" s="2">
        <f t="shared" si="68"/>
        <v>35.12927401296956</v>
      </c>
      <c r="H859" s="2">
        <f t="shared" si="69"/>
        <v>9.7870927450829885</v>
      </c>
      <c r="I859" s="2">
        <f t="shared" si="65"/>
        <v>1631.182124180498</v>
      </c>
      <c r="J859" s="4">
        <f t="shared" si="67"/>
        <v>9.9249875978741535</v>
      </c>
      <c r="K859" s="4">
        <f t="shared" si="66"/>
        <v>1654.1645996456921</v>
      </c>
      <c r="L859">
        <v>6</v>
      </c>
    </row>
    <row r="860" spans="1:12" x14ac:dyDescent="0.3">
      <c r="A860" t="s">
        <v>138</v>
      </c>
      <c r="B860" t="s">
        <v>122</v>
      </c>
      <c r="C860" s="4">
        <v>0.85750000000000004</v>
      </c>
      <c r="D860" s="4">
        <v>0.61247410899999999</v>
      </c>
      <c r="E860">
        <v>7</v>
      </c>
      <c r="F860" s="1">
        <v>39.171974522292992</v>
      </c>
      <c r="G860" s="2">
        <f t="shared" si="68"/>
        <v>1205.1491758326904</v>
      </c>
      <c r="H860" s="2">
        <f t="shared" si="69"/>
        <v>358.52255662474226</v>
      </c>
      <c r="I860" s="2">
        <f t="shared" si="65"/>
        <v>59753.759437457047</v>
      </c>
      <c r="J860" s="4">
        <f t="shared" si="67"/>
        <v>46.579567905391698</v>
      </c>
      <c r="K860" s="4">
        <f t="shared" si="66"/>
        <v>7763.2613175652832</v>
      </c>
      <c r="L860">
        <v>6</v>
      </c>
    </row>
    <row r="861" spans="1:12" x14ac:dyDescent="0.3">
      <c r="A861" t="s">
        <v>138</v>
      </c>
      <c r="B861" t="s">
        <v>122</v>
      </c>
      <c r="C861" s="4">
        <v>0.85750000000000004</v>
      </c>
      <c r="D861" s="4">
        <v>0.61247410899999999</v>
      </c>
      <c r="E861">
        <v>2.5</v>
      </c>
      <c r="F861" s="1">
        <v>13.375796178343949</v>
      </c>
      <c r="G861" s="2">
        <f t="shared" si="68"/>
        <v>140.51709605187824</v>
      </c>
      <c r="H861" s="2">
        <f t="shared" si="69"/>
        <v>16.113062195617001</v>
      </c>
      <c r="I861" s="2">
        <f t="shared" si="65"/>
        <v>2685.5103659361671</v>
      </c>
      <c r="J861" s="4">
        <f t="shared" si="67"/>
        <v>10.551179329790255</v>
      </c>
      <c r="K861" s="4">
        <f t="shared" si="66"/>
        <v>1758.5298882983759</v>
      </c>
      <c r="L861">
        <v>6</v>
      </c>
    </row>
    <row r="862" spans="1:12" x14ac:dyDescent="0.3">
      <c r="A862" t="s">
        <v>138</v>
      </c>
      <c r="B862" t="s">
        <v>20</v>
      </c>
      <c r="C862" s="4">
        <v>0.74387999999999999</v>
      </c>
      <c r="D862" s="4">
        <v>0.59130000000000005</v>
      </c>
      <c r="E862">
        <v>7</v>
      </c>
      <c r="F862" s="1">
        <v>11.464968152866241</v>
      </c>
      <c r="G862" s="2">
        <f t="shared" si="68"/>
        <v>103.2370501605636</v>
      </c>
      <c r="H862" s="2">
        <f t="shared" si="69"/>
        <v>31.478284024494837</v>
      </c>
      <c r="I862" s="2">
        <f t="shared" si="65"/>
        <v>5246.3806707491394</v>
      </c>
      <c r="J862" s="4">
        <f t="shared" si="67"/>
        <v>12.20611462128281</v>
      </c>
      <c r="K862" s="4">
        <f t="shared" si="66"/>
        <v>2034.3524368804683</v>
      </c>
      <c r="L862">
        <v>6</v>
      </c>
    </row>
    <row r="863" spans="1:12" x14ac:dyDescent="0.3">
      <c r="A863" t="s">
        <v>138</v>
      </c>
      <c r="B863" t="s">
        <v>23</v>
      </c>
      <c r="C863" s="4">
        <v>0.76500000000000001</v>
      </c>
      <c r="D863" s="4">
        <v>0.61247410899999999</v>
      </c>
      <c r="E863">
        <v>10</v>
      </c>
      <c r="F863" s="1">
        <v>42.993630573248403</v>
      </c>
      <c r="G863" s="2">
        <f t="shared" si="68"/>
        <v>1451.7710178829254</v>
      </c>
      <c r="H863" s="2">
        <f t="shared" si="69"/>
        <v>609.00034159723111</v>
      </c>
      <c r="I863" s="2">
        <f t="shared" si="65"/>
        <v>101500.05693287186</v>
      </c>
      <c r="J863" s="4">
        <f t="shared" si="67"/>
        <v>73.681529445413588</v>
      </c>
      <c r="K863" s="4">
        <f t="shared" si="66"/>
        <v>12280.254907568931</v>
      </c>
      <c r="L863">
        <v>6</v>
      </c>
    </row>
    <row r="864" spans="1:12" x14ac:dyDescent="0.3">
      <c r="A864" t="s">
        <v>138</v>
      </c>
      <c r="B864" t="s">
        <v>23</v>
      </c>
      <c r="C864" s="4">
        <v>0.76500000000000001</v>
      </c>
      <c r="D864" s="4">
        <v>0.61247410899999999</v>
      </c>
      <c r="E864">
        <v>4.5</v>
      </c>
      <c r="F864" s="1">
        <v>5.0955414012738851</v>
      </c>
      <c r="G864" s="2">
        <f t="shared" si="68"/>
        <v>20.392503735419968</v>
      </c>
      <c r="H864" s="2">
        <f t="shared" si="69"/>
        <v>4.3469399396971973</v>
      </c>
      <c r="I864" s="2">
        <f t="shared" si="65"/>
        <v>724.48998994953297</v>
      </c>
      <c r="J864" s="4">
        <f t="shared" si="67"/>
        <v>9.3946415392105145</v>
      </c>
      <c r="K864" s="4">
        <f t="shared" si="66"/>
        <v>1565.7735898684189</v>
      </c>
      <c r="L864">
        <v>6</v>
      </c>
    </row>
    <row r="865" spans="1:12" x14ac:dyDescent="0.3">
      <c r="A865" t="s">
        <v>138</v>
      </c>
      <c r="B865" t="s">
        <v>23</v>
      </c>
      <c r="C865" s="4">
        <v>0.76500000000000001</v>
      </c>
      <c r="D865" s="4">
        <v>0.61247410899999999</v>
      </c>
      <c r="E865">
        <v>8.5</v>
      </c>
      <c r="F865" s="1">
        <v>29.936305732484076</v>
      </c>
      <c r="G865" s="2">
        <f t="shared" si="68"/>
        <v>703.86001174285491</v>
      </c>
      <c r="H865" s="2">
        <f t="shared" si="69"/>
        <v>256.36838164215243</v>
      </c>
      <c r="I865" s="2">
        <f t="shared" si="65"/>
        <v>42728.063607025404</v>
      </c>
      <c r="J865" s="4">
        <f t="shared" si="67"/>
        <v>35.64712642703558</v>
      </c>
      <c r="K865" s="4">
        <f t="shared" si="66"/>
        <v>5941.1877378392637</v>
      </c>
      <c r="L865">
        <v>6</v>
      </c>
    </row>
    <row r="866" spans="1:12" x14ac:dyDescent="0.3">
      <c r="A866" t="s">
        <v>138</v>
      </c>
      <c r="B866" t="s">
        <v>23</v>
      </c>
      <c r="C866" s="4">
        <v>0.76500000000000001</v>
      </c>
      <c r="D866" s="4">
        <v>0.61247410899999999</v>
      </c>
      <c r="E866">
        <v>8.5</v>
      </c>
      <c r="F866" s="1">
        <v>25.159235668789808</v>
      </c>
      <c r="G866" s="2">
        <f t="shared" si="68"/>
        <v>497.14693676857826</v>
      </c>
      <c r="H866" s="2">
        <f t="shared" si="69"/>
        <v>182.594198119211</v>
      </c>
      <c r="I866" s="2">
        <f t="shared" si="65"/>
        <v>30432.366353201836</v>
      </c>
      <c r="J866" s="4">
        <f t="shared" si="67"/>
        <v>27.817067398271732</v>
      </c>
      <c r="K866" s="4">
        <f t="shared" si="66"/>
        <v>4636.1778997119554</v>
      </c>
      <c r="L866">
        <v>6</v>
      </c>
    </row>
    <row r="867" spans="1:12" x14ac:dyDescent="0.3">
      <c r="A867" t="s">
        <v>138</v>
      </c>
      <c r="B867" t="s">
        <v>23</v>
      </c>
      <c r="C867" s="4">
        <v>0.76500000000000001</v>
      </c>
      <c r="D867" s="4">
        <v>0.61247410899999999</v>
      </c>
      <c r="E867">
        <v>10</v>
      </c>
      <c r="F867" s="1">
        <v>23.885350318471335</v>
      </c>
      <c r="G867" s="2">
        <f t="shared" si="68"/>
        <v>448.07747465522391</v>
      </c>
      <c r="H867" s="2">
        <f t="shared" si="69"/>
        <v>193.34173266271384</v>
      </c>
      <c r="I867" s="2">
        <f t="shared" si="65"/>
        <v>32223.622110452303</v>
      </c>
      <c r="J867" s="4">
        <f t="shared" si="67"/>
        <v>28.953548594263452</v>
      </c>
      <c r="K867" s="4">
        <f t="shared" si="66"/>
        <v>4825.5914323772422</v>
      </c>
      <c r="L867">
        <v>6</v>
      </c>
    </row>
    <row r="868" spans="1:12" x14ac:dyDescent="0.3">
      <c r="A868" t="s">
        <v>138</v>
      </c>
      <c r="B868" t="s">
        <v>133</v>
      </c>
      <c r="C868" s="4">
        <v>0.50016547600000005</v>
      </c>
      <c r="D868" s="4">
        <v>0.61774072899999999</v>
      </c>
      <c r="E868">
        <v>5</v>
      </c>
      <c r="F868" s="1">
        <v>5.0955414012738851</v>
      </c>
      <c r="G868" s="2">
        <f t="shared" si="68"/>
        <v>20.392503735419968</v>
      </c>
      <c r="H868" s="2">
        <f t="shared" si="69"/>
        <v>4.8581644105354611</v>
      </c>
      <c r="I868" s="2">
        <f t="shared" si="65"/>
        <v>809.69406842257683</v>
      </c>
      <c r="J868" s="4">
        <f t="shared" si="67"/>
        <v>9.4400794880116834</v>
      </c>
      <c r="K868" s="4">
        <f t="shared" si="66"/>
        <v>1573.3465813352805</v>
      </c>
      <c r="L868">
        <v>6</v>
      </c>
    </row>
    <row r="869" spans="1:12" x14ac:dyDescent="0.3">
      <c r="A869" t="s">
        <v>138</v>
      </c>
      <c r="B869" t="s">
        <v>133</v>
      </c>
      <c r="C869" s="4">
        <v>0.50016547600000005</v>
      </c>
      <c r="D869" s="4">
        <v>0.61774072899999999</v>
      </c>
      <c r="E869">
        <v>8</v>
      </c>
      <c r="F869" s="1">
        <v>9.872611464968152</v>
      </c>
      <c r="G869" s="2">
        <f t="shared" si="68"/>
        <v>76.55154722554137</v>
      </c>
      <c r="H869" s="2">
        <f t="shared" si="69"/>
        <v>27.950471049471098</v>
      </c>
      <c r="I869" s="2">
        <f t="shared" si="65"/>
        <v>4658.411841578516</v>
      </c>
      <c r="J869" s="4">
        <f t="shared" si="67"/>
        <v>11.714816799870176</v>
      </c>
      <c r="K869" s="4">
        <f t="shared" si="66"/>
        <v>1952.4694666450293</v>
      </c>
      <c r="L869">
        <v>6</v>
      </c>
    </row>
    <row r="870" spans="1:12" x14ac:dyDescent="0.3">
      <c r="A870" t="s">
        <v>139</v>
      </c>
      <c r="B870" t="s">
        <v>26</v>
      </c>
      <c r="C870" s="4">
        <v>0.80908761900000004</v>
      </c>
      <c r="D870" s="4">
        <v>0.87473809499999999</v>
      </c>
      <c r="E870">
        <v>10</v>
      </c>
      <c r="F870" s="1">
        <v>14.012738853503183</v>
      </c>
      <c r="G870" s="2">
        <f t="shared" si="68"/>
        <v>154.2183094991135</v>
      </c>
      <c r="H870" s="2">
        <f t="shared" si="69"/>
        <v>96.672062250927738</v>
      </c>
      <c r="I870" s="2">
        <f t="shared" si="65"/>
        <v>16112.010375154621</v>
      </c>
      <c r="J870" s="4">
        <f t="shared" si="67"/>
        <v>15.858189756176719</v>
      </c>
      <c r="K870" s="4">
        <f t="shared" si="66"/>
        <v>2643.031626029453</v>
      </c>
      <c r="L870">
        <v>6</v>
      </c>
    </row>
    <row r="871" spans="1:12" x14ac:dyDescent="0.3">
      <c r="A871" t="s">
        <v>139</v>
      </c>
      <c r="B871" t="s">
        <v>26</v>
      </c>
      <c r="C871" s="4">
        <v>0.80908761900000004</v>
      </c>
      <c r="D871" s="4">
        <v>0.87473809499999999</v>
      </c>
      <c r="E871">
        <v>10</v>
      </c>
      <c r="F871" s="1">
        <v>14.968152866242038</v>
      </c>
      <c r="G871" s="2">
        <f t="shared" si="68"/>
        <v>175.96500293571373</v>
      </c>
      <c r="H871" s="2">
        <f t="shared" si="69"/>
        <v>109.95535307601384</v>
      </c>
      <c r="I871" s="2">
        <f t="shared" si="65"/>
        <v>18325.892179335639</v>
      </c>
      <c r="J871" s="4">
        <f t="shared" si="67"/>
        <v>16.827296007951642</v>
      </c>
      <c r="K871" s="4">
        <f t="shared" si="66"/>
        <v>2804.5493346586068</v>
      </c>
      <c r="L871">
        <v>6</v>
      </c>
    </row>
    <row r="872" spans="1:12" x14ac:dyDescent="0.3">
      <c r="A872" t="s">
        <v>139</v>
      </c>
      <c r="B872" t="s">
        <v>85</v>
      </c>
      <c r="C872" s="4">
        <v>0.6</v>
      </c>
      <c r="D872" s="4">
        <v>0.66674999999999995</v>
      </c>
      <c r="E872">
        <v>6</v>
      </c>
      <c r="F872" s="1">
        <v>6.0509554140127388</v>
      </c>
      <c r="G872" s="2">
        <f t="shared" si="68"/>
        <v>28.756616595650822</v>
      </c>
      <c r="H872" s="2">
        <f t="shared" si="69"/>
        <v>8.7457881341726136</v>
      </c>
      <c r="I872" s="2">
        <f t="shared" si="65"/>
        <v>1457.6313556954356</v>
      </c>
      <c r="J872" s="4">
        <f t="shared" si="67"/>
        <v>9.754595289869771</v>
      </c>
      <c r="K872" s="4">
        <f t="shared" si="66"/>
        <v>1625.7658816449618</v>
      </c>
      <c r="L872">
        <v>6</v>
      </c>
    </row>
    <row r="873" spans="1:12" x14ac:dyDescent="0.3">
      <c r="A873" t="s">
        <v>139</v>
      </c>
      <c r="B873" t="s">
        <v>85</v>
      </c>
      <c r="C873" s="4">
        <v>0.6</v>
      </c>
      <c r="D873" s="4">
        <v>0.66674999999999995</v>
      </c>
      <c r="E873">
        <v>7</v>
      </c>
      <c r="F873" s="1">
        <v>8.2802547770700627</v>
      </c>
      <c r="G873" s="2">
        <f t="shared" si="68"/>
        <v>53.848955176343352</v>
      </c>
      <c r="H873" s="2">
        <f t="shared" si="69"/>
        <v>18.751670593780787</v>
      </c>
      <c r="I873" s="2">
        <f t="shared" si="65"/>
        <v>3125.2784322967977</v>
      </c>
      <c r="J873" s="4">
        <f t="shared" si="67"/>
        <v>10.665484169743193</v>
      </c>
      <c r="K873" s="4">
        <f t="shared" si="66"/>
        <v>1777.5806949571988</v>
      </c>
      <c r="L873">
        <v>6</v>
      </c>
    </row>
    <row r="874" spans="1:12" x14ac:dyDescent="0.3">
      <c r="A874" t="s">
        <v>139</v>
      </c>
      <c r="B874" t="s">
        <v>18</v>
      </c>
      <c r="C874" s="4">
        <v>0.45255480399999998</v>
      </c>
      <c r="D874" s="4">
        <v>0.57808694400000005</v>
      </c>
      <c r="E874">
        <v>5</v>
      </c>
      <c r="F874" s="1">
        <v>11.464968152866241</v>
      </c>
      <c r="G874" s="2">
        <f t="shared" si="68"/>
        <v>103.2370501605636</v>
      </c>
      <c r="H874" s="2">
        <f t="shared" si="69"/>
        <v>22.172308981823207</v>
      </c>
      <c r="I874" s="2">
        <f t="shared" si="65"/>
        <v>3695.3848303038681</v>
      </c>
      <c r="J874" s="4">
        <f t="shared" si="67"/>
        <v>11.285996158059149</v>
      </c>
      <c r="K874" s="4">
        <f t="shared" si="66"/>
        <v>1880.9993596765246</v>
      </c>
      <c r="L874">
        <v>6</v>
      </c>
    </row>
    <row r="875" spans="1:12" x14ac:dyDescent="0.3">
      <c r="A875" t="s">
        <v>139</v>
      </c>
      <c r="B875" t="s">
        <v>18</v>
      </c>
      <c r="C875" s="4">
        <v>0.45255480399999998</v>
      </c>
      <c r="D875" s="4">
        <v>0.57808694400000005</v>
      </c>
      <c r="E875">
        <v>5</v>
      </c>
      <c r="F875" s="1">
        <v>3.1847133757961781</v>
      </c>
      <c r="G875" s="2">
        <f t="shared" si="68"/>
        <v>7.9658217716484252</v>
      </c>
      <c r="H875" s="2">
        <f t="shared" si="69"/>
        <v>1.8193172635552548</v>
      </c>
      <c r="I875" s="2">
        <f t="shared" si="65"/>
        <v>303.21954392587583</v>
      </c>
      <c r="J875" s="4">
        <f t="shared" si="67"/>
        <v>9.1631919875045629</v>
      </c>
      <c r="K875" s="4">
        <f t="shared" si="66"/>
        <v>1527.1986645840936</v>
      </c>
      <c r="L875">
        <v>6</v>
      </c>
    </row>
    <row r="876" spans="1:12" x14ac:dyDescent="0.3">
      <c r="A876" t="s">
        <v>139</v>
      </c>
      <c r="B876" t="s">
        <v>18</v>
      </c>
      <c r="C876" s="4">
        <v>0.45255480399999998</v>
      </c>
      <c r="D876" s="4">
        <v>0.57808694400000005</v>
      </c>
      <c r="E876">
        <v>4</v>
      </c>
      <c r="F876" s="1">
        <v>6.3694267515923562</v>
      </c>
      <c r="G876" s="2">
        <f t="shared" si="68"/>
        <v>31.863287086593701</v>
      </c>
      <c r="H876" s="2">
        <f t="shared" si="69"/>
        <v>5.661543120376396</v>
      </c>
      <c r="I876" s="2">
        <f t="shared" si="65"/>
        <v>943.59052006273259</v>
      </c>
      <c r="J876" s="4">
        <f t="shared" si="67"/>
        <v>9.5536743600146039</v>
      </c>
      <c r="K876" s="4">
        <f t="shared" si="66"/>
        <v>1592.2790600024339</v>
      </c>
      <c r="L876">
        <v>6</v>
      </c>
    </row>
    <row r="877" spans="1:12" x14ac:dyDescent="0.3">
      <c r="A877" t="s">
        <v>139</v>
      </c>
      <c r="B877" t="s">
        <v>122</v>
      </c>
      <c r="C877" s="4">
        <v>0.85750000000000004</v>
      </c>
      <c r="D877" s="4">
        <v>0.61247410899999999</v>
      </c>
      <c r="E877">
        <v>9</v>
      </c>
      <c r="F877" s="1">
        <v>17.834394904458598</v>
      </c>
      <c r="G877" s="2">
        <f t="shared" si="68"/>
        <v>249.80817075889462</v>
      </c>
      <c r="H877" s="2">
        <f t="shared" si="69"/>
        <v>98.6301600943724</v>
      </c>
      <c r="I877" s="2">
        <f t="shared" si="65"/>
        <v>16438.360015728733</v>
      </c>
      <c r="J877" s="4">
        <f t="shared" si="67"/>
        <v>19.004767710657632</v>
      </c>
      <c r="K877" s="4">
        <f t="shared" si="66"/>
        <v>3167.4612851096049</v>
      </c>
      <c r="L877">
        <v>6</v>
      </c>
    </row>
    <row r="878" spans="1:12" x14ac:dyDescent="0.3">
      <c r="A878" t="s">
        <v>139</v>
      </c>
      <c r="B878" t="s">
        <v>122</v>
      </c>
      <c r="C878" s="4">
        <v>0.85750000000000004</v>
      </c>
      <c r="D878" s="4">
        <v>0.61247410899999999</v>
      </c>
      <c r="E878">
        <v>8.5</v>
      </c>
      <c r="F878" s="1">
        <v>15.923566878980891</v>
      </c>
      <c r="G878" s="2">
        <f t="shared" si="68"/>
        <v>199.14554429121063</v>
      </c>
      <c r="H878" s="2">
        <f t="shared" si="69"/>
        <v>74.766721968658075</v>
      </c>
      <c r="I878" s="2">
        <f t="shared" si="65"/>
        <v>12461.12032810968</v>
      </c>
      <c r="J878" s="4">
        <f t="shared" si="67"/>
        <v>16.529109468943972</v>
      </c>
      <c r="K878" s="4">
        <f t="shared" si="66"/>
        <v>2754.8515781573283</v>
      </c>
      <c r="L878">
        <v>6</v>
      </c>
    </row>
    <row r="879" spans="1:12" x14ac:dyDescent="0.3">
      <c r="A879" t="s">
        <v>139</v>
      </c>
      <c r="B879" t="s">
        <v>122</v>
      </c>
      <c r="C879" s="4">
        <v>0.85750000000000004</v>
      </c>
      <c r="D879" s="4">
        <v>0.61247410899999999</v>
      </c>
      <c r="E879">
        <v>8.5</v>
      </c>
      <c r="F879" s="1">
        <v>36.942675159235669</v>
      </c>
      <c r="G879" s="2">
        <f t="shared" si="68"/>
        <v>1071.8809775930124</v>
      </c>
      <c r="H879" s="2">
        <f t="shared" si="69"/>
        <v>386.49233614245384</v>
      </c>
      <c r="I879" s="2">
        <f t="shared" si="65"/>
        <v>64415.389357075641</v>
      </c>
      <c r="J879" s="4">
        <f t="shared" si="67"/>
        <v>49.587347125644051</v>
      </c>
      <c r="K879" s="4">
        <f t="shared" si="66"/>
        <v>8264.5578542740095</v>
      </c>
      <c r="L879">
        <v>6</v>
      </c>
    </row>
    <row r="880" spans="1:12" x14ac:dyDescent="0.3">
      <c r="A880" t="s">
        <v>139</v>
      </c>
      <c r="B880" t="s">
        <v>122</v>
      </c>
      <c r="C880" s="4">
        <v>0.85750000000000004</v>
      </c>
      <c r="D880" s="4">
        <v>0.61247410899999999</v>
      </c>
      <c r="E880">
        <v>9.5</v>
      </c>
      <c r="F880" s="1">
        <v>28.025477707006367</v>
      </c>
      <c r="G880" s="2">
        <f t="shared" si="68"/>
        <v>616.87323799645401</v>
      </c>
      <c r="H880" s="2">
        <f t="shared" si="69"/>
        <v>251.24326867023203</v>
      </c>
      <c r="I880" s="2">
        <f t="shared" si="65"/>
        <v>41873.878111705337</v>
      </c>
      <c r="J880" s="4">
        <f t="shared" si="67"/>
        <v>35.10116107347153</v>
      </c>
      <c r="K880" s="4">
        <f t="shared" si="66"/>
        <v>5850.1935122452551</v>
      </c>
      <c r="L880">
        <v>6</v>
      </c>
    </row>
    <row r="881" spans="1:12" x14ac:dyDescent="0.3">
      <c r="A881" t="s">
        <v>139</v>
      </c>
      <c r="B881" t="s">
        <v>122</v>
      </c>
      <c r="C881" s="4">
        <v>0.85750000000000004</v>
      </c>
      <c r="D881" s="4">
        <v>0.61247410899999999</v>
      </c>
      <c r="E881">
        <v>9</v>
      </c>
      <c r="F881" s="1">
        <v>29.936305732484076</v>
      </c>
      <c r="G881" s="2">
        <f t="shared" si="68"/>
        <v>703.86001174285491</v>
      </c>
      <c r="H881" s="2">
        <f t="shared" si="69"/>
        <v>271.07675588415503</v>
      </c>
      <c r="I881" s="2">
        <f t="shared" si="65"/>
        <v>45179.459314025844</v>
      </c>
      <c r="J881" s="4">
        <f t="shared" si="67"/>
        <v>37.215445628625908</v>
      </c>
      <c r="K881" s="4">
        <f t="shared" si="66"/>
        <v>6202.5742714376511</v>
      </c>
      <c r="L881">
        <v>6</v>
      </c>
    </row>
    <row r="882" spans="1:12" x14ac:dyDescent="0.3">
      <c r="A882" t="s">
        <v>139</v>
      </c>
      <c r="B882" t="s">
        <v>122</v>
      </c>
      <c r="C882" s="4">
        <v>0.85750000000000004</v>
      </c>
      <c r="D882" s="4">
        <v>0.61247410899999999</v>
      </c>
      <c r="E882">
        <v>9</v>
      </c>
      <c r="F882" s="1">
        <v>14.012738853503183</v>
      </c>
      <c r="G882" s="2">
        <f t="shared" si="68"/>
        <v>154.2183094991135</v>
      </c>
      <c r="H882" s="2">
        <f t="shared" si="69"/>
        <v>61.597960624070225</v>
      </c>
      <c r="I882" s="2">
        <f t="shared" si="65"/>
        <v>10266.326770678372</v>
      </c>
      <c r="J882" s="4">
        <f t="shared" si="67"/>
        <v>15.170940780559047</v>
      </c>
      <c r="K882" s="4">
        <f t="shared" si="66"/>
        <v>2528.4901300931747</v>
      </c>
      <c r="L882">
        <v>6</v>
      </c>
    </row>
    <row r="883" spans="1:12" x14ac:dyDescent="0.3">
      <c r="A883" t="s">
        <v>139</v>
      </c>
      <c r="B883" t="s">
        <v>122</v>
      </c>
      <c r="C883" s="4">
        <v>0.85750000000000004</v>
      </c>
      <c r="D883" s="4">
        <v>0.61247410899999999</v>
      </c>
      <c r="E883">
        <v>8</v>
      </c>
      <c r="F883" s="1">
        <v>24.840764331210192</v>
      </c>
      <c r="G883" s="2">
        <f t="shared" si="68"/>
        <v>484.64059658709033</v>
      </c>
      <c r="H883" s="2">
        <f t="shared" si="69"/>
        <v>167.87673413838968</v>
      </c>
      <c r="I883" s="2">
        <f t="shared" si="65"/>
        <v>27979.455689731611</v>
      </c>
      <c r="J883" s="4">
        <f t="shared" si="67"/>
        <v>26.263480031644285</v>
      </c>
      <c r="K883" s="4">
        <f t="shared" si="66"/>
        <v>4377.2466719407139</v>
      </c>
      <c r="L883">
        <v>6</v>
      </c>
    </row>
    <row r="884" spans="1:12" x14ac:dyDescent="0.3">
      <c r="A884" t="s">
        <v>139</v>
      </c>
      <c r="B884" t="s">
        <v>122</v>
      </c>
      <c r="C884" s="4">
        <v>0.85750000000000004</v>
      </c>
      <c r="D884" s="4">
        <v>0.61247410899999999</v>
      </c>
      <c r="E884">
        <v>8</v>
      </c>
      <c r="F884" s="1">
        <v>11.464968152866241</v>
      </c>
      <c r="G884" s="2">
        <f t="shared" si="68"/>
        <v>103.2370501605636</v>
      </c>
      <c r="H884" s="2">
        <f t="shared" si="69"/>
        <v>37.112851932332291</v>
      </c>
      <c r="I884" s="2">
        <f t="shared" si="65"/>
        <v>6185.4753220553821</v>
      </c>
      <c r="J884" s="4">
        <f t="shared" si="67"/>
        <v>12.666173852894641</v>
      </c>
      <c r="K884" s="4">
        <f t="shared" si="66"/>
        <v>2111.0289754824403</v>
      </c>
      <c r="L884">
        <v>6</v>
      </c>
    </row>
    <row r="885" spans="1:12" x14ac:dyDescent="0.3">
      <c r="A885" t="s">
        <v>139</v>
      </c>
      <c r="B885" t="s">
        <v>20</v>
      </c>
      <c r="C885" s="4">
        <v>0.74387999999999999</v>
      </c>
      <c r="D885" s="4">
        <v>0.59130000000000005</v>
      </c>
      <c r="E885">
        <v>2.5</v>
      </c>
      <c r="F885" s="1">
        <v>4.1401273885350314</v>
      </c>
      <c r="G885" s="2">
        <f t="shared" si="68"/>
        <v>13.462238794085838</v>
      </c>
      <c r="H885" s="2">
        <f t="shared" si="69"/>
        <v>1.5779736734154577</v>
      </c>
      <c r="I885" s="2">
        <f t="shared" si="65"/>
        <v>262.99561223590962</v>
      </c>
      <c r="J885" s="4">
        <f t="shared" si="67"/>
        <v>9.135680729441356</v>
      </c>
      <c r="K885" s="4">
        <f t="shared" si="66"/>
        <v>1522.6134549068927</v>
      </c>
      <c r="L885">
        <v>6</v>
      </c>
    </row>
    <row r="886" spans="1:12" x14ac:dyDescent="0.3">
      <c r="A886" t="s">
        <v>140</v>
      </c>
      <c r="B886" t="s">
        <v>52</v>
      </c>
      <c r="C886" s="4">
        <v>0.78445916699999996</v>
      </c>
      <c r="D886" s="4">
        <v>0.87841666699999998</v>
      </c>
      <c r="E886">
        <v>3</v>
      </c>
      <c r="F886" s="1">
        <v>4.1401273885350314</v>
      </c>
      <c r="G886" s="2">
        <f t="shared" si="68"/>
        <v>13.462238794085838</v>
      </c>
      <c r="H886" s="2">
        <f t="shared" si="69"/>
        <v>2.7742648112459998</v>
      </c>
      <c r="I886" s="2">
        <f t="shared" si="65"/>
        <v>554.85296224919989</v>
      </c>
      <c r="J886" s="4">
        <f t="shared" si="67"/>
        <v>9.1656768753296269</v>
      </c>
      <c r="K886" s="4">
        <f t="shared" si="66"/>
        <v>1833.1353750659255</v>
      </c>
      <c r="L886">
        <v>5</v>
      </c>
    </row>
    <row r="887" spans="1:12" x14ac:dyDescent="0.3">
      <c r="A887" t="s">
        <v>140</v>
      </c>
      <c r="B887" t="s">
        <v>124</v>
      </c>
      <c r="C887" s="4">
        <v>0.64800000000000002</v>
      </c>
      <c r="D887" s="4">
        <v>0.66733333299999997</v>
      </c>
      <c r="E887">
        <v>4.5</v>
      </c>
      <c r="F887" s="1">
        <v>4.7770700636942669</v>
      </c>
      <c r="G887" s="2">
        <f t="shared" si="68"/>
        <v>17.923098986208956</v>
      </c>
      <c r="H887" s="2">
        <f t="shared" si="69"/>
        <v>4.1670866658056926</v>
      </c>
      <c r="I887" s="2">
        <f t="shared" si="65"/>
        <v>833.41733316113857</v>
      </c>
      <c r="J887" s="4">
        <f t="shared" si="67"/>
        <v>9.3451212746967425</v>
      </c>
      <c r="K887" s="4">
        <f t="shared" si="66"/>
        <v>1869.0242549393486</v>
      </c>
      <c r="L887">
        <v>5</v>
      </c>
    </row>
    <row r="888" spans="1:12" x14ac:dyDescent="0.3">
      <c r="A888" t="s">
        <v>140</v>
      </c>
      <c r="B888" t="s">
        <v>85</v>
      </c>
      <c r="C888" s="4">
        <v>0.6</v>
      </c>
      <c r="D888" s="4">
        <v>0.66674999999999995</v>
      </c>
      <c r="E888">
        <v>3</v>
      </c>
      <c r="F888" s="1">
        <v>9.872611464968152</v>
      </c>
      <c r="G888" s="2">
        <f t="shared" si="68"/>
        <v>76.55154722554137</v>
      </c>
      <c r="H888" s="2">
        <f t="shared" si="69"/>
        <v>11.561246844879847</v>
      </c>
      <c r="I888" s="2">
        <f t="shared" si="65"/>
        <v>2312.2493689759694</v>
      </c>
      <c r="J888" s="4">
        <f t="shared" si="67"/>
        <v>10.009118799951317</v>
      </c>
      <c r="K888" s="4">
        <f t="shared" si="66"/>
        <v>2001.8237599902634</v>
      </c>
      <c r="L888">
        <v>5</v>
      </c>
    </row>
    <row r="889" spans="1:12" x14ac:dyDescent="0.3">
      <c r="A889" t="s">
        <v>140</v>
      </c>
      <c r="B889" t="s">
        <v>85</v>
      </c>
      <c r="C889" s="4">
        <v>0.6</v>
      </c>
      <c r="D889" s="4">
        <v>0.66674999999999995</v>
      </c>
      <c r="E889">
        <v>7</v>
      </c>
      <c r="F889" s="1">
        <v>13.694267515923567</v>
      </c>
      <c r="G889" s="2">
        <f t="shared" si="68"/>
        <v>147.28804455777941</v>
      </c>
      <c r="H889" s="2">
        <f t="shared" si="69"/>
        <v>50.065944697338814</v>
      </c>
      <c r="I889" s="2">
        <f t="shared" si="65"/>
        <v>10013.188939467762</v>
      </c>
      <c r="J889" s="4">
        <f t="shared" si="67"/>
        <v>13.580257588543144</v>
      </c>
      <c r="K889" s="4">
        <f t="shared" si="66"/>
        <v>2716.051517708629</v>
      </c>
      <c r="L889">
        <v>5</v>
      </c>
    </row>
    <row r="890" spans="1:12" x14ac:dyDescent="0.3">
      <c r="A890" t="s">
        <v>140</v>
      </c>
      <c r="B890" t="s">
        <v>141</v>
      </c>
      <c r="C890" s="4">
        <v>0.83069230800000005</v>
      </c>
      <c r="D890" s="4">
        <v>0.78683697699999999</v>
      </c>
      <c r="E890">
        <v>5.5</v>
      </c>
      <c r="F890" s="1">
        <v>13.375796178343949</v>
      </c>
      <c r="G890" s="2">
        <f t="shared" si="68"/>
        <v>140.51709605187824</v>
      </c>
      <c r="H890" s="2">
        <f t="shared" si="69"/>
        <v>44.418973488799629</v>
      </c>
      <c r="I890" s="2">
        <f t="shared" si="65"/>
        <v>8883.7946977599258</v>
      </c>
      <c r="J890" s="4">
        <f t="shared" si="67"/>
        <v>12.429754525538561</v>
      </c>
      <c r="K890" s="4">
        <f t="shared" si="66"/>
        <v>2485.9509051077121</v>
      </c>
      <c r="L890">
        <v>5</v>
      </c>
    </row>
    <row r="891" spans="1:12" x14ac:dyDescent="0.3">
      <c r="A891" t="s">
        <v>140</v>
      </c>
      <c r="B891" t="s">
        <v>141</v>
      </c>
      <c r="C891" s="4">
        <v>0.83069230800000005</v>
      </c>
      <c r="D891" s="4">
        <v>0.78683697699999999</v>
      </c>
      <c r="E891">
        <v>5.5</v>
      </c>
      <c r="F891" s="1">
        <v>11.146496815286623</v>
      </c>
      <c r="G891" s="2">
        <f t="shared" si="68"/>
        <v>97.581316702693215</v>
      </c>
      <c r="H891" s="2">
        <f t="shared" si="69"/>
        <v>31.117645264060414</v>
      </c>
      <c r="I891" s="2">
        <f t="shared" si="65"/>
        <v>6223.5290528120831</v>
      </c>
      <c r="J891" s="4">
        <f t="shared" si="67"/>
        <v>11.377404531624</v>
      </c>
      <c r="K891" s="4">
        <f t="shared" si="66"/>
        <v>2275.4809063248003</v>
      </c>
      <c r="L891">
        <v>5</v>
      </c>
    </row>
    <row r="892" spans="1:12" x14ac:dyDescent="0.3">
      <c r="A892" t="s">
        <v>140</v>
      </c>
      <c r="B892" t="s">
        <v>37</v>
      </c>
      <c r="C892" s="4">
        <v>0.39790071399999999</v>
      </c>
      <c r="D892" s="4">
        <v>0.50565277799999997</v>
      </c>
      <c r="E892">
        <v>8</v>
      </c>
      <c r="F892" s="1">
        <v>21.97452229299363</v>
      </c>
      <c r="G892" s="2">
        <f t="shared" si="68"/>
        <v>379.25277454818155</v>
      </c>
      <c r="H892" s="2">
        <f t="shared" si="69"/>
        <v>109.60177399415258</v>
      </c>
      <c r="I892" s="2">
        <f t="shared" si="65"/>
        <v>21920.354798830514</v>
      </c>
      <c r="J892" s="4">
        <f t="shared" si="67"/>
        <v>22.506329640147673</v>
      </c>
      <c r="K892" s="4">
        <f t="shared" si="66"/>
        <v>4501.2659280295347</v>
      </c>
      <c r="L892">
        <v>5</v>
      </c>
    </row>
    <row r="893" spans="1:12" x14ac:dyDescent="0.3">
      <c r="A893" t="s">
        <v>140</v>
      </c>
      <c r="B893" t="s">
        <v>61</v>
      </c>
      <c r="C893" s="4">
        <v>0.9</v>
      </c>
      <c r="D893" s="4">
        <v>0.61247410899999999</v>
      </c>
      <c r="E893">
        <v>3</v>
      </c>
      <c r="F893" s="1">
        <v>3.1847133757961781</v>
      </c>
      <c r="G893" s="2">
        <f t="shared" si="68"/>
        <v>7.9658217716484252</v>
      </c>
      <c r="H893" s="2">
        <f t="shared" si="69"/>
        <v>1.1691665044901833</v>
      </c>
      <c r="I893" s="2">
        <f t="shared" si="65"/>
        <v>233.83330089803667</v>
      </c>
      <c r="J893" s="4">
        <f t="shared" si="67"/>
        <v>9.0921951925027376</v>
      </c>
      <c r="K893" s="4">
        <f t="shared" si="66"/>
        <v>1818.4390385005474</v>
      </c>
      <c r="L893">
        <v>5</v>
      </c>
    </row>
    <row r="894" spans="1:12" x14ac:dyDescent="0.3">
      <c r="A894" t="s">
        <v>140</v>
      </c>
      <c r="B894" t="s">
        <v>16</v>
      </c>
      <c r="C894" s="4">
        <v>0.89361000000000002</v>
      </c>
      <c r="D894" s="4">
        <v>0.61247410899999999</v>
      </c>
      <c r="E894">
        <v>5.5</v>
      </c>
      <c r="F894" s="1">
        <v>8.9171974522292992</v>
      </c>
      <c r="G894" s="2">
        <f t="shared" si="68"/>
        <v>62.452042689723655</v>
      </c>
      <c r="H894" s="2">
        <f t="shared" si="69"/>
        <v>15.763493871874481</v>
      </c>
      <c r="I894" s="2">
        <f t="shared" si="65"/>
        <v>3152.6987743748959</v>
      </c>
      <c r="J894" s="4">
        <f t="shared" si="67"/>
        <v>10.51639090023936</v>
      </c>
      <c r="K894" s="4">
        <f t="shared" si="66"/>
        <v>2103.278180047872</v>
      </c>
      <c r="L894">
        <v>5</v>
      </c>
    </row>
    <row r="895" spans="1:12" x14ac:dyDescent="0.3">
      <c r="A895" t="s">
        <v>140</v>
      </c>
      <c r="B895" t="s">
        <v>16</v>
      </c>
      <c r="C895" s="4">
        <v>0.89361000000000002</v>
      </c>
      <c r="D895" s="4">
        <v>0.61247410899999999</v>
      </c>
      <c r="E895">
        <v>4.5</v>
      </c>
      <c r="F895" s="1">
        <v>9.872611464968152</v>
      </c>
      <c r="G895" s="2">
        <f t="shared" si="68"/>
        <v>76.55154722554137</v>
      </c>
      <c r="H895" s="2">
        <f t="shared" si="69"/>
        <v>15.80809218863396</v>
      </c>
      <c r="I895" s="2">
        <f t="shared" si="65"/>
        <v>3161.6184377267919</v>
      </c>
      <c r="J895" s="4">
        <f t="shared" si="67"/>
        <v>10.520828199926974</v>
      </c>
      <c r="K895" s="4">
        <f t="shared" si="66"/>
        <v>2104.165639985395</v>
      </c>
      <c r="L895">
        <v>5</v>
      </c>
    </row>
    <row r="896" spans="1:12" x14ac:dyDescent="0.3">
      <c r="A896" t="s">
        <v>140</v>
      </c>
      <c r="B896" t="s">
        <v>16</v>
      </c>
      <c r="C896" s="4">
        <v>0.89361000000000002</v>
      </c>
      <c r="D896" s="4">
        <v>0.61247410899999999</v>
      </c>
      <c r="E896">
        <v>5</v>
      </c>
      <c r="F896" s="1">
        <v>6.6878980891719744</v>
      </c>
      <c r="G896" s="2">
        <f t="shared" si="68"/>
        <v>35.12927401296956</v>
      </c>
      <c r="H896" s="2">
        <f t="shared" si="69"/>
        <v>8.1916767748407242</v>
      </c>
      <c r="I896" s="2">
        <f t="shared" si="65"/>
        <v>1638.3353549681449</v>
      </c>
      <c r="J896" s="4">
        <f t="shared" si="67"/>
        <v>9.7684396648951264</v>
      </c>
      <c r="K896" s="4">
        <f t="shared" si="66"/>
        <v>1953.6879329790252</v>
      </c>
      <c r="L896">
        <v>5</v>
      </c>
    </row>
    <row r="897" spans="1:12" x14ac:dyDescent="0.3">
      <c r="A897" t="s">
        <v>140</v>
      </c>
      <c r="B897" t="s">
        <v>16</v>
      </c>
      <c r="C897" s="4">
        <v>0.89361000000000002</v>
      </c>
      <c r="D897" s="4">
        <v>0.61247410899999999</v>
      </c>
      <c r="E897">
        <v>4.5</v>
      </c>
      <c r="F897" s="1">
        <v>7.3248407643312099</v>
      </c>
      <c r="G897" s="2">
        <f t="shared" si="68"/>
        <v>42.139197172020175</v>
      </c>
      <c r="H897" s="2">
        <f t="shared" si="69"/>
        <v>8.8274277055221724</v>
      </c>
      <c r="I897" s="2">
        <f t="shared" si="65"/>
        <v>1765.4855411044343</v>
      </c>
      <c r="J897" s="4">
        <f t="shared" si="67"/>
        <v>9.8307393525092284</v>
      </c>
      <c r="K897" s="4">
        <f t="shared" si="66"/>
        <v>1966.1478705018458</v>
      </c>
      <c r="L897">
        <v>5</v>
      </c>
    </row>
    <row r="898" spans="1:12" x14ac:dyDescent="0.3">
      <c r="A898" t="s">
        <v>140</v>
      </c>
      <c r="B898" t="s">
        <v>18</v>
      </c>
      <c r="C898" s="4">
        <v>0.45255480399999998</v>
      </c>
      <c r="D898" s="4">
        <v>0.57808694400000005</v>
      </c>
      <c r="E898">
        <v>5.5</v>
      </c>
      <c r="F898" s="1">
        <v>14.331210191082802</v>
      </c>
      <c r="G898" s="2">
        <f t="shared" si="68"/>
        <v>161.30789087588062</v>
      </c>
      <c r="H898" s="2">
        <f t="shared" si="69"/>
        <v>37.616512446024387</v>
      </c>
      <c r="I898" s="2">
        <f t="shared" ref="I898:I961" si="70">(H898*1000)/L898</f>
        <v>7523.3024892048779</v>
      </c>
      <c r="J898" s="4">
        <f t="shared" si="67"/>
        <v>12.939334021664163</v>
      </c>
      <c r="K898" s="4">
        <f t="shared" ref="K898:K961" si="71">(J898*1000)/L898</f>
        <v>2587.8668043328325</v>
      </c>
      <c r="L898">
        <v>5</v>
      </c>
    </row>
    <row r="899" spans="1:12" x14ac:dyDescent="0.3">
      <c r="A899" t="s">
        <v>140</v>
      </c>
      <c r="B899" t="s">
        <v>66</v>
      </c>
      <c r="C899" s="4">
        <v>0.62643652800000005</v>
      </c>
      <c r="D899" s="4">
        <v>0.57808694400000005</v>
      </c>
      <c r="E899">
        <v>6.5</v>
      </c>
      <c r="F899" s="1">
        <v>12.420382165605096</v>
      </c>
      <c r="G899" s="2">
        <f t="shared" si="68"/>
        <v>121.16014914677258</v>
      </c>
      <c r="H899" s="2">
        <f t="shared" si="69"/>
        <v>33.48692468183652</v>
      </c>
      <c r="I899" s="2">
        <f t="shared" si="70"/>
        <v>6697.3849363673044</v>
      </c>
      <c r="J899" s="4">
        <f t="shared" ref="J899:J962" si="72">8.9857 + 0.0035 * F899^2 * E899</f>
        <v>12.495249068927745</v>
      </c>
      <c r="K899" s="4">
        <f t="shared" si="71"/>
        <v>2499.0498137855488</v>
      </c>
      <c r="L899">
        <v>5</v>
      </c>
    </row>
    <row r="900" spans="1:12" x14ac:dyDescent="0.3">
      <c r="A900" t="s">
        <v>140</v>
      </c>
      <c r="B900" t="s">
        <v>39</v>
      </c>
      <c r="C900" s="4">
        <v>0.590536375</v>
      </c>
      <c r="D900" s="4">
        <v>0.61247410899999999</v>
      </c>
      <c r="E900">
        <v>9</v>
      </c>
      <c r="F900" s="1">
        <v>15.286624203821656</v>
      </c>
      <c r="G900" s="2">
        <f t="shared" ref="G900:G963" si="73">PI()*(F900/2)^2</f>
        <v>183.53253361877975</v>
      </c>
      <c r="H900" s="2">
        <f t="shared" ref="H900:H963" si="74">0.0673 * ((D900 * F900^2 * E900)^0.976)</f>
        <v>73.001133696955748</v>
      </c>
      <c r="I900" s="2">
        <f t="shared" si="70"/>
        <v>14600.22673939115</v>
      </c>
      <c r="J900" s="4">
        <f t="shared" si="72"/>
        <v>16.34664770578928</v>
      </c>
      <c r="K900" s="4">
        <f t="shared" si="71"/>
        <v>3269.3295411578561</v>
      </c>
      <c r="L900">
        <v>5</v>
      </c>
    </row>
    <row r="901" spans="1:12" x14ac:dyDescent="0.3">
      <c r="A901" t="s">
        <v>140</v>
      </c>
      <c r="B901" t="s">
        <v>119</v>
      </c>
      <c r="C901" s="4">
        <v>0.432770245</v>
      </c>
      <c r="D901" s="4">
        <v>0.61247410899999999</v>
      </c>
      <c r="E901">
        <v>6.5</v>
      </c>
      <c r="F901" s="1">
        <v>21.019108280254777</v>
      </c>
      <c r="G901" s="2">
        <f t="shared" si="73"/>
        <v>346.99119637300544</v>
      </c>
      <c r="H901" s="2">
        <f t="shared" si="74"/>
        <v>98.937109573710401</v>
      </c>
      <c r="I901" s="2">
        <f t="shared" si="70"/>
        <v>19787.421914742081</v>
      </c>
      <c r="J901" s="4">
        <f t="shared" si="72"/>
        <v>19.036716268408455</v>
      </c>
      <c r="K901" s="4">
        <f t="shared" si="71"/>
        <v>3807.3432536816908</v>
      </c>
      <c r="L901">
        <v>5</v>
      </c>
    </row>
    <row r="902" spans="1:12" x14ac:dyDescent="0.3">
      <c r="A902" t="s">
        <v>140</v>
      </c>
      <c r="B902" t="s">
        <v>22</v>
      </c>
      <c r="C902" s="4">
        <v>0.43836446099999998</v>
      </c>
      <c r="D902" s="4">
        <v>0.58666666700000003</v>
      </c>
      <c r="E902">
        <v>5.5</v>
      </c>
      <c r="F902" s="1">
        <v>18.471337579617835</v>
      </c>
      <c r="G902" s="2">
        <f t="shared" si="73"/>
        <v>267.9702443982531</v>
      </c>
      <c r="H902" s="2">
        <f t="shared" si="74"/>
        <v>62.62732166939395</v>
      </c>
      <c r="I902" s="2">
        <f t="shared" si="70"/>
        <v>12525.46433387879</v>
      </c>
      <c r="J902" s="4">
        <f t="shared" si="72"/>
        <v>15.553613505618891</v>
      </c>
      <c r="K902" s="4">
        <f t="shared" si="71"/>
        <v>3110.7227011237783</v>
      </c>
      <c r="L902">
        <v>5</v>
      </c>
    </row>
    <row r="903" spans="1:12" x14ac:dyDescent="0.3">
      <c r="A903" t="s">
        <v>140</v>
      </c>
      <c r="B903" t="s">
        <v>22</v>
      </c>
      <c r="C903" s="4">
        <v>0.43836446099999998</v>
      </c>
      <c r="D903" s="4">
        <v>0.58666666700000003</v>
      </c>
      <c r="E903">
        <v>5</v>
      </c>
      <c r="F903" s="1">
        <v>21.97452229299363</v>
      </c>
      <c r="G903" s="2">
        <f t="shared" si="73"/>
        <v>379.25277454818155</v>
      </c>
      <c r="H903" s="2">
        <f t="shared" si="74"/>
        <v>80.091524435206765</v>
      </c>
      <c r="I903" s="2">
        <f t="shared" si="70"/>
        <v>16018.304887041353</v>
      </c>
      <c r="J903" s="4">
        <f t="shared" si="72"/>
        <v>17.436093525092296</v>
      </c>
      <c r="K903" s="4">
        <f t="shared" si="71"/>
        <v>3487.2187050184593</v>
      </c>
      <c r="L903">
        <v>5</v>
      </c>
    </row>
    <row r="904" spans="1:12" x14ac:dyDescent="0.3">
      <c r="A904" t="s">
        <v>142</v>
      </c>
      <c r="B904" t="s">
        <v>26</v>
      </c>
      <c r="C904" s="4">
        <v>0.80908761900000004</v>
      </c>
      <c r="D904" s="4">
        <v>0.87473809499999999</v>
      </c>
      <c r="E904">
        <v>15</v>
      </c>
      <c r="F904" s="1">
        <v>34.394904458598724</v>
      </c>
      <c r="G904" s="2">
        <f t="shared" si="73"/>
        <v>929.1334514450723</v>
      </c>
      <c r="H904" s="2">
        <f t="shared" si="74"/>
        <v>828.68522999626509</v>
      </c>
      <c r="I904" s="2">
        <f t="shared" si="70"/>
        <v>165737.04599925302</v>
      </c>
      <c r="J904" s="4">
        <f t="shared" si="72"/>
        <v>71.093696267597039</v>
      </c>
      <c r="K904" s="4">
        <f t="shared" si="71"/>
        <v>14218.739253519409</v>
      </c>
      <c r="L904">
        <v>5</v>
      </c>
    </row>
    <row r="905" spans="1:12" x14ac:dyDescent="0.3">
      <c r="A905" t="s">
        <v>142</v>
      </c>
      <c r="B905" t="s">
        <v>60</v>
      </c>
      <c r="C905" s="4">
        <v>0.41</v>
      </c>
      <c r="D905" s="4">
        <v>0.33983503399999998</v>
      </c>
      <c r="E905">
        <v>6</v>
      </c>
      <c r="F905" s="1">
        <v>24.68152866242038</v>
      </c>
      <c r="G905" s="2">
        <f t="shared" si="73"/>
        <v>478.44717015963357</v>
      </c>
      <c r="H905" s="2">
        <f t="shared" si="74"/>
        <v>70.456107838941392</v>
      </c>
      <c r="I905" s="2">
        <f t="shared" si="70"/>
        <v>14091.221567788278</v>
      </c>
      <c r="J905" s="4">
        <f t="shared" si="72"/>
        <v>21.778434999391454</v>
      </c>
      <c r="K905" s="4">
        <f t="shared" si="71"/>
        <v>4355.6869998782913</v>
      </c>
      <c r="L905">
        <v>5</v>
      </c>
    </row>
    <row r="906" spans="1:12" x14ac:dyDescent="0.3">
      <c r="A906" t="s">
        <v>142</v>
      </c>
      <c r="B906" t="s">
        <v>69</v>
      </c>
      <c r="C906" s="4">
        <v>0.31264018999999998</v>
      </c>
      <c r="D906" s="4">
        <v>0.356821212</v>
      </c>
      <c r="E906">
        <v>15</v>
      </c>
      <c r="F906" s="1">
        <v>6.6878980891719744</v>
      </c>
      <c r="G906" s="2">
        <f t="shared" si="73"/>
        <v>35.12927401296956</v>
      </c>
      <c r="H906" s="2">
        <f t="shared" si="74"/>
        <v>14.126591000181531</v>
      </c>
      <c r="I906" s="2">
        <f t="shared" si="70"/>
        <v>2825.3182000363058</v>
      </c>
      <c r="J906" s="4">
        <f t="shared" si="72"/>
        <v>11.333918994685382</v>
      </c>
      <c r="K906" s="4">
        <f t="shared" si="71"/>
        <v>2266.7837989370764</v>
      </c>
      <c r="L906">
        <v>5</v>
      </c>
    </row>
    <row r="907" spans="1:12" x14ac:dyDescent="0.3">
      <c r="A907" t="s">
        <v>142</v>
      </c>
      <c r="B907" t="s">
        <v>14</v>
      </c>
      <c r="C907" s="4">
        <v>0.766138345</v>
      </c>
      <c r="D907" s="4">
        <v>0.90500000000000003</v>
      </c>
      <c r="E907">
        <v>11</v>
      </c>
      <c r="F907" s="1">
        <v>25.477707006369425</v>
      </c>
      <c r="G907" s="2">
        <f t="shared" si="73"/>
        <v>509.81259338549921</v>
      </c>
      <c r="H907" s="2">
        <f t="shared" si="74"/>
        <v>352.31271712384233</v>
      </c>
      <c r="I907" s="2">
        <f t="shared" si="70"/>
        <v>70462.543424768461</v>
      </c>
      <c r="J907" s="4">
        <f t="shared" si="72"/>
        <v>33.97657184064262</v>
      </c>
      <c r="K907" s="4">
        <f t="shared" si="71"/>
        <v>6795.3143681285237</v>
      </c>
      <c r="L907">
        <v>5</v>
      </c>
    </row>
    <row r="908" spans="1:12" x14ac:dyDescent="0.3">
      <c r="A908" t="s">
        <v>142</v>
      </c>
      <c r="B908" t="s">
        <v>85</v>
      </c>
      <c r="C908" s="4">
        <v>0.6</v>
      </c>
      <c r="D908" s="4">
        <v>0.66674999999999995</v>
      </c>
      <c r="E908">
        <v>5.5</v>
      </c>
      <c r="F908" s="1">
        <v>8.4394904458598727</v>
      </c>
      <c r="G908" s="2">
        <f t="shared" si="73"/>
        <v>55.939983391401071</v>
      </c>
      <c r="H908" s="2">
        <f t="shared" si="74"/>
        <v>15.380350542407648</v>
      </c>
      <c r="I908" s="2">
        <f t="shared" si="70"/>
        <v>3076.0701084815296</v>
      </c>
      <c r="J908" s="4">
        <f t="shared" si="72"/>
        <v>10.356781230475882</v>
      </c>
      <c r="K908" s="4">
        <f t="shared" si="71"/>
        <v>2071.3562460951762</v>
      </c>
      <c r="L908">
        <v>5</v>
      </c>
    </row>
    <row r="909" spans="1:12" x14ac:dyDescent="0.3">
      <c r="A909" t="s">
        <v>142</v>
      </c>
      <c r="B909" t="s">
        <v>85</v>
      </c>
      <c r="C909" s="4">
        <v>0.6</v>
      </c>
      <c r="D909" s="4">
        <v>0.66674999999999995</v>
      </c>
      <c r="E909">
        <v>3.5</v>
      </c>
      <c r="F909" s="1">
        <v>8.598726114649681</v>
      </c>
      <c r="G909" s="2">
        <f t="shared" si="73"/>
        <v>58.070840715317019</v>
      </c>
      <c r="H909" s="2">
        <f t="shared" si="74"/>
        <v>10.261923715229413</v>
      </c>
      <c r="I909" s="2">
        <f t="shared" si="70"/>
        <v>2052.3847430458827</v>
      </c>
      <c r="J909" s="4">
        <f t="shared" si="72"/>
        <v>9.8914416122357895</v>
      </c>
      <c r="K909" s="4">
        <f t="shared" si="71"/>
        <v>1978.2883224471577</v>
      </c>
      <c r="L909">
        <v>5</v>
      </c>
    </row>
    <row r="910" spans="1:12" x14ac:dyDescent="0.3">
      <c r="A910" t="s">
        <v>142</v>
      </c>
      <c r="B910" t="s">
        <v>85</v>
      </c>
      <c r="C910" s="4">
        <v>0.6</v>
      </c>
      <c r="D910" s="4">
        <v>0.66674999999999995</v>
      </c>
      <c r="E910">
        <v>2.5</v>
      </c>
      <c r="F910" s="1">
        <v>4.936305732484076</v>
      </c>
      <c r="G910" s="2">
        <f t="shared" si="73"/>
        <v>19.137886806385342</v>
      </c>
      <c r="H910" s="2">
        <f t="shared" si="74"/>
        <v>2.5009973194349913</v>
      </c>
      <c r="I910" s="2">
        <f t="shared" si="70"/>
        <v>500.19946388699827</v>
      </c>
      <c r="J910" s="4">
        <f t="shared" si="72"/>
        <v>9.1989122499898563</v>
      </c>
      <c r="K910" s="4">
        <f t="shared" si="71"/>
        <v>1839.7824499979713</v>
      </c>
      <c r="L910">
        <v>5</v>
      </c>
    </row>
    <row r="911" spans="1:12" x14ac:dyDescent="0.3">
      <c r="A911" t="s">
        <v>142</v>
      </c>
      <c r="B911" t="s">
        <v>53</v>
      </c>
      <c r="C911" s="4">
        <v>0.63206279899999995</v>
      </c>
      <c r="D911" s="4">
        <v>0.75690909100000003</v>
      </c>
      <c r="E911">
        <v>2.5</v>
      </c>
      <c r="F911" s="1">
        <v>2.8662420382165603</v>
      </c>
      <c r="G911" s="2">
        <f t="shared" si="73"/>
        <v>6.4523156350352249</v>
      </c>
      <c r="H911" s="2">
        <f t="shared" si="74"/>
        <v>0.97954837885609358</v>
      </c>
      <c r="I911" s="2">
        <f t="shared" si="70"/>
        <v>195.9096757712187</v>
      </c>
      <c r="J911" s="4">
        <f t="shared" si="72"/>
        <v>9.0575842549393482</v>
      </c>
      <c r="K911" s="4">
        <f t="shared" si="71"/>
        <v>1811.5168509878695</v>
      </c>
      <c r="L911">
        <v>5</v>
      </c>
    </row>
    <row r="912" spans="1:12" x14ac:dyDescent="0.3">
      <c r="A912" t="s">
        <v>142</v>
      </c>
      <c r="B912" t="s">
        <v>53</v>
      </c>
      <c r="C912" s="4">
        <v>0.63206279899999995</v>
      </c>
      <c r="D912" s="4">
        <v>0.75690909100000003</v>
      </c>
      <c r="E912">
        <v>4.5</v>
      </c>
      <c r="F912" s="1">
        <v>6.8471337579617835</v>
      </c>
      <c r="G912" s="2">
        <f t="shared" si="73"/>
        <v>36.822011139444854</v>
      </c>
      <c r="H912" s="2">
        <f t="shared" si="74"/>
        <v>9.515034132069319</v>
      </c>
      <c r="I912" s="2">
        <f t="shared" si="70"/>
        <v>1903.0068264138638</v>
      </c>
      <c r="J912" s="4">
        <f t="shared" si="72"/>
        <v>9.7241110410158615</v>
      </c>
      <c r="K912" s="4">
        <f t="shared" si="71"/>
        <v>1944.8222082031723</v>
      </c>
      <c r="L912">
        <v>5</v>
      </c>
    </row>
    <row r="913" spans="1:12" x14ac:dyDescent="0.3">
      <c r="A913" t="s">
        <v>142</v>
      </c>
      <c r="B913" t="s">
        <v>53</v>
      </c>
      <c r="C913" s="4">
        <v>0.63206279899999995</v>
      </c>
      <c r="D913" s="4">
        <v>0.75690909100000003</v>
      </c>
      <c r="E913">
        <v>2.5</v>
      </c>
      <c r="F913" s="1">
        <v>4.1401273885350314</v>
      </c>
      <c r="G913" s="2">
        <f t="shared" si="73"/>
        <v>13.462238794085838</v>
      </c>
      <c r="H913" s="2">
        <f t="shared" si="74"/>
        <v>2.0079918024315337</v>
      </c>
      <c r="I913" s="2">
        <f t="shared" si="70"/>
        <v>401.59836048630672</v>
      </c>
      <c r="J913" s="4">
        <f t="shared" si="72"/>
        <v>9.135680729441356</v>
      </c>
      <c r="K913" s="4">
        <f t="shared" si="71"/>
        <v>1827.1361458882711</v>
      </c>
      <c r="L913">
        <v>5</v>
      </c>
    </row>
    <row r="914" spans="1:12" x14ac:dyDescent="0.3">
      <c r="A914" t="s">
        <v>142</v>
      </c>
      <c r="B914" t="s">
        <v>16</v>
      </c>
      <c r="C914" s="4">
        <v>0.89361000000000002</v>
      </c>
      <c r="D914" s="4">
        <v>0.61247410899999999</v>
      </c>
      <c r="E914">
        <v>7</v>
      </c>
      <c r="F914" s="1">
        <v>15.605095541401273</v>
      </c>
      <c r="G914" s="2">
        <f t="shared" si="73"/>
        <v>191.25938073727869</v>
      </c>
      <c r="H914" s="2">
        <f t="shared" si="74"/>
        <v>59.468153724357549</v>
      </c>
      <c r="I914" s="2">
        <f t="shared" si="70"/>
        <v>11893.630744871511</v>
      </c>
      <c r="J914" s="4">
        <f t="shared" si="72"/>
        <v>14.951915667978415</v>
      </c>
      <c r="K914" s="4">
        <f t="shared" si="71"/>
        <v>2990.3831335956829</v>
      </c>
      <c r="L914">
        <v>5</v>
      </c>
    </row>
    <row r="915" spans="1:12" x14ac:dyDescent="0.3">
      <c r="A915" t="s">
        <v>142</v>
      </c>
      <c r="B915" t="s">
        <v>16</v>
      </c>
      <c r="C915" s="4">
        <v>0.89361000000000002</v>
      </c>
      <c r="D915" s="4">
        <v>0.61247410899999999</v>
      </c>
      <c r="E915">
        <v>4.5</v>
      </c>
      <c r="F915" s="1">
        <v>6.5286624203821653</v>
      </c>
      <c r="G915" s="2">
        <f t="shared" si="73"/>
        <v>33.476365995352509</v>
      </c>
      <c r="H915" s="2">
        <f t="shared" si="74"/>
        <v>7.0515561809911071</v>
      </c>
      <c r="I915" s="2">
        <f t="shared" si="70"/>
        <v>1410.3112361982214</v>
      </c>
      <c r="J915" s="4">
        <f t="shared" si="72"/>
        <v>9.6570190697391372</v>
      </c>
      <c r="K915" s="4">
        <f t="shared" si="71"/>
        <v>1931.4038139478275</v>
      </c>
      <c r="L915">
        <v>5</v>
      </c>
    </row>
    <row r="916" spans="1:12" x14ac:dyDescent="0.3">
      <c r="A916" t="s">
        <v>142</v>
      </c>
      <c r="B916" t="s">
        <v>17</v>
      </c>
      <c r="C916" s="4">
        <v>0.708787469</v>
      </c>
      <c r="D916" s="4">
        <v>0.80167708299999996</v>
      </c>
      <c r="E916">
        <v>4</v>
      </c>
      <c r="F916" s="1">
        <v>8.2802547770700627</v>
      </c>
      <c r="G916" s="2">
        <f t="shared" si="73"/>
        <v>53.848955176343352</v>
      </c>
      <c r="H916" s="2">
        <f t="shared" si="74"/>
        <v>13.000210952588521</v>
      </c>
      <c r="I916" s="2">
        <f t="shared" si="70"/>
        <v>2600.0421905177041</v>
      </c>
      <c r="J916" s="4">
        <f t="shared" si="72"/>
        <v>9.9455766684246818</v>
      </c>
      <c r="K916" s="4">
        <f t="shared" si="71"/>
        <v>1989.1153336849361</v>
      </c>
      <c r="L916">
        <v>5</v>
      </c>
    </row>
    <row r="917" spans="1:12" x14ac:dyDescent="0.3">
      <c r="A917" t="s">
        <v>142</v>
      </c>
      <c r="B917" t="s">
        <v>17</v>
      </c>
      <c r="C917" s="4">
        <v>0.708787469</v>
      </c>
      <c r="D917" s="4">
        <v>0.80167708299999996</v>
      </c>
      <c r="E917">
        <v>4</v>
      </c>
      <c r="F917" s="1">
        <v>4.7770700636942669</v>
      </c>
      <c r="G917" s="2">
        <f t="shared" si="73"/>
        <v>17.923098986208956</v>
      </c>
      <c r="H917" s="2">
        <f t="shared" si="74"/>
        <v>4.4427570226702269</v>
      </c>
      <c r="I917" s="2">
        <f t="shared" si="70"/>
        <v>888.55140453404533</v>
      </c>
      <c r="J917" s="4">
        <f t="shared" si="72"/>
        <v>9.3051855775082153</v>
      </c>
      <c r="K917" s="4">
        <f t="shared" si="71"/>
        <v>1861.037115501643</v>
      </c>
      <c r="L917">
        <v>5</v>
      </c>
    </row>
    <row r="918" spans="1:12" x14ac:dyDescent="0.3">
      <c r="A918" t="s">
        <v>142</v>
      </c>
      <c r="B918" t="s">
        <v>66</v>
      </c>
      <c r="C918" s="4">
        <v>0.62643652800000005</v>
      </c>
      <c r="D918" s="4">
        <v>0.57808694400000005</v>
      </c>
      <c r="E918">
        <v>10</v>
      </c>
      <c r="F918" s="1">
        <v>15.127388535031846</v>
      </c>
      <c r="G918" s="2">
        <f t="shared" si="73"/>
        <v>179.7288537228176</v>
      </c>
      <c r="H918" s="2">
        <f t="shared" si="74"/>
        <v>74.923773506207297</v>
      </c>
      <c r="I918" s="2">
        <f t="shared" si="70"/>
        <v>14984.754701241462</v>
      </c>
      <c r="J918" s="4">
        <f t="shared" si="72"/>
        <v>16.995025936143453</v>
      </c>
      <c r="K918" s="4">
        <f t="shared" si="71"/>
        <v>3399.0051872286904</v>
      </c>
      <c r="L918">
        <v>5</v>
      </c>
    </row>
    <row r="919" spans="1:12" x14ac:dyDescent="0.3">
      <c r="A919" t="s">
        <v>142</v>
      </c>
      <c r="B919" t="s">
        <v>66</v>
      </c>
      <c r="C919" s="4">
        <v>0.62643652800000005</v>
      </c>
      <c r="D919" s="4">
        <v>0.57808694400000005</v>
      </c>
      <c r="E919">
        <v>3</v>
      </c>
      <c r="F919" s="1">
        <v>9.872611464968152</v>
      </c>
      <c r="G919" s="2">
        <f t="shared" si="73"/>
        <v>76.55154722554137</v>
      </c>
      <c r="H919" s="2">
        <f t="shared" si="74"/>
        <v>10.058242158120432</v>
      </c>
      <c r="I919" s="2">
        <f t="shared" si="70"/>
        <v>2011.6484316240865</v>
      </c>
      <c r="J919" s="4">
        <f t="shared" si="72"/>
        <v>10.009118799951317</v>
      </c>
      <c r="K919" s="4">
        <f t="shared" si="71"/>
        <v>2001.8237599902634</v>
      </c>
      <c r="L919">
        <v>5</v>
      </c>
    </row>
    <row r="920" spans="1:12" x14ac:dyDescent="0.3">
      <c r="A920" t="s">
        <v>142</v>
      </c>
      <c r="B920" t="s">
        <v>31</v>
      </c>
      <c r="C920" s="4">
        <v>0.63400000000000001</v>
      </c>
      <c r="D920" s="4">
        <v>0.73247777800000002</v>
      </c>
      <c r="E920">
        <v>9</v>
      </c>
      <c r="F920" s="1">
        <v>11.146496815286623</v>
      </c>
      <c r="G920" s="2">
        <f t="shared" si="73"/>
        <v>97.581316702693215</v>
      </c>
      <c r="H920" s="2">
        <f t="shared" si="74"/>
        <v>46.925541148081159</v>
      </c>
      <c r="I920" s="2">
        <f t="shared" si="70"/>
        <v>9385.1082296162313</v>
      </c>
      <c r="J920" s="4">
        <f t="shared" si="72"/>
        <v>12.899398324475637</v>
      </c>
      <c r="K920" s="4">
        <f t="shared" si="71"/>
        <v>2579.8796648951275</v>
      </c>
      <c r="L920">
        <v>5</v>
      </c>
    </row>
    <row r="921" spans="1:12" x14ac:dyDescent="0.3">
      <c r="A921" t="s">
        <v>142</v>
      </c>
      <c r="B921" t="s">
        <v>73</v>
      </c>
      <c r="C921" s="4">
        <v>0.39</v>
      </c>
      <c r="D921" s="4">
        <v>0.28861111099999998</v>
      </c>
      <c r="E921">
        <v>12</v>
      </c>
      <c r="F921" s="1">
        <v>15.923566878980891</v>
      </c>
      <c r="G921" s="2">
        <f t="shared" si="73"/>
        <v>199.14554429121063</v>
      </c>
      <c r="H921" s="2">
        <f t="shared" si="74"/>
        <v>50.227813070118309</v>
      </c>
      <c r="I921" s="2">
        <f t="shared" si="70"/>
        <v>10045.562614023662</v>
      </c>
      <c r="J921" s="4">
        <f t="shared" si="72"/>
        <v>19.635219250273842</v>
      </c>
      <c r="K921" s="4">
        <f t="shared" si="71"/>
        <v>3927.0438500547689</v>
      </c>
      <c r="L921">
        <v>5</v>
      </c>
    </row>
    <row r="922" spans="1:12" x14ac:dyDescent="0.3">
      <c r="A922" t="s">
        <v>142</v>
      </c>
      <c r="B922" t="s">
        <v>143</v>
      </c>
      <c r="C922" s="4">
        <v>0.56000000000000005</v>
      </c>
      <c r="D922" s="4">
        <v>0.53945833300000001</v>
      </c>
      <c r="E922">
        <v>6</v>
      </c>
      <c r="F922" s="1">
        <v>10.031847133757962</v>
      </c>
      <c r="G922" s="2">
        <f t="shared" si="73"/>
        <v>79.040866529181514</v>
      </c>
      <c r="H922" s="2">
        <f t="shared" si="74"/>
        <v>19.0799454553587</v>
      </c>
      <c r="I922" s="2">
        <f t="shared" si="70"/>
        <v>3815.9890910717404</v>
      </c>
      <c r="J922" s="4">
        <f t="shared" si="72"/>
        <v>11.099097095216845</v>
      </c>
      <c r="K922" s="4">
        <f t="shared" si="71"/>
        <v>2219.8194190433687</v>
      </c>
      <c r="L922">
        <v>5</v>
      </c>
    </row>
    <row r="923" spans="1:12" x14ac:dyDescent="0.3">
      <c r="A923" t="s">
        <v>142</v>
      </c>
      <c r="B923" t="s">
        <v>47</v>
      </c>
      <c r="C923" s="4">
        <v>0.40238543599999999</v>
      </c>
      <c r="D923" s="4">
        <v>0.40883333300000002</v>
      </c>
      <c r="E923">
        <v>10</v>
      </c>
      <c r="F923" s="1">
        <v>15.445859872611464</v>
      </c>
      <c r="G923" s="2">
        <f t="shared" si="73"/>
        <v>187.37604262360011</v>
      </c>
      <c r="H923" s="2">
        <f t="shared" si="74"/>
        <v>55.647473491591704</v>
      </c>
      <c r="I923" s="2">
        <f t="shared" si="70"/>
        <v>11129.494698318342</v>
      </c>
      <c r="J923" s="4">
        <f t="shared" si="72"/>
        <v>17.335810552152218</v>
      </c>
      <c r="K923" s="4">
        <f t="shared" si="71"/>
        <v>3467.162110430444</v>
      </c>
      <c r="L923">
        <v>5</v>
      </c>
    </row>
    <row r="924" spans="1:12" x14ac:dyDescent="0.3">
      <c r="A924" t="s">
        <v>142</v>
      </c>
      <c r="B924" t="s">
        <v>47</v>
      </c>
      <c r="C924" s="4">
        <v>0.40238543599999999</v>
      </c>
      <c r="D924" s="4">
        <v>0.40883333300000002</v>
      </c>
      <c r="E924">
        <v>11</v>
      </c>
      <c r="F924" s="1">
        <v>12.579617834394904</v>
      </c>
      <c r="G924" s="2">
        <f t="shared" si="73"/>
        <v>124.28673419214456</v>
      </c>
      <c r="H924" s="2">
        <f t="shared" si="74"/>
        <v>40.910460577366202</v>
      </c>
      <c r="I924" s="2">
        <f t="shared" si="70"/>
        <v>8182.0921154732405</v>
      </c>
      <c r="J924" s="4">
        <f t="shared" si="72"/>
        <v>15.078201217087912</v>
      </c>
      <c r="K924" s="4">
        <f t="shared" si="71"/>
        <v>3015.6402434175825</v>
      </c>
      <c r="L924">
        <v>5</v>
      </c>
    </row>
    <row r="925" spans="1:12" x14ac:dyDescent="0.3">
      <c r="A925" t="s">
        <v>144</v>
      </c>
      <c r="B925" t="s">
        <v>69</v>
      </c>
      <c r="C925" s="4">
        <v>0.31264018999999998</v>
      </c>
      <c r="D925" s="4">
        <v>0.356821212</v>
      </c>
      <c r="E925">
        <v>11</v>
      </c>
      <c r="F925" s="1">
        <v>25.477707006369425</v>
      </c>
      <c r="G925" s="2">
        <f t="shared" si="73"/>
        <v>509.81259338549921</v>
      </c>
      <c r="H925" s="2">
        <f t="shared" si="74"/>
        <v>142.04670192038719</v>
      </c>
      <c r="I925" s="2">
        <f t="shared" si="70"/>
        <v>28409.340384077437</v>
      </c>
      <c r="J925" s="4">
        <f t="shared" si="72"/>
        <v>33.97657184064262</v>
      </c>
      <c r="K925" s="4">
        <f t="shared" si="71"/>
        <v>6795.3143681285237</v>
      </c>
      <c r="L925">
        <v>5</v>
      </c>
    </row>
    <row r="926" spans="1:12" x14ac:dyDescent="0.3">
      <c r="A926" t="s">
        <v>144</v>
      </c>
      <c r="B926" t="s">
        <v>14</v>
      </c>
      <c r="C926" s="4">
        <v>0.766138345</v>
      </c>
      <c r="D926" s="4">
        <v>0.90500000000000003</v>
      </c>
      <c r="E926">
        <v>6</v>
      </c>
      <c r="F926" s="1">
        <v>11.146496815286623</v>
      </c>
      <c r="G926" s="2">
        <f t="shared" si="73"/>
        <v>97.581316702693215</v>
      </c>
      <c r="H926" s="2">
        <f t="shared" si="74"/>
        <v>38.832365566115207</v>
      </c>
      <c r="I926" s="2">
        <f t="shared" si="70"/>
        <v>7766.4731132230418</v>
      </c>
      <c r="J926" s="4">
        <f t="shared" si="72"/>
        <v>11.594832216317091</v>
      </c>
      <c r="K926" s="4">
        <f t="shared" si="71"/>
        <v>2318.9664432634181</v>
      </c>
      <c r="L926">
        <v>5</v>
      </c>
    </row>
    <row r="927" spans="1:12" x14ac:dyDescent="0.3">
      <c r="A927" t="s">
        <v>144</v>
      </c>
      <c r="B927" t="s">
        <v>14</v>
      </c>
      <c r="C927" s="4">
        <v>0.766138345</v>
      </c>
      <c r="D927" s="4">
        <v>0.90500000000000003</v>
      </c>
      <c r="E927">
        <v>7</v>
      </c>
      <c r="F927" s="1">
        <v>7.6433121019108281</v>
      </c>
      <c r="G927" s="2">
        <f t="shared" si="73"/>
        <v>45.883133404694938</v>
      </c>
      <c r="H927" s="2">
        <f t="shared" si="74"/>
        <v>21.611526082657125</v>
      </c>
      <c r="I927" s="2">
        <f t="shared" si="70"/>
        <v>4322.3052165314248</v>
      </c>
      <c r="J927" s="4">
        <f t="shared" si="72"/>
        <v>10.416995387236804</v>
      </c>
      <c r="K927" s="4">
        <f t="shared" si="71"/>
        <v>2083.3990774473609</v>
      </c>
      <c r="L927">
        <v>5</v>
      </c>
    </row>
    <row r="928" spans="1:12" x14ac:dyDescent="0.3">
      <c r="A928" t="s">
        <v>144</v>
      </c>
      <c r="B928" t="s">
        <v>85</v>
      </c>
      <c r="C928" s="4">
        <v>0.6</v>
      </c>
      <c r="D928" s="4">
        <v>0.66674999999999995</v>
      </c>
      <c r="E928">
        <v>3.5</v>
      </c>
      <c r="F928" s="1">
        <v>5.0955414012738851</v>
      </c>
      <c r="G928" s="2">
        <f t="shared" si="73"/>
        <v>20.392503735419968</v>
      </c>
      <c r="H928" s="2">
        <f t="shared" si="74"/>
        <v>3.695293349379615</v>
      </c>
      <c r="I928" s="2">
        <f t="shared" si="70"/>
        <v>739.05866987592299</v>
      </c>
      <c r="J928" s="4">
        <f t="shared" si="72"/>
        <v>9.3037656416081784</v>
      </c>
      <c r="K928" s="4">
        <f t="shared" si="71"/>
        <v>1860.7531283216358</v>
      </c>
      <c r="L928">
        <v>5</v>
      </c>
    </row>
    <row r="929" spans="1:12" x14ac:dyDescent="0.3">
      <c r="A929" t="s">
        <v>144</v>
      </c>
      <c r="B929" t="s">
        <v>85</v>
      </c>
      <c r="C929" s="4">
        <v>0.6</v>
      </c>
      <c r="D929" s="4">
        <v>0.66674999999999995</v>
      </c>
      <c r="E929">
        <v>8</v>
      </c>
      <c r="F929" s="1">
        <v>13.057324840764331</v>
      </c>
      <c r="G929" s="2">
        <f t="shared" si="73"/>
        <v>133.90546398141004</v>
      </c>
      <c r="H929" s="2">
        <f t="shared" si="74"/>
        <v>51.971615717973336</v>
      </c>
      <c r="I929" s="2">
        <f t="shared" si="70"/>
        <v>10394.323143594667</v>
      </c>
      <c r="J929" s="4">
        <f t="shared" si="72"/>
        <v>13.759524495922754</v>
      </c>
      <c r="K929" s="4">
        <f t="shared" si="71"/>
        <v>2751.9048991845511</v>
      </c>
      <c r="L929">
        <v>5</v>
      </c>
    </row>
    <row r="930" spans="1:12" x14ac:dyDescent="0.3">
      <c r="A930" t="s">
        <v>144</v>
      </c>
      <c r="B930" t="s">
        <v>85</v>
      </c>
      <c r="C930" s="4">
        <v>0.6</v>
      </c>
      <c r="D930" s="4">
        <v>0.66674999999999995</v>
      </c>
      <c r="E930">
        <v>3</v>
      </c>
      <c r="F930" s="1">
        <v>5.4140127388535033</v>
      </c>
      <c r="G930" s="2">
        <f t="shared" si="73"/>
        <v>23.021224920063954</v>
      </c>
      <c r="H930" s="2">
        <f t="shared" si="74"/>
        <v>3.5785158249769915</v>
      </c>
      <c r="I930" s="2">
        <f t="shared" si="70"/>
        <v>715.70316499539831</v>
      </c>
      <c r="J930" s="4">
        <f t="shared" si="72"/>
        <v>9.2934711063329143</v>
      </c>
      <c r="K930" s="4">
        <f t="shared" si="71"/>
        <v>1858.6942212665829</v>
      </c>
      <c r="L930">
        <v>5</v>
      </c>
    </row>
    <row r="931" spans="1:12" x14ac:dyDescent="0.3">
      <c r="A931" t="s">
        <v>144</v>
      </c>
      <c r="B931" t="s">
        <v>16</v>
      </c>
      <c r="C931" s="4">
        <v>0.89361000000000002</v>
      </c>
      <c r="D931" s="4">
        <v>0.61247410899999999</v>
      </c>
      <c r="E931">
        <v>6.5</v>
      </c>
      <c r="F931" s="1">
        <v>7.0063694267515917</v>
      </c>
      <c r="G931" s="2">
        <f t="shared" si="73"/>
        <v>38.554577374778376</v>
      </c>
      <c r="H931" s="2">
        <f t="shared" si="74"/>
        <v>11.588267964647688</v>
      </c>
      <c r="I931" s="2">
        <f t="shared" si="70"/>
        <v>2317.6535929295378</v>
      </c>
      <c r="J931" s="4">
        <f t="shared" si="72"/>
        <v>10.102479585378717</v>
      </c>
      <c r="K931" s="4">
        <f t="shared" si="71"/>
        <v>2020.4959170757434</v>
      </c>
      <c r="L931">
        <v>5</v>
      </c>
    </row>
    <row r="932" spans="1:12" x14ac:dyDescent="0.3">
      <c r="A932" t="s">
        <v>144</v>
      </c>
      <c r="B932" t="s">
        <v>17</v>
      </c>
      <c r="C932" s="4">
        <v>0.708787469</v>
      </c>
      <c r="D932" s="4">
        <v>0.80167708299999996</v>
      </c>
      <c r="E932">
        <v>6.5</v>
      </c>
      <c r="F932" s="1">
        <v>6.0509554140127388</v>
      </c>
      <c r="G932" s="2">
        <f t="shared" si="73"/>
        <v>28.756616595650822</v>
      </c>
      <c r="H932" s="2">
        <f t="shared" si="74"/>
        <v>11.319893422644382</v>
      </c>
      <c r="I932" s="2">
        <f t="shared" si="70"/>
        <v>2263.9786845288763</v>
      </c>
      <c r="J932" s="4">
        <f t="shared" si="72"/>
        <v>9.8186698973589195</v>
      </c>
      <c r="K932" s="4">
        <f t="shared" si="71"/>
        <v>1963.7339794717839</v>
      </c>
      <c r="L932">
        <v>5</v>
      </c>
    </row>
    <row r="933" spans="1:12" x14ac:dyDescent="0.3">
      <c r="A933" t="s">
        <v>144</v>
      </c>
      <c r="B933" t="s">
        <v>66</v>
      </c>
      <c r="C933" s="4">
        <v>0.62643652800000005</v>
      </c>
      <c r="D933" s="4">
        <v>0.57808694400000005</v>
      </c>
      <c r="E933">
        <v>8</v>
      </c>
      <c r="F933" s="1">
        <v>20.700636942675157</v>
      </c>
      <c r="G933" s="2">
        <f t="shared" si="73"/>
        <v>336.55596985214595</v>
      </c>
      <c r="H933" s="2">
        <f t="shared" si="74"/>
        <v>111.1568972760882</v>
      </c>
      <c r="I933" s="2">
        <f t="shared" si="70"/>
        <v>22231.37945521764</v>
      </c>
      <c r="J933" s="4">
        <f t="shared" si="72"/>
        <v>20.98415835530853</v>
      </c>
      <c r="K933" s="4">
        <f t="shared" si="71"/>
        <v>4196.8316710617055</v>
      </c>
      <c r="L933">
        <v>5</v>
      </c>
    </row>
    <row r="934" spans="1:12" x14ac:dyDescent="0.3">
      <c r="A934" t="s">
        <v>144</v>
      </c>
      <c r="B934" t="s">
        <v>20</v>
      </c>
      <c r="C934" s="4">
        <v>0.74387999999999999</v>
      </c>
      <c r="D934" s="4">
        <v>0.59130000000000005</v>
      </c>
      <c r="E934">
        <v>12</v>
      </c>
      <c r="F934" s="1">
        <v>14.012738853503183</v>
      </c>
      <c r="G934" s="2">
        <f t="shared" si="73"/>
        <v>154.2183094991135</v>
      </c>
      <c r="H934" s="2">
        <f t="shared" si="74"/>
        <v>78.812191100777525</v>
      </c>
      <c r="I934" s="2">
        <f t="shared" si="70"/>
        <v>15762.438220155504</v>
      </c>
      <c r="J934" s="4">
        <f t="shared" si="72"/>
        <v>17.232687707412062</v>
      </c>
      <c r="K934" s="4">
        <f t="shared" si="71"/>
        <v>3446.5375414824121</v>
      </c>
      <c r="L934">
        <v>5</v>
      </c>
    </row>
    <row r="935" spans="1:12" x14ac:dyDescent="0.3">
      <c r="A935" t="s">
        <v>144</v>
      </c>
      <c r="B935" t="s">
        <v>119</v>
      </c>
      <c r="C935" s="4">
        <v>0.432770245</v>
      </c>
      <c r="D935" s="4">
        <v>0.61247410899999999</v>
      </c>
      <c r="E935">
        <v>5</v>
      </c>
      <c r="F935" s="1">
        <v>18.949044585987259</v>
      </c>
      <c r="G935" s="2">
        <f t="shared" si="73"/>
        <v>282.01000527078338</v>
      </c>
      <c r="H935" s="2">
        <f t="shared" si="74"/>
        <v>62.554399801275267</v>
      </c>
      <c r="I935" s="2">
        <f t="shared" si="70"/>
        <v>12510.879960255053</v>
      </c>
      <c r="J935" s="4">
        <f t="shared" si="72"/>
        <v>15.269360087630329</v>
      </c>
      <c r="K935" s="4">
        <f t="shared" si="71"/>
        <v>3053.8720175260655</v>
      </c>
      <c r="L935">
        <v>5</v>
      </c>
    </row>
    <row r="936" spans="1:12" x14ac:dyDescent="0.3">
      <c r="A936" t="s">
        <v>144</v>
      </c>
      <c r="B936" t="s">
        <v>143</v>
      </c>
      <c r="C936" s="4">
        <v>0.56000000000000005</v>
      </c>
      <c r="D936" s="4">
        <v>0.53945833300000001</v>
      </c>
      <c r="E936">
        <v>5.5</v>
      </c>
      <c r="F936" s="1">
        <v>5.7324840764331206</v>
      </c>
      <c r="G936" s="2">
        <f t="shared" si="73"/>
        <v>25.809262540140899</v>
      </c>
      <c r="H936" s="2">
        <f t="shared" si="74"/>
        <v>5.8787531216952047</v>
      </c>
      <c r="I936" s="2">
        <f t="shared" si="70"/>
        <v>1175.750624339041</v>
      </c>
      <c r="J936" s="4">
        <f t="shared" si="72"/>
        <v>9.618281443466266</v>
      </c>
      <c r="K936" s="4">
        <f t="shared" si="71"/>
        <v>1923.6562886932534</v>
      </c>
      <c r="L936">
        <v>5</v>
      </c>
    </row>
    <row r="937" spans="1:12" x14ac:dyDescent="0.3">
      <c r="A937" t="s">
        <v>144</v>
      </c>
      <c r="B937" t="s">
        <v>22</v>
      </c>
      <c r="C937" s="4">
        <v>0.43836446099999998</v>
      </c>
      <c r="D937" s="4">
        <v>0.58666666700000003</v>
      </c>
      <c r="E937">
        <v>3.5</v>
      </c>
      <c r="F937" s="1">
        <v>5.0955414012738851</v>
      </c>
      <c r="G937" s="2">
        <f t="shared" si="73"/>
        <v>20.392503735419968</v>
      </c>
      <c r="H937" s="2">
        <f t="shared" si="74"/>
        <v>3.2614522763892113</v>
      </c>
      <c r="I937" s="2">
        <f t="shared" si="70"/>
        <v>652.29045527784228</v>
      </c>
      <c r="J937" s="4">
        <f t="shared" si="72"/>
        <v>9.3037656416081784</v>
      </c>
      <c r="K937" s="4">
        <f t="shared" si="71"/>
        <v>1860.7531283216358</v>
      </c>
      <c r="L937">
        <v>5</v>
      </c>
    </row>
    <row r="938" spans="1:12" x14ac:dyDescent="0.3">
      <c r="A938" t="s">
        <v>145</v>
      </c>
      <c r="B938" t="s">
        <v>75</v>
      </c>
      <c r="C938" s="4">
        <v>0.86</v>
      </c>
      <c r="D938" s="4">
        <v>0.65666666699999998</v>
      </c>
      <c r="E938">
        <v>9</v>
      </c>
      <c r="F938" s="1">
        <v>6.6878980891719744</v>
      </c>
      <c r="G938" s="2">
        <f t="shared" si="73"/>
        <v>35.12927401296956</v>
      </c>
      <c r="H938" s="2">
        <f t="shared" si="74"/>
        <v>15.561441916617834</v>
      </c>
      <c r="I938" s="2">
        <f t="shared" si="70"/>
        <v>3112.2883833235669</v>
      </c>
      <c r="J938" s="4">
        <f t="shared" si="72"/>
        <v>10.39463139681123</v>
      </c>
      <c r="K938" s="4">
        <f t="shared" si="71"/>
        <v>2078.9262793622461</v>
      </c>
      <c r="L938">
        <v>5</v>
      </c>
    </row>
    <row r="939" spans="1:12" x14ac:dyDescent="0.3">
      <c r="A939" t="s">
        <v>145</v>
      </c>
      <c r="B939" t="s">
        <v>75</v>
      </c>
      <c r="C939" s="4">
        <v>0.86</v>
      </c>
      <c r="D939" s="4">
        <v>0.65666666699999998</v>
      </c>
      <c r="E939">
        <v>11</v>
      </c>
      <c r="F939" s="1">
        <v>34.235668789808919</v>
      </c>
      <c r="G939" s="2">
        <f t="shared" si="73"/>
        <v>920.55027848612133</v>
      </c>
      <c r="H939" s="2">
        <f t="shared" si="74"/>
        <v>458.61226633055486</v>
      </c>
      <c r="I939" s="2">
        <f t="shared" si="70"/>
        <v>91722.45326611097</v>
      </c>
      <c r="J939" s="4">
        <f t="shared" si="72"/>
        <v>54.110819173191608</v>
      </c>
      <c r="K939" s="4">
        <f t="shared" si="71"/>
        <v>10822.163834638322</v>
      </c>
      <c r="L939">
        <v>5</v>
      </c>
    </row>
    <row r="940" spans="1:12" x14ac:dyDescent="0.3">
      <c r="A940" t="s">
        <v>145</v>
      </c>
      <c r="B940" t="s">
        <v>75</v>
      </c>
      <c r="C940" s="4">
        <v>0.86</v>
      </c>
      <c r="D940" s="4">
        <v>0.65666666699999998</v>
      </c>
      <c r="E940">
        <v>7</v>
      </c>
      <c r="F940" s="1">
        <v>5.7324840764331206</v>
      </c>
      <c r="G940" s="2">
        <f t="shared" si="73"/>
        <v>25.809262540140899</v>
      </c>
      <c r="H940" s="2">
        <f t="shared" si="74"/>
        <v>9.0124880222501407</v>
      </c>
      <c r="I940" s="2">
        <f t="shared" si="70"/>
        <v>1802.4976044500283</v>
      </c>
      <c r="J940" s="4">
        <f t="shared" si="72"/>
        <v>9.790803655320703</v>
      </c>
      <c r="K940" s="4">
        <f t="shared" si="71"/>
        <v>1958.1607310641405</v>
      </c>
      <c r="L940">
        <v>5</v>
      </c>
    </row>
    <row r="941" spans="1:12" x14ac:dyDescent="0.3">
      <c r="A941" t="s">
        <v>145</v>
      </c>
      <c r="B941" t="s">
        <v>75</v>
      </c>
      <c r="C941" s="4">
        <v>0.86</v>
      </c>
      <c r="D941" s="4">
        <v>0.65666666699999998</v>
      </c>
      <c r="E941">
        <v>11</v>
      </c>
      <c r="F941" s="1">
        <v>7.3248407643312099</v>
      </c>
      <c r="G941" s="2">
        <f t="shared" si="73"/>
        <v>42.139197172020175</v>
      </c>
      <c r="H941" s="2">
        <f t="shared" si="74"/>
        <v>22.606278839496117</v>
      </c>
      <c r="I941" s="2">
        <f t="shared" si="70"/>
        <v>4521.2557678992234</v>
      </c>
      <c r="J941" s="4">
        <f t="shared" si="72"/>
        <v>11.051351750578117</v>
      </c>
      <c r="K941" s="4">
        <f t="shared" si="71"/>
        <v>2210.2703501156234</v>
      </c>
      <c r="L941">
        <v>5</v>
      </c>
    </row>
    <row r="942" spans="1:12" x14ac:dyDescent="0.3">
      <c r="A942" t="s">
        <v>145</v>
      </c>
      <c r="B942" t="s">
        <v>75</v>
      </c>
      <c r="C942" s="4">
        <v>0.86</v>
      </c>
      <c r="D942" s="4">
        <v>0.65666666699999998</v>
      </c>
      <c r="E942">
        <v>10</v>
      </c>
      <c r="F942" s="1">
        <v>5.7324840764331206</v>
      </c>
      <c r="G942" s="2">
        <f t="shared" si="73"/>
        <v>25.809262540140899</v>
      </c>
      <c r="H942" s="2">
        <f t="shared" si="74"/>
        <v>12.765240854662688</v>
      </c>
      <c r="I942" s="2">
        <f t="shared" si="70"/>
        <v>2553.0481709325377</v>
      </c>
      <c r="J942" s="4">
        <f t="shared" si="72"/>
        <v>10.135848079029575</v>
      </c>
      <c r="K942" s="4">
        <f t="shared" si="71"/>
        <v>2027.1696158059149</v>
      </c>
      <c r="L942">
        <v>5</v>
      </c>
    </row>
    <row r="943" spans="1:12" x14ac:dyDescent="0.3">
      <c r="A943" t="s">
        <v>145</v>
      </c>
      <c r="B943" t="s">
        <v>69</v>
      </c>
      <c r="C943" s="4">
        <v>0.31264018999999998</v>
      </c>
      <c r="D943" s="4">
        <v>0.356821212</v>
      </c>
      <c r="E943">
        <v>13</v>
      </c>
      <c r="F943" s="1">
        <v>16.878980891719745</v>
      </c>
      <c r="G943" s="2">
        <f t="shared" si="73"/>
        <v>223.75993356560429</v>
      </c>
      <c r="H943" s="2">
        <f t="shared" si="74"/>
        <v>74.850628026252309</v>
      </c>
      <c r="I943" s="2">
        <f t="shared" si="70"/>
        <v>14970.125605250461</v>
      </c>
      <c r="J943" s="4">
        <f t="shared" si="72"/>
        <v>21.948649815408331</v>
      </c>
      <c r="K943" s="4">
        <f t="shared" si="71"/>
        <v>4389.729963081666</v>
      </c>
      <c r="L943">
        <v>5</v>
      </c>
    </row>
    <row r="944" spans="1:12" x14ac:dyDescent="0.3">
      <c r="A944" t="s">
        <v>145</v>
      </c>
      <c r="B944" t="s">
        <v>69</v>
      </c>
      <c r="C944" s="4">
        <v>0.31264018999999998</v>
      </c>
      <c r="D944" s="4">
        <v>0.356821212</v>
      </c>
      <c r="E944">
        <v>15</v>
      </c>
      <c r="F944" s="1">
        <v>24.840764331210192</v>
      </c>
      <c r="G944" s="2">
        <f t="shared" si="73"/>
        <v>484.64059658709033</v>
      </c>
      <c r="H944" s="2">
        <f t="shared" si="74"/>
        <v>182.99278743338132</v>
      </c>
      <c r="I944" s="2">
        <f t="shared" si="70"/>
        <v>36598.557486676269</v>
      </c>
      <c r="J944" s="4">
        <f t="shared" si="72"/>
        <v>41.38153755933304</v>
      </c>
      <c r="K944" s="4">
        <f t="shared" si="71"/>
        <v>8276.3075118666075</v>
      </c>
      <c r="L944">
        <v>5</v>
      </c>
    </row>
    <row r="945" spans="1:12" x14ac:dyDescent="0.3">
      <c r="A945" t="s">
        <v>145</v>
      </c>
      <c r="B945" t="s">
        <v>69</v>
      </c>
      <c r="C945" s="4">
        <v>0.31264018999999998</v>
      </c>
      <c r="D945" s="4">
        <v>0.356821212</v>
      </c>
      <c r="E945">
        <v>15.5</v>
      </c>
      <c r="F945" s="1">
        <v>27.070063694267514</v>
      </c>
      <c r="G945" s="2">
        <f t="shared" si="73"/>
        <v>575.53062300159877</v>
      </c>
      <c r="H945" s="2">
        <f t="shared" si="74"/>
        <v>223.45481624832695</v>
      </c>
      <c r="I945" s="2">
        <f t="shared" si="70"/>
        <v>44690.963249665387</v>
      </c>
      <c r="J945" s="4">
        <f t="shared" si="72"/>
        <v>48.739467901334741</v>
      </c>
      <c r="K945" s="4">
        <f t="shared" si="71"/>
        <v>9747.8935802669475</v>
      </c>
      <c r="L945">
        <v>5</v>
      </c>
    </row>
    <row r="946" spans="1:12" x14ac:dyDescent="0.3">
      <c r="A946" t="s">
        <v>145</v>
      </c>
      <c r="B946" t="s">
        <v>69</v>
      </c>
      <c r="C946" s="4">
        <v>0.31264018999999998</v>
      </c>
      <c r="D946" s="4">
        <v>0.356821212</v>
      </c>
      <c r="E946">
        <v>15.5</v>
      </c>
      <c r="F946" s="1">
        <v>31.847133757961782</v>
      </c>
      <c r="G946" s="2">
        <f t="shared" si="73"/>
        <v>796.58217716484251</v>
      </c>
      <c r="H946" s="2">
        <f t="shared" si="74"/>
        <v>306.87674336474038</v>
      </c>
      <c r="I946" s="2">
        <f t="shared" si="70"/>
        <v>61375.348672948079</v>
      </c>
      <c r="J946" s="4">
        <f t="shared" si="72"/>
        <v>64.008216126414851</v>
      </c>
      <c r="K946" s="4">
        <f t="shared" si="71"/>
        <v>12801.643225282971</v>
      </c>
      <c r="L946">
        <v>5</v>
      </c>
    </row>
    <row r="947" spans="1:12" x14ac:dyDescent="0.3">
      <c r="A947" t="s">
        <v>145</v>
      </c>
      <c r="B947" t="s">
        <v>14</v>
      </c>
      <c r="C947" s="4">
        <v>0.766138345</v>
      </c>
      <c r="D947" s="4">
        <v>0.90500000000000003</v>
      </c>
      <c r="E947">
        <v>12</v>
      </c>
      <c r="F947" s="1">
        <v>32.165605095541402</v>
      </c>
      <c r="G947" s="2">
        <f t="shared" si="73"/>
        <v>812.59347892585606</v>
      </c>
      <c r="H947" s="2">
        <f t="shared" si="74"/>
        <v>604.52410431436897</v>
      </c>
      <c r="I947" s="2">
        <f t="shared" si="70"/>
        <v>120904.82086287378</v>
      </c>
      <c r="J947" s="4">
        <f t="shared" si="72"/>
        <v>52.439998348817404</v>
      </c>
      <c r="K947" s="4">
        <f t="shared" si="71"/>
        <v>10487.999669763482</v>
      </c>
      <c r="L947">
        <v>5</v>
      </c>
    </row>
    <row r="948" spans="1:12" x14ac:dyDescent="0.3">
      <c r="A948" t="s">
        <v>145</v>
      </c>
      <c r="B948" t="s">
        <v>85</v>
      </c>
      <c r="C948" s="4">
        <v>0.6</v>
      </c>
      <c r="D948" s="4">
        <v>0.66674999999999995</v>
      </c>
      <c r="E948">
        <v>10</v>
      </c>
      <c r="F948" s="1">
        <v>8.9171974522292992</v>
      </c>
      <c r="G948" s="2">
        <f t="shared" si="73"/>
        <v>62.452042689723655</v>
      </c>
      <c r="H948" s="2">
        <f t="shared" si="74"/>
        <v>30.693667216158875</v>
      </c>
      <c r="I948" s="2">
        <f t="shared" si="70"/>
        <v>6138.7334432317748</v>
      </c>
      <c r="J948" s="4">
        <f t="shared" si="72"/>
        <v>11.768774364071565</v>
      </c>
      <c r="K948" s="4">
        <f t="shared" si="71"/>
        <v>2353.7548728143129</v>
      </c>
      <c r="L948">
        <v>5</v>
      </c>
    </row>
    <row r="949" spans="1:12" x14ac:dyDescent="0.3">
      <c r="A949" t="s">
        <v>145</v>
      </c>
      <c r="B949" t="s">
        <v>141</v>
      </c>
      <c r="C949" s="4">
        <v>0.83069230800000005</v>
      </c>
      <c r="D949" s="4">
        <v>0.78683697699999999</v>
      </c>
      <c r="E949">
        <v>8</v>
      </c>
      <c r="F949" s="1">
        <v>7.6433121019108281</v>
      </c>
      <c r="G949" s="2">
        <f t="shared" si="73"/>
        <v>45.883133404694938</v>
      </c>
      <c r="H949" s="2">
        <f t="shared" si="74"/>
        <v>21.477320063589957</v>
      </c>
      <c r="I949" s="2">
        <f t="shared" si="70"/>
        <v>4295.464012717991</v>
      </c>
      <c r="J949" s="4">
        <f t="shared" si="72"/>
        <v>10.621466156842063</v>
      </c>
      <c r="K949" s="4">
        <f t="shared" si="71"/>
        <v>2124.2932313684128</v>
      </c>
      <c r="L949">
        <v>5</v>
      </c>
    </row>
    <row r="950" spans="1:12" x14ac:dyDescent="0.3">
      <c r="A950" t="s">
        <v>145</v>
      </c>
      <c r="B950" t="s">
        <v>16</v>
      </c>
      <c r="C950" s="4">
        <v>0.89361000000000002</v>
      </c>
      <c r="D950" s="4">
        <v>0.61247410899999999</v>
      </c>
      <c r="E950">
        <v>3</v>
      </c>
      <c r="F950" s="1">
        <v>3.1847133757961781</v>
      </c>
      <c r="G950" s="2">
        <f t="shared" si="73"/>
        <v>7.9658217716484252</v>
      </c>
      <c r="H950" s="2">
        <f t="shared" si="74"/>
        <v>1.1691665044901833</v>
      </c>
      <c r="I950" s="2">
        <f t="shared" si="70"/>
        <v>233.83330089803667</v>
      </c>
      <c r="J950" s="4">
        <f t="shared" si="72"/>
        <v>9.0921951925027376</v>
      </c>
      <c r="K950" s="4">
        <f t="shared" si="71"/>
        <v>1818.4390385005474</v>
      </c>
      <c r="L950">
        <v>5</v>
      </c>
    </row>
    <row r="951" spans="1:12" x14ac:dyDescent="0.3">
      <c r="A951" t="s">
        <v>145</v>
      </c>
      <c r="B951" t="s">
        <v>66</v>
      </c>
      <c r="C951" s="4">
        <v>0.62643652800000005</v>
      </c>
      <c r="D951" s="4">
        <v>0.57808694400000005</v>
      </c>
      <c r="E951">
        <v>11</v>
      </c>
      <c r="F951" s="1">
        <v>15.923566878980891</v>
      </c>
      <c r="G951" s="2">
        <f t="shared" si="73"/>
        <v>199.14554429121063</v>
      </c>
      <c r="H951" s="2">
        <f t="shared" si="74"/>
        <v>90.887137505553852</v>
      </c>
      <c r="I951" s="2">
        <f t="shared" si="70"/>
        <v>18177.427501110771</v>
      </c>
      <c r="J951" s="4">
        <f t="shared" si="72"/>
        <v>18.747759312751022</v>
      </c>
      <c r="K951" s="4">
        <f t="shared" si="71"/>
        <v>3749.5518625502045</v>
      </c>
      <c r="L951">
        <v>5</v>
      </c>
    </row>
    <row r="952" spans="1:12" x14ac:dyDescent="0.3">
      <c r="A952" t="s">
        <v>145</v>
      </c>
      <c r="B952" t="s">
        <v>66</v>
      </c>
      <c r="C952" s="4">
        <v>0.62643652800000005</v>
      </c>
      <c r="D952" s="4">
        <v>0.57808694400000005</v>
      </c>
      <c r="E952">
        <v>4</v>
      </c>
      <c r="F952" s="1">
        <v>5.7324840764331206</v>
      </c>
      <c r="G952" s="2">
        <f t="shared" si="73"/>
        <v>25.809262540140899</v>
      </c>
      <c r="H952" s="2">
        <f t="shared" si="74"/>
        <v>4.6091007117282423</v>
      </c>
      <c r="I952" s="2">
        <f t="shared" si="70"/>
        <v>921.82014234564849</v>
      </c>
      <c r="J952" s="4">
        <f t="shared" si="72"/>
        <v>9.4457592316118291</v>
      </c>
      <c r="K952" s="4">
        <f t="shared" si="71"/>
        <v>1889.1518463223661</v>
      </c>
      <c r="L952">
        <v>5</v>
      </c>
    </row>
    <row r="953" spans="1:12" x14ac:dyDescent="0.3">
      <c r="A953" t="s">
        <v>145</v>
      </c>
      <c r="B953" t="s">
        <v>118</v>
      </c>
      <c r="C953" s="4">
        <v>0.56023871300000005</v>
      </c>
      <c r="D953" s="4">
        <v>0.74103703700000001</v>
      </c>
      <c r="E953">
        <v>11</v>
      </c>
      <c r="F953" s="1">
        <v>9.0764331210191074</v>
      </c>
      <c r="G953" s="2">
        <f t="shared" si="73"/>
        <v>64.702387340214344</v>
      </c>
      <c r="H953" s="2">
        <f t="shared" si="74"/>
        <v>38.65703808926672</v>
      </c>
      <c r="I953" s="2">
        <f t="shared" si="70"/>
        <v>7731.4076178533451</v>
      </c>
      <c r="J953" s="4">
        <f t="shared" si="72"/>
        <v>12.157393070712807</v>
      </c>
      <c r="K953" s="4">
        <f t="shared" si="71"/>
        <v>2431.4786141425616</v>
      </c>
      <c r="L953">
        <v>5</v>
      </c>
    </row>
    <row r="954" spans="1:12" x14ac:dyDescent="0.3">
      <c r="A954" t="s">
        <v>145</v>
      </c>
      <c r="B954" t="s">
        <v>119</v>
      </c>
      <c r="C954" s="4">
        <v>0.432770245</v>
      </c>
      <c r="D954" s="4">
        <v>0.61247410899999999</v>
      </c>
      <c r="E954">
        <v>10</v>
      </c>
      <c r="F954" s="1">
        <v>21.337579617834393</v>
      </c>
      <c r="G954" s="2">
        <f t="shared" si="73"/>
        <v>357.58573932929778</v>
      </c>
      <c r="H954" s="2">
        <f t="shared" si="74"/>
        <v>155.13294425383708</v>
      </c>
      <c r="I954" s="2">
        <f t="shared" si="70"/>
        <v>31026.588850767417</v>
      </c>
      <c r="J954" s="4">
        <f t="shared" si="72"/>
        <v>24.92093063815976</v>
      </c>
      <c r="K954" s="4">
        <f t="shared" si="71"/>
        <v>4984.1861276319523</v>
      </c>
      <c r="L954">
        <v>5</v>
      </c>
    </row>
    <row r="955" spans="1:12" x14ac:dyDescent="0.3">
      <c r="A955" t="s">
        <v>145</v>
      </c>
      <c r="B955" t="s">
        <v>22</v>
      </c>
      <c r="C955" s="4">
        <v>0.43836446099999998</v>
      </c>
      <c r="D955" s="4">
        <v>0.58666666700000003</v>
      </c>
      <c r="E955">
        <v>4</v>
      </c>
      <c r="F955" s="1">
        <v>9.2356687898089174</v>
      </c>
      <c r="G955" s="2">
        <f t="shared" si="73"/>
        <v>66.992561099563275</v>
      </c>
      <c r="H955" s="2">
        <f t="shared" si="74"/>
        <v>11.862325970362146</v>
      </c>
      <c r="I955" s="2">
        <f t="shared" si="70"/>
        <v>2372.4651940724293</v>
      </c>
      <c r="J955" s="4">
        <f t="shared" si="72"/>
        <v>10.179866091930707</v>
      </c>
      <c r="K955" s="4">
        <f t="shared" si="71"/>
        <v>2035.9732183861415</v>
      </c>
      <c r="L955">
        <v>5</v>
      </c>
    </row>
    <row r="956" spans="1:12" x14ac:dyDescent="0.3">
      <c r="A956" t="s">
        <v>146</v>
      </c>
      <c r="B956" t="s">
        <v>69</v>
      </c>
      <c r="C956" s="4">
        <v>0.31264018999999998</v>
      </c>
      <c r="D956" s="4">
        <v>0.356821212</v>
      </c>
      <c r="E956">
        <v>14</v>
      </c>
      <c r="F956" s="1">
        <v>25.477707006369425</v>
      </c>
      <c r="G956" s="2">
        <f t="shared" si="73"/>
        <v>509.81259338549921</v>
      </c>
      <c r="H956" s="2">
        <f t="shared" si="74"/>
        <v>179.74336036349547</v>
      </c>
      <c r="I956" s="2">
        <f t="shared" si="70"/>
        <v>35948.672072699097</v>
      </c>
      <c r="J956" s="4">
        <f t="shared" si="72"/>
        <v>40.792264160817879</v>
      </c>
      <c r="K956" s="4">
        <f t="shared" si="71"/>
        <v>8158.4528321635762</v>
      </c>
      <c r="L956">
        <v>5</v>
      </c>
    </row>
    <row r="957" spans="1:12" x14ac:dyDescent="0.3">
      <c r="A957" t="s">
        <v>146</v>
      </c>
      <c r="B957" t="s">
        <v>69</v>
      </c>
      <c r="C957" s="4">
        <v>0.31264018999999998</v>
      </c>
      <c r="D957" s="4">
        <v>0.356821212</v>
      </c>
      <c r="E957">
        <v>13</v>
      </c>
      <c r="F957" s="1">
        <v>21.97452229299363</v>
      </c>
      <c r="G957" s="2">
        <f t="shared" si="73"/>
        <v>379.25277454818155</v>
      </c>
      <c r="H957" s="2">
        <f t="shared" si="74"/>
        <v>125.26864397947459</v>
      </c>
      <c r="I957" s="2">
        <f t="shared" si="70"/>
        <v>25053.72879589492</v>
      </c>
      <c r="J957" s="4">
        <f t="shared" si="72"/>
        <v>30.956723165239971</v>
      </c>
      <c r="K957" s="4">
        <f t="shared" si="71"/>
        <v>6191.3446330479946</v>
      </c>
      <c r="L957">
        <v>5</v>
      </c>
    </row>
    <row r="958" spans="1:12" x14ac:dyDescent="0.3">
      <c r="A958" t="s">
        <v>146</v>
      </c>
      <c r="B958" t="s">
        <v>69</v>
      </c>
      <c r="C958" s="4">
        <v>0.31264018999999998</v>
      </c>
      <c r="D958" s="4">
        <v>0.356821212</v>
      </c>
      <c r="E958">
        <v>13</v>
      </c>
      <c r="F958" s="1">
        <v>28.662420382165603</v>
      </c>
      <c r="G958" s="2">
        <f t="shared" si="73"/>
        <v>645.23156350352247</v>
      </c>
      <c r="H958" s="2">
        <f t="shared" si="74"/>
        <v>210.42160533092499</v>
      </c>
      <c r="I958" s="2">
        <f t="shared" si="70"/>
        <v>42084.321066185003</v>
      </c>
      <c r="J958" s="4">
        <f t="shared" si="72"/>
        <v>46.365512568461185</v>
      </c>
      <c r="K958" s="4">
        <f t="shared" si="71"/>
        <v>9273.1025136922362</v>
      </c>
      <c r="L958">
        <v>5</v>
      </c>
    </row>
    <row r="959" spans="1:12" x14ac:dyDescent="0.3">
      <c r="A959" t="s">
        <v>146</v>
      </c>
      <c r="B959" t="s">
        <v>14</v>
      </c>
      <c r="C959" s="4">
        <v>0.766138345</v>
      </c>
      <c r="D959" s="4">
        <v>0.90500000000000003</v>
      </c>
      <c r="E959">
        <v>9</v>
      </c>
      <c r="F959" s="1">
        <v>21.656050955414013</v>
      </c>
      <c r="G959" s="2">
        <f t="shared" si="73"/>
        <v>368.33959872102326</v>
      </c>
      <c r="H959" s="2">
        <f t="shared" si="74"/>
        <v>210.90918394340522</v>
      </c>
      <c r="I959" s="2">
        <f t="shared" si="70"/>
        <v>42181.836788681045</v>
      </c>
      <c r="J959" s="4">
        <f t="shared" si="72"/>
        <v>23.758713103979879</v>
      </c>
      <c r="K959" s="4">
        <f t="shared" si="71"/>
        <v>4751.7426207959761</v>
      </c>
      <c r="L959">
        <v>5</v>
      </c>
    </row>
    <row r="960" spans="1:12" x14ac:dyDescent="0.3">
      <c r="A960" t="s">
        <v>146</v>
      </c>
      <c r="B960" t="s">
        <v>14</v>
      </c>
      <c r="C960" s="4">
        <v>0.766138345</v>
      </c>
      <c r="D960" s="4">
        <v>0.90500000000000003</v>
      </c>
      <c r="E960">
        <v>11</v>
      </c>
      <c r="F960" s="1">
        <v>15.605095541401273</v>
      </c>
      <c r="G960" s="2">
        <f t="shared" si="73"/>
        <v>191.25938073727869</v>
      </c>
      <c r="H960" s="2">
        <f t="shared" si="74"/>
        <v>135.31919745188199</v>
      </c>
      <c r="I960" s="2">
        <f t="shared" si="70"/>
        <v>27063.839490376395</v>
      </c>
      <c r="J960" s="4">
        <f t="shared" si="72"/>
        <v>18.36118176396608</v>
      </c>
      <c r="K960" s="4">
        <f t="shared" si="71"/>
        <v>3672.2363527932162</v>
      </c>
      <c r="L960">
        <v>5</v>
      </c>
    </row>
    <row r="961" spans="1:12" x14ac:dyDescent="0.3">
      <c r="A961" t="s">
        <v>146</v>
      </c>
      <c r="B961" t="s">
        <v>14</v>
      </c>
      <c r="C961" s="4">
        <v>0.766138345</v>
      </c>
      <c r="D961" s="4">
        <v>0.90500000000000003</v>
      </c>
      <c r="E961">
        <v>6.5</v>
      </c>
      <c r="F961" s="1">
        <v>9.872611464968152</v>
      </c>
      <c r="G961" s="2">
        <f t="shared" si="73"/>
        <v>76.55154722554137</v>
      </c>
      <c r="H961" s="2">
        <f t="shared" si="74"/>
        <v>33.131329748536459</v>
      </c>
      <c r="I961" s="2">
        <f t="shared" si="70"/>
        <v>6626.2659497072918</v>
      </c>
      <c r="J961" s="4">
        <f t="shared" si="72"/>
        <v>11.203107399894519</v>
      </c>
      <c r="K961" s="4">
        <f t="shared" si="71"/>
        <v>2240.6214799789041</v>
      </c>
      <c r="L961">
        <v>5</v>
      </c>
    </row>
    <row r="962" spans="1:12" x14ac:dyDescent="0.3">
      <c r="A962" t="s">
        <v>146</v>
      </c>
      <c r="B962" t="s">
        <v>37</v>
      </c>
      <c r="C962" s="4">
        <v>0.39790071399999999</v>
      </c>
      <c r="D962" s="4">
        <v>0.50565277799999997</v>
      </c>
      <c r="E962">
        <v>13</v>
      </c>
      <c r="F962" s="1">
        <v>9.0764331210191074</v>
      </c>
      <c r="G962" s="2">
        <f t="shared" si="73"/>
        <v>64.702387340214344</v>
      </c>
      <c r="H962" s="2">
        <f t="shared" si="74"/>
        <v>31.335325458701767</v>
      </c>
      <c r="I962" s="2">
        <f t="shared" ref="I962:I1025" si="75">(H962*1000)/L962</f>
        <v>6267.0650917403536</v>
      </c>
      <c r="J962" s="4">
        <f t="shared" si="72"/>
        <v>12.734064538115137</v>
      </c>
      <c r="K962" s="4">
        <f t="shared" ref="K962:K1025" si="76">(J962*1000)/L962</f>
        <v>2546.8129076230275</v>
      </c>
      <c r="L962">
        <v>5</v>
      </c>
    </row>
    <row r="963" spans="1:12" x14ac:dyDescent="0.3">
      <c r="A963" t="s">
        <v>146</v>
      </c>
      <c r="B963" t="s">
        <v>66</v>
      </c>
      <c r="C963" s="4">
        <v>0.62643652800000005</v>
      </c>
      <c r="D963" s="4">
        <v>0.57808694400000005</v>
      </c>
      <c r="E963">
        <v>13</v>
      </c>
      <c r="F963" s="1">
        <v>15.923566878980891</v>
      </c>
      <c r="G963" s="2">
        <f t="shared" si="73"/>
        <v>199.14554429121063</v>
      </c>
      <c r="H963" s="2">
        <f t="shared" si="74"/>
        <v>106.98228673373076</v>
      </c>
      <c r="I963" s="2">
        <f t="shared" si="75"/>
        <v>21396.457346746152</v>
      </c>
      <c r="J963" s="4">
        <f t="shared" ref="J963:J1026" si="77">8.9857 + 0.0035 * F963^2 * E963</f>
        <v>20.522679187796662</v>
      </c>
      <c r="K963" s="4">
        <f t="shared" si="76"/>
        <v>4104.5358375593323</v>
      </c>
      <c r="L963">
        <v>5</v>
      </c>
    </row>
    <row r="964" spans="1:12" x14ac:dyDescent="0.3">
      <c r="A964" t="s">
        <v>146</v>
      </c>
      <c r="B964" t="s">
        <v>66</v>
      </c>
      <c r="C964" s="4">
        <v>0.62643652800000005</v>
      </c>
      <c r="D964" s="4">
        <v>0.57808694400000005</v>
      </c>
      <c r="E964">
        <v>5</v>
      </c>
      <c r="F964" s="1">
        <v>5.7324840764331206</v>
      </c>
      <c r="G964" s="2">
        <f t="shared" ref="G964:G1027" si="78">PI()*(F964/2)^2</f>
        <v>25.809262540140899</v>
      </c>
      <c r="H964" s="2">
        <f t="shared" ref="H964:H1027" si="79">0.0673 * ((D964 * F964^2 * E964)^0.976)</f>
        <v>5.7306036297489085</v>
      </c>
      <c r="I964" s="2">
        <f t="shared" si="75"/>
        <v>1146.1207259497817</v>
      </c>
      <c r="J964" s="4">
        <f t="shared" si="77"/>
        <v>9.5607740395147864</v>
      </c>
      <c r="K964" s="4">
        <f t="shared" si="76"/>
        <v>1912.1548079029574</v>
      </c>
      <c r="L964">
        <v>5</v>
      </c>
    </row>
    <row r="965" spans="1:12" x14ac:dyDescent="0.3">
      <c r="A965" t="s">
        <v>146</v>
      </c>
      <c r="B965" t="s">
        <v>66</v>
      </c>
      <c r="C965" s="4">
        <v>0.62643652800000005</v>
      </c>
      <c r="D965" s="4">
        <v>0.57808694400000005</v>
      </c>
      <c r="E965">
        <v>12</v>
      </c>
      <c r="F965" s="1">
        <v>19.745222929936304</v>
      </c>
      <c r="G965" s="2">
        <f t="shared" si="78"/>
        <v>306.20618890216548</v>
      </c>
      <c r="H965" s="2">
        <f t="shared" si="79"/>
        <v>150.57164336025434</v>
      </c>
      <c r="I965" s="2">
        <f t="shared" si="75"/>
        <v>30114.328672050869</v>
      </c>
      <c r="J965" s="4">
        <f t="shared" si="77"/>
        <v>25.360400799221061</v>
      </c>
      <c r="K965" s="4">
        <f t="shared" si="76"/>
        <v>5072.0801598442122</v>
      </c>
      <c r="L965">
        <v>5</v>
      </c>
    </row>
    <row r="966" spans="1:12" x14ac:dyDescent="0.3">
      <c r="A966" t="s">
        <v>146</v>
      </c>
      <c r="B966" t="s">
        <v>66</v>
      </c>
      <c r="C966" s="4">
        <v>0.62643652800000005</v>
      </c>
      <c r="D966" s="4">
        <v>0.57808694400000005</v>
      </c>
      <c r="E966">
        <v>6</v>
      </c>
      <c r="F966" s="1">
        <v>13.694267515923567</v>
      </c>
      <c r="G966" s="2">
        <f t="shared" si="78"/>
        <v>147.28804455777941</v>
      </c>
      <c r="H966" s="2">
        <f t="shared" si="79"/>
        <v>37.473112077550844</v>
      </c>
      <c r="I966" s="2">
        <f t="shared" si="75"/>
        <v>7494.622415510169</v>
      </c>
      <c r="J966" s="4">
        <f t="shared" si="77"/>
        <v>12.923892218751266</v>
      </c>
      <c r="K966" s="4">
        <f t="shared" si="76"/>
        <v>2584.7784437502532</v>
      </c>
      <c r="L966">
        <v>5</v>
      </c>
    </row>
    <row r="967" spans="1:12" x14ac:dyDescent="0.3">
      <c r="A967" t="s">
        <v>146</v>
      </c>
      <c r="B967" t="s">
        <v>66</v>
      </c>
      <c r="C967" s="4">
        <v>0.62643652800000005</v>
      </c>
      <c r="D967" s="4">
        <v>0.57808694400000005</v>
      </c>
      <c r="E967">
        <v>4.5</v>
      </c>
      <c r="F967" s="1">
        <v>13.694267515923567</v>
      </c>
      <c r="G967" s="2">
        <f t="shared" si="78"/>
        <v>147.28804455777941</v>
      </c>
      <c r="H967" s="2">
        <f t="shared" si="79"/>
        <v>28.299551651559007</v>
      </c>
      <c r="I967" s="2">
        <f t="shared" si="75"/>
        <v>5659.9103303118009</v>
      </c>
      <c r="J967" s="4">
        <f t="shared" si="77"/>
        <v>11.939344164063451</v>
      </c>
      <c r="K967" s="4">
        <f t="shared" si="76"/>
        <v>2387.8688328126905</v>
      </c>
      <c r="L967">
        <v>5</v>
      </c>
    </row>
    <row r="968" spans="1:12" x14ac:dyDescent="0.3">
      <c r="A968" t="s">
        <v>146</v>
      </c>
      <c r="B968" t="s">
        <v>31</v>
      </c>
      <c r="C968" s="4">
        <v>0.63400000000000001</v>
      </c>
      <c r="D968" s="4">
        <v>0.73247777800000002</v>
      </c>
      <c r="E968">
        <v>10</v>
      </c>
      <c r="F968" s="1">
        <v>14.808917197452228</v>
      </c>
      <c r="G968" s="2">
        <f t="shared" si="78"/>
        <v>172.24098125746809</v>
      </c>
      <c r="H968" s="2">
        <f t="shared" si="79"/>
        <v>90.555731245246392</v>
      </c>
      <c r="I968" s="2">
        <f t="shared" si="75"/>
        <v>18111.146249049278</v>
      </c>
      <c r="J968" s="4">
        <f t="shared" si="77"/>
        <v>16.661340999634874</v>
      </c>
      <c r="K968" s="4">
        <f t="shared" si="76"/>
        <v>3332.2681999269748</v>
      </c>
      <c r="L968">
        <v>5</v>
      </c>
    </row>
    <row r="969" spans="1:12" x14ac:dyDescent="0.3">
      <c r="A969" t="s">
        <v>146</v>
      </c>
      <c r="B969" t="s">
        <v>119</v>
      </c>
      <c r="C969" s="4">
        <v>0.432770245</v>
      </c>
      <c r="D969" s="4">
        <v>0.61247410899999999</v>
      </c>
      <c r="E969">
        <v>13</v>
      </c>
      <c r="F969" s="1">
        <v>29.29936305732484</v>
      </c>
      <c r="G969" s="2">
        <f t="shared" si="78"/>
        <v>674.2271547523228</v>
      </c>
      <c r="H969" s="2">
        <f t="shared" si="79"/>
        <v>372.159038452424</v>
      </c>
      <c r="I969" s="2">
        <f t="shared" si="75"/>
        <v>74431.807690484799</v>
      </c>
      <c r="J969" s="4">
        <f t="shared" si="77"/>
        <v>48.045296738204392</v>
      </c>
      <c r="K969" s="4">
        <f t="shared" si="76"/>
        <v>9609.0593476408794</v>
      </c>
      <c r="L969">
        <v>5</v>
      </c>
    </row>
    <row r="970" spans="1:12" x14ac:dyDescent="0.3">
      <c r="A970" t="s">
        <v>146</v>
      </c>
      <c r="B970" t="s">
        <v>119</v>
      </c>
      <c r="C970" s="4">
        <v>0.432770245</v>
      </c>
      <c r="D970" s="4">
        <v>0.61247410899999999</v>
      </c>
      <c r="E970">
        <v>12</v>
      </c>
      <c r="F970" s="1">
        <v>27.388535031847134</v>
      </c>
      <c r="G970" s="2">
        <f t="shared" si="78"/>
        <v>589.15217823111766</v>
      </c>
      <c r="H970" s="2">
        <f t="shared" si="79"/>
        <v>301.73653104151066</v>
      </c>
      <c r="I970" s="2">
        <f t="shared" si="75"/>
        <v>60347.306208302129</v>
      </c>
      <c r="J970" s="4">
        <f t="shared" si="77"/>
        <v>40.491237750010143</v>
      </c>
      <c r="K970" s="4">
        <f t="shared" si="76"/>
        <v>8098.2475500020282</v>
      </c>
      <c r="L970">
        <v>5</v>
      </c>
    </row>
    <row r="971" spans="1:12" x14ac:dyDescent="0.3">
      <c r="A971" t="s">
        <v>146</v>
      </c>
      <c r="B971" t="s">
        <v>119</v>
      </c>
      <c r="C971" s="4">
        <v>0.432770245</v>
      </c>
      <c r="D971" s="4">
        <v>0.61247410899999999</v>
      </c>
      <c r="E971">
        <v>11</v>
      </c>
      <c r="F971" s="1">
        <v>21.019108280254777</v>
      </c>
      <c r="G971" s="2">
        <f t="shared" si="78"/>
        <v>346.99119637300544</v>
      </c>
      <c r="H971" s="2">
        <f t="shared" si="79"/>
        <v>165.33128568949004</v>
      </c>
      <c r="I971" s="2">
        <f t="shared" si="75"/>
        <v>33066.257137898006</v>
      </c>
      <c r="J971" s="4">
        <f t="shared" si="77"/>
        <v>25.995112146537387</v>
      </c>
      <c r="K971" s="4">
        <f t="shared" si="76"/>
        <v>5199.0224293074771</v>
      </c>
      <c r="L971">
        <v>5</v>
      </c>
    </row>
    <row r="972" spans="1:12" x14ac:dyDescent="0.3">
      <c r="A972" t="s">
        <v>146</v>
      </c>
      <c r="B972" t="s">
        <v>119</v>
      </c>
      <c r="C972" s="4">
        <v>0.432770245</v>
      </c>
      <c r="D972" s="4">
        <v>0.61247410899999999</v>
      </c>
      <c r="E972">
        <v>8</v>
      </c>
      <c r="F972" s="1">
        <v>16.560509554140125</v>
      </c>
      <c r="G972" s="2">
        <f t="shared" si="78"/>
        <v>215.39582070537341</v>
      </c>
      <c r="H972" s="2">
        <f t="shared" si="79"/>
        <v>76.078225490000762</v>
      </c>
      <c r="I972" s="2">
        <f t="shared" si="75"/>
        <v>15215.645098000154</v>
      </c>
      <c r="J972" s="4">
        <f t="shared" si="77"/>
        <v>16.664713347397459</v>
      </c>
      <c r="K972" s="4">
        <f t="shared" si="76"/>
        <v>3332.942669479492</v>
      </c>
      <c r="L972">
        <v>5</v>
      </c>
    </row>
    <row r="973" spans="1:12" x14ac:dyDescent="0.3">
      <c r="A973" t="s">
        <v>146</v>
      </c>
      <c r="B973" t="s">
        <v>22</v>
      </c>
      <c r="C973" s="4">
        <v>0.43836446099999998</v>
      </c>
      <c r="D973" s="4">
        <v>0.58666666700000003</v>
      </c>
      <c r="E973">
        <v>6</v>
      </c>
      <c r="F973" s="1">
        <v>12.420382165605096</v>
      </c>
      <c r="G973" s="2">
        <f t="shared" si="78"/>
        <v>121.16014914677258</v>
      </c>
      <c r="H973" s="2">
        <f t="shared" si="79"/>
        <v>31.418984492347377</v>
      </c>
      <c r="I973" s="2">
        <f t="shared" si="75"/>
        <v>6283.7968984694753</v>
      </c>
      <c r="J973" s="4">
        <f t="shared" si="77"/>
        <v>12.225283755933305</v>
      </c>
      <c r="K973" s="4">
        <f t="shared" si="76"/>
        <v>2445.0567511866607</v>
      </c>
      <c r="L973">
        <v>5</v>
      </c>
    </row>
    <row r="974" spans="1:12" x14ac:dyDescent="0.3">
      <c r="A974" t="s">
        <v>147</v>
      </c>
      <c r="B974" t="s">
        <v>26</v>
      </c>
      <c r="C974" s="4">
        <v>0.80908761900000004</v>
      </c>
      <c r="D974" s="4">
        <v>0.87473809499999999</v>
      </c>
      <c r="E974">
        <v>7</v>
      </c>
      <c r="F974" s="1">
        <v>15.286624203821656</v>
      </c>
      <c r="G974" s="2">
        <f t="shared" si="78"/>
        <v>183.53253361877975</v>
      </c>
      <c r="H974" s="2">
        <f t="shared" si="79"/>
        <v>80.887225901831158</v>
      </c>
      <c r="I974" s="2">
        <f t="shared" si="75"/>
        <v>20221.80647545779</v>
      </c>
      <c r="J974" s="4">
        <f t="shared" si="77"/>
        <v>14.710881548947217</v>
      </c>
      <c r="K974" s="4">
        <f t="shared" si="76"/>
        <v>3677.7203872368041</v>
      </c>
      <c r="L974">
        <v>4</v>
      </c>
    </row>
    <row r="975" spans="1:12" x14ac:dyDescent="0.3">
      <c r="A975" t="s">
        <v>147</v>
      </c>
      <c r="B975" t="s">
        <v>60</v>
      </c>
      <c r="C975" s="4">
        <v>0.41</v>
      </c>
      <c r="D975" s="4">
        <v>0.33983503399999998</v>
      </c>
      <c r="E975">
        <v>7</v>
      </c>
      <c r="F975" s="1">
        <v>9.872611464968152</v>
      </c>
      <c r="G975" s="2">
        <f t="shared" si="78"/>
        <v>76.55154722554137</v>
      </c>
      <c r="H975" s="2">
        <f t="shared" si="79"/>
        <v>13.692407566419806</v>
      </c>
      <c r="I975" s="2">
        <f t="shared" si="75"/>
        <v>3423.1018916049516</v>
      </c>
      <c r="J975" s="4">
        <f t="shared" si="77"/>
        <v>11.373677199886405</v>
      </c>
      <c r="K975" s="4">
        <f t="shared" si="76"/>
        <v>2843.419299971601</v>
      </c>
      <c r="L975">
        <v>4</v>
      </c>
    </row>
    <row r="976" spans="1:12" x14ac:dyDescent="0.3">
      <c r="A976" t="s">
        <v>147</v>
      </c>
      <c r="B976" t="s">
        <v>14</v>
      </c>
      <c r="C976" s="4">
        <v>0.766138345</v>
      </c>
      <c r="D976" s="4">
        <v>0.90500000000000003</v>
      </c>
      <c r="E976">
        <v>4</v>
      </c>
      <c r="F976" s="1">
        <v>5.8917197452229297</v>
      </c>
      <c r="G976" s="2">
        <f t="shared" si="78"/>
        <v>27.263025013466741</v>
      </c>
      <c r="H976" s="2">
        <f t="shared" si="79"/>
        <v>7.5305582094892261</v>
      </c>
      <c r="I976" s="2">
        <f t="shared" si="75"/>
        <v>1882.6395523723065</v>
      </c>
      <c r="J976" s="4">
        <f t="shared" si="77"/>
        <v>9.4716730617874951</v>
      </c>
      <c r="K976" s="4">
        <f t="shared" si="76"/>
        <v>2367.9182654468736</v>
      </c>
      <c r="L976">
        <v>4</v>
      </c>
    </row>
    <row r="977" spans="1:12" x14ac:dyDescent="0.3">
      <c r="A977" t="s">
        <v>147</v>
      </c>
      <c r="B977" t="s">
        <v>85</v>
      </c>
      <c r="C977" s="4">
        <v>0.6</v>
      </c>
      <c r="D977" s="4">
        <v>0.66674999999999995</v>
      </c>
      <c r="E977">
        <v>8</v>
      </c>
      <c r="F977" s="1">
        <v>21.019108280254777</v>
      </c>
      <c r="G977" s="2">
        <f t="shared" si="78"/>
        <v>346.99119637300544</v>
      </c>
      <c r="H977" s="2">
        <f t="shared" si="79"/>
        <v>131.63212502083996</v>
      </c>
      <c r="I977" s="2">
        <f t="shared" si="75"/>
        <v>32908.031255209993</v>
      </c>
      <c r="J977" s="4">
        <f t="shared" si="77"/>
        <v>21.356181561118099</v>
      </c>
      <c r="K977" s="4">
        <f t="shared" si="76"/>
        <v>5339.0453902795243</v>
      </c>
      <c r="L977">
        <v>4</v>
      </c>
    </row>
    <row r="978" spans="1:12" x14ac:dyDescent="0.3">
      <c r="A978" t="s">
        <v>147</v>
      </c>
      <c r="B978" t="s">
        <v>85</v>
      </c>
      <c r="C978" s="4">
        <v>0.6</v>
      </c>
      <c r="D978" s="4">
        <v>0.66674999999999995</v>
      </c>
      <c r="E978">
        <v>8</v>
      </c>
      <c r="F978" s="1">
        <v>10.987261146496815</v>
      </c>
      <c r="G978" s="2">
        <f t="shared" si="78"/>
        <v>94.813193637045387</v>
      </c>
      <c r="H978" s="2">
        <f t="shared" si="79"/>
        <v>37.105219397493919</v>
      </c>
      <c r="I978" s="2">
        <f t="shared" si="75"/>
        <v>9276.3048493734805</v>
      </c>
      <c r="J978" s="4">
        <f t="shared" si="77"/>
        <v>12.365857410036918</v>
      </c>
      <c r="K978" s="4">
        <f t="shared" si="76"/>
        <v>3091.4643525092297</v>
      </c>
      <c r="L978">
        <v>4</v>
      </c>
    </row>
    <row r="979" spans="1:12" x14ac:dyDescent="0.3">
      <c r="A979" t="s">
        <v>147</v>
      </c>
      <c r="B979" t="s">
        <v>85</v>
      </c>
      <c r="C979" s="4">
        <v>0.6</v>
      </c>
      <c r="D979" s="4">
        <v>0.66674999999999995</v>
      </c>
      <c r="E979">
        <v>6.5</v>
      </c>
      <c r="F979" s="1">
        <v>8.2802547770700627</v>
      </c>
      <c r="G979" s="2">
        <f t="shared" si="78"/>
        <v>53.848955176343352</v>
      </c>
      <c r="H979" s="2">
        <f t="shared" si="79"/>
        <v>17.443262413146194</v>
      </c>
      <c r="I979" s="2">
        <f t="shared" si="75"/>
        <v>4360.8156032865481</v>
      </c>
      <c r="J979" s="4">
        <f t="shared" si="77"/>
        <v>10.545499586190108</v>
      </c>
      <c r="K979" s="4">
        <f t="shared" si="76"/>
        <v>2636.374896547527</v>
      </c>
      <c r="L979">
        <v>4</v>
      </c>
    </row>
    <row r="980" spans="1:12" x14ac:dyDescent="0.3">
      <c r="A980" t="s">
        <v>147</v>
      </c>
      <c r="B980" t="s">
        <v>15</v>
      </c>
      <c r="C980" s="4">
        <v>0.47982689899999997</v>
      </c>
      <c r="D980" s="4">
        <v>0.51</v>
      </c>
      <c r="E980">
        <v>1.2</v>
      </c>
      <c r="F980" s="1">
        <v>2.0700636942675157</v>
      </c>
      <c r="G980" s="2">
        <f t="shared" si="78"/>
        <v>3.3655596985214595</v>
      </c>
      <c r="H980" s="2">
        <f t="shared" si="79"/>
        <v>0.17245851865079584</v>
      </c>
      <c r="I980" s="2">
        <f t="shared" si="75"/>
        <v>43.11462966269896</v>
      </c>
      <c r="J980" s="4">
        <f t="shared" si="77"/>
        <v>9.0036976875329628</v>
      </c>
      <c r="K980" s="4">
        <f t="shared" si="76"/>
        <v>2250.9244218832409</v>
      </c>
      <c r="L980">
        <v>4</v>
      </c>
    </row>
    <row r="981" spans="1:12" x14ac:dyDescent="0.3">
      <c r="A981" t="s">
        <v>147</v>
      </c>
      <c r="B981" t="s">
        <v>126</v>
      </c>
      <c r="C981" s="4">
        <v>0.490852183</v>
      </c>
      <c r="D981" s="4">
        <v>0.607288889</v>
      </c>
      <c r="E981">
        <v>6.5</v>
      </c>
      <c r="F981" s="1">
        <v>20.541401273885349</v>
      </c>
      <c r="G981" s="2">
        <f t="shared" si="78"/>
        <v>331.39810025500361</v>
      </c>
      <c r="H981" s="2">
        <f t="shared" si="79"/>
        <v>93.813694099441264</v>
      </c>
      <c r="I981" s="2">
        <f t="shared" si="75"/>
        <v>23453.423524860315</v>
      </c>
      <c r="J981" s="4">
        <f t="shared" si="77"/>
        <v>18.585043533206214</v>
      </c>
      <c r="K981" s="4">
        <f t="shared" si="76"/>
        <v>4646.2608833015538</v>
      </c>
      <c r="L981">
        <v>4</v>
      </c>
    </row>
    <row r="982" spans="1:12" x14ac:dyDescent="0.3">
      <c r="A982" t="s">
        <v>147</v>
      </c>
      <c r="B982" t="s">
        <v>16</v>
      </c>
      <c r="C982" s="4">
        <v>0.89361000000000002</v>
      </c>
      <c r="D982" s="4">
        <v>0.61247410899999999</v>
      </c>
      <c r="E982">
        <v>5</v>
      </c>
      <c r="F982" s="1">
        <v>4.2993630573248405</v>
      </c>
      <c r="G982" s="2">
        <f t="shared" si="78"/>
        <v>14.517710178829255</v>
      </c>
      <c r="H982" s="2">
        <f t="shared" si="79"/>
        <v>3.4578986530820592</v>
      </c>
      <c r="I982" s="2">
        <f t="shared" si="75"/>
        <v>864.47466327051484</v>
      </c>
      <c r="J982" s="4">
        <f t="shared" si="77"/>
        <v>9.3091791472270682</v>
      </c>
      <c r="K982" s="4">
        <f t="shared" si="76"/>
        <v>2327.2947868067672</v>
      </c>
      <c r="L982">
        <v>4</v>
      </c>
    </row>
    <row r="983" spans="1:12" x14ac:dyDescent="0.3">
      <c r="A983" t="s">
        <v>147</v>
      </c>
      <c r="B983" t="s">
        <v>38</v>
      </c>
      <c r="C983" s="4">
        <v>1082380952</v>
      </c>
      <c r="D983" s="4">
        <v>0.61247410899999999</v>
      </c>
      <c r="E983">
        <v>3</v>
      </c>
      <c r="F983" s="1">
        <v>1.910828025477707</v>
      </c>
      <c r="G983" s="2">
        <f t="shared" si="78"/>
        <v>2.8676958377934336</v>
      </c>
      <c r="H983" s="2">
        <f t="shared" si="79"/>
        <v>0.43134781801443484</v>
      </c>
      <c r="I983" s="2">
        <f t="shared" si="75"/>
        <v>107.83695450360871</v>
      </c>
      <c r="J983" s="4">
        <f t="shared" si="77"/>
        <v>9.024038269300986</v>
      </c>
      <c r="K983" s="4">
        <f t="shared" si="76"/>
        <v>2256.0095673252463</v>
      </c>
      <c r="L983">
        <v>4</v>
      </c>
    </row>
    <row r="984" spans="1:12" x14ac:dyDescent="0.3">
      <c r="A984" t="s">
        <v>147</v>
      </c>
      <c r="B984" t="s">
        <v>122</v>
      </c>
      <c r="C984" s="4">
        <v>0.85750000000000004</v>
      </c>
      <c r="D984" s="4">
        <v>0.61247410899999999</v>
      </c>
      <c r="E984">
        <v>8.6999999999999993</v>
      </c>
      <c r="F984" s="1">
        <v>17.67515923566879</v>
      </c>
      <c r="G984" s="2">
        <f t="shared" si="78"/>
        <v>245.36722512120065</v>
      </c>
      <c r="H984" s="2">
        <f t="shared" si="79"/>
        <v>93.764126850526395</v>
      </c>
      <c r="I984" s="2">
        <f t="shared" si="75"/>
        <v>23441.0317126316</v>
      </c>
      <c r="J984" s="4">
        <f t="shared" si="77"/>
        <v>18.498622684490243</v>
      </c>
      <c r="K984" s="4">
        <f t="shared" si="76"/>
        <v>4624.6556711225612</v>
      </c>
      <c r="L984">
        <v>4</v>
      </c>
    </row>
    <row r="985" spans="1:12" x14ac:dyDescent="0.3">
      <c r="A985" t="s">
        <v>147</v>
      </c>
      <c r="B985" t="s">
        <v>122</v>
      </c>
      <c r="C985" s="4">
        <v>0.85750000000000004</v>
      </c>
      <c r="D985" s="4">
        <v>0.61247410899999999</v>
      </c>
      <c r="E985">
        <v>6</v>
      </c>
      <c r="F985" s="1">
        <v>5.4140127388535033</v>
      </c>
      <c r="G985" s="2">
        <f t="shared" si="78"/>
        <v>23.021224920063954</v>
      </c>
      <c r="H985" s="2">
        <f t="shared" si="79"/>
        <v>6.4791485162377525</v>
      </c>
      <c r="I985" s="2">
        <f t="shared" si="75"/>
        <v>1619.787129059438</v>
      </c>
      <c r="J985" s="4">
        <f t="shared" si="77"/>
        <v>9.6012422126658272</v>
      </c>
      <c r="K985" s="4">
        <f t="shared" si="76"/>
        <v>2400.3105531664569</v>
      </c>
      <c r="L985">
        <v>4</v>
      </c>
    </row>
    <row r="986" spans="1:12" x14ac:dyDescent="0.3">
      <c r="A986" t="s">
        <v>147</v>
      </c>
      <c r="B986" t="s">
        <v>122</v>
      </c>
      <c r="C986" s="4">
        <v>0.85750000000000004</v>
      </c>
      <c r="D986" s="4">
        <v>0.61247410899999999</v>
      </c>
      <c r="E986">
        <v>6</v>
      </c>
      <c r="F986" s="1">
        <v>4.4585987261146496</v>
      </c>
      <c r="G986" s="2">
        <f t="shared" si="78"/>
        <v>15.613010672430914</v>
      </c>
      <c r="H986" s="2">
        <f t="shared" si="79"/>
        <v>4.4353057770243076</v>
      </c>
      <c r="I986" s="2">
        <f t="shared" si="75"/>
        <v>1108.8264442560769</v>
      </c>
      <c r="J986" s="4">
        <f t="shared" si="77"/>
        <v>9.4031611546107339</v>
      </c>
      <c r="K986" s="4">
        <f t="shared" si="76"/>
        <v>2350.7902886526836</v>
      </c>
      <c r="L986">
        <v>4</v>
      </c>
    </row>
    <row r="987" spans="1:12" x14ac:dyDescent="0.3">
      <c r="A987" t="s">
        <v>147</v>
      </c>
      <c r="B987" t="s">
        <v>122</v>
      </c>
      <c r="C987" s="4">
        <v>0.85750000000000004</v>
      </c>
      <c r="D987" s="4">
        <v>0.61247410899999999</v>
      </c>
      <c r="E987">
        <v>5.7</v>
      </c>
      <c r="F987" s="1">
        <v>7.3248407643312099</v>
      </c>
      <c r="G987" s="2">
        <f t="shared" si="78"/>
        <v>42.139197172020175</v>
      </c>
      <c r="H987" s="2">
        <f t="shared" si="79"/>
        <v>11.118152205989176</v>
      </c>
      <c r="I987" s="2">
        <f t="shared" si="75"/>
        <v>2779.538051497294</v>
      </c>
      <c r="J987" s="4">
        <f t="shared" si="77"/>
        <v>10.056083179845023</v>
      </c>
      <c r="K987" s="4">
        <f t="shared" si="76"/>
        <v>2514.0207949612559</v>
      </c>
      <c r="L987">
        <v>4</v>
      </c>
    </row>
    <row r="988" spans="1:12" x14ac:dyDescent="0.3">
      <c r="A988" t="s">
        <v>147</v>
      </c>
      <c r="B988" t="s">
        <v>122</v>
      </c>
      <c r="C988" s="4">
        <v>0.85750000000000004</v>
      </c>
      <c r="D988" s="4">
        <v>0.61247410899999999</v>
      </c>
      <c r="E988">
        <v>5.5</v>
      </c>
      <c r="F988" s="1">
        <v>5.4140127388535033</v>
      </c>
      <c r="G988" s="2">
        <f t="shared" si="78"/>
        <v>23.021224920063954</v>
      </c>
      <c r="H988" s="2">
        <f t="shared" si="79"/>
        <v>5.9516351443122542</v>
      </c>
      <c r="I988" s="2">
        <f t="shared" si="75"/>
        <v>1487.9087860780635</v>
      </c>
      <c r="J988" s="4">
        <f t="shared" si="77"/>
        <v>9.5499470282770087</v>
      </c>
      <c r="K988" s="4">
        <f t="shared" si="76"/>
        <v>2387.4867570692522</v>
      </c>
      <c r="L988">
        <v>4</v>
      </c>
    </row>
    <row r="989" spans="1:12" x14ac:dyDescent="0.3">
      <c r="A989" t="s">
        <v>147</v>
      </c>
      <c r="B989" t="s">
        <v>148</v>
      </c>
      <c r="C989" s="4">
        <v>0.93384615400000004</v>
      </c>
      <c r="D989" s="4">
        <v>0.61247410899999999</v>
      </c>
      <c r="E989">
        <v>2</v>
      </c>
      <c r="F989" s="1">
        <v>3.5031847133757958</v>
      </c>
      <c r="G989" s="2">
        <f t="shared" si="78"/>
        <v>9.6386443436945939</v>
      </c>
      <c r="H989" s="2">
        <f t="shared" si="79"/>
        <v>0.94800323060632496</v>
      </c>
      <c r="I989" s="2">
        <f t="shared" si="75"/>
        <v>237.00080765158125</v>
      </c>
      <c r="J989" s="4">
        <f t="shared" si="77"/>
        <v>9.0716061219522093</v>
      </c>
      <c r="K989" s="4">
        <f t="shared" si="76"/>
        <v>2267.9015304880522</v>
      </c>
      <c r="L989">
        <v>4</v>
      </c>
    </row>
    <row r="990" spans="1:12" x14ac:dyDescent="0.3">
      <c r="A990" t="s">
        <v>147</v>
      </c>
      <c r="B990" t="s">
        <v>39</v>
      </c>
      <c r="C990" s="4">
        <v>0.590536375</v>
      </c>
      <c r="D990" s="4">
        <v>0.61247410899999999</v>
      </c>
      <c r="E990">
        <v>8</v>
      </c>
      <c r="F990" s="1">
        <v>18.789808917197451</v>
      </c>
      <c r="G990" s="2">
        <f t="shared" si="78"/>
        <v>277.29025587108168</v>
      </c>
      <c r="H990" s="2">
        <f t="shared" si="79"/>
        <v>97.347538411375666</v>
      </c>
      <c r="I990" s="2">
        <f t="shared" si="75"/>
        <v>24336.884602843915</v>
      </c>
      <c r="J990" s="4">
        <f t="shared" si="77"/>
        <v>18.871293736054199</v>
      </c>
      <c r="K990" s="4">
        <f t="shared" si="76"/>
        <v>4717.8234340135496</v>
      </c>
      <c r="L990">
        <v>4</v>
      </c>
    </row>
    <row r="991" spans="1:12" x14ac:dyDescent="0.3">
      <c r="A991" t="s">
        <v>147</v>
      </c>
      <c r="B991" t="s">
        <v>27</v>
      </c>
      <c r="C991" s="4">
        <v>0.50857142899999996</v>
      </c>
      <c r="D991" s="4">
        <v>0.49666666700000001</v>
      </c>
      <c r="E991">
        <v>10</v>
      </c>
      <c r="F991" s="1">
        <v>47.452229299363054</v>
      </c>
      <c r="G991" s="2">
        <f t="shared" si="78"/>
        <v>1768.4920915236669</v>
      </c>
      <c r="H991" s="2">
        <f t="shared" si="79"/>
        <v>601.765715220738</v>
      </c>
      <c r="I991" s="2">
        <f t="shared" si="75"/>
        <v>150441.42880518449</v>
      </c>
      <c r="J991" s="4">
        <f t="shared" si="77"/>
        <v>87.795692291776518</v>
      </c>
      <c r="K991" s="4">
        <f t="shared" si="76"/>
        <v>21948.92307294413</v>
      </c>
      <c r="L991">
        <v>4</v>
      </c>
    </row>
    <row r="992" spans="1:12" x14ac:dyDescent="0.3">
      <c r="A992" t="s">
        <v>147</v>
      </c>
      <c r="B992" t="s">
        <v>73</v>
      </c>
      <c r="C992" s="4">
        <v>0.39</v>
      </c>
      <c r="D992" s="4">
        <v>0.28861111099999998</v>
      </c>
      <c r="E992">
        <v>8</v>
      </c>
      <c r="F992" s="1">
        <v>20.859872611464969</v>
      </c>
      <c r="G992" s="2">
        <f t="shared" si="78"/>
        <v>341.75366855814667</v>
      </c>
      <c r="H992" s="2">
        <f t="shared" si="79"/>
        <v>57.278649477630537</v>
      </c>
      <c r="I992" s="2">
        <f t="shared" si="75"/>
        <v>14319.662369407635</v>
      </c>
      <c r="J992" s="4">
        <f t="shared" si="77"/>
        <v>21.169459990263299</v>
      </c>
      <c r="K992" s="4">
        <f t="shared" si="76"/>
        <v>5292.3649975658245</v>
      </c>
      <c r="L992">
        <v>4</v>
      </c>
    </row>
    <row r="993" spans="1:12" x14ac:dyDescent="0.3">
      <c r="A993" t="s">
        <v>147</v>
      </c>
      <c r="B993" t="s">
        <v>46</v>
      </c>
      <c r="C993" s="4">
        <v>1.1200000000000001</v>
      </c>
      <c r="D993" s="4">
        <v>0.85527777800000004</v>
      </c>
      <c r="E993">
        <v>2.5</v>
      </c>
      <c r="F993" s="1">
        <v>1.910828025477707</v>
      </c>
      <c r="G993" s="2">
        <f t="shared" si="78"/>
        <v>2.8676958377934336</v>
      </c>
      <c r="H993" s="2">
        <f t="shared" si="79"/>
        <v>0.50013321284102652</v>
      </c>
      <c r="I993" s="2">
        <f t="shared" si="75"/>
        <v>125.03330321025663</v>
      </c>
      <c r="J993" s="4">
        <f t="shared" si="77"/>
        <v>9.017648557750821</v>
      </c>
      <c r="K993" s="4">
        <f t="shared" si="76"/>
        <v>2254.4121394377053</v>
      </c>
      <c r="L993">
        <v>4</v>
      </c>
    </row>
    <row r="994" spans="1:12" x14ac:dyDescent="0.3">
      <c r="A994" t="s">
        <v>147</v>
      </c>
      <c r="B994" t="s">
        <v>21</v>
      </c>
      <c r="C994" s="4">
        <v>0.66608171000000005</v>
      </c>
      <c r="D994" s="4">
        <v>0.68661666700000001</v>
      </c>
      <c r="E994">
        <v>6.5</v>
      </c>
      <c r="F994" s="1">
        <v>4.4585987261146496</v>
      </c>
      <c r="G994" s="2">
        <f t="shared" si="78"/>
        <v>15.613010672430914</v>
      </c>
      <c r="H994" s="2">
        <f t="shared" si="79"/>
        <v>5.3615078975518626</v>
      </c>
      <c r="I994" s="2">
        <f t="shared" si="75"/>
        <v>1340.3769743879657</v>
      </c>
      <c r="J994" s="4">
        <f t="shared" si="77"/>
        <v>9.437949584161629</v>
      </c>
      <c r="K994" s="4">
        <f t="shared" si="76"/>
        <v>2359.4873960404075</v>
      </c>
      <c r="L994">
        <v>4</v>
      </c>
    </row>
    <row r="995" spans="1:12" x14ac:dyDescent="0.3">
      <c r="A995" t="s">
        <v>147</v>
      </c>
      <c r="B995" t="s">
        <v>49</v>
      </c>
      <c r="C995" s="4">
        <v>0.57917600000000002</v>
      </c>
      <c r="D995" s="4">
        <v>0.60285714300000004</v>
      </c>
      <c r="E995">
        <v>10</v>
      </c>
      <c r="F995" s="1">
        <v>35.031847133757964</v>
      </c>
      <c r="G995" s="2">
        <f t="shared" si="78"/>
        <v>963.86443436945979</v>
      </c>
      <c r="H995" s="2">
        <f t="shared" si="79"/>
        <v>402.06491542595677</v>
      </c>
      <c r="I995" s="2">
        <f t="shared" si="75"/>
        <v>100516.22885648919</v>
      </c>
      <c r="J995" s="4">
        <f t="shared" si="77"/>
        <v>51.938760976104511</v>
      </c>
      <c r="K995" s="4">
        <f t="shared" si="76"/>
        <v>12984.690244026127</v>
      </c>
      <c r="L995">
        <v>4</v>
      </c>
    </row>
    <row r="996" spans="1:12" x14ac:dyDescent="0.3">
      <c r="A996" t="s">
        <v>147</v>
      </c>
      <c r="B996" t="s">
        <v>149</v>
      </c>
      <c r="C996" s="4">
        <v>0.41185709999999998</v>
      </c>
      <c r="D996" s="4">
        <v>0.41185714299999998</v>
      </c>
      <c r="E996">
        <v>2.8</v>
      </c>
      <c r="F996" s="1">
        <v>2.7070063694267517</v>
      </c>
      <c r="G996" s="2">
        <f t="shared" si="78"/>
        <v>5.7553062300159885</v>
      </c>
      <c r="H996" s="2">
        <f t="shared" si="79"/>
        <v>0.54032250511944668</v>
      </c>
      <c r="I996" s="2">
        <f t="shared" si="75"/>
        <v>135.08062627986166</v>
      </c>
      <c r="J996" s="4">
        <f t="shared" si="77"/>
        <v>9.0575132581443469</v>
      </c>
      <c r="K996" s="4">
        <f t="shared" si="76"/>
        <v>2264.3783145360867</v>
      </c>
      <c r="L996">
        <v>4</v>
      </c>
    </row>
    <row r="997" spans="1:12" x14ac:dyDescent="0.3">
      <c r="A997" t="s">
        <v>150</v>
      </c>
      <c r="B997" t="s">
        <v>85</v>
      </c>
      <c r="C997" s="4">
        <v>0.6</v>
      </c>
      <c r="D997" s="4">
        <v>0.66674999999999995</v>
      </c>
      <c r="E997">
        <v>4</v>
      </c>
      <c r="F997" s="1">
        <v>6.3694267515923562</v>
      </c>
      <c r="G997" s="2">
        <f t="shared" si="78"/>
        <v>31.863287086593701</v>
      </c>
      <c r="H997" s="2">
        <f t="shared" si="79"/>
        <v>6.5075483875439177</v>
      </c>
      <c r="I997" s="2">
        <f t="shared" si="75"/>
        <v>1626.8870968859794</v>
      </c>
      <c r="J997" s="4">
        <f t="shared" si="77"/>
        <v>9.5536743600146039</v>
      </c>
      <c r="K997" s="4">
        <f t="shared" si="76"/>
        <v>2388.4185900036509</v>
      </c>
      <c r="L997">
        <v>4</v>
      </c>
    </row>
    <row r="998" spans="1:12" x14ac:dyDescent="0.3">
      <c r="A998" t="s">
        <v>150</v>
      </c>
      <c r="B998" t="s">
        <v>126</v>
      </c>
      <c r="C998" s="4">
        <v>0.490852183</v>
      </c>
      <c r="D998" s="4">
        <v>0.607288889</v>
      </c>
      <c r="E998">
        <v>2.5</v>
      </c>
      <c r="F998" s="1">
        <v>5.2547770700636942</v>
      </c>
      <c r="G998" s="2">
        <f t="shared" si="78"/>
        <v>21.68694977331284</v>
      </c>
      <c r="H998" s="2">
        <f t="shared" si="79"/>
        <v>2.5794098029285504</v>
      </c>
      <c r="I998" s="2">
        <f t="shared" si="75"/>
        <v>644.85245073213764</v>
      </c>
      <c r="J998" s="4">
        <f t="shared" si="77"/>
        <v>9.2273109679905883</v>
      </c>
      <c r="K998" s="4">
        <f t="shared" si="76"/>
        <v>2306.8277419976471</v>
      </c>
      <c r="L998">
        <v>4</v>
      </c>
    </row>
    <row r="999" spans="1:12" x14ac:dyDescent="0.3">
      <c r="A999" t="s">
        <v>150</v>
      </c>
      <c r="B999" t="s">
        <v>16</v>
      </c>
      <c r="C999" s="4">
        <v>0.89361000000000002</v>
      </c>
      <c r="D999" s="4">
        <v>0.61247410899999999</v>
      </c>
      <c r="E999">
        <v>2.1</v>
      </c>
      <c r="F999" s="1">
        <v>3.8216560509554141</v>
      </c>
      <c r="G999" s="2">
        <f t="shared" si="78"/>
        <v>11.470783351173734</v>
      </c>
      <c r="H999" s="2">
        <f t="shared" si="79"/>
        <v>1.178294482570877</v>
      </c>
      <c r="I999" s="2">
        <f t="shared" si="75"/>
        <v>294.57362064271922</v>
      </c>
      <c r="J999" s="4">
        <f t="shared" si="77"/>
        <v>9.0930471540427593</v>
      </c>
      <c r="K999" s="4">
        <f t="shared" si="76"/>
        <v>2273.2617885106897</v>
      </c>
      <c r="L999">
        <v>4</v>
      </c>
    </row>
    <row r="1000" spans="1:12" x14ac:dyDescent="0.3">
      <c r="A1000" t="s">
        <v>150</v>
      </c>
      <c r="B1000" t="s">
        <v>17</v>
      </c>
      <c r="C1000" s="4">
        <v>0.708787469</v>
      </c>
      <c r="D1000" s="4">
        <v>0.80167708299999996</v>
      </c>
      <c r="E1000">
        <v>3.7</v>
      </c>
      <c r="F1000" s="1">
        <v>11.783439490445859</v>
      </c>
      <c r="G1000" s="2">
        <f t="shared" si="78"/>
        <v>109.05210005386697</v>
      </c>
      <c r="H1000" s="2">
        <f t="shared" si="79"/>
        <v>23.988689375489496</v>
      </c>
      <c r="I1000" s="2">
        <f t="shared" si="75"/>
        <v>5997.1723438723739</v>
      </c>
      <c r="J1000" s="4">
        <f t="shared" si="77"/>
        <v>10.783800328613736</v>
      </c>
      <c r="K1000" s="4">
        <f t="shared" si="76"/>
        <v>2695.9500821534343</v>
      </c>
      <c r="L1000">
        <v>4</v>
      </c>
    </row>
    <row r="1001" spans="1:12" x14ac:dyDescent="0.3">
      <c r="A1001" t="s">
        <v>150</v>
      </c>
      <c r="B1001" t="s">
        <v>17</v>
      </c>
      <c r="C1001" s="4">
        <v>0.708787469</v>
      </c>
      <c r="D1001" s="4">
        <v>0.80167708299999996</v>
      </c>
      <c r="E1001">
        <v>2.2000000000000002</v>
      </c>
      <c r="F1001" s="1">
        <v>4.2993630573248405</v>
      </c>
      <c r="G1001" s="2">
        <f t="shared" si="78"/>
        <v>14.517710178829255</v>
      </c>
      <c r="H1001" s="2">
        <f t="shared" si="79"/>
        <v>2.0180314276740154</v>
      </c>
      <c r="I1001" s="2">
        <f t="shared" si="75"/>
        <v>504.50785691850388</v>
      </c>
      <c r="J1001" s="4">
        <f t="shared" si="77"/>
        <v>9.1280308247799091</v>
      </c>
      <c r="K1001" s="4">
        <f t="shared" si="76"/>
        <v>2282.0077061949773</v>
      </c>
      <c r="L1001">
        <v>4</v>
      </c>
    </row>
    <row r="1002" spans="1:12" x14ac:dyDescent="0.3">
      <c r="A1002" t="s">
        <v>150</v>
      </c>
      <c r="B1002" t="s">
        <v>151</v>
      </c>
      <c r="C1002" s="4">
        <v>0.13069240100000001</v>
      </c>
      <c r="D1002" s="4">
        <v>0.26500000000000001</v>
      </c>
      <c r="E1002">
        <v>6</v>
      </c>
      <c r="F1002" s="1">
        <v>12.738853503184712</v>
      </c>
      <c r="G1002" s="2">
        <f t="shared" si="78"/>
        <v>127.4531483463748</v>
      </c>
      <c r="H1002" s="2">
        <f t="shared" si="79"/>
        <v>15.198232626164284</v>
      </c>
      <c r="I1002" s="2">
        <f t="shared" si="75"/>
        <v>3799.5581565410712</v>
      </c>
      <c r="J1002" s="4">
        <f t="shared" si="77"/>
        <v>12.393546160087629</v>
      </c>
      <c r="K1002" s="4">
        <f t="shared" si="76"/>
        <v>3098.3865400219074</v>
      </c>
      <c r="L1002">
        <v>4</v>
      </c>
    </row>
    <row r="1003" spans="1:12" x14ac:dyDescent="0.3">
      <c r="A1003" t="s">
        <v>150</v>
      </c>
      <c r="B1003" t="s">
        <v>151</v>
      </c>
      <c r="C1003" s="4">
        <v>0.13069240100000001</v>
      </c>
      <c r="D1003" s="4">
        <v>0.26500000000000001</v>
      </c>
      <c r="E1003">
        <v>4.5</v>
      </c>
      <c r="F1003" s="1">
        <v>12.101910828025478</v>
      </c>
      <c r="G1003" s="2">
        <f t="shared" si="78"/>
        <v>115.02646638260329</v>
      </c>
      <c r="H1003" s="2">
        <f t="shared" si="79"/>
        <v>10.38411186928492</v>
      </c>
      <c r="I1003" s="2">
        <f t="shared" si="75"/>
        <v>2596.0279673212299</v>
      </c>
      <c r="J1003" s="4">
        <f t="shared" si="77"/>
        <v>11.292385869609316</v>
      </c>
      <c r="K1003" s="4">
        <f t="shared" si="76"/>
        <v>2823.0964674023289</v>
      </c>
      <c r="L1003">
        <v>4</v>
      </c>
    </row>
    <row r="1004" spans="1:12" x14ac:dyDescent="0.3">
      <c r="A1004" t="s">
        <v>150</v>
      </c>
      <c r="B1004" t="s">
        <v>151</v>
      </c>
      <c r="C1004" s="4">
        <v>0.13069240100000001</v>
      </c>
      <c r="D1004" s="4">
        <v>0.26500000000000001</v>
      </c>
      <c r="E1004">
        <v>4.5</v>
      </c>
      <c r="F1004" s="1">
        <v>9.5541401273885338</v>
      </c>
      <c r="G1004" s="2">
        <f t="shared" si="78"/>
        <v>71.692395944835823</v>
      </c>
      <c r="H1004" s="2">
        <f t="shared" si="79"/>
        <v>6.5459467306987262</v>
      </c>
      <c r="I1004" s="2">
        <f t="shared" si="75"/>
        <v>1636.4866826746816</v>
      </c>
      <c r="J1004" s="4">
        <f t="shared" si="77"/>
        <v>10.423385098786968</v>
      </c>
      <c r="K1004" s="4">
        <f t="shared" si="76"/>
        <v>2605.8462746967421</v>
      </c>
      <c r="L1004">
        <v>4</v>
      </c>
    </row>
    <row r="1005" spans="1:12" x14ac:dyDescent="0.3">
      <c r="A1005" t="s">
        <v>150</v>
      </c>
      <c r="B1005" t="s">
        <v>122</v>
      </c>
      <c r="C1005" s="4">
        <v>0.85750000000000004</v>
      </c>
      <c r="D1005" s="4">
        <v>0.61247410899999999</v>
      </c>
      <c r="E1005">
        <v>3.5</v>
      </c>
      <c r="F1005" s="1">
        <v>9.7133757961783438</v>
      </c>
      <c r="G1005" s="2">
        <f t="shared" si="78"/>
        <v>74.102057030759482</v>
      </c>
      <c r="H1005" s="2">
        <f t="shared" si="79"/>
        <v>11.98311474155043</v>
      </c>
      <c r="I1005" s="2">
        <f t="shared" si="75"/>
        <v>2995.7786853876078</v>
      </c>
      <c r="J1005" s="4">
        <f t="shared" si="77"/>
        <v>10.141483449632844</v>
      </c>
      <c r="K1005" s="4">
        <f t="shared" si="76"/>
        <v>2535.370862408211</v>
      </c>
      <c r="L1005">
        <v>4</v>
      </c>
    </row>
    <row r="1006" spans="1:12" x14ac:dyDescent="0.3">
      <c r="A1006" t="s">
        <v>150</v>
      </c>
      <c r="B1006" t="s">
        <v>118</v>
      </c>
      <c r="C1006" s="4">
        <v>0.56023871300000005</v>
      </c>
      <c r="D1006" s="4">
        <v>0.74103703700000001</v>
      </c>
      <c r="E1006">
        <v>6</v>
      </c>
      <c r="F1006" s="1">
        <v>7.9617834394904454</v>
      </c>
      <c r="G1006" s="2">
        <f t="shared" si="78"/>
        <v>49.786386072802657</v>
      </c>
      <c r="H1006" s="2">
        <f t="shared" si="79"/>
        <v>16.566343612522704</v>
      </c>
      <c r="I1006" s="2">
        <f t="shared" si="75"/>
        <v>4141.5859031306763</v>
      </c>
      <c r="J1006" s="4">
        <f t="shared" si="77"/>
        <v>10.31688990628423</v>
      </c>
      <c r="K1006" s="4">
        <f t="shared" si="76"/>
        <v>2579.2224765710575</v>
      </c>
      <c r="L1006">
        <v>4</v>
      </c>
    </row>
    <row r="1007" spans="1:12" x14ac:dyDescent="0.3">
      <c r="A1007" t="s">
        <v>150</v>
      </c>
      <c r="B1007" t="s">
        <v>118</v>
      </c>
      <c r="C1007" s="4">
        <v>0.56023871300000005</v>
      </c>
      <c r="D1007" s="4">
        <v>0.74103703700000001</v>
      </c>
      <c r="E1007">
        <v>4.2</v>
      </c>
      <c r="F1007" s="1">
        <v>7.484076433121019</v>
      </c>
      <c r="G1007" s="2">
        <f t="shared" si="78"/>
        <v>43.991250733928432</v>
      </c>
      <c r="H1007" s="2">
        <f t="shared" si="79"/>
        <v>10.365444302806964</v>
      </c>
      <c r="I1007" s="2">
        <f t="shared" si="75"/>
        <v>2591.3610757017409</v>
      </c>
      <c r="J1007" s="4">
        <f t="shared" si="77"/>
        <v>9.8090675808349221</v>
      </c>
      <c r="K1007" s="4">
        <f t="shared" si="76"/>
        <v>2452.2668952087306</v>
      </c>
      <c r="L1007">
        <v>4</v>
      </c>
    </row>
    <row r="1008" spans="1:12" x14ac:dyDescent="0.3">
      <c r="A1008" t="s">
        <v>150</v>
      </c>
      <c r="B1008" t="s">
        <v>33</v>
      </c>
      <c r="C1008" s="4">
        <v>0.69835862100000001</v>
      </c>
      <c r="D1008" s="4">
        <v>0.69262500000000005</v>
      </c>
      <c r="E1008">
        <v>8.9</v>
      </c>
      <c r="F1008" s="1">
        <v>7.6433121019108281</v>
      </c>
      <c r="G1008" s="2">
        <f t="shared" si="78"/>
        <v>45.883133404694938</v>
      </c>
      <c r="H1008" s="2">
        <f t="shared" si="79"/>
        <v>21.043190594719597</v>
      </c>
      <c r="I1008" s="2">
        <f t="shared" si="75"/>
        <v>5260.7976486798989</v>
      </c>
      <c r="J1008" s="4">
        <f t="shared" si="77"/>
        <v>10.805489849486793</v>
      </c>
      <c r="K1008" s="4">
        <f t="shared" si="76"/>
        <v>2701.3724623716985</v>
      </c>
      <c r="L1008">
        <v>4</v>
      </c>
    </row>
    <row r="1009" spans="1:12" x14ac:dyDescent="0.3">
      <c r="A1009" t="s">
        <v>150</v>
      </c>
      <c r="B1009" t="s">
        <v>33</v>
      </c>
      <c r="C1009" s="4">
        <v>0.69835862100000001</v>
      </c>
      <c r="D1009" s="4">
        <v>0.69262500000000005</v>
      </c>
      <c r="E1009">
        <v>7.2</v>
      </c>
      <c r="F1009" s="1">
        <v>4.936305732484076</v>
      </c>
      <c r="G1009" s="2">
        <f t="shared" si="78"/>
        <v>19.137886806385342</v>
      </c>
      <c r="H1009" s="2">
        <f t="shared" si="79"/>
        <v>7.2881716039174531</v>
      </c>
      <c r="I1009" s="2">
        <f t="shared" si="75"/>
        <v>1822.0429009793634</v>
      </c>
      <c r="J1009" s="4">
        <f t="shared" si="77"/>
        <v>9.5997512799707891</v>
      </c>
      <c r="K1009" s="4">
        <f t="shared" si="76"/>
        <v>2399.9378199926973</v>
      </c>
      <c r="L1009">
        <v>4</v>
      </c>
    </row>
    <row r="1010" spans="1:12" x14ac:dyDescent="0.3">
      <c r="A1010" t="s">
        <v>150</v>
      </c>
      <c r="B1010" t="s">
        <v>22</v>
      </c>
      <c r="C1010" s="4">
        <v>0.43836446099999998</v>
      </c>
      <c r="D1010" s="4">
        <v>0.58666666700000003</v>
      </c>
      <c r="E1010">
        <v>2.7</v>
      </c>
      <c r="F1010" s="1">
        <v>10.668789808917197</v>
      </c>
      <c r="G1010" s="2">
        <f t="shared" si="78"/>
        <v>89.396434832324445</v>
      </c>
      <c r="H1010" s="2">
        <f t="shared" si="79"/>
        <v>10.711663170087533</v>
      </c>
      <c r="I1010" s="2">
        <f t="shared" si="75"/>
        <v>2677.9157925218833</v>
      </c>
      <c r="J1010" s="4">
        <f t="shared" si="77"/>
        <v>10.061328068075783</v>
      </c>
      <c r="K1010" s="4">
        <f t="shared" si="76"/>
        <v>2515.3320170189459</v>
      </c>
      <c r="L1010">
        <v>4</v>
      </c>
    </row>
    <row r="1011" spans="1:12" x14ac:dyDescent="0.3">
      <c r="A1011" t="s">
        <v>150</v>
      </c>
      <c r="B1011" t="s">
        <v>22</v>
      </c>
      <c r="C1011" s="4">
        <v>0.43836446099999998</v>
      </c>
      <c r="D1011" s="4">
        <v>0.58666666700000003</v>
      </c>
      <c r="E1011">
        <v>1.9</v>
      </c>
      <c r="F1011" s="1">
        <v>6.3694267515923562</v>
      </c>
      <c r="G1011" s="2">
        <f t="shared" si="78"/>
        <v>31.863287086593701</v>
      </c>
      <c r="H1011" s="2">
        <f t="shared" si="79"/>
        <v>2.7773619200801689</v>
      </c>
      <c r="I1011" s="2">
        <f t="shared" si="75"/>
        <v>694.34048002004226</v>
      </c>
      <c r="J1011" s="4">
        <f t="shared" si="77"/>
        <v>9.2554878210069376</v>
      </c>
      <c r="K1011" s="4">
        <f t="shared" si="76"/>
        <v>2313.8719552517346</v>
      </c>
      <c r="L1011">
        <v>4</v>
      </c>
    </row>
    <row r="1012" spans="1:12" x14ac:dyDescent="0.3">
      <c r="A1012" t="s">
        <v>150</v>
      </c>
      <c r="B1012" t="s">
        <v>49</v>
      </c>
      <c r="C1012" s="4">
        <v>0.57917600000000002</v>
      </c>
      <c r="D1012" s="4">
        <v>0.60285714300000004</v>
      </c>
      <c r="E1012">
        <v>8</v>
      </c>
      <c r="F1012" s="1">
        <v>30.254777070063692</v>
      </c>
      <c r="G1012" s="2">
        <f t="shared" si="78"/>
        <v>718.91541489127042</v>
      </c>
      <c r="H1012" s="2">
        <f t="shared" si="79"/>
        <v>242.90136826637942</v>
      </c>
      <c r="I1012" s="2">
        <f t="shared" si="75"/>
        <v>60725.342066594858</v>
      </c>
      <c r="J1012" s="4">
        <f t="shared" si="77"/>
        <v>34.615542995659048</v>
      </c>
      <c r="K1012" s="4">
        <f t="shared" si="76"/>
        <v>8653.8857489147613</v>
      </c>
      <c r="L1012">
        <v>4</v>
      </c>
    </row>
    <row r="1013" spans="1:12" x14ac:dyDescent="0.3">
      <c r="A1013" t="s">
        <v>150</v>
      </c>
      <c r="B1013" t="s">
        <v>94</v>
      </c>
      <c r="C1013" s="4">
        <v>0.28577490700000002</v>
      </c>
      <c r="D1013" s="4">
        <v>0.3422</v>
      </c>
      <c r="E1013">
        <v>8</v>
      </c>
      <c r="F1013" s="1">
        <v>31.369426751592357</v>
      </c>
      <c r="G1013" s="2">
        <f t="shared" si="78"/>
        <v>772.86394283975949</v>
      </c>
      <c r="H1013" s="2">
        <f t="shared" si="79"/>
        <v>149.99232099872245</v>
      </c>
      <c r="I1013" s="2">
        <f t="shared" si="75"/>
        <v>37498.080249680614</v>
      </c>
      <c r="J1013" s="4">
        <f t="shared" si="77"/>
        <v>36.538846172258509</v>
      </c>
      <c r="K1013" s="4">
        <f t="shared" si="76"/>
        <v>9134.7115430646281</v>
      </c>
      <c r="L1013">
        <v>4</v>
      </c>
    </row>
    <row r="1014" spans="1:12" x14ac:dyDescent="0.3">
      <c r="A1014" t="s">
        <v>152</v>
      </c>
      <c r="B1014" t="s">
        <v>26</v>
      </c>
      <c r="C1014" s="4">
        <v>0.80908761900000004</v>
      </c>
      <c r="D1014" s="4">
        <v>0.87473809499999999</v>
      </c>
      <c r="E1014">
        <v>7</v>
      </c>
      <c r="F1014" s="1">
        <v>13.216560509554139</v>
      </c>
      <c r="G1014" s="2">
        <f t="shared" si="78"/>
        <v>137.191365462215</v>
      </c>
      <c r="H1014" s="2">
        <f t="shared" si="79"/>
        <v>60.887330080533481</v>
      </c>
      <c r="I1014" s="2">
        <f t="shared" si="75"/>
        <v>15221.83252013337</v>
      </c>
      <c r="J1014" s="4">
        <f t="shared" si="77"/>
        <v>13.265298056716295</v>
      </c>
      <c r="K1014" s="4">
        <f t="shared" si="76"/>
        <v>3316.324514179074</v>
      </c>
      <c r="L1014">
        <v>4</v>
      </c>
    </row>
    <row r="1015" spans="1:12" x14ac:dyDescent="0.3">
      <c r="A1015" t="s">
        <v>152</v>
      </c>
      <c r="B1015" t="s">
        <v>153</v>
      </c>
      <c r="C1015" s="4">
        <v>0.57550000000000001</v>
      </c>
      <c r="D1015" s="4">
        <v>0.57550000000000001</v>
      </c>
      <c r="E1015">
        <v>3</v>
      </c>
      <c r="F1015" s="1">
        <v>2.3885350318471334</v>
      </c>
      <c r="G1015" s="2">
        <f t="shared" si="78"/>
        <v>4.480774746552239</v>
      </c>
      <c r="H1015" s="2">
        <f t="shared" si="79"/>
        <v>0.62748386369272946</v>
      </c>
      <c r="I1015" s="2">
        <f t="shared" si="75"/>
        <v>156.87096592318235</v>
      </c>
      <c r="J1015" s="4">
        <f t="shared" si="77"/>
        <v>9.0456035457827895</v>
      </c>
      <c r="K1015" s="4">
        <f t="shared" si="76"/>
        <v>2261.4008864456973</v>
      </c>
      <c r="L1015">
        <v>4</v>
      </c>
    </row>
    <row r="1016" spans="1:12" x14ac:dyDescent="0.3">
      <c r="A1016" t="s">
        <v>152</v>
      </c>
      <c r="B1016" t="s">
        <v>85</v>
      </c>
      <c r="C1016" s="4">
        <v>0.6</v>
      </c>
      <c r="D1016" s="4">
        <v>0.66674999999999995</v>
      </c>
      <c r="E1016">
        <v>8</v>
      </c>
      <c r="F1016" s="1">
        <v>15.445859872611464</v>
      </c>
      <c r="G1016" s="2">
        <f t="shared" si="78"/>
        <v>187.37604262360011</v>
      </c>
      <c r="H1016" s="2">
        <f t="shared" si="79"/>
        <v>72.14064218420539</v>
      </c>
      <c r="I1016" s="2">
        <f t="shared" si="75"/>
        <v>18035.160546051349</v>
      </c>
      <c r="J1016" s="4">
        <f t="shared" si="77"/>
        <v>15.665788441721773</v>
      </c>
      <c r="K1016" s="4">
        <f t="shared" si="76"/>
        <v>3916.4471104304434</v>
      </c>
      <c r="L1016">
        <v>4</v>
      </c>
    </row>
    <row r="1017" spans="1:12" x14ac:dyDescent="0.3">
      <c r="A1017" t="s">
        <v>152</v>
      </c>
      <c r="B1017" t="s">
        <v>45</v>
      </c>
      <c r="C1017" s="4">
        <v>0.81991655299999999</v>
      </c>
      <c r="D1017" s="4">
        <v>0.72276027399999998</v>
      </c>
      <c r="E1017">
        <v>2.2999999999999998</v>
      </c>
      <c r="F1017" s="1">
        <v>6.2101910828025479</v>
      </c>
      <c r="G1017" s="2">
        <f t="shared" si="78"/>
        <v>30.290037286693146</v>
      </c>
      <c r="H1017" s="2">
        <f t="shared" si="79"/>
        <v>3.9046375979303711</v>
      </c>
      <c r="I1017" s="2">
        <f t="shared" si="75"/>
        <v>976.15939948259279</v>
      </c>
      <c r="J1017" s="4">
        <f t="shared" si="77"/>
        <v>9.2961601099436084</v>
      </c>
      <c r="K1017" s="4">
        <f t="shared" si="76"/>
        <v>2324.0400274859021</v>
      </c>
      <c r="L1017">
        <v>4</v>
      </c>
    </row>
    <row r="1018" spans="1:12" x14ac:dyDescent="0.3">
      <c r="A1018" t="s">
        <v>152</v>
      </c>
      <c r="B1018" t="s">
        <v>15</v>
      </c>
      <c r="C1018" s="4">
        <v>0.47982689899999997</v>
      </c>
      <c r="D1018" s="4">
        <v>0.51</v>
      </c>
      <c r="E1018">
        <v>3.5</v>
      </c>
      <c r="F1018" s="1">
        <v>9.5541401273885338</v>
      </c>
      <c r="G1018" s="2">
        <f t="shared" si="78"/>
        <v>71.692395944835823</v>
      </c>
      <c r="H1018" s="2">
        <f t="shared" si="79"/>
        <v>9.7039373400498601</v>
      </c>
      <c r="I1018" s="2">
        <f t="shared" si="75"/>
        <v>2425.9843350124652</v>
      </c>
      <c r="J1018" s="4">
        <f t="shared" si="77"/>
        <v>10.103899521278754</v>
      </c>
      <c r="K1018" s="4">
        <f t="shared" si="76"/>
        <v>2525.9748803196885</v>
      </c>
      <c r="L1018">
        <v>4</v>
      </c>
    </row>
    <row r="1019" spans="1:12" x14ac:dyDescent="0.3">
      <c r="A1019" t="s">
        <v>152</v>
      </c>
      <c r="B1019" t="s">
        <v>15</v>
      </c>
      <c r="C1019" s="4">
        <v>0.47982689899999997</v>
      </c>
      <c r="D1019" s="4">
        <v>0.51</v>
      </c>
      <c r="E1019">
        <v>2.7</v>
      </c>
      <c r="F1019" s="1">
        <v>6.8471337579617835</v>
      </c>
      <c r="G1019" s="2">
        <f t="shared" si="78"/>
        <v>36.822011139444854</v>
      </c>
      <c r="H1019" s="2">
        <f t="shared" si="79"/>
        <v>3.931224001201238</v>
      </c>
      <c r="I1019" s="2">
        <f t="shared" si="75"/>
        <v>982.80600030030951</v>
      </c>
      <c r="J1019" s="4">
        <f t="shared" si="77"/>
        <v>9.4287466246095164</v>
      </c>
      <c r="K1019" s="4">
        <f t="shared" si="76"/>
        <v>2357.1866561523793</v>
      </c>
      <c r="L1019">
        <v>4</v>
      </c>
    </row>
    <row r="1020" spans="1:12" x14ac:dyDescent="0.3">
      <c r="A1020" t="s">
        <v>152</v>
      </c>
      <c r="B1020" t="s">
        <v>126</v>
      </c>
      <c r="C1020" s="4">
        <v>0.490852183</v>
      </c>
      <c r="D1020" s="4">
        <v>0.607288889</v>
      </c>
      <c r="E1020">
        <v>4.7</v>
      </c>
      <c r="F1020" s="1">
        <v>7.0063694267515917</v>
      </c>
      <c r="G1020" s="2">
        <f t="shared" si="78"/>
        <v>38.554577374778376</v>
      </c>
      <c r="H1020" s="2">
        <f t="shared" si="79"/>
        <v>8.3748843933185722</v>
      </c>
      <c r="I1020" s="2">
        <f t="shared" si="75"/>
        <v>2093.7210983296432</v>
      </c>
      <c r="J1020" s="4">
        <f t="shared" si="77"/>
        <v>9.793217546350764</v>
      </c>
      <c r="K1020" s="4">
        <f t="shared" si="76"/>
        <v>2448.3043865876912</v>
      </c>
      <c r="L1020">
        <v>4</v>
      </c>
    </row>
    <row r="1021" spans="1:12" x14ac:dyDescent="0.3">
      <c r="A1021" t="s">
        <v>152</v>
      </c>
      <c r="B1021" t="s">
        <v>126</v>
      </c>
      <c r="C1021" s="4">
        <v>0.490852183</v>
      </c>
      <c r="D1021" s="4">
        <v>0.607288889</v>
      </c>
      <c r="E1021">
        <v>4.5</v>
      </c>
      <c r="F1021" s="1">
        <v>8.9171974522292992</v>
      </c>
      <c r="G1021" s="2">
        <f t="shared" si="78"/>
        <v>62.452042689723655</v>
      </c>
      <c r="H1021" s="2">
        <f t="shared" si="79"/>
        <v>12.852574474526451</v>
      </c>
      <c r="I1021" s="2">
        <f t="shared" si="75"/>
        <v>3213.1436186316128</v>
      </c>
      <c r="J1021" s="4">
        <f t="shared" si="77"/>
        <v>10.238083463832204</v>
      </c>
      <c r="K1021" s="4">
        <f t="shared" si="76"/>
        <v>2559.5208659580512</v>
      </c>
      <c r="L1021">
        <v>4</v>
      </c>
    </row>
    <row r="1022" spans="1:12" x14ac:dyDescent="0.3">
      <c r="A1022" t="s">
        <v>152</v>
      </c>
      <c r="B1022" t="s">
        <v>18</v>
      </c>
      <c r="C1022" s="4">
        <v>0.45255480399999998</v>
      </c>
      <c r="D1022" s="4">
        <v>0.57808694400000005</v>
      </c>
      <c r="E1022">
        <v>5.7</v>
      </c>
      <c r="F1022" s="1">
        <v>12.420382165605096</v>
      </c>
      <c r="G1022" s="2">
        <f t="shared" si="78"/>
        <v>121.16014914677258</v>
      </c>
      <c r="H1022" s="2">
        <f t="shared" si="79"/>
        <v>29.458164863842544</v>
      </c>
      <c r="I1022" s="2">
        <f t="shared" si="75"/>
        <v>7364.5412159606358</v>
      </c>
      <c r="J1022" s="4">
        <f t="shared" si="77"/>
        <v>12.063304568136639</v>
      </c>
      <c r="K1022" s="4">
        <f t="shared" si="76"/>
        <v>3015.8261420341596</v>
      </c>
      <c r="L1022">
        <v>4</v>
      </c>
    </row>
    <row r="1023" spans="1:12" x14ac:dyDescent="0.3">
      <c r="A1023" t="s">
        <v>152</v>
      </c>
      <c r="B1023" t="s">
        <v>151</v>
      </c>
      <c r="C1023" s="4">
        <v>0.13069240100000001</v>
      </c>
      <c r="D1023" s="4">
        <v>0.26500000000000001</v>
      </c>
      <c r="E1023">
        <v>7</v>
      </c>
      <c r="F1023" s="1">
        <v>27.547770700636942</v>
      </c>
      <c r="G1023" s="2">
        <f t="shared" si="78"/>
        <v>596.02269950916434</v>
      </c>
      <c r="H1023" s="2">
        <f t="shared" si="79"/>
        <v>79.609975996356724</v>
      </c>
      <c r="I1023" s="2">
        <f t="shared" si="75"/>
        <v>19902.49399908918</v>
      </c>
      <c r="J1023" s="4">
        <f t="shared" si="77"/>
        <v>27.578251929084345</v>
      </c>
      <c r="K1023" s="4">
        <f t="shared" si="76"/>
        <v>6894.5629822710862</v>
      </c>
      <c r="L1023">
        <v>4</v>
      </c>
    </row>
    <row r="1024" spans="1:12" x14ac:dyDescent="0.3">
      <c r="A1024" t="s">
        <v>152</v>
      </c>
      <c r="B1024" t="s">
        <v>38</v>
      </c>
      <c r="C1024" s="4">
        <v>1082380952</v>
      </c>
      <c r="D1024" s="4">
        <v>0.61247410899999999</v>
      </c>
      <c r="E1024">
        <v>3.7</v>
      </c>
      <c r="F1024" s="1">
        <v>5.4140127388535033</v>
      </c>
      <c r="G1024" s="2">
        <f t="shared" si="78"/>
        <v>23.021224920063954</v>
      </c>
      <c r="H1024" s="2">
        <f t="shared" si="79"/>
        <v>4.0421013380324702</v>
      </c>
      <c r="I1024" s="2">
        <f t="shared" si="75"/>
        <v>1010.5253345081176</v>
      </c>
      <c r="J1024" s="4">
        <f t="shared" si="77"/>
        <v>9.3652843644772599</v>
      </c>
      <c r="K1024" s="4">
        <f t="shared" si="76"/>
        <v>2341.321091119315</v>
      </c>
      <c r="L1024">
        <v>4</v>
      </c>
    </row>
    <row r="1025" spans="1:12" x14ac:dyDescent="0.3">
      <c r="A1025" t="s">
        <v>152</v>
      </c>
      <c r="B1025" t="s">
        <v>122</v>
      </c>
      <c r="C1025" s="4">
        <v>0.85750000000000004</v>
      </c>
      <c r="D1025" s="4">
        <v>0.61247410899999999</v>
      </c>
      <c r="E1025">
        <v>6</v>
      </c>
      <c r="F1025" s="1">
        <v>9.3949044585987256</v>
      </c>
      <c r="G1025" s="2">
        <f t="shared" si="78"/>
        <v>69.322563967770421</v>
      </c>
      <c r="H1025" s="2">
        <f t="shared" si="79"/>
        <v>19.000901898239782</v>
      </c>
      <c r="I1025" s="2">
        <f t="shared" si="75"/>
        <v>4750.2254745599457</v>
      </c>
      <c r="J1025" s="4">
        <f t="shared" si="77"/>
        <v>10.839248825510163</v>
      </c>
      <c r="K1025" s="4">
        <f t="shared" si="76"/>
        <v>2709.8122063775409</v>
      </c>
      <c r="L1025">
        <v>4</v>
      </c>
    </row>
    <row r="1026" spans="1:12" x14ac:dyDescent="0.3">
      <c r="A1026" t="s">
        <v>152</v>
      </c>
      <c r="B1026" t="s">
        <v>122</v>
      </c>
      <c r="C1026" s="4">
        <v>0.85750000000000004</v>
      </c>
      <c r="D1026" s="4">
        <v>0.61247410899999999</v>
      </c>
      <c r="E1026">
        <v>3.5</v>
      </c>
      <c r="F1026" s="1">
        <v>4.7770700636942669</v>
      </c>
      <c r="G1026" s="2">
        <f t="shared" si="78"/>
        <v>17.923098986208956</v>
      </c>
      <c r="H1026" s="2">
        <f t="shared" si="79"/>
        <v>2.9987935571059765</v>
      </c>
      <c r="I1026" s="2">
        <f t="shared" ref="I1026:I1089" si="80">(H1026*1000)/L1026</f>
        <v>749.69838927649414</v>
      </c>
      <c r="J1026" s="4">
        <f t="shared" si="77"/>
        <v>9.2652498803196881</v>
      </c>
      <c r="K1026" s="4">
        <f t="shared" ref="K1026:K1089" si="81">(J1026*1000)/L1026</f>
        <v>2316.3124700799222</v>
      </c>
      <c r="L1026">
        <v>4</v>
      </c>
    </row>
    <row r="1027" spans="1:12" x14ac:dyDescent="0.3">
      <c r="A1027" t="s">
        <v>152</v>
      </c>
      <c r="B1027" t="s">
        <v>39</v>
      </c>
      <c r="C1027" s="4">
        <v>0.590536375</v>
      </c>
      <c r="D1027" s="4">
        <v>0.61247410899999999</v>
      </c>
      <c r="E1027">
        <v>10</v>
      </c>
      <c r="F1027" s="1">
        <v>42.834394904458598</v>
      </c>
      <c r="G1027" s="2">
        <f t="shared" si="78"/>
        <v>1441.0370730456295</v>
      </c>
      <c r="H1027" s="2">
        <f t="shared" si="79"/>
        <v>604.60525719962732</v>
      </c>
      <c r="I1027" s="2">
        <f t="shared" si="80"/>
        <v>151151.31429990684</v>
      </c>
      <c r="J1027" s="4">
        <f t="shared" ref="J1027:J1090" si="82">8.9857 + 0.0035 * F1027^2 * E1027</f>
        <v>73.203188539088799</v>
      </c>
      <c r="K1027" s="4">
        <f t="shared" si="81"/>
        <v>18300.797134772201</v>
      </c>
      <c r="L1027">
        <v>4</v>
      </c>
    </row>
    <row r="1028" spans="1:12" x14ac:dyDescent="0.3">
      <c r="A1028" t="s">
        <v>152</v>
      </c>
      <c r="B1028" t="s">
        <v>73</v>
      </c>
      <c r="C1028" s="4">
        <v>0.39</v>
      </c>
      <c r="D1028" s="4">
        <v>0.28861111099999998</v>
      </c>
      <c r="E1028">
        <v>7.5</v>
      </c>
      <c r="F1028" s="1">
        <v>16.401273885350317</v>
      </c>
      <c r="G1028" s="2">
        <f t="shared" ref="G1028:G1091" si="83">PI()*(F1028/2)^2</f>
        <v>211.27350793854535</v>
      </c>
      <c r="H1028" s="2">
        <f t="shared" ref="H1028:H1091" si="84">0.0673 * ((D1028 * F1028^2 * E1028)^0.976)</f>
        <v>33.634225288816374</v>
      </c>
      <c r="I1028" s="2">
        <f t="shared" si="80"/>
        <v>8408.5563222040928</v>
      </c>
      <c r="J1028" s="4">
        <f t="shared" si="82"/>
        <v>16.0469968578847</v>
      </c>
      <c r="K1028" s="4">
        <f t="shared" si="81"/>
        <v>4011.749214471175</v>
      </c>
      <c r="L1028">
        <v>4</v>
      </c>
    </row>
    <row r="1029" spans="1:12" x14ac:dyDescent="0.3">
      <c r="A1029" t="s">
        <v>152</v>
      </c>
      <c r="B1029" t="s">
        <v>47</v>
      </c>
      <c r="C1029" s="4">
        <v>0.40238543599999999</v>
      </c>
      <c r="D1029" s="4">
        <v>0.40883333300000002</v>
      </c>
      <c r="E1029">
        <v>9</v>
      </c>
      <c r="F1029" s="1">
        <v>16.082802547770701</v>
      </c>
      <c r="G1029" s="2">
        <f t="shared" si="83"/>
        <v>203.14836973146402</v>
      </c>
      <c r="H1029" s="2">
        <f t="shared" si="84"/>
        <v>54.330416805581926</v>
      </c>
      <c r="I1029" s="2">
        <f t="shared" si="80"/>
        <v>13582.604201395481</v>
      </c>
      <c r="J1029" s="4">
        <f t="shared" si="82"/>
        <v>17.133380940403264</v>
      </c>
      <c r="K1029" s="4">
        <f t="shared" si="81"/>
        <v>4283.3452351008154</v>
      </c>
      <c r="L1029">
        <v>4</v>
      </c>
    </row>
    <row r="1030" spans="1:12" x14ac:dyDescent="0.3">
      <c r="A1030" t="s">
        <v>152</v>
      </c>
      <c r="B1030" t="s">
        <v>94</v>
      </c>
      <c r="C1030" s="4">
        <v>0.28577490700000002</v>
      </c>
      <c r="D1030" s="4">
        <v>0.3422</v>
      </c>
      <c r="E1030">
        <v>8.5</v>
      </c>
      <c r="F1030" s="1">
        <v>27.70700636942675</v>
      </c>
      <c r="G1030" s="2">
        <f t="shared" si="83"/>
        <v>602.93304989606929</v>
      </c>
      <c r="H1030" s="2">
        <f t="shared" si="84"/>
        <v>124.88783268174672</v>
      </c>
      <c r="I1030" s="2">
        <f t="shared" si="80"/>
        <v>31221.958170436679</v>
      </c>
      <c r="J1030" s="4">
        <f t="shared" si="82"/>
        <v>31.824126508174771</v>
      </c>
      <c r="K1030" s="4">
        <f t="shared" si="81"/>
        <v>7956.0316270436924</v>
      </c>
      <c r="L1030">
        <v>4</v>
      </c>
    </row>
    <row r="1031" spans="1:12" x14ac:dyDescent="0.3">
      <c r="A1031" t="s">
        <v>154</v>
      </c>
      <c r="B1031" t="s">
        <v>26</v>
      </c>
      <c r="C1031" s="4">
        <v>0.80908761900000004</v>
      </c>
      <c r="D1031" s="4">
        <v>0.87473809499999999</v>
      </c>
      <c r="E1031">
        <v>4.5</v>
      </c>
      <c r="F1031" s="1">
        <v>12.738853503184712</v>
      </c>
      <c r="G1031" s="2">
        <f t="shared" si="83"/>
        <v>127.4531483463748</v>
      </c>
      <c r="H1031" s="2">
        <f t="shared" si="84"/>
        <v>36.81610799488903</v>
      </c>
      <c r="I1031" s="2">
        <f t="shared" si="80"/>
        <v>9204.0269987222582</v>
      </c>
      <c r="J1031" s="4">
        <f t="shared" si="82"/>
        <v>11.541584620065722</v>
      </c>
      <c r="K1031" s="4">
        <f t="shared" si="81"/>
        <v>2885.3961550164304</v>
      </c>
      <c r="L1031">
        <v>4</v>
      </c>
    </row>
    <row r="1032" spans="1:12" x14ac:dyDescent="0.3">
      <c r="A1032" t="s">
        <v>154</v>
      </c>
      <c r="B1032" t="s">
        <v>26</v>
      </c>
      <c r="C1032" s="4">
        <v>0.80908761900000004</v>
      </c>
      <c r="D1032" s="4">
        <v>0.87473809499999999</v>
      </c>
      <c r="E1032">
        <v>3.7</v>
      </c>
      <c r="F1032" s="1">
        <v>6.0509554140127388</v>
      </c>
      <c r="G1032" s="2">
        <f t="shared" si="83"/>
        <v>28.756616595650822</v>
      </c>
      <c r="H1032" s="2">
        <f t="shared" si="84"/>
        <v>7.1116974198030736</v>
      </c>
      <c r="I1032" s="2">
        <f t="shared" si="80"/>
        <v>1777.9243549507685</v>
      </c>
      <c r="J1032" s="4">
        <f t="shared" si="82"/>
        <v>9.4598520954196914</v>
      </c>
      <c r="K1032" s="4">
        <f t="shared" si="81"/>
        <v>2364.963023854923</v>
      </c>
      <c r="L1032">
        <v>4</v>
      </c>
    </row>
    <row r="1033" spans="1:12" x14ac:dyDescent="0.3">
      <c r="A1033" t="s">
        <v>154</v>
      </c>
      <c r="B1033" t="s">
        <v>69</v>
      </c>
      <c r="C1033" s="4">
        <v>0.31264018999999998</v>
      </c>
      <c r="D1033" s="4">
        <v>0.356821212</v>
      </c>
      <c r="E1033">
        <v>5.7</v>
      </c>
      <c r="F1033" s="1">
        <v>49.681528662420384</v>
      </c>
      <c r="G1033" s="2">
        <f t="shared" si="83"/>
        <v>1938.5623863483613</v>
      </c>
      <c r="H1033" s="2">
        <f t="shared" si="84"/>
        <v>275.36790115296247</v>
      </c>
      <c r="I1033" s="2">
        <f t="shared" si="80"/>
        <v>68841.975288240617</v>
      </c>
      <c r="J1033" s="4">
        <f t="shared" si="82"/>
        <v>58.227373090186219</v>
      </c>
      <c r="K1033" s="4">
        <f t="shared" si="81"/>
        <v>14556.843272546555</v>
      </c>
      <c r="L1033">
        <v>4</v>
      </c>
    </row>
    <row r="1034" spans="1:12" x14ac:dyDescent="0.3">
      <c r="A1034" t="s">
        <v>154</v>
      </c>
      <c r="B1034" t="s">
        <v>85</v>
      </c>
      <c r="C1034" s="4">
        <v>0.6</v>
      </c>
      <c r="D1034" s="4">
        <v>0.66674999999999995</v>
      </c>
      <c r="E1034">
        <v>7.5</v>
      </c>
      <c r="F1034" s="1">
        <v>15.764331210191083</v>
      </c>
      <c r="G1034" s="2">
        <f t="shared" si="83"/>
        <v>195.18254795981557</v>
      </c>
      <c r="H1034" s="2">
        <f t="shared" si="84"/>
        <v>70.48966463472793</v>
      </c>
      <c r="I1034" s="2">
        <f t="shared" si="80"/>
        <v>17622.416158681983</v>
      </c>
      <c r="J1034" s="4">
        <f t="shared" si="82"/>
        <v>15.509196135745871</v>
      </c>
      <c r="K1034" s="4">
        <f t="shared" si="81"/>
        <v>3877.2990339364678</v>
      </c>
      <c r="L1034">
        <v>4</v>
      </c>
    </row>
    <row r="1035" spans="1:12" x14ac:dyDescent="0.3">
      <c r="A1035" t="s">
        <v>154</v>
      </c>
      <c r="B1035" t="s">
        <v>141</v>
      </c>
      <c r="C1035" s="4">
        <v>0.83069230800000005</v>
      </c>
      <c r="D1035" s="4">
        <v>0.78683697699999999</v>
      </c>
      <c r="E1035">
        <v>5.7</v>
      </c>
      <c r="F1035" s="1">
        <v>17.834394904458598</v>
      </c>
      <c r="G1035" s="2">
        <f t="shared" si="83"/>
        <v>249.80817075889462</v>
      </c>
      <c r="H1035" s="2">
        <f t="shared" si="84"/>
        <v>80.647109431719272</v>
      </c>
      <c r="I1035" s="2">
        <f t="shared" si="80"/>
        <v>20161.777357929819</v>
      </c>
      <c r="J1035" s="4">
        <f t="shared" si="82"/>
        <v>15.331109550083166</v>
      </c>
      <c r="K1035" s="4">
        <f t="shared" si="81"/>
        <v>3832.7773875207918</v>
      </c>
      <c r="L1035">
        <v>4</v>
      </c>
    </row>
    <row r="1036" spans="1:12" x14ac:dyDescent="0.3">
      <c r="A1036" t="s">
        <v>154</v>
      </c>
      <c r="B1036" t="s">
        <v>45</v>
      </c>
      <c r="C1036" s="4">
        <v>0.81991655299999999</v>
      </c>
      <c r="D1036" s="4">
        <v>0.72276027399999998</v>
      </c>
      <c r="E1036">
        <v>1.7</v>
      </c>
      <c r="F1036" s="1">
        <v>2.2292993630573248</v>
      </c>
      <c r="G1036" s="2">
        <f t="shared" si="83"/>
        <v>3.9032526681077284</v>
      </c>
      <c r="H1036" s="2">
        <f t="shared" si="84"/>
        <v>0.39349237746662563</v>
      </c>
      <c r="I1036" s="2">
        <f t="shared" si="80"/>
        <v>98.373094366656403</v>
      </c>
      <c r="J1036" s="4">
        <f t="shared" si="82"/>
        <v>9.0152701651182596</v>
      </c>
      <c r="K1036" s="4">
        <f t="shared" si="81"/>
        <v>2253.8175412795649</v>
      </c>
      <c r="L1036">
        <v>4</v>
      </c>
    </row>
    <row r="1037" spans="1:12" x14ac:dyDescent="0.3">
      <c r="A1037" t="s">
        <v>154</v>
      </c>
      <c r="B1037" t="s">
        <v>45</v>
      </c>
      <c r="C1037" s="4">
        <v>0.81991655299999999</v>
      </c>
      <c r="D1037" s="4">
        <v>0.72276027399999998</v>
      </c>
      <c r="E1037">
        <v>1.7</v>
      </c>
      <c r="F1037" s="1">
        <v>5.0955414012738851</v>
      </c>
      <c r="G1037" s="2">
        <f t="shared" si="83"/>
        <v>20.392503735419968</v>
      </c>
      <c r="H1037" s="2">
        <f t="shared" si="84"/>
        <v>1.9758189930645009</v>
      </c>
      <c r="I1037" s="2">
        <f t="shared" si="80"/>
        <v>493.95474826612525</v>
      </c>
      <c r="J1037" s="4">
        <f t="shared" si="82"/>
        <v>9.1401890259239718</v>
      </c>
      <c r="K1037" s="4">
        <f t="shared" si="81"/>
        <v>2285.0472564809929</v>
      </c>
      <c r="L1037">
        <v>4</v>
      </c>
    </row>
    <row r="1038" spans="1:12" x14ac:dyDescent="0.3">
      <c r="A1038" t="s">
        <v>154</v>
      </c>
      <c r="B1038" t="s">
        <v>45</v>
      </c>
      <c r="C1038" s="4">
        <v>0.81991655299999999</v>
      </c>
      <c r="D1038" s="4">
        <v>0.72276027399999998</v>
      </c>
      <c r="E1038">
        <v>1.6</v>
      </c>
      <c r="F1038" s="1">
        <v>1.592356687898089</v>
      </c>
      <c r="G1038" s="2">
        <f t="shared" si="83"/>
        <v>1.9914554429121063</v>
      </c>
      <c r="H1038" s="2">
        <f t="shared" si="84"/>
        <v>0.19230800122786221</v>
      </c>
      <c r="I1038" s="2">
        <f t="shared" si="80"/>
        <v>48.077000306965552</v>
      </c>
      <c r="J1038" s="4">
        <f t="shared" si="82"/>
        <v>8.9998993590003646</v>
      </c>
      <c r="K1038" s="4">
        <f t="shared" si="81"/>
        <v>2249.9748397500912</v>
      </c>
      <c r="L1038">
        <v>4</v>
      </c>
    </row>
    <row r="1039" spans="1:12" x14ac:dyDescent="0.3">
      <c r="A1039" t="s">
        <v>154</v>
      </c>
      <c r="B1039" t="s">
        <v>16</v>
      </c>
      <c r="C1039" s="4">
        <v>0.89361000000000002</v>
      </c>
      <c r="D1039" s="4">
        <v>0.61247410899999999</v>
      </c>
      <c r="E1039">
        <v>3</v>
      </c>
      <c r="F1039" s="1">
        <v>3.9808917197452227</v>
      </c>
      <c r="G1039" s="2">
        <f t="shared" si="83"/>
        <v>12.446596518200664</v>
      </c>
      <c r="H1039" s="2">
        <f t="shared" si="84"/>
        <v>1.8073601821420351</v>
      </c>
      <c r="I1039" s="2">
        <f t="shared" si="80"/>
        <v>451.84004553550875</v>
      </c>
      <c r="J1039" s="4">
        <f t="shared" si="82"/>
        <v>9.1520987382855292</v>
      </c>
      <c r="K1039" s="4">
        <f t="shared" si="81"/>
        <v>2288.0246845713823</v>
      </c>
      <c r="L1039">
        <v>4</v>
      </c>
    </row>
    <row r="1040" spans="1:12" x14ac:dyDescent="0.3">
      <c r="A1040" t="s">
        <v>154</v>
      </c>
      <c r="B1040" t="s">
        <v>93</v>
      </c>
      <c r="C1040" s="4">
        <v>0.85449533600000005</v>
      </c>
      <c r="D1040" s="4">
        <v>0.81482857099999995</v>
      </c>
      <c r="E1040">
        <v>1.7</v>
      </c>
      <c r="F1040" s="1">
        <v>1.910828025477707</v>
      </c>
      <c r="G1040" s="2">
        <f t="shared" si="83"/>
        <v>2.8676958377934336</v>
      </c>
      <c r="H1040" s="2">
        <f t="shared" si="84"/>
        <v>0.32739982116318855</v>
      </c>
      <c r="I1040" s="2">
        <f t="shared" si="80"/>
        <v>81.849955290797141</v>
      </c>
      <c r="J1040" s="4">
        <f t="shared" si="82"/>
        <v>9.0074250192705581</v>
      </c>
      <c r="K1040" s="4">
        <f t="shared" si="81"/>
        <v>2251.8562548176396</v>
      </c>
      <c r="L1040">
        <v>4</v>
      </c>
    </row>
    <row r="1041" spans="1:12" x14ac:dyDescent="0.3">
      <c r="A1041" t="s">
        <v>154</v>
      </c>
      <c r="B1041" t="s">
        <v>122</v>
      </c>
      <c r="C1041" s="4">
        <v>0.85750000000000004</v>
      </c>
      <c r="D1041" s="4">
        <v>0.61247410899999999</v>
      </c>
      <c r="E1041">
        <v>6.8</v>
      </c>
      <c r="F1041" s="1">
        <v>20.700636942675157</v>
      </c>
      <c r="G1041" s="2">
        <f t="shared" si="83"/>
        <v>336.55596985214595</v>
      </c>
      <c r="H1041" s="2">
        <f t="shared" si="84"/>
        <v>100.35559521381832</v>
      </c>
      <c r="I1041" s="2">
        <f t="shared" si="80"/>
        <v>25088.89880345458</v>
      </c>
      <c r="J1041" s="4">
        <f t="shared" si="82"/>
        <v>19.184389602012253</v>
      </c>
      <c r="K1041" s="4">
        <f t="shared" si="81"/>
        <v>4796.097400503063</v>
      </c>
      <c r="L1041">
        <v>4</v>
      </c>
    </row>
    <row r="1042" spans="1:12" x14ac:dyDescent="0.3">
      <c r="A1042" t="s">
        <v>154</v>
      </c>
      <c r="B1042" t="s">
        <v>122</v>
      </c>
      <c r="C1042" s="4">
        <v>0.85750000000000004</v>
      </c>
      <c r="D1042" s="4">
        <v>0.61247410899999999</v>
      </c>
      <c r="E1042">
        <v>2.2000000000000002</v>
      </c>
      <c r="F1042" s="1">
        <v>5.5732484076433115</v>
      </c>
      <c r="G1042" s="2">
        <f t="shared" si="83"/>
        <v>24.395329175673304</v>
      </c>
      <c r="H1042" s="2">
        <f t="shared" si="84"/>
        <v>2.5752584902499169</v>
      </c>
      <c r="I1042" s="2">
        <f t="shared" si="80"/>
        <v>643.81462256247926</v>
      </c>
      <c r="J1042" s="4">
        <f t="shared" si="82"/>
        <v>9.2248704531623993</v>
      </c>
      <c r="K1042" s="4">
        <f t="shared" si="81"/>
        <v>2306.2176132905997</v>
      </c>
      <c r="L1042">
        <v>4</v>
      </c>
    </row>
    <row r="1043" spans="1:12" x14ac:dyDescent="0.3">
      <c r="A1043" t="s">
        <v>154</v>
      </c>
      <c r="B1043" t="s">
        <v>118</v>
      </c>
      <c r="C1043" s="4">
        <v>0.56023871300000005</v>
      </c>
      <c r="D1043" s="4">
        <v>0.74103703700000001</v>
      </c>
      <c r="E1043">
        <v>6</v>
      </c>
      <c r="F1043" s="1">
        <v>8.4394904458598727</v>
      </c>
      <c r="G1043" s="2">
        <f t="shared" si="83"/>
        <v>55.939983391401071</v>
      </c>
      <c r="H1043" s="2">
        <f t="shared" si="84"/>
        <v>18.561954940409922</v>
      </c>
      <c r="I1043" s="2">
        <f t="shared" si="80"/>
        <v>4640.4887351024809</v>
      </c>
      <c r="J1043" s="4">
        <f t="shared" si="82"/>
        <v>10.481424978700961</v>
      </c>
      <c r="K1043" s="4">
        <f t="shared" si="81"/>
        <v>2620.3562446752403</v>
      </c>
      <c r="L1043">
        <v>4</v>
      </c>
    </row>
    <row r="1044" spans="1:12" x14ac:dyDescent="0.3">
      <c r="A1044" t="s">
        <v>154</v>
      </c>
      <c r="B1044" t="s">
        <v>119</v>
      </c>
      <c r="C1044" s="4">
        <v>0.432770245</v>
      </c>
      <c r="D1044" s="4">
        <v>0.61247410899999999</v>
      </c>
      <c r="E1044">
        <v>5.5</v>
      </c>
      <c r="F1044" s="1">
        <v>18.789808917197451</v>
      </c>
      <c r="G1044" s="2">
        <f t="shared" si="83"/>
        <v>277.29025587108168</v>
      </c>
      <c r="H1044" s="2">
        <f t="shared" si="84"/>
        <v>67.530992380404186</v>
      </c>
      <c r="I1044" s="2">
        <f t="shared" si="80"/>
        <v>16882.748095101048</v>
      </c>
      <c r="J1044" s="4">
        <f t="shared" si="82"/>
        <v>15.782045693537263</v>
      </c>
      <c r="K1044" s="4">
        <f t="shared" si="81"/>
        <v>3945.511423384316</v>
      </c>
      <c r="L1044">
        <v>4</v>
      </c>
    </row>
    <row r="1045" spans="1:12" x14ac:dyDescent="0.3">
      <c r="A1045" t="s">
        <v>154</v>
      </c>
      <c r="B1045" t="s">
        <v>47</v>
      </c>
      <c r="C1045" s="4">
        <v>0.40238543599999999</v>
      </c>
      <c r="D1045" s="4">
        <v>0.40883333300000002</v>
      </c>
      <c r="E1045">
        <v>9.5</v>
      </c>
      <c r="F1045" s="1">
        <v>15.445859872611464</v>
      </c>
      <c r="G1045" s="2">
        <f t="shared" si="83"/>
        <v>187.37604262360011</v>
      </c>
      <c r="H1045" s="2">
        <f t="shared" si="84"/>
        <v>52.930218893917882</v>
      </c>
      <c r="I1045" s="2">
        <f t="shared" si="80"/>
        <v>13232.55472347947</v>
      </c>
      <c r="J1045" s="4">
        <f t="shared" si="82"/>
        <v>16.918305024544605</v>
      </c>
      <c r="K1045" s="4">
        <f t="shared" si="81"/>
        <v>4229.5762561361507</v>
      </c>
      <c r="L1045">
        <v>4</v>
      </c>
    </row>
    <row r="1046" spans="1:12" x14ac:dyDescent="0.3">
      <c r="A1046" t="s">
        <v>154</v>
      </c>
      <c r="B1046" t="s">
        <v>88</v>
      </c>
      <c r="C1046" s="4">
        <v>0.77</v>
      </c>
      <c r="D1046" s="4">
        <v>0.77</v>
      </c>
      <c r="E1046">
        <v>5</v>
      </c>
      <c r="F1046" s="1">
        <v>5.5732484076433115</v>
      </c>
      <c r="G1046" s="2">
        <f t="shared" si="83"/>
        <v>24.395329175673304</v>
      </c>
      <c r="H1046" s="2">
        <f t="shared" si="84"/>
        <v>7.1751062115471722</v>
      </c>
      <c r="I1046" s="2">
        <f t="shared" si="80"/>
        <v>1793.7765528867931</v>
      </c>
      <c r="J1046" s="4">
        <f t="shared" si="82"/>
        <v>9.5292692117327267</v>
      </c>
      <c r="K1046" s="4">
        <f t="shared" si="81"/>
        <v>2382.3173029331815</v>
      </c>
      <c r="L1046">
        <v>4</v>
      </c>
    </row>
    <row r="1047" spans="1:12" x14ac:dyDescent="0.3">
      <c r="A1047" t="s">
        <v>155</v>
      </c>
      <c r="B1047" t="s">
        <v>69</v>
      </c>
      <c r="C1047" s="4">
        <v>0.31264018999999998</v>
      </c>
      <c r="D1047" s="4">
        <v>0.356821212</v>
      </c>
      <c r="E1047">
        <v>5</v>
      </c>
      <c r="F1047" s="1">
        <v>17.834394904458598</v>
      </c>
      <c r="G1047" s="2">
        <f t="shared" si="83"/>
        <v>249.80817075889462</v>
      </c>
      <c r="H1047" s="2">
        <f t="shared" si="84"/>
        <v>32.798802842155169</v>
      </c>
      <c r="I1047" s="2">
        <f t="shared" si="80"/>
        <v>8199.7007105387929</v>
      </c>
      <c r="J1047" s="4">
        <f t="shared" si="82"/>
        <v>14.551848728143128</v>
      </c>
      <c r="K1047" s="4">
        <f t="shared" si="81"/>
        <v>3637.962182035782</v>
      </c>
      <c r="L1047">
        <v>4</v>
      </c>
    </row>
    <row r="1048" spans="1:12" x14ac:dyDescent="0.3">
      <c r="A1048" t="s">
        <v>155</v>
      </c>
      <c r="B1048" t="s">
        <v>85</v>
      </c>
      <c r="C1048" s="4">
        <v>0.6</v>
      </c>
      <c r="D1048" s="4">
        <v>0.66674999999999995</v>
      </c>
      <c r="E1048">
        <v>5.5</v>
      </c>
      <c r="F1048" s="1">
        <v>6.5286624203821653</v>
      </c>
      <c r="G1048" s="2">
        <f t="shared" si="83"/>
        <v>33.476365995352509</v>
      </c>
      <c r="H1048" s="2">
        <f t="shared" si="84"/>
        <v>9.3182385575544142</v>
      </c>
      <c r="I1048" s="2">
        <f t="shared" si="80"/>
        <v>2329.5596393886035</v>
      </c>
      <c r="J1048" s="4">
        <f t="shared" si="82"/>
        <v>9.8062010852367223</v>
      </c>
      <c r="K1048" s="4">
        <f t="shared" si="81"/>
        <v>2451.5502713091805</v>
      </c>
      <c r="L1048">
        <v>4</v>
      </c>
    </row>
    <row r="1049" spans="1:12" x14ac:dyDescent="0.3">
      <c r="A1049" t="s">
        <v>155</v>
      </c>
      <c r="B1049" t="s">
        <v>85</v>
      </c>
      <c r="C1049" s="4">
        <v>0.6</v>
      </c>
      <c r="D1049" s="4">
        <v>0.66674999999999995</v>
      </c>
      <c r="E1049">
        <v>5</v>
      </c>
      <c r="F1049" s="1">
        <v>13.375796178343949</v>
      </c>
      <c r="G1049" s="2">
        <f t="shared" si="83"/>
        <v>140.51709605187824</v>
      </c>
      <c r="H1049" s="2">
        <f t="shared" si="84"/>
        <v>34.432903231104994</v>
      </c>
      <c r="I1049" s="2">
        <f t="shared" si="80"/>
        <v>8608.225807776249</v>
      </c>
      <c r="J1049" s="4">
        <f t="shared" si="82"/>
        <v>12.116658659580509</v>
      </c>
      <c r="K1049" s="4">
        <f t="shared" si="81"/>
        <v>3029.1646648951273</v>
      </c>
      <c r="L1049">
        <v>4</v>
      </c>
    </row>
    <row r="1050" spans="1:12" x14ac:dyDescent="0.3">
      <c r="A1050" t="s">
        <v>155</v>
      </c>
      <c r="B1050" t="s">
        <v>44</v>
      </c>
      <c r="C1050" s="4">
        <v>0.54247040000000002</v>
      </c>
      <c r="D1050" s="4">
        <v>0.54247042099999998</v>
      </c>
      <c r="E1050">
        <v>2.7</v>
      </c>
      <c r="F1050" s="1">
        <v>11.305732484076433</v>
      </c>
      <c r="G1050" s="2">
        <f t="shared" si="83"/>
        <v>100.3892688771993</v>
      </c>
      <c r="H1050" s="2">
        <f t="shared" si="84"/>
        <v>11.112613437680197</v>
      </c>
      <c r="I1050" s="2">
        <f t="shared" si="80"/>
        <v>2778.1533594200496</v>
      </c>
      <c r="J1050" s="4">
        <f t="shared" si="82"/>
        <v>10.193595097164184</v>
      </c>
      <c r="K1050" s="4">
        <f t="shared" si="81"/>
        <v>2548.3987742910463</v>
      </c>
      <c r="L1050">
        <v>4</v>
      </c>
    </row>
    <row r="1051" spans="1:12" x14ac:dyDescent="0.3">
      <c r="A1051" t="s">
        <v>155</v>
      </c>
      <c r="B1051" t="s">
        <v>126</v>
      </c>
      <c r="C1051" s="4">
        <v>0.490852183</v>
      </c>
      <c r="D1051" s="4">
        <v>0.607288889</v>
      </c>
      <c r="E1051">
        <v>2.7</v>
      </c>
      <c r="F1051" s="1">
        <v>4.7770700636942669</v>
      </c>
      <c r="G1051" s="2">
        <f t="shared" si="83"/>
        <v>17.923098986208956</v>
      </c>
      <c r="H1051" s="2">
        <f t="shared" si="84"/>
        <v>2.3085719257053801</v>
      </c>
      <c r="I1051" s="2">
        <f t="shared" si="80"/>
        <v>577.14298142634505</v>
      </c>
      <c r="J1051" s="4">
        <f t="shared" si="82"/>
        <v>9.2013527648180453</v>
      </c>
      <c r="K1051" s="4">
        <f t="shared" si="81"/>
        <v>2300.3381912045115</v>
      </c>
      <c r="L1051">
        <v>4</v>
      </c>
    </row>
    <row r="1052" spans="1:12" x14ac:dyDescent="0.3">
      <c r="A1052" t="s">
        <v>155</v>
      </c>
      <c r="B1052" t="s">
        <v>122</v>
      </c>
      <c r="C1052" s="4">
        <v>0.85750000000000004</v>
      </c>
      <c r="D1052" s="4">
        <v>0.61247410899999999</v>
      </c>
      <c r="E1052">
        <v>6</v>
      </c>
      <c r="F1052" s="1">
        <v>17.993630573248407</v>
      </c>
      <c r="G1052" s="2">
        <f t="shared" si="83"/>
        <v>254.28894550544686</v>
      </c>
      <c r="H1052" s="2">
        <f t="shared" si="84"/>
        <v>67.558533021545372</v>
      </c>
      <c r="I1052" s="2">
        <f t="shared" si="80"/>
        <v>16889.633255386343</v>
      </c>
      <c r="J1052" s="4">
        <f t="shared" si="82"/>
        <v>15.784885565337333</v>
      </c>
      <c r="K1052" s="4">
        <f t="shared" si="81"/>
        <v>3946.2213913343335</v>
      </c>
      <c r="L1052">
        <v>4</v>
      </c>
    </row>
    <row r="1053" spans="1:12" x14ac:dyDescent="0.3">
      <c r="A1053" t="s">
        <v>155</v>
      </c>
      <c r="B1053" t="s">
        <v>122</v>
      </c>
      <c r="C1053" s="4">
        <v>0.85750000000000004</v>
      </c>
      <c r="D1053" s="4">
        <v>0.61247410899999999</v>
      </c>
      <c r="E1053">
        <v>5</v>
      </c>
      <c r="F1053" s="1">
        <v>18.949044585987259</v>
      </c>
      <c r="G1053" s="2">
        <f t="shared" si="83"/>
        <v>282.01000527078338</v>
      </c>
      <c r="H1053" s="2">
        <f t="shared" si="84"/>
        <v>62.554399801275267</v>
      </c>
      <c r="I1053" s="2">
        <f t="shared" si="80"/>
        <v>15638.599950318816</v>
      </c>
      <c r="J1053" s="4">
        <f t="shared" si="82"/>
        <v>15.269360087630329</v>
      </c>
      <c r="K1053" s="4">
        <f t="shared" si="81"/>
        <v>3817.340021907582</v>
      </c>
      <c r="L1053">
        <v>4</v>
      </c>
    </row>
    <row r="1054" spans="1:12" x14ac:dyDescent="0.3">
      <c r="A1054" t="s">
        <v>155</v>
      </c>
      <c r="B1054" t="s">
        <v>73</v>
      </c>
      <c r="C1054" s="4">
        <v>0.39</v>
      </c>
      <c r="D1054" s="4">
        <v>0.28861111099999998</v>
      </c>
      <c r="E1054">
        <v>6</v>
      </c>
      <c r="F1054" s="1">
        <v>10.19108280254777</v>
      </c>
      <c r="G1054" s="2">
        <f t="shared" si="83"/>
        <v>81.570014941679872</v>
      </c>
      <c r="H1054" s="2">
        <f t="shared" si="84"/>
        <v>10.685683404156585</v>
      </c>
      <c r="I1054" s="2">
        <f t="shared" si="80"/>
        <v>2671.4208510391463</v>
      </c>
      <c r="J1054" s="4">
        <f t="shared" si="82"/>
        <v>11.166721542456083</v>
      </c>
      <c r="K1054" s="4">
        <f t="shared" si="81"/>
        <v>2791.6803856140205</v>
      </c>
      <c r="L1054">
        <v>4</v>
      </c>
    </row>
    <row r="1055" spans="1:12" x14ac:dyDescent="0.3">
      <c r="A1055" t="s">
        <v>155</v>
      </c>
      <c r="B1055" t="s">
        <v>73</v>
      </c>
      <c r="C1055" s="4">
        <v>0.39</v>
      </c>
      <c r="D1055" s="4">
        <v>0.28861111099999998</v>
      </c>
      <c r="E1055">
        <v>6</v>
      </c>
      <c r="F1055" s="1">
        <v>17.834394904458598</v>
      </c>
      <c r="G1055" s="2">
        <f t="shared" si="83"/>
        <v>249.80817075889462</v>
      </c>
      <c r="H1055" s="2">
        <f t="shared" si="84"/>
        <v>31.85756469886493</v>
      </c>
      <c r="I1055" s="2">
        <f t="shared" si="80"/>
        <v>7964.3911747162329</v>
      </c>
      <c r="J1055" s="4">
        <f t="shared" si="82"/>
        <v>15.665078473771754</v>
      </c>
      <c r="K1055" s="4">
        <f t="shared" si="81"/>
        <v>3916.2696184429383</v>
      </c>
      <c r="L1055">
        <v>4</v>
      </c>
    </row>
    <row r="1056" spans="1:12" x14ac:dyDescent="0.3">
      <c r="A1056" t="s">
        <v>155</v>
      </c>
      <c r="B1056" t="s">
        <v>73</v>
      </c>
      <c r="C1056" s="4">
        <v>0.39</v>
      </c>
      <c r="D1056" s="4">
        <v>0.28861111099999998</v>
      </c>
      <c r="E1056">
        <v>5.5</v>
      </c>
      <c r="F1056" s="1">
        <v>7.9617834394904454</v>
      </c>
      <c r="G1056" s="2">
        <f t="shared" si="83"/>
        <v>49.786386072802657</v>
      </c>
      <c r="H1056" s="2">
        <f t="shared" si="84"/>
        <v>6.0624309703901513</v>
      </c>
      <c r="I1056" s="2">
        <f t="shared" si="80"/>
        <v>1515.6077425975379</v>
      </c>
      <c r="J1056" s="4">
        <f t="shared" si="82"/>
        <v>10.205957414093877</v>
      </c>
      <c r="K1056" s="4">
        <f t="shared" si="81"/>
        <v>2551.4893535234692</v>
      </c>
      <c r="L1056">
        <v>4</v>
      </c>
    </row>
    <row r="1057" spans="1:12" x14ac:dyDescent="0.3">
      <c r="A1057" t="s">
        <v>155</v>
      </c>
      <c r="B1057" t="s">
        <v>22</v>
      </c>
      <c r="C1057" s="4">
        <v>0.43836446099999998</v>
      </c>
      <c r="D1057" s="4">
        <v>0.58666666700000003</v>
      </c>
      <c r="E1057">
        <v>5</v>
      </c>
      <c r="F1057" s="1">
        <v>11.146496815286623</v>
      </c>
      <c r="G1057" s="2">
        <f t="shared" si="83"/>
        <v>97.581316702693215</v>
      </c>
      <c r="H1057" s="2">
        <f t="shared" si="84"/>
        <v>21.289916465215693</v>
      </c>
      <c r="I1057" s="2">
        <f t="shared" si="80"/>
        <v>5322.4791163039235</v>
      </c>
      <c r="J1057" s="4">
        <f t="shared" si="82"/>
        <v>11.15997684693091</v>
      </c>
      <c r="K1057" s="4">
        <f t="shared" si="81"/>
        <v>2789.9942117327273</v>
      </c>
      <c r="L1057">
        <v>4</v>
      </c>
    </row>
    <row r="1058" spans="1:12" x14ac:dyDescent="0.3">
      <c r="A1058" t="s">
        <v>155</v>
      </c>
      <c r="B1058" t="s">
        <v>22</v>
      </c>
      <c r="C1058" s="4">
        <v>0.43836446099999998</v>
      </c>
      <c r="D1058" s="4">
        <v>0.58666666700000003</v>
      </c>
      <c r="E1058">
        <v>4</v>
      </c>
      <c r="F1058" s="1">
        <v>11.305732484076433</v>
      </c>
      <c r="G1058" s="2">
        <f t="shared" si="83"/>
        <v>100.3892688771993</v>
      </c>
      <c r="H1058" s="2">
        <f t="shared" si="84"/>
        <v>17.604135687006128</v>
      </c>
      <c r="I1058" s="2">
        <f t="shared" si="80"/>
        <v>4401.033921751532</v>
      </c>
      <c r="J1058" s="4">
        <f t="shared" si="82"/>
        <v>10.775174218021014</v>
      </c>
      <c r="K1058" s="4">
        <f t="shared" si="81"/>
        <v>2693.7935545052537</v>
      </c>
      <c r="L1058">
        <v>4</v>
      </c>
    </row>
    <row r="1059" spans="1:12" x14ac:dyDescent="0.3">
      <c r="A1059" t="s">
        <v>155</v>
      </c>
      <c r="B1059" t="s">
        <v>22</v>
      </c>
      <c r="C1059" s="4">
        <v>0.43836446099999998</v>
      </c>
      <c r="D1059" s="4">
        <v>0.58666666700000003</v>
      </c>
      <c r="E1059">
        <v>3.9</v>
      </c>
      <c r="F1059" s="1">
        <v>11.146496815286623</v>
      </c>
      <c r="G1059" s="2">
        <f t="shared" si="83"/>
        <v>97.581316702693215</v>
      </c>
      <c r="H1059" s="2">
        <f t="shared" si="84"/>
        <v>16.705454261076383</v>
      </c>
      <c r="I1059" s="2">
        <f t="shared" si="80"/>
        <v>4176.3635652690955</v>
      </c>
      <c r="J1059" s="4">
        <f t="shared" si="82"/>
        <v>10.681635940606109</v>
      </c>
      <c r="K1059" s="4">
        <f t="shared" si="81"/>
        <v>2670.4089851515273</v>
      </c>
      <c r="L1059">
        <v>4</v>
      </c>
    </row>
    <row r="1060" spans="1:12" x14ac:dyDescent="0.3">
      <c r="A1060" t="s">
        <v>155</v>
      </c>
      <c r="B1060" t="s">
        <v>22</v>
      </c>
      <c r="C1060" s="4">
        <v>0.43836446099999998</v>
      </c>
      <c r="D1060" s="4">
        <v>0.58666666700000003</v>
      </c>
      <c r="E1060">
        <v>2.5</v>
      </c>
      <c r="F1060" s="1">
        <v>11.783439490445859</v>
      </c>
      <c r="G1060" s="2">
        <f t="shared" si="83"/>
        <v>109.05210005386697</v>
      </c>
      <c r="H1060" s="2">
        <f t="shared" si="84"/>
        <v>12.063619328860465</v>
      </c>
      <c r="I1060" s="2">
        <f t="shared" si="80"/>
        <v>3015.9048322151161</v>
      </c>
      <c r="J1060" s="4">
        <f t="shared" si="82"/>
        <v>10.200632654468741</v>
      </c>
      <c r="K1060" s="4">
        <f t="shared" si="81"/>
        <v>2550.1581636171854</v>
      </c>
      <c r="L1060">
        <v>4</v>
      </c>
    </row>
    <row r="1061" spans="1:12" x14ac:dyDescent="0.3">
      <c r="A1061" t="s">
        <v>155</v>
      </c>
      <c r="B1061" t="s">
        <v>49</v>
      </c>
      <c r="C1061" s="4">
        <v>0.57917600000000002</v>
      </c>
      <c r="D1061" s="4">
        <v>0.60285714300000004</v>
      </c>
      <c r="E1061">
        <v>7</v>
      </c>
      <c r="F1061" s="1">
        <v>14.490445859872612</v>
      </c>
      <c r="G1061" s="2">
        <f t="shared" si="83"/>
        <v>164.91242522755155</v>
      </c>
      <c r="H1061" s="2">
        <f t="shared" si="84"/>
        <v>50.670079967989068</v>
      </c>
      <c r="I1061" s="2">
        <f t="shared" si="80"/>
        <v>12667.519991997267</v>
      </c>
      <c r="J1061" s="4">
        <f t="shared" si="82"/>
        <v>14.130039019838533</v>
      </c>
      <c r="K1061" s="4">
        <f t="shared" si="81"/>
        <v>3532.509754959633</v>
      </c>
      <c r="L1061">
        <v>4</v>
      </c>
    </row>
    <row r="1062" spans="1:12" x14ac:dyDescent="0.3">
      <c r="A1062" t="s">
        <v>155</v>
      </c>
      <c r="B1062" t="s">
        <v>88</v>
      </c>
      <c r="C1062" s="4">
        <v>0.77</v>
      </c>
      <c r="D1062" s="4">
        <v>0.77</v>
      </c>
      <c r="E1062">
        <v>2</v>
      </c>
      <c r="F1062" s="1">
        <v>13.057324840764331</v>
      </c>
      <c r="G1062" s="2">
        <f t="shared" si="83"/>
        <v>133.90546398141004</v>
      </c>
      <c r="H1062" s="2">
        <f t="shared" si="84"/>
        <v>15.459046482938147</v>
      </c>
      <c r="I1062" s="2">
        <f t="shared" si="80"/>
        <v>3864.7616207345368</v>
      </c>
      <c r="J1062" s="4">
        <f t="shared" si="82"/>
        <v>10.179156123980688</v>
      </c>
      <c r="K1062" s="4">
        <f t="shared" si="81"/>
        <v>2544.7890309951717</v>
      </c>
      <c r="L1062">
        <v>4</v>
      </c>
    </row>
    <row r="1063" spans="1:12" x14ac:dyDescent="0.3">
      <c r="A1063" t="s">
        <v>156</v>
      </c>
      <c r="B1063" t="s">
        <v>60</v>
      </c>
      <c r="C1063" s="4">
        <v>0.41</v>
      </c>
      <c r="D1063" s="4">
        <v>0.33983503399999998</v>
      </c>
      <c r="E1063">
        <v>6</v>
      </c>
      <c r="F1063" s="1">
        <v>5.7324840764331206</v>
      </c>
      <c r="G1063" s="2">
        <f t="shared" si="83"/>
        <v>25.809262540140899</v>
      </c>
      <c r="H1063" s="2">
        <f t="shared" si="84"/>
        <v>4.0765582723808995</v>
      </c>
      <c r="I1063" s="2">
        <f t="shared" si="80"/>
        <v>1019.1395680952248</v>
      </c>
      <c r="J1063" s="4">
        <f t="shared" si="82"/>
        <v>9.6757888474177456</v>
      </c>
      <c r="K1063" s="4">
        <f t="shared" si="81"/>
        <v>2418.9472118544363</v>
      </c>
      <c r="L1063">
        <v>4</v>
      </c>
    </row>
    <row r="1064" spans="1:12" x14ac:dyDescent="0.3">
      <c r="A1064" t="s">
        <v>156</v>
      </c>
      <c r="B1064" t="s">
        <v>37</v>
      </c>
      <c r="C1064" s="4">
        <v>0.39790071399999999</v>
      </c>
      <c r="D1064" s="4">
        <v>0.50565277799999997</v>
      </c>
      <c r="E1064">
        <v>4.5</v>
      </c>
      <c r="F1064" s="1">
        <v>7.8025477707006363</v>
      </c>
      <c r="G1064" s="2">
        <f t="shared" si="83"/>
        <v>47.814845184319672</v>
      </c>
      <c r="H1064" s="2">
        <f t="shared" si="84"/>
        <v>8.2823950475436501</v>
      </c>
      <c r="I1064" s="2">
        <f t="shared" si="80"/>
        <v>2070.5987618859126</v>
      </c>
      <c r="J1064" s="4">
        <f t="shared" si="82"/>
        <v>9.9445560894965315</v>
      </c>
      <c r="K1064" s="4">
        <f t="shared" si="81"/>
        <v>2486.1390223741328</v>
      </c>
      <c r="L1064">
        <v>4</v>
      </c>
    </row>
    <row r="1065" spans="1:12" x14ac:dyDescent="0.3">
      <c r="A1065" t="s">
        <v>156</v>
      </c>
      <c r="B1065" t="s">
        <v>37</v>
      </c>
      <c r="C1065" s="4">
        <v>0.39790071399999999</v>
      </c>
      <c r="D1065" s="4">
        <v>0.50565277799999997</v>
      </c>
      <c r="E1065">
        <v>2.5</v>
      </c>
      <c r="F1065" s="1">
        <v>3.3439490445859872</v>
      </c>
      <c r="G1065" s="2">
        <f t="shared" si="83"/>
        <v>8.7823185032423901</v>
      </c>
      <c r="H1065" s="2">
        <f t="shared" si="84"/>
        <v>0.89272827752083095</v>
      </c>
      <c r="I1065" s="2">
        <f t="shared" si="80"/>
        <v>223.18206938020774</v>
      </c>
      <c r="J1065" s="4">
        <f t="shared" si="82"/>
        <v>9.0835424581118911</v>
      </c>
      <c r="K1065" s="4">
        <f t="shared" si="81"/>
        <v>2270.8856145279728</v>
      </c>
      <c r="L1065">
        <v>4</v>
      </c>
    </row>
    <row r="1066" spans="1:12" x14ac:dyDescent="0.3">
      <c r="A1066" t="s">
        <v>156</v>
      </c>
      <c r="B1066" t="s">
        <v>15</v>
      </c>
      <c r="C1066" s="4">
        <v>0.47982689899999997</v>
      </c>
      <c r="D1066" s="4">
        <v>0.51</v>
      </c>
      <c r="E1066">
        <v>1.8</v>
      </c>
      <c r="F1066" s="1">
        <v>3.8216560509554141</v>
      </c>
      <c r="G1066" s="2">
        <f t="shared" si="83"/>
        <v>11.470783351173734</v>
      </c>
      <c r="H1066" s="2">
        <f t="shared" si="84"/>
        <v>0.84782191899356762</v>
      </c>
      <c r="I1066" s="2">
        <f t="shared" si="80"/>
        <v>211.95547974839189</v>
      </c>
      <c r="J1066" s="4">
        <f t="shared" si="82"/>
        <v>9.0777118463223658</v>
      </c>
      <c r="K1066" s="4">
        <f t="shared" si="81"/>
        <v>2269.4279615805913</v>
      </c>
      <c r="L1066">
        <v>4</v>
      </c>
    </row>
    <row r="1067" spans="1:12" x14ac:dyDescent="0.3">
      <c r="A1067" t="s">
        <v>156</v>
      </c>
      <c r="B1067" t="s">
        <v>16</v>
      </c>
      <c r="C1067" s="4">
        <v>0.89361000000000002</v>
      </c>
      <c r="D1067" s="4">
        <v>0.61247410899999999</v>
      </c>
      <c r="E1067">
        <v>2.2000000000000002</v>
      </c>
      <c r="F1067" s="1">
        <v>2.3885350318471334</v>
      </c>
      <c r="G1067" s="2">
        <f t="shared" si="83"/>
        <v>4.480774746552239</v>
      </c>
      <c r="H1067" s="2">
        <f t="shared" si="84"/>
        <v>0.49264053450025874</v>
      </c>
      <c r="I1067" s="2">
        <f t="shared" si="80"/>
        <v>123.16013362506469</v>
      </c>
      <c r="J1067" s="4">
        <f t="shared" si="82"/>
        <v>9.0296292669073797</v>
      </c>
      <c r="K1067" s="4">
        <f t="shared" si="81"/>
        <v>2257.4073167268448</v>
      </c>
      <c r="L1067">
        <v>4</v>
      </c>
    </row>
    <row r="1068" spans="1:12" x14ac:dyDescent="0.3">
      <c r="A1068" t="s">
        <v>156</v>
      </c>
      <c r="B1068" t="s">
        <v>18</v>
      </c>
      <c r="C1068" s="4">
        <v>0.45255480399999998</v>
      </c>
      <c r="D1068" s="4">
        <v>0.57808694400000005</v>
      </c>
      <c r="E1068">
        <v>1.9</v>
      </c>
      <c r="F1068" s="1">
        <v>4.1401273885350314</v>
      </c>
      <c r="G1068" s="2">
        <f t="shared" si="83"/>
        <v>13.462238794085838</v>
      </c>
      <c r="H1068" s="2">
        <f t="shared" si="84"/>
        <v>1.1808497842153587</v>
      </c>
      <c r="I1068" s="2">
        <f t="shared" si="80"/>
        <v>295.2124460538397</v>
      </c>
      <c r="J1068" s="4">
        <f t="shared" si="82"/>
        <v>9.0996853543754312</v>
      </c>
      <c r="K1068" s="4">
        <f t="shared" si="81"/>
        <v>2274.9213385938579</v>
      </c>
      <c r="L1068">
        <v>4</v>
      </c>
    </row>
    <row r="1069" spans="1:12" x14ac:dyDescent="0.3">
      <c r="A1069" t="s">
        <v>156</v>
      </c>
      <c r="B1069" t="s">
        <v>66</v>
      </c>
      <c r="C1069" s="4">
        <v>0.62643652800000005</v>
      </c>
      <c r="D1069" s="4">
        <v>0.57808694400000005</v>
      </c>
      <c r="E1069">
        <v>5.3</v>
      </c>
      <c r="F1069" s="1">
        <v>20.541401273885349</v>
      </c>
      <c r="G1069" s="2">
        <f t="shared" si="83"/>
        <v>331.39810025500361</v>
      </c>
      <c r="H1069" s="2">
        <f t="shared" si="84"/>
        <v>73.260103524519508</v>
      </c>
      <c r="I1069" s="2">
        <f t="shared" si="80"/>
        <v>18315.025881129877</v>
      </c>
      <c r="J1069" s="4">
        <f t="shared" si="82"/>
        <v>16.812857034768143</v>
      </c>
      <c r="K1069" s="4">
        <f t="shared" si="81"/>
        <v>4203.2142586920354</v>
      </c>
      <c r="L1069">
        <v>4</v>
      </c>
    </row>
    <row r="1070" spans="1:12" x14ac:dyDescent="0.3">
      <c r="A1070" t="s">
        <v>156</v>
      </c>
      <c r="B1070" t="s">
        <v>66</v>
      </c>
      <c r="C1070" s="4">
        <v>0.62643652800000005</v>
      </c>
      <c r="D1070" s="4">
        <v>0.57808694400000005</v>
      </c>
      <c r="E1070">
        <v>4.9000000000000004</v>
      </c>
      <c r="F1070" s="1">
        <v>18.471337579617835</v>
      </c>
      <c r="G1070" s="2">
        <f t="shared" si="83"/>
        <v>267.9702443982531</v>
      </c>
      <c r="H1070" s="2">
        <f t="shared" si="84"/>
        <v>55.15139905279802</v>
      </c>
      <c r="I1070" s="2">
        <f t="shared" si="80"/>
        <v>13787.849763199505</v>
      </c>
      <c r="J1070" s="4">
        <f t="shared" si="82"/>
        <v>14.837113850460465</v>
      </c>
      <c r="K1070" s="4">
        <f t="shared" si="81"/>
        <v>3709.2784626151165</v>
      </c>
      <c r="L1070">
        <v>4</v>
      </c>
    </row>
    <row r="1071" spans="1:12" x14ac:dyDescent="0.3">
      <c r="A1071" t="s">
        <v>156</v>
      </c>
      <c r="B1071" t="s">
        <v>66</v>
      </c>
      <c r="C1071" s="4">
        <v>0.62643652800000005</v>
      </c>
      <c r="D1071" s="4">
        <v>0.57808694400000005</v>
      </c>
      <c r="E1071">
        <v>4.7</v>
      </c>
      <c r="F1071" s="1">
        <v>15.127388535031846</v>
      </c>
      <c r="G1071" s="2">
        <f t="shared" si="83"/>
        <v>179.7288537228176</v>
      </c>
      <c r="H1071" s="2">
        <f t="shared" si="84"/>
        <v>35.858089896834315</v>
      </c>
      <c r="I1071" s="2">
        <f t="shared" si="80"/>
        <v>8964.5224742085793</v>
      </c>
      <c r="J1071" s="4">
        <f t="shared" si="82"/>
        <v>12.750083189987423</v>
      </c>
      <c r="K1071" s="4">
        <f t="shared" si="81"/>
        <v>3187.5207974968557</v>
      </c>
      <c r="L1071">
        <v>4</v>
      </c>
    </row>
    <row r="1072" spans="1:12" x14ac:dyDescent="0.3">
      <c r="A1072" t="s">
        <v>156</v>
      </c>
      <c r="B1072" t="s">
        <v>66</v>
      </c>
      <c r="C1072" s="4">
        <v>0.62643652800000005</v>
      </c>
      <c r="D1072" s="4">
        <v>0.57808694400000005</v>
      </c>
      <c r="E1072">
        <v>3.9</v>
      </c>
      <c r="F1072" s="1">
        <v>8.2802547770700627</v>
      </c>
      <c r="G1072" s="2">
        <f t="shared" si="83"/>
        <v>53.848955176343352</v>
      </c>
      <c r="H1072" s="2">
        <f t="shared" si="84"/>
        <v>9.2176613416491531</v>
      </c>
      <c r="I1072" s="2">
        <f t="shared" si="80"/>
        <v>2304.4153354122882</v>
      </c>
      <c r="J1072" s="4">
        <f t="shared" si="82"/>
        <v>9.9215797517140647</v>
      </c>
      <c r="K1072" s="4">
        <f t="shared" si="81"/>
        <v>2480.3949379285164</v>
      </c>
      <c r="L1072">
        <v>4</v>
      </c>
    </row>
    <row r="1073" spans="1:12" x14ac:dyDescent="0.3">
      <c r="A1073" t="s">
        <v>156</v>
      </c>
      <c r="B1073" t="s">
        <v>151</v>
      </c>
      <c r="C1073" s="4">
        <v>0.13069240100000001</v>
      </c>
      <c r="D1073" s="4">
        <v>0.26500000000000001</v>
      </c>
      <c r="E1073">
        <v>3.5</v>
      </c>
      <c r="F1073" s="1">
        <v>8.7579617834394909</v>
      </c>
      <c r="G1073" s="2">
        <f t="shared" si="83"/>
        <v>60.241527148091237</v>
      </c>
      <c r="H1073" s="2">
        <f t="shared" si="84"/>
        <v>4.3219943398603453</v>
      </c>
      <c r="I1073" s="2">
        <f t="shared" si="80"/>
        <v>1080.4985849650864</v>
      </c>
      <c r="J1073" s="4">
        <f t="shared" si="82"/>
        <v>9.9252982088522863</v>
      </c>
      <c r="K1073" s="4">
        <f t="shared" si="81"/>
        <v>2481.3245522130715</v>
      </c>
      <c r="L1073">
        <v>4</v>
      </c>
    </row>
    <row r="1074" spans="1:12" x14ac:dyDescent="0.3">
      <c r="A1074" t="s">
        <v>156</v>
      </c>
      <c r="B1074" t="s">
        <v>157</v>
      </c>
      <c r="C1074" s="4">
        <v>0.63</v>
      </c>
      <c r="D1074" s="4">
        <v>0.629222222</v>
      </c>
      <c r="E1074">
        <v>2.8</v>
      </c>
      <c r="F1074" s="1">
        <v>6.8471337579617835</v>
      </c>
      <c r="G1074" s="2">
        <f t="shared" si="83"/>
        <v>36.822011139444854</v>
      </c>
      <c r="H1074" s="2">
        <f t="shared" si="84"/>
        <v>5.0001986477239075</v>
      </c>
      <c r="I1074" s="2">
        <f t="shared" si="80"/>
        <v>1250.049661930977</v>
      </c>
      <c r="J1074" s="4">
        <f t="shared" si="82"/>
        <v>9.4451557588543142</v>
      </c>
      <c r="K1074" s="4">
        <f t="shared" si="81"/>
        <v>2361.2889397135787</v>
      </c>
      <c r="L1074">
        <v>4</v>
      </c>
    </row>
    <row r="1075" spans="1:12" x14ac:dyDescent="0.3">
      <c r="A1075" t="s">
        <v>156</v>
      </c>
      <c r="B1075" t="s">
        <v>122</v>
      </c>
      <c r="C1075" s="4">
        <v>0.85750000000000004</v>
      </c>
      <c r="D1075" s="4">
        <v>0.61247410899999999</v>
      </c>
      <c r="E1075">
        <v>7</v>
      </c>
      <c r="F1075" s="1">
        <v>14.64968152866242</v>
      </c>
      <c r="G1075" s="2">
        <f t="shared" si="83"/>
        <v>168.5567886880807</v>
      </c>
      <c r="H1075" s="2">
        <f t="shared" si="84"/>
        <v>52.568428545537849</v>
      </c>
      <c r="I1075" s="2">
        <f t="shared" si="80"/>
        <v>13142.107136384462</v>
      </c>
      <c r="J1075" s="4">
        <f t="shared" si="82"/>
        <v>14.243722637835205</v>
      </c>
      <c r="K1075" s="4">
        <f t="shared" si="81"/>
        <v>3560.9306594588011</v>
      </c>
      <c r="L1075">
        <v>4</v>
      </c>
    </row>
    <row r="1076" spans="1:12" x14ac:dyDescent="0.3">
      <c r="A1076" t="s">
        <v>156</v>
      </c>
      <c r="B1076" t="s">
        <v>122</v>
      </c>
      <c r="C1076" s="4">
        <v>0.85750000000000004</v>
      </c>
      <c r="D1076" s="4">
        <v>0.61247410899999999</v>
      </c>
      <c r="E1076">
        <v>5.7</v>
      </c>
      <c r="F1076" s="1">
        <v>10.509554140127388</v>
      </c>
      <c r="G1076" s="2">
        <f t="shared" si="83"/>
        <v>86.747799093251359</v>
      </c>
      <c r="H1076" s="2">
        <f t="shared" si="84"/>
        <v>22.494642212773147</v>
      </c>
      <c r="I1076" s="2">
        <f t="shared" si="80"/>
        <v>5623.6605531932864</v>
      </c>
      <c r="J1076" s="4">
        <f t="shared" si="82"/>
        <v>11.18919202807416</v>
      </c>
      <c r="K1076" s="4">
        <f t="shared" si="81"/>
        <v>2797.2980070185399</v>
      </c>
      <c r="L1076">
        <v>4</v>
      </c>
    </row>
    <row r="1077" spans="1:12" x14ac:dyDescent="0.3">
      <c r="A1077" t="s">
        <v>156</v>
      </c>
      <c r="B1077" t="s">
        <v>73</v>
      </c>
      <c r="C1077" s="4">
        <v>0.39</v>
      </c>
      <c r="D1077" s="4">
        <v>0.28861111099999998</v>
      </c>
      <c r="E1077">
        <v>5</v>
      </c>
      <c r="F1077" s="1">
        <v>11.464968152866241</v>
      </c>
      <c r="G1077" s="2">
        <f t="shared" si="83"/>
        <v>103.2370501605636</v>
      </c>
      <c r="H1077" s="2">
        <f t="shared" si="84"/>
        <v>11.255664264346924</v>
      </c>
      <c r="I1077" s="2">
        <f t="shared" si="80"/>
        <v>2813.916066086731</v>
      </c>
      <c r="J1077" s="4">
        <f t="shared" si="82"/>
        <v>11.285996158059149</v>
      </c>
      <c r="K1077" s="4">
        <f t="shared" si="81"/>
        <v>2821.499039514787</v>
      </c>
      <c r="L1077">
        <v>4</v>
      </c>
    </row>
    <row r="1078" spans="1:12" x14ac:dyDescent="0.3">
      <c r="A1078" t="s">
        <v>156</v>
      </c>
      <c r="B1078" t="s">
        <v>22</v>
      </c>
      <c r="C1078" s="4">
        <v>0.43836446099999998</v>
      </c>
      <c r="D1078" s="4">
        <v>0.58666666700000003</v>
      </c>
      <c r="E1078">
        <v>4</v>
      </c>
      <c r="F1078" s="1">
        <v>16.560509554140125</v>
      </c>
      <c r="G1078" s="2">
        <f t="shared" si="83"/>
        <v>215.39582070537341</v>
      </c>
      <c r="H1078" s="2">
        <f t="shared" si="84"/>
        <v>37.085786084507504</v>
      </c>
      <c r="I1078" s="2">
        <f t="shared" si="80"/>
        <v>9271.4465211268762</v>
      </c>
      <c r="J1078" s="4">
        <f t="shared" si="82"/>
        <v>12.825206673698728</v>
      </c>
      <c r="K1078" s="4">
        <f t="shared" si="81"/>
        <v>3206.3016684246822</v>
      </c>
      <c r="L1078">
        <v>4</v>
      </c>
    </row>
    <row r="1079" spans="1:12" x14ac:dyDescent="0.3">
      <c r="A1079" t="s">
        <v>156</v>
      </c>
      <c r="B1079" t="s">
        <v>94</v>
      </c>
      <c r="C1079" s="4">
        <v>0.28577490700000002</v>
      </c>
      <c r="D1079" s="4">
        <v>0.3422</v>
      </c>
      <c r="E1079">
        <v>6.5</v>
      </c>
      <c r="F1079" s="1">
        <v>8.1210191082802545</v>
      </c>
      <c r="G1079" s="2">
        <f t="shared" si="83"/>
        <v>51.79775607014389</v>
      </c>
      <c r="H1079" s="2">
        <f t="shared" si="84"/>
        <v>8.758617177183444</v>
      </c>
      <c r="I1079" s="2">
        <f t="shared" si="80"/>
        <v>2189.6542942958608</v>
      </c>
      <c r="J1079" s="4">
        <f t="shared" si="82"/>
        <v>10.486084143372956</v>
      </c>
      <c r="K1079" s="4">
        <f t="shared" si="81"/>
        <v>2621.5210358432391</v>
      </c>
      <c r="L1079">
        <v>4</v>
      </c>
    </row>
    <row r="1080" spans="1:12" x14ac:dyDescent="0.3">
      <c r="A1080" t="s">
        <v>156</v>
      </c>
      <c r="B1080" t="s">
        <v>94</v>
      </c>
      <c r="C1080" s="4">
        <v>0.28577490700000002</v>
      </c>
      <c r="D1080" s="4">
        <v>0.3422</v>
      </c>
      <c r="E1080">
        <v>5</v>
      </c>
      <c r="F1080" s="1">
        <v>9.872611464968152</v>
      </c>
      <c r="G1080" s="2">
        <f t="shared" si="83"/>
        <v>76.55154722554137</v>
      </c>
      <c r="H1080" s="2">
        <f t="shared" si="84"/>
        <v>9.9265521118458029</v>
      </c>
      <c r="I1080" s="2">
        <f t="shared" si="80"/>
        <v>2481.6380279614509</v>
      </c>
      <c r="J1080" s="4">
        <f t="shared" si="82"/>
        <v>10.691397999918861</v>
      </c>
      <c r="K1080" s="4">
        <f t="shared" si="81"/>
        <v>2672.8494999797153</v>
      </c>
      <c r="L1080">
        <v>4</v>
      </c>
    </row>
    <row r="1081" spans="1:12" x14ac:dyDescent="0.3">
      <c r="A1081" t="s">
        <v>156</v>
      </c>
      <c r="B1081" t="s">
        <v>94</v>
      </c>
      <c r="C1081" s="4">
        <v>0.28577490700000002</v>
      </c>
      <c r="D1081" s="4">
        <v>0.3422</v>
      </c>
      <c r="E1081">
        <v>4.5</v>
      </c>
      <c r="F1081" s="1">
        <v>12.101910828025478</v>
      </c>
      <c r="G1081" s="2">
        <f t="shared" si="83"/>
        <v>115.02646638260329</v>
      </c>
      <c r="H1081" s="2">
        <f t="shared" si="84"/>
        <v>13.327192485421751</v>
      </c>
      <c r="I1081" s="2">
        <f t="shared" si="80"/>
        <v>3331.7981213554376</v>
      </c>
      <c r="J1081" s="4">
        <f t="shared" si="82"/>
        <v>11.292385869609316</v>
      </c>
      <c r="K1081" s="4">
        <f t="shared" si="81"/>
        <v>2823.0964674023289</v>
      </c>
      <c r="L1081">
        <v>4</v>
      </c>
    </row>
    <row r="1082" spans="1:12" x14ac:dyDescent="0.3">
      <c r="A1082" t="s">
        <v>158</v>
      </c>
      <c r="B1082" t="s">
        <v>60</v>
      </c>
      <c r="C1082" s="4">
        <v>0.41</v>
      </c>
      <c r="D1082" s="4">
        <v>0.33983503399999998</v>
      </c>
      <c r="E1082">
        <v>8</v>
      </c>
      <c r="F1082" s="1">
        <v>9.7133757961783438</v>
      </c>
      <c r="G1082" s="2">
        <f t="shared" si="83"/>
        <v>74.102057030759482</v>
      </c>
      <c r="H1082" s="2">
        <f t="shared" si="84"/>
        <v>15.111070024670264</v>
      </c>
      <c r="I1082" s="2">
        <f t="shared" si="80"/>
        <v>3777.7675061675659</v>
      </c>
      <c r="J1082" s="4">
        <f t="shared" si="82"/>
        <v>11.627490742017931</v>
      </c>
      <c r="K1082" s="4">
        <f t="shared" si="81"/>
        <v>2906.8726855044829</v>
      </c>
      <c r="L1082">
        <v>4</v>
      </c>
    </row>
    <row r="1083" spans="1:12" x14ac:dyDescent="0.3">
      <c r="A1083" t="s">
        <v>158</v>
      </c>
      <c r="B1083" t="s">
        <v>60</v>
      </c>
      <c r="C1083" s="4">
        <v>0.41</v>
      </c>
      <c r="D1083" s="4">
        <v>0.33983503399999998</v>
      </c>
      <c r="E1083">
        <v>7</v>
      </c>
      <c r="F1083" s="1">
        <v>7.0063694267515917</v>
      </c>
      <c r="G1083" s="2">
        <f t="shared" si="83"/>
        <v>38.554577374778376</v>
      </c>
      <c r="H1083" s="2">
        <f t="shared" si="84"/>
        <v>7.0105301985092154</v>
      </c>
      <c r="I1083" s="2">
        <f t="shared" si="80"/>
        <v>1752.6325496273039</v>
      </c>
      <c r="J1083" s="4">
        <f t="shared" si="82"/>
        <v>10.188385707330925</v>
      </c>
      <c r="K1083" s="4">
        <f t="shared" si="81"/>
        <v>2547.0964268327311</v>
      </c>
      <c r="L1083">
        <v>4</v>
      </c>
    </row>
    <row r="1084" spans="1:12" x14ac:dyDescent="0.3">
      <c r="A1084" t="s">
        <v>158</v>
      </c>
      <c r="B1084" t="s">
        <v>60</v>
      </c>
      <c r="C1084" s="4">
        <v>0.41</v>
      </c>
      <c r="D1084" s="4">
        <v>0.33983503399999998</v>
      </c>
      <c r="E1084">
        <v>7</v>
      </c>
      <c r="F1084" s="1">
        <v>10.031847133757962</v>
      </c>
      <c r="G1084" s="2">
        <f t="shared" si="83"/>
        <v>79.040866529181514</v>
      </c>
      <c r="H1084" s="2">
        <f t="shared" si="84"/>
        <v>14.126806367615263</v>
      </c>
      <c r="I1084" s="2">
        <f t="shared" si="80"/>
        <v>3531.7015919038158</v>
      </c>
      <c r="J1084" s="4">
        <f t="shared" si="82"/>
        <v>11.451329944419651</v>
      </c>
      <c r="K1084" s="4">
        <f t="shared" si="81"/>
        <v>2862.8324861049127</v>
      </c>
      <c r="L1084">
        <v>4</v>
      </c>
    </row>
    <row r="1085" spans="1:12" x14ac:dyDescent="0.3">
      <c r="A1085" t="s">
        <v>158</v>
      </c>
      <c r="B1085" t="s">
        <v>126</v>
      </c>
      <c r="C1085" s="4">
        <v>0.490852183</v>
      </c>
      <c r="D1085" s="4">
        <v>0.607288889</v>
      </c>
      <c r="E1085">
        <v>5.5</v>
      </c>
      <c r="F1085" s="1">
        <v>4.1401273885350314</v>
      </c>
      <c r="G1085" s="2">
        <f t="shared" si="83"/>
        <v>13.462238794085838</v>
      </c>
      <c r="H1085" s="2">
        <f t="shared" si="84"/>
        <v>3.4963399059182478</v>
      </c>
      <c r="I1085" s="2">
        <f t="shared" si="80"/>
        <v>874.08497647956199</v>
      </c>
      <c r="J1085" s="4">
        <f t="shared" si="82"/>
        <v>9.3156576047709834</v>
      </c>
      <c r="K1085" s="4">
        <f t="shared" si="81"/>
        <v>2328.914401192746</v>
      </c>
      <c r="L1085">
        <v>4</v>
      </c>
    </row>
    <row r="1086" spans="1:12" x14ac:dyDescent="0.3">
      <c r="A1086" t="s">
        <v>158</v>
      </c>
      <c r="B1086" t="s">
        <v>66</v>
      </c>
      <c r="C1086" s="4">
        <v>0.62643652800000005</v>
      </c>
      <c r="D1086" s="4">
        <v>0.57808694400000005</v>
      </c>
      <c r="E1086">
        <v>6</v>
      </c>
      <c r="F1086" s="1">
        <v>20.222929936305732</v>
      </c>
      <c r="G1086" s="2">
        <f t="shared" si="83"/>
        <v>321.20184838729369</v>
      </c>
      <c r="H1086" s="2">
        <f t="shared" si="84"/>
        <v>80.205407277777752</v>
      </c>
      <c r="I1086" s="2">
        <f t="shared" si="80"/>
        <v>20051.351819444437</v>
      </c>
      <c r="J1086" s="4">
        <f t="shared" si="82"/>
        <v>17.574004799383342</v>
      </c>
      <c r="K1086" s="4">
        <f t="shared" si="81"/>
        <v>4393.5011998458358</v>
      </c>
      <c r="L1086">
        <v>4</v>
      </c>
    </row>
    <row r="1087" spans="1:12" x14ac:dyDescent="0.3">
      <c r="A1087" t="s">
        <v>158</v>
      </c>
      <c r="B1087" t="s">
        <v>66</v>
      </c>
      <c r="C1087" s="4">
        <v>0.62643652800000005</v>
      </c>
      <c r="D1087" s="4">
        <v>0.57808694400000005</v>
      </c>
      <c r="E1087">
        <v>5</v>
      </c>
      <c r="F1087" s="1">
        <v>16.401273885350317</v>
      </c>
      <c r="G1087" s="2">
        <f t="shared" si="83"/>
        <v>211.27350793854535</v>
      </c>
      <c r="H1087" s="2">
        <f t="shared" si="84"/>
        <v>44.602186738800711</v>
      </c>
      <c r="I1087" s="2">
        <f t="shared" si="80"/>
        <v>11150.546684700177</v>
      </c>
      <c r="J1087" s="4">
        <f t="shared" si="82"/>
        <v>13.693231238589799</v>
      </c>
      <c r="K1087" s="4">
        <f t="shared" si="81"/>
        <v>3423.3078096474496</v>
      </c>
      <c r="L1087">
        <v>4</v>
      </c>
    </row>
    <row r="1088" spans="1:12" x14ac:dyDescent="0.3">
      <c r="A1088" t="s">
        <v>158</v>
      </c>
      <c r="B1088" t="s">
        <v>66</v>
      </c>
      <c r="C1088" s="4">
        <v>0.62643652800000005</v>
      </c>
      <c r="D1088" s="4">
        <v>0.57808694400000005</v>
      </c>
      <c r="E1088">
        <v>4.5</v>
      </c>
      <c r="F1088" s="1">
        <v>4.936305732484076</v>
      </c>
      <c r="G1088" s="2">
        <f t="shared" si="83"/>
        <v>19.137886806385342</v>
      </c>
      <c r="H1088" s="2">
        <f t="shared" si="84"/>
        <v>3.8616828605014257</v>
      </c>
      <c r="I1088" s="2">
        <f t="shared" si="80"/>
        <v>965.42071512535642</v>
      </c>
      <c r="J1088" s="4">
        <f t="shared" si="82"/>
        <v>9.3694820499817428</v>
      </c>
      <c r="K1088" s="4">
        <f t="shared" si="81"/>
        <v>2342.3705124954358</v>
      </c>
      <c r="L1088">
        <v>4</v>
      </c>
    </row>
    <row r="1089" spans="1:12" x14ac:dyDescent="0.3">
      <c r="A1089" t="s">
        <v>158</v>
      </c>
      <c r="B1089" t="s">
        <v>122</v>
      </c>
      <c r="C1089" s="4">
        <v>0.85750000000000004</v>
      </c>
      <c r="D1089" s="4">
        <v>0.61247410899999999</v>
      </c>
      <c r="E1089">
        <v>6.5</v>
      </c>
      <c r="F1089" s="1">
        <v>15.764331210191083</v>
      </c>
      <c r="G1089" s="2">
        <f t="shared" si="83"/>
        <v>195.18254795981557</v>
      </c>
      <c r="H1089" s="2">
        <f t="shared" si="84"/>
        <v>56.425940235257926</v>
      </c>
      <c r="I1089" s="2">
        <f t="shared" si="80"/>
        <v>14106.485058814482</v>
      </c>
      <c r="J1089" s="4">
        <f t="shared" si="82"/>
        <v>14.639396650979755</v>
      </c>
      <c r="K1089" s="4">
        <f t="shared" si="81"/>
        <v>3659.8491627449389</v>
      </c>
      <c r="L1089">
        <v>4</v>
      </c>
    </row>
    <row r="1090" spans="1:12" x14ac:dyDescent="0.3">
      <c r="A1090" t="s">
        <v>158</v>
      </c>
      <c r="B1090" t="s">
        <v>122</v>
      </c>
      <c r="C1090" s="4">
        <v>0.85750000000000004</v>
      </c>
      <c r="D1090" s="4">
        <v>0.61247410899999999</v>
      </c>
      <c r="E1090">
        <v>6.5</v>
      </c>
      <c r="F1090" s="1">
        <v>7.9617834394904454</v>
      </c>
      <c r="G1090" s="2">
        <f t="shared" si="83"/>
        <v>49.786386072802657</v>
      </c>
      <c r="H1090" s="2">
        <f t="shared" si="84"/>
        <v>14.872649842225801</v>
      </c>
      <c r="I1090" s="2">
        <f t="shared" ref="I1090:I1153" si="85">(H1090*1000)/L1090</f>
        <v>3718.1624605564502</v>
      </c>
      <c r="J1090" s="4">
        <f t="shared" si="82"/>
        <v>10.427822398474582</v>
      </c>
      <c r="K1090" s="4">
        <f t="shared" ref="K1090:K1153" si="86">(J1090*1000)/L1090</f>
        <v>2606.9555996186455</v>
      </c>
      <c r="L1090">
        <v>4</v>
      </c>
    </row>
    <row r="1091" spans="1:12" x14ac:dyDescent="0.3">
      <c r="A1091" t="s">
        <v>158</v>
      </c>
      <c r="B1091" t="s">
        <v>122</v>
      </c>
      <c r="C1091" s="4">
        <v>0.85750000000000004</v>
      </c>
      <c r="D1091" s="4">
        <v>0.61247410899999999</v>
      </c>
      <c r="E1091">
        <v>5.7</v>
      </c>
      <c r="F1091" s="1">
        <v>9.3949044585987256</v>
      </c>
      <c r="G1091" s="2">
        <f t="shared" si="83"/>
        <v>69.322563967770421</v>
      </c>
      <c r="H1091" s="2">
        <f t="shared" si="84"/>
        <v>18.07309179647941</v>
      </c>
      <c r="I1091" s="2">
        <f t="shared" si="85"/>
        <v>4518.2729491198525</v>
      </c>
      <c r="J1091" s="4">
        <f t="shared" ref="J1091:J1154" si="87">8.9857 + 0.0035 * F1091^2 * E1091</f>
        <v>10.746571384234654</v>
      </c>
      <c r="K1091" s="4">
        <f t="shared" si="86"/>
        <v>2686.6428460586635</v>
      </c>
      <c r="L1091">
        <v>4</v>
      </c>
    </row>
    <row r="1092" spans="1:12" x14ac:dyDescent="0.3">
      <c r="A1092" t="s">
        <v>158</v>
      </c>
      <c r="B1092" t="s">
        <v>122</v>
      </c>
      <c r="C1092" s="4">
        <v>0.85750000000000004</v>
      </c>
      <c r="D1092" s="4">
        <v>0.61247410899999999</v>
      </c>
      <c r="E1092">
        <v>5.6</v>
      </c>
      <c r="F1092" s="1">
        <v>9.5541401273885338</v>
      </c>
      <c r="G1092" s="2">
        <f t="shared" ref="G1092:G1155" si="88">PI()*(F1092/2)^2</f>
        <v>71.692395944835823</v>
      </c>
      <c r="H1092" s="2">
        <f t="shared" ref="H1092:H1155" si="89">0.0673 * ((D1092 * F1092^2 * E1092)^0.976)</f>
        <v>18.356007383114878</v>
      </c>
      <c r="I1092" s="2">
        <f t="shared" si="85"/>
        <v>4589.0018457787201</v>
      </c>
      <c r="J1092" s="4">
        <f t="shared" si="87"/>
        <v>10.774819234046005</v>
      </c>
      <c r="K1092" s="4">
        <f t="shared" si="86"/>
        <v>2693.7048085115011</v>
      </c>
      <c r="L1092">
        <v>4</v>
      </c>
    </row>
    <row r="1093" spans="1:12" x14ac:dyDescent="0.3">
      <c r="A1093" t="s">
        <v>158</v>
      </c>
      <c r="B1093" t="s">
        <v>122</v>
      </c>
      <c r="C1093" s="4">
        <v>0.85750000000000004</v>
      </c>
      <c r="D1093" s="4">
        <v>0.61247410899999999</v>
      </c>
      <c r="E1093">
        <v>5.5</v>
      </c>
      <c r="F1093" s="1">
        <v>9.5541401273885338</v>
      </c>
      <c r="G1093" s="2">
        <f t="shared" si="88"/>
        <v>71.692395944835823</v>
      </c>
      <c r="H1093" s="2">
        <f t="shared" si="89"/>
        <v>18.03601942155624</v>
      </c>
      <c r="I1093" s="2">
        <f t="shared" si="85"/>
        <v>4509.0048553890601</v>
      </c>
      <c r="J1093" s="4">
        <f t="shared" si="87"/>
        <v>10.742870676295183</v>
      </c>
      <c r="K1093" s="4">
        <f t="shared" si="86"/>
        <v>2685.7176690737961</v>
      </c>
      <c r="L1093">
        <v>4</v>
      </c>
    </row>
    <row r="1094" spans="1:12" x14ac:dyDescent="0.3">
      <c r="A1094" t="s">
        <v>158</v>
      </c>
      <c r="B1094" t="s">
        <v>122</v>
      </c>
      <c r="C1094" s="4">
        <v>0.85750000000000004</v>
      </c>
      <c r="D1094" s="4">
        <v>0.61247410899999999</v>
      </c>
      <c r="E1094">
        <v>5.5</v>
      </c>
      <c r="F1094" s="1">
        <v>7.3248407643312099</v>
      </c>
      <c r="G1094" s="2">
        <f t="shared" si="88"/>
        <v>42.139197172020175</v>
      </c>
      <c r="H1094" s="2">
        <f t="shared" si="89"/>
        <v>10.737241986974666</v>
      </c>
      <c r="I1094" s="2">
        <f t="shared" si="85"/>
        <v>2684.3104967436666</v>
      </c>
      <c r="J1094" s="4">
        <f t="shared" si="87"/>
        <v>10.018525875289058</v>
      </c>
      <c r="K1094" s="4">
        <f t="shared" si="86"/>
        <v>2504.6314688222642</v>
      </c>
      <c r="L1094">
        <v>4</v>
      </c>
    </row>
    <row r="1095" spans="1:12" x14ac:dyDescent="0.3">
      <c r="A1095" t="s">
        <v>158</v>
      </c>
      <c r="B1095" t="s">
        <v>122</v>
      </c>
      <c r="C1095" s="4">
        <v>0.85750000000000004</v>
      </c>
      <c r="D1095" s="4">
        <v>0.61247410899999999</v>
      </c>
      <c r="E1095">
        <v>4.5</v>
      </c>
      <c r="F1095" s="1">
        <v>15.286624203821656</v>
      </c>
      <c r="G1095" s="2">
        <f t="shared" si="88"/>
        <v>183.53253361877975</v>
      </c>
      <c r="H1095" s="2">
        <f t="shared" si="89"/>
        <v>37.112851932332291</v>
      </c>
      <c r="I1095" s="2">
        <f t="shared" si="85"/>
        <v>9278.2129830830727</v>
      </c>
      <c r="J1095" s="4">
        <f t="shared" si="87"/>
        <v>12.666173852894641</v>
      </c>
      <c r="K1095" s="4">
        <f t="shared" si="86"/>
        <v>3166.5434632236602</v>
      </c>
      <c r="L1095">
        <v>4</v>
      </c>
    </row>
    <row r="1096" spans="1:12" x14ac:dyDescent="0.3">
      <c r="A1096" t="s">
        <v>158</v>
      </c>
      <c r="B1096" t="s">
        <v>122</v>
      </c>
      <c r="C1096" s="4">
        <v>0.85750000000000004</v>
      </c>
      <c r="D1096" s="4">
        <v>0.61247410899999999</v>
      </c>
      <c r="E1096">
        <v>3</v>
      </c>
      <c r="F1096" s="1">
        <v>12.101910828025478</v>
      </c>
      <c r="G1096" s="2">
        <f t="shared" si="88"/>
        <v>115.02646638260329</v>
      </c>
      <c r="H1096" s="2">
        <f t="shared" si="89"/>
        <v>15.834849693089907</v>
      </c>
      <c r="I1096" s="2">
        <f t="shared" si="85"/>
        <v>3958.7124232724768</v>
      </c>
      <c r="J1096" s="4">
        <f t="shared" si="87"/>
        <v>10.523490579739542</v>
      </c>
      <c r="K1096" s="4">
        <f t="shared" si="86"/>
        <v>2630.8726449348856</v>
      </c>
      <c r="L1096">
        <v>4</v>
      </c>
    </row>
    <row r="1097" spans="1:12" x14ac:dyDescent="0.3">
      <c r="A1097" t="s">
        <v>158</v>
      </c>
      <c r="B1097" t="s">
        <v>73</v>
      </c>
      <c r="C1097" s="4">
        <v>0.39</v>
      </c>
      <c r="D1097" s="4">
        <v>0.28861111099999998</v>
      </c>
      <c r="E1097">
        <v>6.5</v>
      </c>
      <c r="F1097" s="1">
        <v>10.350318471337578</v>
      </c>
      <c r="G1097" s="2">
        <f t="shared" si="88"/>
        <v>84.138992463036487</v>
      </c>
      <c r="H1097" s="2">
        <f t="shared" si="89"/>
        <v>11.908955745729868</v>
      </c>
      <c r="I1097" s="2">
        <f t="shared" si="85"/>
        <v>2977.2389364324667</v>
      </c>
      <c r="J1097" s="4">
        <f t="shared" si="87"/>
        <v>11.422886853422044</v>
      </c>
      <c r="K1097" s="4">
        <f t="shared" si="86"/>
        <v>2855.7217133555109</v>
      </c>
      <c r="L1097">
        <v>4</v>
      </c>
    </row>
    <row r="1098" spans="1:12" x14ac:dyDescent="0.3">
      <c r="A1098" t="s">
        <v>158</v>
      </c>
      <c r="B1098" t="s">
        <v>46</v>
      </c>
      <c r="C1098" s="4">
        <v>1.1200000000000001</v>
      </c>
      <c r="D1098" s="4">
        <v>0.85527777800000004</v>
      </c>
      <c r="E1098">
        <v>1.8</v>
      </c>
      <c r="F1098" s="1">
        <v>3.9808917197452227</v>
      </c>
      <c r="G1098" s="2">
        <f t="shared" si="88"/>
        <v>12.446596518200664</v>
      </c>
      <c r="H1098" s="2">
        <f t="shared" si="89"/>
        <v>1.5207552250174203</v>
      </c>
      <c r="I1098" s="2">
        <f t="shared" si="85"/>
        <v>380.18880625435509</v>
      </c>
      <c r="J1098" s="4">
        <f t="shared" si="87"/>
        <v>9.0855392429713167</v>
      </c>
      <c r="K1098" s="4">
        <f t="shared" si="86"/>
        <v>2271.3848107428294</v>
      </c>
      <c r="L1098">
        <v>4</v>
      </c>
    </row>
    <row r="1099" spans="1:12" x14ac:dyDescent="0.3">
      <c r="A1099" t="s">
        <v>158</v>
      </c>
      <c r="B1099" t="s">
        <v>22</v>
      </c>
      <c r="C1099" s="4">
        <v>0.43836446099999998</v>
      </c>
      <c r="D1099" s="4">
        <v>0.58666666700000003</v>
      </c>
      <c r="E1099">
        <v>4</v>
      </c>
      <c r="F1099" s="1">
        <v>13.694267515923567</v>
      </c>
      <c r="G1099" s="2">
        <f t="shared" si="88"/>
        <v>147.28804455777941</v>
      </c>
      <c r="H1099" s="2">
        <f t="shared" si="89"/>
        <v>25.591714812309071</v>
      </c>
      <c r="I1099" s="2">
        <f t="shared" si="85"/>
        <v>6397.9287030772675</v>
      </c>
      <c r="J1099" s="4">
        <f t="shared" si="87"/>
        <v>11.611161479167512</v>
      </c>
      <c r="K1099" s="4">
        <f t="shared" si="86"/>
        <v>2902.7903697918778</v>
      </c>
      <c r="L1099">
        <v>4</v>
      </c>
    </row>
    <row r="1100" spans="1:12" x14ac:dyDescent="0.3">
      <c r="A1100" t="s">
        <v>158</v>
      </c>
      <c r="B1100" t="s">
        <v>22</v>
      </c>
      <c r="C1100" s="4">
        <v>0.43836446099999998</v>
      </c>
      <c r="D1100" s="4">
        <v>0.58666666700000003</v>
      </c>
      <c r="E1100">
        <v>3.8</v>
      </c>
      <c r="F1100" s="1">
        <v>12.261146496815286</v>
      </c>
      <c r="G1100" s="2">
        <f t="shared" si="88"/>
        <v>118.0733932102588</v>
      </c>
      <c r="H1100" s="2">
        <f t="shared" si="89"/>
        <v>19.617630256480737</v>
      </c>
      <c r="I1100" s="2">
        <f t="shared" si="85"/>
        <v>4904.4075641201844</v>
      </c>
      <c r="J1100" s="4">
        <f t="shared" si="87"/>
        <v>10.985164988437663</v>
      </c>
      <c r="K1100" s="4">
        <f t="shared" si="86"/>
        <v>2746.291247109416</v>
      </c>
      <c r="L1100">
        <v>4</v>
      </c>
    </row>
    <row r="1101" spans="1:12" x14ac:dyDescent="0.3">
      <c r="A1101" t="s">
        <v>158</v>
      </c>
      <c r="B1101" t="s">
        <v>22</v>
      </c>
      <c r="C1101" s="4">
        <v>0.43836446099999998</v>
      </c>
      <c r="D1101" s="4">
        <v>0.58666666700000003</v>
      </c>
      <c r="E1101">
        <v>3</v>
      </c>
      <c r="F1101" s="1">
        <v>14.331210191082802</v>
      </c>
      <c r="G1101" s="2">
        <f t="shared" si="88"/>
        <v>161.30789087588062</v>
      </c>
      <c r="H1101" s="2">
        <f t="shared" si="89"/>
        <v>21.120275651704809</v>
      </c>
      <c r="I1101" s="2">
        <f t="shared" si="85"/>
        <v>5280.0689129262018</v>
      </c>
      <c r="J1101" s="4">
        <f t="shared" si="87"/>
        <v>11.142227648180452</v>
      </c>
      <c r="K1101" s="4">
        <f t="shared" si="86"/>
        <v>2785.5569120451128</v>
      </c>
      <c r="L1101">
        <v>4</v>
      </c>
    </row>
    <row r="1102" spans="1:12" x14ac:dyDescent="0.3">
      <c r="A1102" t="s">
        <v>158</v>
      </c>
      <c r="B1102" t="s">
        <v>22</v>
      </c>
      <c r="C1102" s="4">
        <v>0.43836446099999998</v>
      </c>
      <c r="D1102" s="4">
        <v>0.58666666700000003</v>
      </c>
      <c r="E1102">
        <v>2.1</v>
      </c>
      <c r="F1102" s="1">
        <v>1.910828025477707</v>
      </c>
      <c r="G1102" s="2">
        <f t="shared" si="88"/>
        <v>2.8676958377934336</v>
      </c>
      <c r="H1102" s="2">
        <f t="shared" si="89"/>
        <v>0.29200862749363826</v>
      </c>
      <c r="I1102" s="2">
        <f t="shared" si="85"/>
        <v>73.002156873409561</v>
      </c>
      <c r="J1102" s="4">
        <f t="shared" si="87"/>
        <v>9.0125367885106904</v>
      </c>
      <c r="K1102" s="4">
        <f t="shared" si="86"/>
        <v>2253.1341971276725</v>
      </c>
      <c r="L1102">
        <v>4</v>
      </c>
    </row>
    <row r="1103" spans="1:12" x14ac:dyDescent="0.3">
      <c r="A1103" t="s">
        <v>159</v>
      </c>
      <c r="B1103" t="s">
        <v>60</v>
      </c>
      <c r="C1103" s="4">
        <v>0.41</v>
      </c>
      <c r="D1103" s="4">
        <v>0.33983503399999998</v>
      </c>
      <c r="E1103">
        <v>7.5</v>
      </c>
      <c r="F1103" s="1">
        <v>7.1656050955414008</v>
      </c>
      <c r="G1103" s="2">
        <f t="shared" si="88"/>
        <v>40.326972718970154</v>
      </c>
      <c r="H1103" s="2">
        <f t="shared" si="89"/>
        <v>7.8351293895715166</v>
      </c>
      <c r="I1103" s="2">
        <f t="shared" si="85"/>
        <v>1958.782347392879</v>
      </c>
      <c r="J1103" s="4">
        <f t="shared" si="87"/>
        <v>10.333529780112784</v>
      </c>
      <c r="K1103" s="4">
        <f t="shared" si="86"/>
        <v>2583.3824450281959</v>
      </c>
      <c r="L1103">
        <v>4</v>
      </c>
    </row>
    <row r="1104" spans="1:12" x14ac:dyDescent="0.3">
      <c r="A1104" t="s">
        <v>159</v>
      </c>
      <c r="B1104" t="s">
        <v>85</v>
      </c>
      <c r="C1104" s="4">
        <v>0.6</v>
      </c>
      <c r="D1104" s="4">
        <v>0.66674999999999995</v>
      </c>
      <c r="E1104">
        <v>5.5</v>
      </c>
      <c r="F1104" s="1">
        <v>8.598726114649681</v>
      </c>
      <c r="G1104" s="2">
        <f t="shared" si="88"/>
        <v>58.070840715317019</v>
      </c>
      <c r="H1104" s="2">
        <f t="shared" si="89"/>
        <v>15.951897689498171</v>
      </c>
      <c r="I1104" s="2">
        <f t="shared" si="85"/>
        <v>3987.9744223745429</v>
      </c>
      <c r="J1104" s="4">
        <f t="shared" si="87"/>
        <v>10.409008247799099</v>
      </c>
      <c r="K1104" s="4">
        <f t="shared" si="86"/>
        <v>2602.2520619497745</v>
      </c>
      <c r="L1104">
        <v>4</v>
      </c>
    </row>
    <row r="1105" spans="1:12" x14ac:dyDescent="0.3">
      <c r="A1105" t="s">
        <v>159</v>
      </c>
      <c r="B1105" t="s">
        <v>122</v>
      </c>
      <c r="C1105" s="4">
        <v>0.85750000000000004</v>
      </c>
      <c r="D1105" s="4">
        <v>0.61247410899999999</v>
      </c>
      <c r="E1105">
        <v>6</v>
      </c>
      <c r="F1105" s="1">
        <v>7.3248407643312099</v>
      </c>
      <c r="G1105" s="2">
        <f t="shared" si="88"/>
        <v>42.139197172020175</v>
      </c>
      <c r="H1105" s="2">
        <f t="shared" si="89"/>
        <v>11.688919734079493</v>
      </c>
      <c r="I1105" s="2">
        <f t="shared" si="85"/>
        <v>2922.2299335198732</v>
      </c>
      <c r="J1105" s="4">
        <f t="shared" si="87"/>
        <v>10.112419136678973</v>
      </c>
      <c r="K1105" s="4">
        <f t="shared" si="86"/>
        <v>2528.1047841697432</v>
      </c>
      <c r="L1105">
        <v>4</v>
      </c>
    </row>
    <row r="1106" spans="1:12" x14ac:dyDescent="0.3">
      <c r="A1106" t="s">
        <v>159</v>
      </c>
      <c r="B1106" t="s">
        <v>122</v>
      </c>
      <c r="C1106" s="4">
        <v>0.85750000000000004</v>
      </c>
      <c r="D1106" s="4">
        <v>0.61247410899999999</v>
      </c>
      <c r="E1106">
        <v>6</v>
      </c>
      <c r="F1106" s="1">
        <v>22.165605095541398</v>
      </c>
      <c r="G1106" s="2">
        <f t="shared" si="88"/>
        <v>385.87715193348436</v>
      </c>
      <c r="H1106" s="2">
        <f t="shared" si="89"/>
        <v>101.49739039586146</v>
      </c>
      <c r="I1106" s="2">
        <f t="shared" si="85"/>
        <v>25374.347598965363</v>
      </c>
      <c r="J1106" s="4">
        <f t="shared" si="87"/>
        <v>19.303295034281305</v>
      </c>
      <c r="K1106" s="4">
        <f t="shared" si="86"/>
        <v>4825.8237585703264</v>
      </c>
      <c r="L1106">
        <v>4</v>
      </c>
    </row>
    <row r="1107" spans="1:12" x14ac:dyDescent="0.3">
      <c r="A1107" t="s">
        <v>159</v>
      </c>
      <c r="B1107" t="s">
        <v>122</v>
      </c>
      <c r="C1107" s="4">
        <v>0.85750000000000004</v>
      </c>
      <c r="D1107" s="4">
        <v>0.61247410899999999</v>
      </c>
      <c r="E1107">
        <v>6</v>
      </c>
      <c r="F1107" s="1">
        <v>10.509554140127388</v>
      </c>
      <c r="G1107" s="2">
        <f t="shared" si="88"/>
        <v>86.747799093251359</v>
      </c>
      <c r="H1107" s="2">
        <f t="shared" si="89"/>
        <v>23.649439439253307</v>
      </c>
      <c r="I1107" s="2">
        <f t="shared" si="85"/>
        <v>5912.3598598133267</v>
      </c>
      <c r="J1107" s="4">
        <f t="shared" si="87"/>
        <v>11.305165292709642</v>
      </c>
      <c r="K1107" s="4">
        <f t="shared" si="86"/>
        <v>2826.2913231774105</v>
      </c>
      <c r="L1107">
        <v>4</v>
      </c>
    </row>
    <row r="1108" spans="1:12" x14ac:dyDescent="0.3">
      <c r="A1108" t="s">
        <v>159</v>
      </c>
      <c r="B1108" t="s">
        <v>122</v>
      </c>
      <c r="C1108" s="4">
        <v>0.85750000000000004</v>
      </c>
      <c r="D1108" s="4">
        <v>0.61247410899999999</v>
      </c>
      <c r="E1108">
        <v>5.5</v>
      </c>
      <c r="F1108" s="1">
        <v>24.363057324840764</v>
      </c>
      <c r="G1108" s="2">
        <f t="shared" si="88"/>
        <v>466.17980463129504</v>
      </c>
      <c r="H1108" s="2">
        <f t="shared" si="89"/>
        <v>112.12620581011383</v>
      </c>
      <c r="I1108" s="2">
        <f t="shared" si="85"/>
        <v>28031.551452528456</v>
      </c>
      <c r="J1108" s="4">
        <f t="shared" si="87"/>
        <v>20.411702322609436</v>
      </c>
      <c r="K1108" s="4">
        <f t="shared" si="86"/>
        <v>5102.9255806523588</v>
      </c>
      <c r="L1108">
        <v>4</v>
      </c>
    </row>
    <row r="1109" spans="1:12" x14ac:dyDescent="0.3">
      <c r="A1109" t="s">
        <v>159</v>
      </c>
      <c r="B1109" t="s">
        <v>122</v>
      </c>
      <c r="C1109" s="4">
        <v>0.85750000000000004</v>
      </c>
      <c r="D1109" s="4">
        <v>0.61247410899999999</v>
      </c>
      <c r="E1109">
        <v>4.5</v>
      </c>
      <c r="F1109" s="1">
        <v>13.694267515923567</v>
      </c>
      <c r="G1109" s="2">
        <f t="shared" si="88"/>
        <v>147.28804455777941</v>
      </c>
      <c r="H1109" s="2">
        <f t="shared" si="89"/>
        <v>29.941383153563141</v>
      </c>
      <c r="I1109" s="2">
        <f t="shared" si="85"/>
        <v>7485.3457883907849</v>
      </c>
      <c r="J1109" s="4">
        <f t="shared" si="87"/>
        <v>11.939344164063451</v>
      </c>
      <c r="K1109" s="4">
        <f t="shared" si="86"/>
        <v>2984.836041015863</v>
      </c>
      <c r="L1109">
        <v>4</v>
      </c>
    </row>
    <row r="1110" spans="1:12" x14ac:dyDescent="0.3">
      <c r="A1110" t="s">
        <v>159</v>
      </c>
      <c r="B1110" t="s">
        <v>118</v>
      </c>
      <c r="C1110" s="4">
        <v>0.56023871300000005</v>
      </c>
      <c r="D1110" s="4">
        <v>0.74103703700000001</v>
      </c>
      <c r="E1110">
        <v>6</v>
      </c>
      <c r="F1110" s="1">
        <v>7.484076433121019</v>
      </c>
      <c r="G1110" s="2">
        <f t="shared" si="88"/>
        <v>43.991250733928432</v>
      </c>
      <c r="H1110" s="2">
        <f t="shared" si="89"/>
        <v>14.681561047765641</v>
      </c>
      <c r="I1110" s="2">
        <f t="shared" si="85"/>
        <v>3670.3902619414102</v>
      </c>
      <c r="J1110" s="4">
        <f t="shared" si="87"/>
        <v>10.161939401192745</v>
      </c>
      <c r="K1110" s="4">
        <f t="shared" si="86"/>
        <v>2540.4848502981863</v>
      </c>
      <c r="L1110">
        <v>4</v>
      </c>
    </row>
    <row r="1111" spans="1:12" x14ac:dyDescent="0.3">
      <c r="A1111" t="s">
        <v>159</v>
      </c>
      <c r="B1111" t="s">
        <v>46</v>
      </c>
      <c r="C1111" s="4">
        <v>1.1200000000000001</v>
      </c>
      <c r="D1111" s="4">
        <v>0.85527777800000004</v>
      </c>
      <c r="E1111">
        <v>5</v>
      </c>
      <c r="F1111" s="1">
        <v>13.375796178343949</v>
      </c>
      <c r="G1111" s="2">
        <f t="shared" si="88"/>
        <v>140.51709605187824</v>
      </c>
      <c r="H1111" s="2">
        <f t="shared" si="89"/>
        <v>43.905845618777263</v>
      </c>
      <c r="I1111" s="2">
        <f t="shared" si="85"/>
        <v>10976.461404694315</v>
      </c>
      <c r="J1111" s="4">
        <f t="shared" si="87"/>
        <v>12.116658659580509</v>
      </c>
      <c r="K1111" s="4">
        <f t="shared" si="86"/>
        <v>3029.1646648951273</v>
      </c>
      <c r="L1111">
        <v>4</v>
      </c>
    </row>
    <row r="1112" spans="1:12" x14ac:dyDescent="0.3">
      <c r="A1112" t="s">
        <v>159</v>
      </c>
      <c r="B1112" t="s">
        <v>46</v>
      </c>
      <c r="C1112" s="4">
        <v>1.1200000000000001</v>
      </c>
      <c r="D1112" s="4">
        <v>0.85527777800000004</v>
      </c>
      <c r="E1112">
        <v>2.5</v>
      </c>
      <c r="F1112" s="1">
        <v>6.6878980891719744</v>
      </c>
      <c r="G1112" s="2">
        <f t="shared" si="88"/>
        <v>35.12927401296956</v>
      </c>
      <c r="H1112" s="2">
        <f t="shared" si="89"/>
        <v>5.7690794331307318</v>
      </c>
      <c r="I1112" s="2">
        <f t="shared" si="85"/>
        <v>1442.2698582826829</v>
      </c>
      <c r="J1112" s="4">
        <f t="shared" si="87"/>
        <v>9.3770698324475639</v>
      </c>
      <c r="K1112" s="4">
        <f t="shared" si="86"/>
        <v>2344.2674581118908</v>
      </c>
      <c r="L1112">
        <v>4</v>
      </c>
    </row>
    <row r="1113" spans="1:12" x14ac:dyDescent="0.3">
      <c r="A1113" t="s">
        <v>159</v>
      </c>
      <c r="B1113" t="s">
        <v>46</v>
      </c>
      <c r="C1113" s="4">
        <v>1.1200000000000001</v>
      </c>
      <c r="D1113" s="4">
        <v>0.85527777800000004</v>
      </c>
      <c r="E1113">
        <v>2.2999999999999998</v>
      </c>
      <c r="F1113" s="1">
        <v>2.8662420382165603</v>
      </c>
      <c r="G1113" s="2">
        <f t="shared" si="88"/>
        <v>6.4523156350352249</v>
      </c>
      <c r="H1113" s="2">
        <f t="shared" si="89"/>
        <v>1.0173555374714025</v>
      </c>
      <c r="I1113" s="2">
        <f t="shared" si="85"/>
        <v>254.33888436785062</v>
      </c>
      <c r="J1113" s="4">
        <f t="shared" si="87"/>
        <v>9.0518335145441995</v>
      </c>
      <c r="K1113" s="4">
        <f t="shared" si="86"/>
        <v>2262.9583786360499</v>
      </c>
      <c r="L1113">
        <v>4</v>
      </c>
    </row>
    <row r="1114" spans="1:12" x14ac:dyDescent="0.3">
      <c r="A1114" t="s">
        <v>159</v>
      </c>
      <c r="B1114" t="s">
        <v>160</v>
      </c>
      <c r="C1114" s="4">
        <v>0.53</v>
      </c>
      <c r="D1114" s="4">
        <v>0.41185714299999998</v>
      </c>
      <c r="E1114">
        <v>5.5</v>
      </c>
      <c r="F1114" s="1">
        <v>5.7324840764331206</v>
      </c>
      <c r="G1114" s="2">
        <f t="shared" si="88"/>
        <v>25.809262540140899</v>
      </c>
      <c r="H1114" s="2">
        <f t="shared" si="89"/>
        <v>4.5173838007657983</v>
      </c>
      <c r="I1114" s="2">
        <f t="shared" si="85"/>
        <v>1129.3459501914497</v>
      </c>
      <c r="J1114" s="4">
        <f t="shared" si="87"/>
        <v>9.618281443466266</v>
      </c>
      <c r="K1114" s="4">
        <f t="shared" si="86"/>
        <v>2404.5703608665667</v>
      </c>
      <c r="L1114">
        <v>4</v>
      </c>
    </row>
    <row r="1115" spans="1:12" x14ac:dyDescent="0.3">
      <c r="A1115" t="s">
        <v>159</v>
      </c>
      <c r="B1115" t="s">
        <v>160</v>
      </c>
      <c r="C1115" s="4">
        <v>0.53</v>
      </c>
      <c r="D1115" s="4">
        <v>0.41185714299999998</v>
      </c>
      <c r="E1115">
        <v>5</v>
      </c>
      <c r="F1115" s="1">
        <v>5.8917197452229297</v>
      </c>
      <c r="G1115" s="2">
        <f t="shared" si="88"/>
        <v>27.263025013466741</v>
      </c>
      <c r="H1115" s="2">
        <f t="shared" si="89"/>
        <v>4.3422518945486814</v>
      </c>
      <c r="I1115" s="2">
        <f t="shared" si="85"/>
        <v>1085.5629736371704</v>
      </c>
      <c r="J1115" s="4">
        <f t="shared" si="87"/>
        <v>9.5931663272343695</v>
      </c>
      <c r="K1115" s="4">
        <f t="shared" si="86"/>
        <v>2398.2915818085926</v>
      </c>
      <c r="L1115">
        <v>4</v>
      </c>
    </row>
    <row r="1116" spans="1:12" x14ac:dyDescent="0.3">
      <c r="A1116" t="s">
        <v>159</v>
      </c>
      <c r="B1116" t="s">
        <v>160</v>
      </c>
      <c r="C1116" s="4">
        <v>0.53</v>
      </c>
      <c r="D1116" s="4">
        <v>0.41185714299999998</v>
      </c>
      <c r="E1116">
        <v>2.5</v>
      </c>
      <c r="F1116" s="1">
        <v>3.5031847133757958</v>
      </c>
      <c r="G1116" s="2">
        <f t="shared" si="88"/>
        <v>9.6386443436945939</v>
      </c>
      <c r="H1116" s="2">
        <f t="shared" si="89"/>
        <v>0.80018249266697505</v>
      </c>
      <c r="I1116" s="2">
        <f t="shared" si="85"/>
        <v>200.04562316674375</v>
      </c>
      <c r="J1116" s="4">
        <f t="shared" si="87"/>
        <v>9.0930826524402608</v>
      </c>
      <c r="K1116" s="4">
        <f t="shared" si="86"/>
        <v>2273.270663110065</v>
      </c>
      <c r="L1116">
        <v>4</v>
      </c>
    </row>
    <row r="1117" spans="1:12" x14ac:dyDescent="0.3">
      <c r="A1117" t="s">
        <v>159</v>
      </c>
      <c r="B1117" t="s">
        <v>58</v>
      </c>
      <c r="C1117" s="4">
        <v>0.371297506</v>
      </c>
      <c r="D1117" s="4">
        <v>0.35258402799999999</v>
      </c>
      <c r="E1117">
        <v>4.5</v>
      </c>
      <c r="F1117" s="1">
        <v>4.2993630573248405</v>
      </c>
      <c r="G1117" s="2">
        <f t="shared" si="88"/>
        <v>14.517710178829255</v>
      </c>
      <c r="H1117" s="2">
        <f t="shared" si="89"/>
        <v>1.8200513974029371</v>
      </c>
      <c r="I1117" s="2">
        <f t="shared" si="85"/>
        <v>455.01284935073426</v>
      </c>
      <c r="J1117" s="4">
        <f t="shared" si="87"/>
        <v>9.2768312325043603</v>
      </c>
      <c r="K1117" s="4">
        <f t="shared" si="86"/>
        <v>2319.2078081260902</v>
      </c>
      <c r="L1117">
        <v>4</v>
      </c>
    </row>
    <row r="1118" spans="1:12" x14ac:dyDescent="0.3">
      <c r="A1118" t="s">
        <v>159</v>
      </c>
      <c r="B1118" t="s">
        <v>58</v>
      </c>
      <c r="C1118" s="4">
        <v>0.371297506</v>
      </c>
      <c r="D1118" s="4">
        <v>0.35258402799999999</v>
      </c>
      <c r="E1118">
        <v>4</v>
      </c>
      <c r="F1118" s="1">
        <v>3.3439490445859872</v>
      </c>
      <c r="G1118" s="2">
        <f t="shared" si="88"/>
        <v>8.7823185032423901</v>
      </c>
      <c r="H1118" s="2">
        <f t="shared" si="89"/>
        <v>0.99336484471776687</v>
      </c>
      <c r="I1118" s="2">
        <f t="shared" si="85"/>
        <v>248.34121117944173</v>
      </c>
      <c r="J1118" s="4">
        <f t="shared" si="87"/>
        <v>9.1422479329790249</v>
      </c>
      <c r="K1118" s="4">
        <f t="shared" si="86"/>
        <v>2285.5619832447564</v>
      </c>
      <c r="L1118">
        <v>4</v>
      </c>
    </row>
    <row r="1119" spans="1:12" x14ac:dyDescent="0.3">
      <c r="A1119" t="s">
        <v>161</v>
      </c>
      <c r="B1119" t="s">
        <v>75</v>
      </c>
      <c r="C1119" s="4">
        <v>0.86</v>
      </c>
      <c r="D1119" s="4">
        <v>0.65666666699999998</v>
      </c>
      <c r="E1119">
        <v>9</v>
      </c>
      <c r="F1119" s="1">
        <v>17.32484076433121</v>
      </c>
      <c r="G1119" s="2">
        <f t="shared" si="88"/>
        <v>235.73734318145486</v>
      </c>
      <c r="H1119" s="2">
        <f t="shared" si="89"/>
        <v>99.762385404886388</v>
      </c>
      <c r="I1119" s="2">
        <f t="shared" si="85"/>
        <v>19952.477080977278</v>
      </c>
      <c r="J1119" s="4">
        <f t="shared" si="87"/>
        <v>18.440428386547122</v>
      </c>
      <c r="K1119" s="4">
        <f t="shared" si="86"/>
        <v>3688.0856773094247</v>
      </c>
      <c r="L1119">
        <v>5</v>
      </c>
    </row>
    <row r="1120" spans="1:12" x14ac:dyDescent="0.3">
      <c r="A1120" t="s">
        <v>161</v>
      </c>
      <c r="B1120" t="s">
        <v>75</v>
      </c>
      <c r="C1120" s="4">
        <v>0.86</v>
      </c>
      <c r="D1120" s="4">
        <v>0.65666666699999998</v>
      </c>
      <c r="E1120">
        <v>7</v>
      </c>
      <c r="F1120" s="1">
        <v>10.063694267515924</v>
      </c>
      <c r="G1120" s="2">
        <f t="shared" si="88"/>
        <v>79.543509882972543</v>
      </c>
      <c r="H1120" s="2">
        <f t="shared" si="89"/>
        <v>27.035969999270456</v>
      </c>
      <c r="I1120" s="2">
        <f t="shared" si="85"/>
        <v>5407.1939998540911</v>
      </c>
      <c r="J1120" s="4">
        <f t="shared" si="87"/>
        <v>11.467009586595804</v>
      </c>
      <c r="K1120" s="4">
        <f t="shared" si="86"/>
        <v>2293.4019173191609</v>
      </c>
      <c r="L1120">
        <v>5</v>
      </c>
    </row>
    <row r="1121" spans="1:12" x14ac:dyDescent="0.3">
      <c r="A1121" t="s">
        <v>161</v>
      </c>
      <c r="B1121" t="s">
        <v>60</v>
      </c>
      <c r="C1121" s="4">
        <v>0.41</v>
      </c>
      <c r="D1121" s="4">
        <v>0.33983503399999998</v>
      </c>
      <c r="E1121">
        <v>9</v>
      </c>
      <c r="F1121" s="1">
        <v>10.828025477707007</v>
      </c>
      <c r="G1121" s="2">
        <f t="shared" si="88"/>
        <v>92.084899680255816</v>
      </c>
      <c r="H1121" s="2">
        <f t="shared" si="89"/>
        <v>20.956253324629213</v>
      </c>
      <c r="I1121" s="2">
        <f t="shared" si="85"/>
        <v>4191.2506649258421</v>
      </c>
      <c r="J1121" s="4">
        <f t="shared" si="87"/>
        <v>12.678953275994969</v>
      </c>
      <c r="K1121" s="4">
        <f t="shared" si="86"/>
        <v>2535.7906551989936</v>
      </c>
      <c r="L1121">
        <v>5</v>
      </c>
    </row>
    <row r="1122" spans="1:12" x14ac:dyDescent="0.3">
      <c r="A1122" t="s">
        <v>161</v>
      </c>
      <c r="B1122" t="s">
        <v>60</v>
      </c>
      <c r="C1122" s="4">
        <v>0.41</v>
      </c>
      <c r="D1122" s="4">
        <v>0.33983503399999998</v>
      </c>
      <c r="E1122">
        <v>6.8</v>
      </c>
      <c r="F1122" s="1">
        <v>13.566878980891719</v>
      </c>
      <c r="G1122" s="2">
        <f t="shared" si="88"/>
        <v>144.56054718316696</v>
      </c>
      <c r="H1122" s="2">
        <f t="shared" si="89"/>
        <v>24.754966368311116</v>
      </c>
      <c r="I1122" s="2">
        <f t="shared" si="85"/>
        <v>4950.9932736622231</v>
      </c>
      <c r="J1122" s="4">
        <f t="shared" si="87"/>
        <v>13.366332885715444</v>
      </c>
      <c r="K1122" s="4">
        <f t="shared" si="86"/>
        <v>2673.2665771430889</v>
      </c>
      <c r="L1122">
        <v>5</v>
      </c>
    </row>
    <row r="1123" spans="1:12" x14ac:dyDescent="0.3">
      <c r="A1123" t="s">
        <v>161</v>
      </c>
      <c r="B1123" t="s">
        <v>60</v>
      </c>
      <c r="C1123" s="4">
        <v>0.41</v>
      </c>
      <c r="D1123" s="4">
        <v>0.33983503399999998</v>
      </c>
      <c r="E1123">
        <v>6</v>
      </c>
      <c r="F1123" s="1">
        <v>4.4267515923566876</v>
      </c>
      <c r="G1123" s="2">
        <f t="shared" si="88"/>
        <v>15.390764245001924</v>
      </c>
      <c r="H1123" s="2">
        <f t="shared" si="89"/>
        <v>2.4613116927176866</v>
      </c>
      <c r="I1123" s="2">
        <f t="shared" si="85"/>
        <v>492.26233854353734</v>
      </c>
      <c r="J1123" s="4">
        <f t="shared" si="87"/>
        <v>9.3972187228690807</v>
      </c>
      <c r="K1123" s="4">
        <f t="shared" si="86"/>
        <v>1879.443744573816</v>
      </c>
      <c r="L1123">
        <v>5</v>
      </c>
    </row>
    <row r="1124" spans="1:12" x14ac:dyDescent="0.3">
      <c r="A1124" t="s">
        <v>161</v>
      </c>
      <c r="B1124" t="s">
        <v>69</v>
      </c>
      <c r="C1124" s="4">
        <v>0.31264018999999998</v>
      </c>
      <c r="D1124" s="4">
        <v>0.356821212</v>
      </c>
      <c r="E1124">
        <v>3</v>
      </c>
      <c r="F1124" s="1">
        <v>17.515923566878982</v>
      </c>
      <c r="G1124" s="2">
        <f t="shared" si="88"/>
        <v>240.96610859236495</v>
      </c>
      <c r="H1124" s="2">
        <f t="shared" si="89"/>
        <v>19.233510273629133</v>
      </c>
      <c r="I1124" s="2">
        <f t="shared" si="85"/>
        <v>3846.7020547258267</v>
      </c>
      <c r="J1124" s="4">
        <f t="shared" si="87"/>
        <v>12.207179573207839</v>
      </c>
      <c r="K1124" s="4">
        <f t="shared" si="86"/>
        <v>2441.4359146415677</v>
      </c>
      <c r="L1124">
        <v>5</v>
      </c>
    </row>
    <row r="1125" spans="1:12" x14ac:dyDescent="0.3">
      <c r="A1125" t="s">
        <v>161</v>
      </c>
      <c r="B1125" t="s">
        <v>162</v>
      </c>
      <c r="C1125" s="4">
        <v>0.52800000000000002</v>
      </c>
      <c r="D1125" s="4">
        <v>0.51040266700000003</v>
      </c>
      <c r="E1125">
        <v>5</v>
      </c>
      <c r="F1125" s="1">
        <v>3.6624203821656049</v>
      </c>
      <c r="G1125" s="2">
        <f t="shared" si="88"/>
        <v>10.534799293005044</v>
      </c>
      <c r="H1125" s="2">
        <f t="shared" si="89"/>
        <v>2.1164515176566194</v>
      </c>
      <c r="I1125" s="2">
        <f t="shared" si="85"/>
        <v>423.29030353132384</v>
      </c>
      <c r="J1125" s="4">
        <f t="shared" si="87"/>
        <v>9.2204331534747848</v>
      </c>
      <c r="K1125" s="4">
        <f t="shared" si="86"/>
        <v>1844.086630694957</v>
      </c>
      <c r="L1125">
        <v>5</v>
      </c>
    </row>
    <row r="1126" spans="1:12" x14ac:dyDescent="0.3">
      <c r="A1126" t="s">
        <v>161</v>
      </c>
      <c r="B1126" t="s">
        <v>45</v>
      </c>
      <c r="C1126" s="4">
        <v>0.81991655299999999</v>
      </c>
      <c r="D1126" s="4">
        <v>0.72276027399999998</v>
      </c>
      <c r="E1126">
        <v>4.5</v>
      </c>
      <c r="F1126" s="1">
        <v>11.146496815286623</v>
      </c>
      <c r="G1126" s="2">
        <f t="shared" si="88"/>
        <v>97.581316702693215</v>
      </c>
      <c r="H1126" s="2">
        <f t="shared" si="89"/>
        <v>23.547404188882517</v>
      </c>
      <c r="I1126" s="2">
        <f t="shared" si="85"/>
        <v>4709.480837776503</v>
      </c>
      <c r="J1126" s="4">
        <f t="shared" si="87"/>
        <v>10.942549162237817</v>
      </c>
      <c r="K1126" s="4">
        <f t="shared" si="86"/>
        <v>2188.5098324475634</v>
      </c>
      <c r="L1126">
        <v>5</v>
      </c>
    </row>
    <row r="1127" spans="1:12" x14ac:dyDescent="0.3">
      <c r="A1127" t="s">
        <v>161</v>
      </c>
      <c r="B1127" t="s">
        <v>41</v>
      </c>
      <c r="C1127" s="4">
        <v>0.56193137999999998</v>
      </c>
      <c r="D1127" s="4">
        <v>0.57808694400000005</v>
      </c>
      <c r="E1127">
        <v>8</v>
      </c>
      <c r="F1127" s="1">
        <v>28.280254777070063</v>
      </c>
      <c r="G1127" s="2">
        <f t="shared" si="88"/>
        <v>628.14009631027375</v>
      </c>
      <c r="H1127" s="2">
        <f t="shared" si="89"/>
        <v>204.3768272350087</v>
      </c>
      <c r="I1127" s="2">
        <f t="shared" si="85"/>
        <v>40875.365447001743</v>
      </c>
      <c r="J1127" s="4">
        <f t="shared" si="87"/>
        <v>31.379338687167838</v>
      </c>
      <c r="K1127" s="4">
        <f t="shared" si="86"/>
        <v>6275.8677374335675</v>
      </c>
      <c r="L1127">
        <v>5</v>
      </c>
    </row>
    <row r="1128" spans="1:12" x14ac:dyDescent="0.3">
      <c r="A1128" t="s">
        <v>161</v>
      </c>
      <c r="B1128" t="s">
        <v>41</v>
      </c>
      <c r="C1128" s="4">
        <v>0.56193137999999998</v>
      </c>
      <c r="D1128" s="4">
        <v>0.57808694400000005</v>
      </c>
      <c r="E1128">
        <v>8</v>
      </c>
      <c r="F1128" s="1">
        <v>25.445859872611464</v>
      </c>
      <c r="G1128" s="2">
        <f t="shared" si="88"/>
        <v>508.53885848421271</v>
      </c>
      <c r="H1128" s="2">
        <f t="shared" si="89"/>
        <v>166.30329606991887</v>
      </c>
      <c r="I1128" s="2">
        <f t="shared" si="85"/>
        <v>33260.659213983774</v>
      </c>
      <c r="J1128" s="4">
        <f t="shared" si="87"/>
        <v>27.115469970384197</v>
      </c>
      <c r="K1128" s="4">
        <f t="shared" si="86"/>
        <v>5423.0939940768394</v>
      </c>
      <c r="L1128">
        <v>5</v>
      </c>
    </row>
    <row r="1129" spans="1:12" x14ac:dyDescent="0.3">
      <c r="A1129" t="s">
        <v>161</v>
      </c>
      <c r="B1129" t="s">
        <v>157</v>
      </c>
      <c r="C1129" s="4">
        <v>0.63</v>
      </c>
      <c r="D1129" s="4">
        <v>0.629222222</v>
      </c>
      <c r="E1129">
        <v>2.5</v>
      </c>
      <c r="F1129" s="1">
        <v>4.6815286624203818</v>
      </c>
      <c r="G1129" s="2">
        <f t="shared" si="88"/>
        <v>17.213344266355083</v>
      </c>
      <c r="H1129" s="2">
        <f t="shared" si="89"/>
        <v>2.1312482113859614</v>
      </c>
      <c r="I1129" s="2">
        <f t="shared" si="85"/>
        <v>426.24964227719227</v>
      </c>
      <c r="J1129" s="4">
        <f t="shared" si="87"/>
        <v>9.1774712178993063</v>
      </c>
      <c r="K1129" s="4">
        <f t="shared" si="86"/>
        <v>1835.4942435798614</v>
      </c>
      <c r="L1129">
        <v>5</v>
      </c>
    </row>
    <row r="1130" spans="1:12" x14ac:dyDescent="0.3">
      <c r="A1130" t="s">
        <v>161</v>
      </c>
      <c r="B1130" t="s">
        <v>20</v>
      </c>
      <c r="C1130" s="4">
        <v>0.74387999999999999</v>
      </c>
      <c r="D1130" s="4">
        <v>0.59130000000000005</v>
      </c>
      <c r="E1130">
        <v>6.5</v>
      </c>
      <c r="F1130" s="1">
        <v>5.1592356687898082</v>
      </c>
      <c r="G1130" s="2">
        <f t="shared" si="88"/>
        <v>20.905502657514127</v>
      </c>
      <c r="H1130" s="2">
        <f t="shared" si="89"/>
        <v>6.1612612699501046</v>
      </c>
      <c r="I1130" s="2">
        <f t="shared" si="85"/>
        <v>1232.2522539900208</v>
      </c>
      <c r="J1130" s="4">
        <f t="shared" si="87"/>
        <v>9.5912529636090706</v>
      </c>
      <c r="K1130" s="4">
        <f t="shared" si="86"/>
        <v>1918.2505927218142</v>
      </c>
      <c r="L1130">
        <v>5</v>
      </c>
    </row>
    <row r="1131" spans="1:12" x14ac:dyDescent="0.3">
      <c r="A1131" t="s">
        <v>161</v>
      </c>
      <c r="B1131" t="s">
        <v>20</v>
      </c>
      <c r="C1131" s="4">
        <v>0.74387999999999999</v>
      </c>
      <c r="D1131" s="4">
        <v>0.59130000000000005</v>
      </c>
      <c r="E1131">
        <v>6.5</v>
      </c>
      <c r="F1131" s="1">
        <v>8.3121019108280247</v>
      </c>
      <c r="G1131" s="2">
        <f t="shared" si="88"/>
        <v>54.263974490646241</v>
      </c>
      <c r="H1131" s="2">
        <f t="shared" si="89"/>
        <v>15.63070574933383</v>
      </c>
      <c r="I1131" s="2">
        <f t="shared" si="85"/>
        <v>3126.1411498667658</v>
      </c>
      <c r="J1131" s="4">
        <f t="shared" si="87"/>
        <v>10.557521118503793</v>
      </c>
      <c r="K1131" s="4">
        <f t="shared" si="86"/>
        <v>2111.5042237007588</v>
      </c>
      <c r="L1131">
        <v>5</v>
      </c>
    </row>
    <row r="1132" spans="1:12" x14ac:dyDescent="0.3">
      <c r="A1132" t="s">
        <v>161</v>
      </c>
      <c r="B1132" t="s">
        <v>163</v>
      </c>
      <c r="C1132" s="4">
        <v>0.65</v>
      </c>
      <c r="D1132" s="4">
        <v>0.65</v>
      </c>
      <c r="E1132">
        <v>8</v>
      </c>
      <c r="F1132" s="1">
        <v>18.694267515923567</v>
      </c>
      <c r="G1132" s="2">
        <f t="shared" si="88"/>
        <v>274.47752420351264</v>
      </c>
      <c r="H1132" s="2">
        <f t="shared" si="89"/>
        <v>102.14314558846695</v>
      </c>
      <c r="I1132" s="2">
        <f t="shared" si="85"/>
        <v>20428.629117693392</v>
      </c>
      <c r="J1132" s="4">
        <f t="shared" si="87"/>
        <v>18.77101786279362</v>
      </c>
      <c r="K1132" s="4">
        <f t="shared" si="86"/>
        <v>3754.2035725587239</v>
      </c>
      <c r="L1132">
        <v>5</v>
      </c>
    </row>
    <row r="1133" spans="1:12" x14ac:dyDescent="0.3">
      <c r="A1133" t="s">
        <v>161</v>
      </c>
      <c r="B1133" t="s">
        <v>163</v>
      </c>
      <c r="C1133" s="4">
        <v>0.65</v>
      </c>
      <c r="D1133" s="4">
        <v>0.65</v>
      </c>
      <c r="E1133">
        <v>7.1</v>
      </c>
      <c r="F1133" s="1">
        <v>12.86624203821656</v>
      </c>
      <c r="G1133" s="2">
        <f t="shared" si="88"/>
        <v>130.01495662813696</v>
      </c>
      <c r="H1133" s="2">
        <f t="shared" si="89"/>
        <v>43.842610002845468</v>
      </c>
      <c r="I1133" s="2">
        <f t="shared" si="85"/>
        <v>8768.5220005690935</v>
      </c>
      <c r="J1133" s="4">
        <f t="shared" si="87"/>
        <v>13.099373577021378</v>
      </c>
      <c r="K1133" s="4">
        <f t="shared" si="86"/>
        <v>2619.8747154042758</v>
      </c>
      <c r="L1133">
        <v>5</v>
      </c>
    </row>
    <row r="1134" spans="1:12" x14ac:dyDescent="0.3">
      <c r="A1134" t="s">
        <v>161</v>
      </c>
      <c r="B1134" t="s">
        <v>163</v>
      </c>
      <c r="C1134" s="4">
        <v>0.65</v>
      </c>
      <c r="D1134" s="4">
        <v>0.65</v>
      </c>
      <c r="E1134">
        <v>7</v>
      </c>
      <c r="F1134" s="1">
        <v>23.917197452229296</v>
      </c>
      <c r="G1134" s="2">
        <f t="shared" si="88"/>
        <v>449.27314450314827</v>
      </c>
      <c r="H1134" s="2">
        <f t="shared" si="89"/>
        <v>145.03628642434612</v>
      </c>
      <c r="I1134" s="2">
        <f t="shared" si="85"/>
        <v>29007.257284869225</v>
      </c>
      <c r="J1134" s="4">
        <f t="shared" si="87"/>
        <v>23.000492182238624</v>
      </c>
      <c r="K1134" s="4">
        <f t="shared" si="86"/>
        <v>4600.0984364477245</v>
      </c>
      <c r="L1134">
        <v>5</v>
      </c>
    </row>
    <row r="1135" spans="1:12" x14ac:dyDescent="0.3">
      <c r="A1135" t="s">
        <v>161</v>
      </c>
      <c r="B1135" t="s">
        <v>163</v>
      </c>
      <c r="C1135" s="4">
        <v>0.65</v>
      </c>
      <c r="D1135" s="4">
        <v>0.65</v>
      </c>
      <c r="E1135">
        <v>7</v>
      </c>
      <c r="F1135" s="1">
        <v>12.579617834394904</v>
      </c>
      <c r="G1135" s="2">
        <f t="shared" si="88"/>
        <v>124.28673419214456</v>
      </c>
      <c r="H1135" s="2">
        <f t="shared" si="89"/>
        <v>41.37948154666315</v>
      </c>
      <c r="I1135" s="2">
        <f t="shared" si="85"/>
        <v>8275.8963093326292</v>
      </c>
      <c r="J1135" s="4">
        <f t="shared" si="87"/>
        <v>12.862746229055944</v>
      </c>
      <c r="K1135" s="4">
        <f t="shared" si="86"/>
        <v>2572.5492458111885</v>
      </c>
      <c r="L1135">
        <v>5</v>
      </c>
    </row>
    <row r="1136" spans="1:12" x14ac:dyDescent="0.3">
      <c r="A1136" t="s">
        <v>161</v>
      </c>
      <c r="B1136" t="s">
        <v>22</v>
      </c>
      <c r="C1136" s="4">
        <v>0.43836446099999998</v>
      </c>
      <c r="D1136" s="4">
        <v>0.58666666700000003</v>
      </c>
      <c r="E1136">
        <v>4.7</v>
      </c>
      <c r="F1136" s="1">
        <v>12.547770700636942</v>
      </c>
      <c r="G1136" s="2">
        <f t="shared" si="88"/>
        <v>123.65823085436149</v>
      </c>
      <c r="H1136" s="2">
        <f t="shared" si="89"/>
        <v>25.25425404609415</v>
      </c>
      <c r="I1136" s="2">
        <f t="shared" si="85"/>
        <v>5050.8508092188295</v>
      </c>
      <c r="J1136" s="4">
        <f t="shared" si="87"/>
        <v>11.5756957401923</v>
      </c>
      <c r="K1136" s="4">
        <f t="shared" si="86"/>
        <v>2315.13914803846</v>
      </c>
      <c r="L1136">
        <v>5</v>
      </c>
    </row>
    <row r="1137" spans="1:12" x14ac:dyDescent="0.3">
      <c r="A1137" t="s">
        <v>161</v>
      </c>
      <c r="B1137" t="s">
        <v>22</v>
      </c>
      <c r="C1137" s="4">
        <v>0.43836446099999998</v>
      </c>
      <c r="D1137" s="4">
        <v>0.58666666700000003</v>
      </c>
      <c r="E1137">
        <v>2</v>
      </c>
      <c r="F1137" s="1">
        <v>5.8280254777070066</v>
      </c>
      <c r="G1137" s="2">
        <f t="shared" si="88"/>
        <v>26.676740531073417</v>
      </c>
      <c r="H1137" s="2">
        <f t="shared" si="89"/>
        <v>2.4550945008419953</v>
      </c>
      <c r="I1137" s="2">
        <f t="shared" si="85"/>
        <v>491.01890016839906</v>
      </c>
      <c r="J1137" s="4">
        <f t="shared" si="87"/>
        <v>9.2234611667816129</v>
      </c>
      <c r="K1137" s="4">
        <f t="shared" si="86"/>
        <v>1844.6922333563227</v>
      </c>
      <c r="L1137">
        <v>5</v>
      </c>
    </row>
    <row r="1138" spans="1:12" x14ac:dyDescent="0.3">
      <c r="A1138" t="s">
        <v>161</v>
      </c>
      <c r="B1138" t="s">
        <v>23</v>
      </c>
      <c r="C1138" s="4">
        <v>0.76500000000000001</v>
      </c>
      <c r="D1138" s="4">
        <v>0.61247410899999999</v>
      </c>
      <c r="E1138">
        <v>7</v>
      </c>
      <c r="F1138" s="1">
        <v>15.35031847133758</v>
      </c>
      <c r="G1138" s="2">
        <f t="shared" si="88"/>
        <v>185.06515772764493</v>
      </c>
      <c r="H1138" s="2">
        <f t="shared" si="89"/>
        <v>57.587672455763631</v>
      </c>
      <c r="I1138" s="2">
        <f t="shared" si="85"/>
        <v>11517.534491152726</v>
      </c>
      <c r="J1138" s="4">
        <f t="shared" si="87"/>
        <v>14.758690790701449</v>
      </c>
      <c r="K1138" s="4">
        <f t="shared" si="86"/>
        <v>2951.7381581402897</v>
      </c>
      <c r="L1138">
        <v>5</v>
      </c>
    </row>
    <row r="1139" spans="1:12" x14ac:dyDescent="0.3">
      <c r="A1139" t="s">
        <v>164</v>
      </c>
      <c r="B1139" t="s">
        <v>75</v>
      </c>
      <c r="C1139" s="4">
        <v>0.86</v>
      </c>
      <c r="D1139" s="4">
        <v>0.65666666699999998</v>
      </c>
      <c r="E1139">
        <v>5.5</v>
      </c>
      <c r="F1139" s="1">
        <v>5.1910828025477711</v>
      </c>
      <c r="G1139" s="2">
        <f t="shared" si="88"/>
        <v>21.164391865092711</v>
      </c>
      <c r="H1139" s="2">
        <f t="shared" si="89"/>
        <v>5.8684211315327239</v>
      </c>
      <c r="I1139" s="2">
        <f t="shared" si="85"/>
        <v>1173.6842263065448</v>
      </c>
      <c r="J1139" s="4">
        <f t="shared" si="87"/>
        <v>9.5044363077609635</v>
      </c>
      <c r="K1139" s="4">
        <f t="shared" si="86"/>
        <v>1900.8872615521927</v>
      </c>
      <c r="L1139">
        <v>5</v>
      </c>
    </row>
    <row r="1140" spans="1:12" x14ac:dyDescent="0.3">
      <c r="A1140" t="s">
        <v>164</v>
      </c>
      <c r="B1140" t="s">
        <v>26</v>
      </c>
      <c r="C1140" s="4">
        <v>0.80908761900000004</v>
      </c>
      <c r="D1140" s="4">
        <v>0.87473809499999999</v>
      </c>
      <c r="E1140">
        <v>5.7</v>
      </c>
      <c r="F1140" s="1">
        <v>8.9171974522292992</v>
      </c>
      <c r="G1140" s="2">
        <f t="shared" si="88"/>
        <v>62.452042689723655</v>
      </c>
      <c r="H1140" s="2">
        <f t="shared" si="89"/>
        <v>23.113605422565517</v>
      </c>
      <c r="I1140" s="2">
        <f t="shared" si="85"/>
        <v>4622.7210845131031</v>
      </c>
      <c r="J1140" s="4">
        <f t="shared" si="87"/>
        <v>10.572052387520792</v>
      </c>
      <c r="K1140" s="4">
        <f t="shared" si="86"/>
        <v>2114.4104775041583</v>
      </c>
      <c r="L1140">
        <v>5</v>
      </c>
    </row>
    <row r="1141" spans="1:12" x14ac:dyDescent="0.3">
      <c r="A1141" t="s">
        <v>164</v>
      </c>
      <c r="B1141" t="s">
        <v>60</v>
      </c>
      <c r="C1141" s="4">
        <v>0.41</v>
      </c>
      <c r="D1141" s="4">
        <v>0.33983503399999998</v>
      </c>
      <c r="E1141">
        <v>6.5</v>
      </c>
      <c r="F1141" s="1">
        <v>6.3694267515923562</v>
      </c>
      <c r="G1141" s="2">
        <f t="shared" si="88"/>
        <v>31.863287086593701</v>
      </c>
      <c r="H1141" s="2">
        <f t="shared" si="89"/>
        <v>5.41427227576348</v>
      </c>
      <c r="I1141" s="2">
        <f t="shared" si="85"/>
        <v>1082.8544551526961</v>
      </c>
      <c r="J1141" s="4">
        <f t="shared" si="87"/>
        <v>9.9086583350237323</v>
      </c>
      <c r="K1141" s="4">
        <f t="shared" si="86"/>
        <v>1981.7316670047464</v>
      </c>
      <c r="L1141">
        <v>5</v>
      </c>
    </row>
    <row r="1142" spans="1:12" x14ac:dyDescent="0.3">
      <c r="A1142" t="s">
        <v>164</v>
      </c>
      <c r="B1142" t="s">
        <v>16</v>
      </c>
      <c r="C1142" s="4">
        <v>0.89361000000000002</v>
      </c>
      <c r="D1142" s="4">
        <v>0.61247410899999999</v>
      </c>
      <c r="E1142">
        <v>3.5</v>
      </c>
      <c r="F1142" s="1">
        <v>6.5286624203821653</v>
      </c>
      <c r="G1142" s="2">
        <f t="shared" si="88"/>
        <v>33.476365995352509</v>
      </c>
      <c r="H1142" s="2">
        <f t="shared" si="89"/>
        <v>5.5177239389428951</v>
      </c>
      <c r="I1142" s="2">
        <f t="shared" si="85"/>
        <v>1103.544787788579</v>
      </c>
      <c r="J1142" s="4">
        <f t="shared" si="87"/>
        <v>9.5078370542415502</v>
      </c>
      <c r="K1142" s="4">
        <f t="shared" si="86"/>
        <v>1901.5674108483101</v>
      </c>
      <c r="L1142">
        <v>5</v>
      </c>
    </row>
    <row r="1143" spans="1:12" x14ac:dyDescent="0.3">
      <c r="A1143" t="s">
        <v>164</v>
      </c>
      <c r="B1143" t="s">
        <v>18</v>
      </c>
      <c r="C1143" s="4">
        <v>0.45255480399999998</v>
      </c>
      <c r="D1143" s="4">
        <v>0.57808694400000005</v>
      </c>
      <c r="E1143">
        <v>6</v>
      </c>
      <c r="F1143" s="1">
        <v>2.5796178343949041</v>
      </c>
      <c r="G1143" s="2">
        <f t="shared" si="88"/>
        <v>5.2263756643785317</v>
      </c>
      <c r="H1143" s="2">
        <f t="shared" si="89"/>
        <v>1.4406288031038275</v>
      </c>
      <c r="I1143" s="2">
        <f t="shared" si="85"/>
        <v>288.1257606207655</v>
      </c>
      <c r="J1143" s="4">
        <f t="shared" si="87"/>
        <v>9.1254429916020925</v>
      </c>
      <c r="K1143" s="4">
        <f t="shared" si="86"/>
        <v>1825.0885983204184</v>
      </c>
      <c r="L1143">
        <v>5</v>
      </c>
    </row>
    <row r="1144" spans="1:12" x14ac:dyDescent="0.3">
      <c r="A1144" t="s">
        <v>164</v>
      </c>
      <c r="B1144" t="s">
        <v>31</v>
      </c>
      <c r="C1144" s="4">
        <v>0.63400000000000001</v>
      </c>
      <c r="D1144" s="4">
        <v>0.73247777800000002</v>
      </c>
      <c r="E1144">
        <v>3.7</v>
      </c>
      <c r="F1144" s="1">
        <v>14.076433121019109</v>
      </c>
      <c r="G1144" s="2">
        <f t="shared" si="88"/>
        <v>155.62348045963233</v>
      </c>
      <c r="H1144" s="2">
        <f t="shared" si="89"/>
        <v>31.079708031512745</v>
      </c>
      <c r="I1144" s="2">
        <f t="shared" si="85"/>
        <v>6215.9416063025492</v>
      </c>
      <c r="J1144" s="4">
        <f t="shared" si="87"/>
        <v>11.551690303866282</v>
      </c>
      <c r="K1144" s="4">
        <f t="shared" si="86"/>
        <v>2310.3380607732565</v>
      </c>
      <c r="L1144">
        <v>5</v>
      </c>
    </row>
    <row r="1145" spans="1:12" x14ac:dyDescent="0.3">
      <c r="A1145" t="s">
        <v>164</v>
      </c>
      <c r="B1145" t="s">
        <v>19</v>
      </c>
      <c r="C1145" s="4">
        <v>0.374</v>
      </c>
      <c r="D1145" s="4">
        <v>0.47945833300000001</v>
      </c>
      <c r="E1145">
        <v>4</v>
      </c>
      <c r="F1145" s="1">
        <v>6.2101910828025479</v>
      </c>
      <c r="G1145" s="2">
        <f t="shared" si="88"/>
        <v>30.290037286693146</v>
      </c>
      <c r="H1145" s="2">
        <f t="shared" si="89"/>
        <v>4.4893075039462937</v>
      </c>
      <c r="I1145" s="2">
        <f t="shared" si="85"/>
        <v>897.8615007892588</v>
      </c>
      <c r="J1145" s="4">
        <f t="shared" si="87"/>
        <v>9.5256306259888834</v>
      </c>
      <c r="K1145" s="4">
        <f t="shared" si="86"/>
        <v>1905.1261251977769</v>
      </c>
      <c r="L1145">
        <v>5</v>
      </c>
    </row>
    <row r="1146" spans="1:12" x14ac:dyDescent="0.3">
      <c r="A1146" t="s">
        <v>164</v>
      </c>
      <c r="B1146" t="s">
        <v>20</v>
      </c>
      <c r="C1146" s="4">
        <v>0.74387999999999999</v>
      </c>
      <c r="D1146" s="4">
        <v>0.59130000000000005</v>
      </c>
      <c r="E1146">
        <v>6</v>
      </c>
      <c r="F1146" s="1">
        <v>8.2165605095541405</v>
      </c>
      <c r="G1146" s="2">
        <f t="shared" si="88"/>
        <v>53.023696040800587</v>
      </c>
      <c r="H1146" s="2">
        <f t="shared" si="89"/>
        <v>14.133514457911701</v>
      </c>
      <c r="I1146" s="2">
        <f t="shared" si="85"/>
        <v>2826.7028915823403</v>
      </c>
      <c r="J1146" s="4">
        <f t="shared" si="87"/>
        <v>10.403449198750456</v>
      </c>
      <c r="K1146" s="4">
        <f t="shared" si="86"/>
        <v>2080.6898397500913</v>
      </c>
      <c r="L1146">
        <v>5</v>
      </c>
    </row>
    <row r="1147" spans="1:12" x14ac:dyDescent="0.3">
      <c r="A1147" t="s">
        <v>164</v>
      </c>
      <c r="B1147" t="s">
        <v>163</v>
      </c>
      <c r="C1147" s="4">
        <v>0.65</v>
      </c>
      <c r="D1147" s="4">
        <v>0.65</v>
      </c>
      <c r="E1147">
        <v>8.5</v>
      </c>
      <c r="F1147" s="1">
        <v>14.904458598726114</v>
      </c>
      <c r="G1147" s="2">
        <f t="shared" si="88"/>
        <v>174.4706147713525</v>
      </c>
      <c r="H1147" s="2">
        <f t="shared" si="89"/>
        <v>69.637729696221953</v>
      </c>
      <c r="I1147" s="2">
        <f t="shared" si="85"/>
        <v>13927.545939244392</v>
      </c>
      <c r="J1147" s="4">
        <f t="shared" si="87"/>
        <v>15.594450862103939</v>
      </c>
      <c r="K1147" s="4">
        <f t="shared" si="86"/>
        <v>3118.8901724207876</v>
      </c>
      <c r="L1147">
        <v>5</v>
      </c>
    </row>
    <row r="1148" spans="1:12" x14ac:dyDescent="0.3">
      <c r="A1148" t="s">
        <v>164</v>
      </c>
      <c r="B1148" t="s">
        <v>163</v>
      </c>
      <c r="C1148" s="4">
        <v>0.65</v>
      </c>
      <c r="D1148" s="4">
        <v>0.65</v>
      </c>
      <c r="E1148">
        <v>8</v>
      </c>
      <c r="F1148" s="1">
        <v>8.2802547770700627</v>
      </c>
      <c r="G1148" s="2">
        <f t="shared" si="88"/>
        <v>53.848955176343352</v>
      </c>
      <c r="H1148" s="2">
        <f t="shared" si="89"/>
        <v>20.837980621202739</v>
      </c>
      <c r="I1148" s="2">
        <f t="shared" si="85"/>
        <v>4167.5961242405483</v>
      </c>
      <c r="J1148" s="4">
        <f t="shared" si="87"/>
        <v>10.905453336849364</v>
      </c>
      <c r="K1148" s="4">
        <f t="shared" si="86"/>
        <v>2181.0906673698728</v>
      </c>
      <c r="L1148">
        <v>5</v>
      </c>
    </row>
    <row r="1149" spans="1:12" x14ac:dyDescent="0.3">
      <c r="A1149" t="s">
        <v>164</v>
      </c>
      <c r="B1149" t="s">
        <v>23</v>
      </c>
      <c r="C1149" s="4">
        <v>0.76500000000000001</v>
      </c>
      <c r="D1149" s="4">
        <v>0.61247410899999999</v>
      </c>
      <c r="E1149">
        <v>8</v>
      </c>
      <c r="F1149" s="1">
        <v>12.13375796178344</v>
      </c>
      <c r="G1149" s="2">
        <f t="shared" si="88"/>
        <v>115.63266541942573</v>
      </c>
      <c r="H1149" s="2">
        <f t="shared" si="89"/>
        <v>41.456000411800701</v>
      </c>
      <c r="I1149" s="2">
        <f t="shared" si="85"/>
        <v>8291.2000823601393</v>
      </c>
      <c r="J1149" s="4">
        <f t="shared" si="87"/>
        <v>13.108086303704004</v>
      </c>
      <c r="K1149" s="4">
        <f t="shared" si="86"/>
        <v>2621.6172607408007</v>
      </c>
      <c r="L1149">
        <v>5</v>
      </c>
    </row>
    <row r="1150" spans="1:12" x14ac:dyDescent="0.3">
      <c r="A1150" t="s">
        <v>164</v>
      </c>
      <c r="B1150" t="s">
        <v>23</v>
      </c>
      <c r="C1150" s="4">
        <v>0.76500000000000001</v>
      </c>
      <c r="D1150" s="4">
        <v>0.61247410899999999</v>
      </c>
      <c r="E1150">
        <v>7</v>
      </c>
      <c r="F1150" s="1">
        <v>28.057324840764327</v>
      </c>
      <c r="G1150" s="2">
        <f t="shared" si="88"/>
        <v>618.27601921044129</v>
      </c>
      <c r="H1150" s="2">
        <f t="shared" si="89"/>
        <v>186.90231489610454</v>
      </c>
      <c r="I1150" s="2">
        <f t="shared" si="85"/>
        <v>37380.462979220909</v>
      </c>
      <c r="J1150" s="4">
        <f t="shared" si="87"/>
        <v>28.272430191894188</v>
      </c>
      <c r="K1150" s="4">
        <f t="shared" si="86"/>
        <v>5654.4860383788382</v>
      </c>
      <c r="L1150">
        <v>5</v>
      </c>
    </row>
    <row r="1151" spans="1:12" x14ac:dyDescent="0.3">
      <c r="A1151" t="s">
        <v>165</v>
      </c>
      <c r="B1151" t="s">
        <v>75</v>
      </c>
      <c r="C1151" s="4">
        <v>0.86</v>
      </c>
      <c r="D1151" s="4">
        <v>0.65666666699999998</v>
      </c>
      <c r="E1151">
        <v>7</v>
      </c>
      <c r="F1151" s="1">
        <v>7.0063694267515917</v>
      </c>
      <c r="G1151" s="2">
        <f t="shared" si="88"/>
        <v>38.554577374778376</v>
      </c>
      <c r="H1151" s="2">
        <f t="shared" si="89"/>
        <v>13.334042761422451</v>
      </c>
      <c r="I1151" s="2">
        <f t="shared" si="85"/>
        <v>2666.8085522844899</v>
      </c>
      <c r="J1151" s="4">
        <f t="shared" si="87"/>
        <v>10.188385707330925</v>
      </c>
      <c r="K1151" s="4">
        <f t="shared" si="86"/>
        <v>2037.6771414661848</v>
      </c>
      <c r="L1151">
        <v>5</v>
      </c>
    </row>
    <row r="1152" spans="1:12" x14ac:dyDescent="0.3">
      <c r="A1152" t="s">
        <v>165</v>
      </c>
      <c r="B1152" t="s">
        <v>51</v>
      </c>
      <c r="C1152" s="4">
        <v>0.40257753800000001</v>
      </c>
      <c r="D1152" s="4">
        <v>0.40843333300000001</v>
      </c>
      <c r="E1152">
        <v>7</v>
      </c>
      <c r="F1152" s="1">
        <v>10.19108280254777</v>
      </c>
      <c r="G1152" s="2">
        <f t="shared" si="88"/>
        <v>81.570014941679872</v>
      </c>
      <c r="H1152" s="2">
        <f t="shared" si="89"/>
        <v>17.43135333141527</v>
      </c>
      <c r="I1152" s="2">
        <f t="shared" si="85"/>
        <v>3486.2706662830542</v>
      </c>
      <c r="J1152" s="4">
        <f t="shared" si="87"/>
        <v>11.53022513286543</v>
      </c>
      <c r="K1152" s="4">
        <f t="shared" si="86"/>
        <v>2306.045026573086</v>
      </c>
      <c r="L1152">
        <v>5</v>
      </c>
    </row>
    <row r="1153" spans="1:12" x14ac:dyDescent="0.3">
      <c r="A1153" t="s">
        <v>165</v>
      </c>
      <c r="B1153" t="s">
        <v>60</v>
      </c>
      <c r="C1153" s="4">
        <v>0.41</v>
      </c>
      <c r="D1153" s="4">
        <v>0.33983503399999998</v>
      </c>
      <c r="E1153">
        <v>6</v>
      </c>
      <c r="F1153" s="1">
        <v>4.7770700636942669</v>
      </c>
      <c r="G1153" s="2">
        <f t="shared" si="88"/>
        <v>17.923098986208956</v>
      </c>
      <c r="H1153" s="2">
        <f t="shared" si="89"/>
        <v>2.8558267842503433</v>
      </c>
      <c r="I1153" s="2">
        <f t="shared" si="85"/>
        <v>571.16535685006863</v>
      </c>
      <c r="J1153" s="4">
        <f t="shared" si="87"/>
        <v>9.4649283662623223</v>
      </c>
      <c r="K1153" s="4">
        <f t="shared" si="86"/>
        <v>1892.9856732524645</v>
      </c>
      <c r="L1153">
        <v>5</v>
      </c>
    </row>
    <row r="1154" spans="1:12" x14ac:dyDescent="0.3">
      <c r="A1154" t="s">
        <v>165</v>
      </c>
      <c r="B1154" t="s">
        <v>162</v>
      </c>
      <c r="C1154" s="4">
        <v>0.52800000000000002</v>
      </c>
      <c r="D1154" s="4">
        <v>0.51040266700000003</v>
      </c>
      <c r="E1154">
        <v>8</v>
      </c>
      <c r="F1154" s="1">
        <v>3.9808917197452227</v>
      </c>
      <c r="G1154" s="2">
        <f t="shared" si="88"/>
        <v>12.446596518200664</v>
      </c>
      <c r="H1154" s="2">
        <f t="shared" si="89"/>
        <v>3.9401757017232075</v>
      </c>
      <c r="I1154" s="2">
        <f t="shared" ref="I1154:I1217" si="90">(H1154*1000)/L1154</f>
        <v>788.03514034464149</v>
      </c>
      <c r="J1154" s="4">
        <f t="shared" si="87"/>
        <v>9.4294299687614096</v>
      </c>
      <c r="K1154" s="4">
        <f t="shared" ref="K1154:K1217" si="91">(J1154*1000)/L1154</f>
        <v>1885.8859937522818</v>
      </c>
      <c r="L1154">
        <v>5</v>
      </c>
    </row>
    <row r="1155" spans="1:12" x14ac:dyDescent="0.3">
      <c r="A1155" t="s">
        <v>165</v>
      </c>
      <c r="B1155" t="s">
        <v>166</v>
      </c>
      <c r="C1155" s="4">
        <v>0.28905069999999999</v>
      </c>
      <c r="D1155" s="4">
        <v>0.28905072500000001</v>
      </c>
      <c r="E1155">
        <v>4</v>
      </c>
      <c r="F1155" s="1">
        <v>3.6624203821656049</v>
      </c>
      <c r="G1155" s="2">
        <f t="shared" si="88"/>
        <v>10.534799293005044</v>
      </c>
      <c r="H1155" s="2">
        <f t="shared" si="89"/>
        <v>0.97726380168262439</v>
      </c>
      <c r="I1155" s="2">
        <f t="shared" si="90"/>
        <v>195.45276033652488</v>
      </c>
      <c r="J1155" s="4">
        <f t="shared" ref="J1155:J1218" si="92">8.9857 + 0.0035 * F1155^2 * E1155</f>
        <v>9.1734865227798288</v>
      </c>
      <c r="K1155" s="4">
        <f t="shared" si="91"/>
        <v>1834.6973045559657</v>
      </c>
      <c r="L1155">
        <v>5</v>
      </c>
    </row>
    <row r="1156" spans="1:12" x14ac:dyDescent="0.3">
      <c r="A1156" t="s">
        <v>165</v>
      </c>
      <c r="B1156" t="s">
        <v>70</v>
      </c>
      <c r="C1156" s="4">
        <v>0.55560299999999996</v>
      </c>
      <c r="D1156" s="4">
        <v>0.55961111100000005</v>
      </c>
      <c r="E1156">
        <v>2.7</v>
      </c>
      <c r="F1156" s="1">
        <v>4.1401273885350314</v>
      </c>
      <c r="G1156" s="2">
        <f t="shared" ref="G1156:G1219" si="93">PI()*(F1156/2)^2</f>
        <v>13.462238794085838</v>
      </c>
      <c r="H1156" s="2">
        <f t="shared" ref="H1156:H1219" si="94">0.0673 * ((D1156 * F1156^2 * E1156)^0.976)</f>
        <v>1.6120329166925151</v>
      </c>
      <c r="I1156" s="2">
        <f t="shared" si="90"/>
        <v>322.40658333850303</v>
      </c>
      <c r="J1156" s="4">
        <f t="shared" si="92"/>
        <v>9.1476791877966654</v>
      </c>
      <c r="K1156" s="4">
        <f t="shared" si="91"/>
        <v>1829.5358375593332</v>
      </c>
      <c r="L1156">
        <v>5</v>
      </c>
    </row>
    <row r="1157" spans="1:12" x14ac:dyDescent="0.3">
      <c r="A1157" t="s">
        <v>165</v>
      </c>
      <c r="B1157" t="s">
        <v>41</v>
      </c>
      <c r="C1157" s="4">
        <v>0.56193137999999998</v>
      </c>
      <c r="D1157" s="4">
        <v>0.57808694400000005</v>
      </c>
      <c r="E1157">
        <v>6.5</v>
      </c>
      <c r="F1157" s="1">
        <v>14.012738853503183</v>
      </c>
      <c r="G1157" s="2">
        <f t="shared" si="93"/>
        <v>154.2183094991135</v>
      </c>
      <c r="H1157" s="2">
        <f t="shared" si="94"/>
        <v>42.377640938858413</v>
      </c>
      <c r="I1157" s="2">
        <f t="shared" si="90"/>
        <v>8475.5281877716825</v>
      </c>
      <c r="J1157" s="4">
        <f t="shared" si="92"/>
        <v>13.452818341514867</v>
      </c>
      <c r="K1157" s="4">
        <f t="shared" si="91"/>
        <v>2690.5636683029734</v>
      </c>
      <c r="L1157">
        <v>5</v>
      </c>
    </row>
    <row r="1158" spans="1:12" x14ac:dyDescent="0.3">
      <c r="A1158" t="s">
        <v>165</v>
      </c>
      <c r="B1158" t="s">
        <v>57</v>
      </c>
      <c r="C1158" s="4">
        <v>0.61</v>
      </c>
      <c r="D1158" s="4">
        <v>0.84088888900000003</v>
      </c>
      <c r="E1158">
        <v>6.5</v>
      </c>
      <c r="F1158" s="1">
        <v>26.751592356687897</v>
      </c>
      <c r="G1158" s="2">
        <f t="shared" si="93"/>
        <v>562.06838420751296</v>
      </c>
      <c r="H1158" s="2">
        <f t="shared" si="94"/>
        <v>215.84892046290057</v>
      </c>
      <c r="I1158" s="2">
        <f t="shared" si="90"/>
        <v>43169.784092580114</v>
      </c>
      <c r="J1158" s="4">
        <f t="shared" si="92"/>
        <v>25.266685029818653</v>
      </c>
      <c r="K1158" s="4">
        <f t="shared" si="91"/>
        <v>5053.3370059637309</v>
      </c>
      <c r="L1158">
        <v>5</v>
      </c>
    </row>
    <row r="1159" spans="1:12" x14ac:dyDescent="0.3">
      <c r="A1159" t="s">
        <v>165</v>
      </c>
      <c r="B1159" t="s">
        <v>135</v>
      </c>
      <c r="C1159" s="4">
        <v>0.84088890000000005</v>
      </c>
      <c r="D1159" s="4">
        <v>0.84088888900000003</v>
      </c>
      <c r="E1159">
        <v>6.5</v>
      </c>
      <c r="F1159" s="1">
        <v>26.114649681528661</v>
      </c>
      <c r="G1159" s="2">
        <f t="shared" si="93"/>
        <v>535.62185592564015</v>
      </c>
      <c r="H1159" s="2">
        <f t="shared" si="94"/>
        <v>205.93082264242753</v>
      </c>
      <c r="I1159" s="2">
        <f t="shared" si="90"/>
        <v>41186.164528485504</v>
      </c>
      <c r="J1159" s="4">
        <f t="shared" si="92"/>
        <v>24.500629611748952</v>
      </c>
      <c r="K1159" s="4">
        <f t="shared" si="91"/>
        <v>4900.12592234979</v>
      </c>
      <c r="L1159">
        <v>5</v>
      </c>
    </row>
    <row r="1160" spans="1:12" x14ac:dyDescent="0.3">
      <c r="A1160" t="s">
        <v>165</v>
      </c>
      <c r="B1160" t="s">
        <v>32</v>
      </c>
      <c r="C1160" s="4">
        <v>0.65716857299999998</v>
      </c>
      <c r="D1160" s="4">
        <v>0.85527777800000004</v>
      </c>
      <c r="E1160">
        <v>4.5</v>
      </c>
      <c r="F1160" s="1">
        <v>10.477707006369426</v>
      </c>
      <c r="G1160" s="2">
        <f t="shared" si="93"/>
        <v>86.222851438499731</v>
      </c>
      <c r="H1160" s="2">
        <f t="shared" si="94"/>
        <v>24.594999222077849</v>
      </c>
      <c r="I1160" s="2">
        <f t="shared" si="90"/>
        <v>4918.9998444155699</v>
      </c>
      <c r="J1160" s="4">
        <f t="shared" si="92"/>
        <v>10.714771919753336</v>
      </c>
      <c r="K1160" s="4">
        <f t="shared" si="91"/>
        <v>2142.9543839506669</v>
      </c>
      <c r="L1160">
        <v>5</v>
      </c>
    </row>
    <row r="1161" spans="1:12" x14ac:dyDescent="0.3">
      <c r="A1161" t="s">
        <v>165</v>
      </c>
      <c r="B1161" t="s">
        <v>22</v>
      </c>
      <c r="C1161" s="4">
        <v>0.43836446099999998</v>
      </c>
      <c r="D1161" s="4">
        <v>0.58666666700000003</v>
      </c>
      <c r="E1161">
        <v>5</v>
      </c>
      <c r="F1161" s="1">
        <v>12.579617834394904</v>
      </c>
      <c r="G1161" s="2">
        <f t="shared" si="93"/>
        <v>124.28673419214456</v>
      </c>
      <c r="H1161" s="2">
        <f t="shared" si="94"/>
        <v>26.959427503089003</v>
      </c>
      <c r="I1161" s="2">
        <f t="shared" si="90"/>
        <v>5391.8855006178001</v>
      </c>
      <c r="J1161" s="4">
        <f t="shared" si="92"/>
        <v>11.755018735039961</v>
      </c>
      <c r="K1161" s="4">
        <f t="shared" si="91"/>
        <v>2351.0037470079924</v>
      </c>
      <c r="L1161">
        <v>5</v>
      </c>
    </row>
    <row r="1162" spans="1:12" x14ac:dyDescent="0.3">
      <c r="A1162" t="s">
        <v>165</v>
      </c>
      <c r="B1162" t="s">
        <v>22</v>
      </c>
      <c r="C1162" s="4">
        <v>0.43836446099999998</v>
      </c>
      <c r="D1162" s="4">
        <v>0.58666666700000003</v>
      </c>
      <c r="E1162">
        <v>4.5</v>
      </c>
      <c r="F1162" s="1">
        <v>1.910828025477707</v>
      </c>
      <c r="G1162" s="2">
        <f t="shared" si="93"/>
        <v>2.8676958377934336</v>
      </c>
      <c r="H1162" s="2">
        <f t="shared" si="94"/>
        <v>0.61439131060667052</v>
      </c>
      <c r="I1162" s="2">
        <f t="shared" si="90"/>
        <v>122.87826212133409</v>
      </c>
      <c r="J1162" s="4">
        <f t="shared" si="92"/>
        <v>9.0432074039514792</v>
      </c>
      <c r="K1162" s="4">
        <f t="shared" si="91"/>
        <v>1808.6414807902959</v>
      </c>
      <c r="L1162">
        <v>5</v>
      </c>
    </row>
    <row r="1163" spans="1:12" x14ac:dyDescent="0.3">
      <c r="A1163" t="s">
        <v>165</v>
      </c>
      <c r="B1163" t="s">
        <v>167</v>
      </c>
      <c r="C1163" s="4">
        <v>0.52607139999999997</v>
      </c>
      <c r="D1163" s="4">
        <v>0.52607142900000003</v>
      </c>
      <c r="E1163">
        <v>4.5999999999999996</v>
      </c>
      <c r="F1163" s="1">
        <v>3.8216560509554141</v>
      </c>
      <c r="G1163" s="2">
        <f t="shared" si="93"/>
        <v>11.470783351173734</v>
      </c>
      <c r="H1163" s="2">
        <f t="shared" si="94"/>
        <v>2.1835415975680585</v>
      </c>
      <c r="I1163" s="2">
        <f t="shared" si="90"/>
        <v>436.70831951361168</v>
      </c>
      <c r="J1163" s="4">
        <f t="shared" si="92"/>
        <v>9.2208413850460467</v>
      </c>
      <c r="K1163" s="4">
        <f t="shared" si="91"/>
        <v>1844.1682770092095</v>
      </c>
      <c r="L1163">
        <v>5</v>
      </c>
    </row>
    <row r="1164" spans="1:12" x14ac:dyDescent="0.3">
      <c r="A1164" t="s">
        <v>165</v>
      </c>
      <c r="B1164" t="s">
        <v>167</v>
      </c>
      <c r="C1164" s="4">
        <v>0.52607139999999997</v>
      </c>
      <c r="D1164" s="4">
        <v>0.52607142900000003</v>
      </c>
      <c r="E1164">
        <v>4.5999999999999996</v>
      </c>
      <c r="F1164" s="1">
        <v>7.8025477707006363</v>
      </c>
      <c r="G1164" s="2">
        <f t="shared" si="93"/>
        <v>47.814845184319672</v>
      </c>
      <c r="H1164" s="2">
        <f t="shared" si="94"/>
        <v>8.7953246427415372</v>
      </c>
      <c r="I1164" s="2">
        <f t="shared" si="90"/>
        <v>1759.0649285483075</v>
      </c>
      <c r="J1164" s="4">
        <f t="shared" si="92"/>
        <v>9.9658640025964544</v>
      </c>
      <c r="K1164" s="4">
        <f t="shared" si="91"/>
        <v>1993.1728005192908</v>
      </c>
      <c r="L1164">
        <v>5</v>
      </c>
    </row>
    <row r="1165" spans="1:12" x14ac:dyDescent="0.3">
      <c r="A1165" t="s">
        <v>165</v>
      </c>
      <c r="B1165" t="s">
        <v>167</v>
      </c>
      <c r="C1165" s="4">
        <v>0.52607139999999997</v>
      </c>
      <c r="D1165" s="4">
        <v>0.52607142900000003</v>
      </c>
      <c r="E1165">
        <v>2.2000000000000002</v>
      </c>
      <c r="F1165" s="1">
        <v>6.3694267515923562</v>
      </c>
      <c r="G1165" s="2">
        <f t="shared" si="93"/>
        <v>31.863287086593701</v>
      </c>
      <c r="H1165" s="2">
        <f t="shared" si="94"/>
        <v>2.8811317731029669</v>
      </c>
      <c r="I1165" s="2">
        <f t="shared" si="90"/>
        <v>576.22635462059338</v>
      </c>
      <c r="J1165" s="4">
        <f t="shared" si="92"/>
        <v>9.2980858980080328</v>
      </c>
      <c r="K1165" s="4">
        <f t="shared" si="91"/>
        <v>1859.6171796016065</v>
      </c>
      <c r="L1165">
        <v>5</v>
      </c>
    </row>
    <row r="1166" spans="1:12" x14ac:dyDescent="0.3">
      <c r="A1166" t="s">
        <v>165</v>
      </c>
      <c r="B1166" t="s">
        <v>132</v>
      </c>
      <c r="C1166" s="4">
        <v>0.68500000000000005</v>
      </c>
      <c r="D1166" s="4">
        <v>0.54</v>
      </c>
      <c r="E1166">
        <v>4</v>
      </c>
      <c r="F1166" s="1">
        <v>3.3439490445859872</v>
      </c>
      <c r="G1166" s="2">
        <f t="shared" si="93"/>
        <v>8.7823185032423901</v>
      </c>
      <c r="H1166" s="2">
        <f t="shared" si="94"/>
        <v>1.5059021872795169</v>
      </c>
      <c r="I1166" s="2">
        <f t="shared" si="90"/>
        <v>301.18043745590342</v>
      </c>
      <c r="J1166" s="4">
        <f t="shared" si="92"/>
        <v>9.1422479329790249</v>
      </c>
      <c r="K1166" s="4">
        <f t="shared" si="91"/>
        <v>1828.4495865958052</v>
      </c>
      <c r="L1166">
        <v>5</v>
      </c>
    </row>
    <row r="1167" spans="1:12" x14ac:dyDescent="0.3">
      <c r="A1167" t="s">
        <v>165</v>
      </c>
      <c r="B1167" t="s">
        <v>132</v>
      </c>
      <c r="C1167" s="4">
        <v>0.68500000000000005</v>
      </c>
      <c r="D1167" s="4">
        <v>0.54</v>
      </c>
      <c r="E1167">
        <v>4</v>
      </c>
      <c r="F1167" s="1">
        <v>2.5477707006369426</v>
      </c>
      <c r="G1167" s="2">
        <f t="shared" si="93"/>
        <v>5.098125933854992</v>
      </c>
      <c r="H1167" s="2">
        <f t="shared" si="94"/>
        <v>0.88565974773216039</v>
      </c>
      <c r="I1167" s="2">
        <f t="shared" si="90"/>
        <v>177.13194954643208</v>
      </c>
      <c r="J1167" s="4">
        <f t="shared" si="92"/>
        <v>9.0765758976023356</v>
      </c>
      <c r="K1167" s="4">
        <f t="shared" si="91"/>
        <v>1815.3151795204672</v>
      </c>
      <c r="L1167">
        <v>5</v>
      </c>
    </row>
    <row r="1168" spans="1:12" x14ac:dyDescent="0.3">
      <c r="A1168" t="s">
        <v>165</v>
      </c>
      <c r="B1168" t="s">
        <v>132</v>
      </c>
      <c r="C1168" s="4">
        <v>0.68500000000000005</v>
      </c>
      <c r="D1168" s="4">
        <v>0.54</v>
      </c>
      <c r="E1168">
        <v>3</v>
      </c>
      <c r="F1168" s="1">
        <v>2.8662420382165603</v>
      </c>
      <c r="G1168" s="2">
        <f t="shared" si="93"/>
        <v>6.4523156350352249</v>
      </c>
      <c r="H1168" s="2">
        <f t="shared" si="94"/>
        <v>0.8417370117193157</v>
      </c>
      <c r="I1168" s="2">
        <f t="shared" si="90"/>
        <v>168.34740234386314</v>
      </c>
      <c r="J1168" s="4">
        <f t="shared" si="92"/>
        <v>9.0719611059272172</v>
      </c>
      <c r="K1168" s="4">
        <f t="shared" si="91"/>
        <v>1814.3922211854435</v>
      </c>
      <c r="L1168">
        <v>5</v>
      </c>
    </row>
    <row r="1169" spans="1:12" x14ac:dyDescent="0.3">
      <c r="A1169" t="s">
        <v>168</v>
      </c>
      <c r="B1169" t="s">
        <v>75</v>
      </c>
      <c r="C1169" s="4">
        <v>0.86</v>
      </c>
      <c r="D1169" s="4">
        <v>0.65666666699999998</v>
      </c>
      <c r="E1169">
        <v>6</v>
      </c>
      <c r="F1169" s="1">
        <v>20.541401273885349</v>
      </c>
      <c r="G1169" s="2">
        <f t="shared" si="93"/>
        <v>331.39810025500361</v>
      </c>
      <c r="H1169" s="2">
        <f t="shared" si="94"/>
        <v>93.642557615678527</v>
      </c>
      <c r="I1169" s="2">
        <f t="shared" si="90"/>
        <v>18728.511523135705</v>
      </c>
      <c r="J1169" s="4">
        <f t="shared" si="92"/>
        <v>17.846632492190352</v>
      </c>
      <c r="K1169" s="4">
        <f t="shared" si="91"/>
        <v>3569.3264984380703</v>
      </c>
      <c r="L1169">
        <v>5</v>
      </c>
    </row>
    <row r="1170" spans="1:12" x14ac:dyDescent="0.3">
      <c r="A1170" t="s">
        <v>168</v>
      </c>
      <c r="B1170" t="s">
        <v>75</v>
      </c>
      <c r="C1170" s="4">
        <v>0.86</v>
      </c>
      <c r="D1170" s="4">
        <v>0.65666666699999998</v>
      </c>
      <c r="E1170">
        <v>4.5</v>
      </c>
      <c r="F1170" s="1">
        <v>5.7324840764331206</v>
      </c>
      <c r="G1170" s="2">
        <f t="shared" si="93"/>
        <v>25.809262540140899</v>
      </c>
      <c r="H1170" s="2">
        <f t="shared" si="94"/>
        <v>5.8555059542885131</v>
      </c>
      <c r="I1170" s="2">
        <f t="shared" si="90"/>
        <v>1171.1011908577025</v>
      </c>
      <c r="J1170" s="4">
        <f t="shared" si="92"/>
        <v>9.5032666355633086</v>
      </c>
      <c r="K1170" s="4">
        <f t="shared" si="91"/>
        <v>1900.6533271126616</v>
      </c>
      <c r="L1170">
        <v>5</v>
      </c>
    </row>
    <row r="1171" spans="1:12" x14ac:dyDescent="0.3">
      <c r="A1171" t="s">
        <v>168</v>
      </c>
      <c r="B1171" t="s">
        <v>75</v>
      </c>
      <c r="C1171" s="4">
        <v>0.86</v>
      </c>
      <c r="D1171" s="4">
        <v>0.65666666699999998</v>
      </c>
      <c r="E1171">
        <v>3</v>
      </c>
      <c r="F1171" s="1">
        <v>2.8662420382165603</v>
      </c>
      <c r="G1171" s="2">
        <f t="shared" si="93"/>
        <v>6.4523156350352249</v>
      </c>
      <c r="H1171" s="2">
        <f t="shared" si="94"/>
        <v>1.0187996956649805</v>
      </c>
      <c r="I1171" s="2">
        <f t="shared" si="90"/>
        <v>203.7599391329961</v>
      </c>
      <c r="J1171" s="4">
        <f t="shared" si="92"/>
        <v>9.0719611059272172</v>
      </c>
      <c r="K1171" s="4">
        <f t="shared" si="91"/>
        <v>1814.3922211854435</v>
      </c>
      <c r="L1171">
        <v>5</v>
      </c>
    </row>
    <row r="1172" spans="1:12" x14ac:dyDescent="0.3">
      <c r="A1172" t="s">
        <v>168</v>
      </c>
      <c r="B1172" t="s">
        <v>57</v>
      </c>
      <c r="C1172" s="4">
        <v>0.61</v>
      </c>
      <c r="D1172" s="4">
        <v>0.84088888900000003</v>
      </c>
      <c r="E1172">
        <v>5</v>
      </c>
      <c r="F1172" s="1">
        <v>32.484076433121018</v>
      </c>
      <c r="G1172" s="2">
        <f t="shared" si="93"/>
        <v>828.76409712230225</v>
      </c>
      <c r="H1172" s="2">
        <f t="shared" si="94"/>
        <v>244.08187901292308</v>
      </c>
      <c r="I1172" s="2">
        <f t="shared" si="90"/>
        <v>48816.375802584618</v>
      </c>
      <c r="J1172" s="4">
        <f t="shared" si="92"/>
        <v>27.451966379974841</v>
      </c>
      <c r="K1172" s="4">
        <f t="shared" si="91"/>
        <v>5490.3932759949685</v>
      </c>
      <c r="L1172">
        <v>5</v>
      </c>
    </row>
    <row r="1173" spans="1:12" x14ac:dyDescent="0.3">
      <c r="A1173" t="s">
        <v>168</v>
      </c>
      <c r="B1173" t="s">
        <v>135</v>
      </c>
      <c r="C1173" s="4">
        <v>0.84088890000000005</v>
      </c>
      <c r="D1173" s="4">
        <v>0.84088888900000003</v>
      </c>
      <c r="E1173">
        <v>8</v>
      </c>
      <c r="F1173" s="1">
        <v>10.19108280254777</v>
      </c>
      <c r="G1173" s="2">
        <f t="shared" si="93"/>
        <v>81.570014941679872</v>
      </c>
      <c r="H1173" s="2">
        <f t="shared" si="94"/>
        <v>40.181103848905387</v>
      </c>
      <c r="I1173" s="2">
        <f t="shared" si="90"/>
        <v>8036.2207697810782</v>
      </c>
      <c r="J1173" s="4">
        <f t="shared" si="92"/>
        <v>11.893728723274776</v>
      </c>
      <c r="K1173" s="4">
        <f t="shared" si="91"/>
        <v>2378.7457446549552</v>
      </c>
      <c r="L1173">
        <v>5</v>
      </c>
    </row>
    <row r="1174" spans="1:12" x14ac:dyDescent="0.3">
      <c r="A1174" t="s">
        <v>168</v>
      </c>
      <c r="B1174" t="s">
        <v>23</v>
      </c>
      <c r="C1174" s="4">
        <v>0.76500000000000001</v>
      </c>
      <c r="D1174" s="4">
        <v>0.61247410899999999</v>
      </c>
      <c r="E1174">
        <v>8.5</v>
      </c>
      <c r="F1174" s="1">
        <v>16.401273885350317</v>
      </c>
      <c r="G1174" s="2">
        <f t="shared" si="93"/>
        <v>211.27350793854535</v>
      </c>
      <c r="H1174" s="2">
        <f t="shared" si="94"/>
        <v>79.2075541136102</v>
      </c>
      <c r="I1174" s="2">
        <f t="shared" si="90"/>
        <v>15841.510822722039</v>
      </c>
      <c r="J1174" s="4">
        <f t="shared" si="92"/>
        <v>16.988503105602661</v>
      </c>
      <c r="K1174" s="4">
        <f t="shared" si="91"/>
        <v>3397.7006211205321</v>
      </c>
      <c r="L1174">
        <v>5</v>
      </c>
    </row>
    <row r="1175" spans="1:12" x14ac:dyDescent="0.3">
      <c r="A1175" t="s">
        <v>168</v>
      </c>
      <c r="B1175" t="s">
        <v>23</v>
      </c>
      <c r="C1175" s="4">
        <v>0.76500000000000001</v>
      </c>
      <c r="D1175" s="4">
        <v>0.61247410899999999</v>
      </c>
      <c r="E1175">
        <v>7</v>
      </c>
      <c r="F1175" s="1">
        <v>26.273885350318469</v>
      </c>
      <c r="G1175" s="2">
        <f t="shared" si="93"/>
        <v>542.173744332821</v>
      </c>
      <c r="H1175" s="2">
        <f t="shared" si="94"/>
        <v>164.41438592655055</v>
      </c>
      <c r="I1175" s="2">
        <f t="shared" si="90"/>
        <v>32882.877185310106</v>
      </c>
      <c r="J1175" s="4">
        <f t="shared" si="92"/>
        <v>25.898467759341145</v>
      </c>
      <c r="K1175" s="4">
        <f t="shared" si="91"/>
        <v>5179.6935518682285</v>
      </c>
      <c r="L1175">
        <v>5</v>
      </c>
    </row>
    <row r="1176" spans="1:12" x14ac:dyDescent="0.3">
      <c r="A1176" t="s">
        <v>168</v>
      </c>
      <c r="B1176" t="s">
        <v>23</v>
      </c>
      <c r="C1176" s="4">
        <v>0.76500000000000001</v>
      </c>
      <c r="D1176" s="4">
        <v>0.61247410899999999</v>
      </c>
      <c r="E1176">
        <v>6</v>
      </c>
      <c r="F1176" s="1">
        <v>14.968152866242038</v>
      </c>
      <c r="G1176" s="2">
        <f t="shared" si="93"/>
        <v>175.96500293571373</v>
      </c>
      <c r="H1176" s="2">
        <f t="shared" si="94"/>
        <v>47.164654694674283</v>
      </c>
      <c r="I1176" s="2">
        <f t="shared" si="90"/>
        <v>9432.9309389348564</v>
      </c>
      <c r="J1176" s="4">
        <f t="shared" si="92"/>
        <v>13.690657604770983</v>
      </c>
      <c r="K1176" s="4">
        <f t="shared" si="91"/>
        <v>2738.1315209541967</v>
      </c>
      <c r="L1176">
        <v>5</v>
      </c>
    </row>
    <row r="1177" spans="1:12" x14ac:dyDescent="0.3">
      <c r="A1177" t="s">
        <v>169</v>
      </c>
      <c r="B1177" t="s">
        <v>75</v>
      </c>
      <c r="C1177" s="4">
        <v>0.86</v>
      </c>
      <c r="D1177" s="4">
        <v>0.65666666699999998</v>
      </c>
      <c r="E1177">
        <v>3.5</v>
      </c>
      <c r="F1177" s="1">
        <v>6.0509554140127388</v>
      </c>
      <c r="G1177" s="2">
        <f t="shared" si="93"/>
        <v>28.756616595650822</v>
      </c>
      <c r="H1177" s="2">
        <f t="shared" si="94"/>
        <v>5.0918373671360291</v>
      </c>
      <c r="I1177" s="2">
        <f t="shared" si="90"/>
        <v>1018.3674734272057</v>
      </c>
      <c r="J1177" s="4">
        <f t="shared" si="92"/>
        <v>9.4342222524240338</v>
      </c>
      <c r="K1177" s="4">
        <f t="shared" si="91"/>
        <v>1886.8444504848067</v>
      </c>
      <c r="L1177">
        <v>5</v>
      </c>
    </row>
    <row r="1178" spans="1:12" x14ac:dyDescent="0.3">
      <c r="A1178" t="s">
        <v>169</v>
      </c>
      <c r="B1178" t="s">
        <v>51</v>
      </c>
      <c r="C1178" s="4">
        <v>0.40257753800000001</v>
      </c>
      <c r="D1178" s="4">
        <v>0.40843333300000001</v>
      </c>
      <c r="E1178">
        <v>12</v>
      </c>
      <c r="F1178" s="1">
        <v>30.095541401273884</v>
      </c>
      <c r="G1178" s="2">
        <f t="shared" si="93"/>
        <v>711.36779876263358</v>
      </c>
      <c r="H1178" s="2">
        <f t="shared" si="94"/>
        <v>244.22293586082694</v>
      </c>
      <c r="I1178" s="2">
        <f t="shared" si="90"/>
        <v>48844.587172165382</v>
      </c>
      <c r="J1178" s="4">
        <f t="shared" si="92"/>
        <v>47.026847713903202</v>
      </c>
      <c r="K1178" s="4">
        <f t="shared" si="91"/>
        <v>9405.3695427806415</v>
      </c>
      <c r="L1178">
        <v>5</v>
      </c>
    </row>
    <row r="1179" spans="1:12" x14ac:dyDescent="0.3">
      <c r="A1179" t="s">
        <v>169</v>
      </c>
      <c r="B1179" t="s">
        <v>60</v>
      </c>
      <c r="C1179" s="4">
        <v>0.41</v>
      </c>
      <c r="D1179" s="4">
        <v>0.33983503399999998</v>
      </c>
      <c r="E1179">
        <v>6.5</v>
      </c>
      <c r="F1179" s="1">
        <v>10.828025477707007</v>
      </c>
      <c r="G1179" s="2">
        <f t="shared" si="93"/>
        <v>92.084899680255816</v>
      </c>
      <c r="H1179" s="2">
        <f t="shared" si="94"/>
        <v>15.253741649954179</v>
      </c>
      <c r="I1179" s="2">
        <f t="shared" si="90"/>
        <v>3050.7483299908358</v>
      </c>
      <c r="J1179" s="4">
        <f t="shared" si="92"/>
        <v>11.65304958821859</v>
      </c>
      <c r="K1179" s="4">
        <f t="shared" si="91"/>
        <v>2330.6099176437178</v>
      </c>
      <c r="L1179">
        <v>5</v>
      </c>
    </row>
    <row r="1180" spans="1:12" x14ac:dyDescent="0.3">
      <c r="A1180" t="s">
        <v>169</v>
      </c>
      <c r="B1180" t="s">
        <v>60</v>
      </c>
      <c r="C1180" s="4">
        <v>0.41</v>
      </c>
      <c r="D1180" s="4">
        <v>0.33983503399999998</v>
      </c>
      <c r="E1180">
        <v>12</v>
      </c>
      <c r="F1180" s="1">
        <v>9.872611464968152</v>
      </c>
      <c r="G1180" s="2">
        <f t="shared" si="93"/>
        <v>76.55154722554137</v>
      </c>
      <c r="H1180" s="2">
        <f t="shared" si="94"/>
        <v>23.171013321594806</v>
      </c>
      <c r="I1180" s="2">
        <f t="shared" si="90"/>
        <v>4634.2026643189611</v>
      </c>
      <c r="J1180" s="4">
        <f t="shared" si="92"/>
        <v>13.079375199805266</v>
      </c>
      <c r="K1180" s="4">
        <f t="shared" si="91"/>
        <v>2615.8750399610535</v>
      </c>
      <c r="L1180">
        <v>5</v>
      </c>
    </row>
    <row r="1181" spans="1:12" x14ac:dyDescent="0.3">
      <c r="A1181" t="s">
        <v>169</v>
      </c>
      <c r="B1181" t="s">
        <v>41</v>
      </c>
      <c r="C1181" s="4">
        <v>0.56193137999999998</v>
      </c>
      <c r="D1181" s="4">
        <v>0.57808694400000005</v>
      </c>
      <c r="E1181">
        <v>4.5</v>
      </c>
      <c r="F1181" s="1">
        <v>10.19108280254777</v>
      </c>
      <c r="G1181" s="2">
        <f t="shared" si="93"/>
        <v>81.570014941679872</v>
      </c>
      <c r="H1181" s="2">
        <f t="shared" si="94"/>
        <v>15.896513655815452</v>
      </c>
      <c r="I1181" s="2">
        <f t="shared" si="90"/>
        <v>3179.3027311630904</v>
      </c>
      <c r="J1181" s="4">
        <f t="shared" si="92"/>
        <v>10.621466156842063</v>
      </c>
      <c r="K1181" s="4">
        <f t="shared" si="91"/>
        <v>2124.2932313684128</v>
      </c>
      <c r="L1181">
        <v>5</v>
      </c>
    </row>
    <row r="1182" spans="1:12" x14ac:dyDescent="0.3">
      <c r="A1182" t="s">
        <v>169</v>
      </c>
      <c r="B1182" t="s">
        <v>163</v>
      </c>
      <c r="C1182" s="4">
        <v>0.65</v>
      </c>
      <c r="D1182" s="4">
        <v>0.65</v>
      </c>
      <c r="E1182">
        <v>7</v>
      </c>
      <c r="F1182" s="4">
        <v>3.0254777070063694</v>
      </c>
      <c r="G1182" s="2">
        <f t="shared" si="93"/>
        <v>7.1891541489127055</v>
      </c>
      <c r="H1182" s="2">
        <f t="shared" si="94"/>
        <v>2.5629727685108032</v>
      </c>
      <c r="I1182" s="2">
        <f t="shared" si="90"/>
        <v>512.59455370216062</v>
      </c>
      <c r="J1182" s="4">
        <f t="shared" si="92"/>
        <v>9.2099611262120167</v>
      </c>
      <c r="K1182" s="4">
        <f t="shared" si="91"/>
        <v>1841.9922252424033</v>
      </c>
      <c r="L1182">
        <v>5</v>
      </c>
    </row>
    <row r="1183" spans="1:12" x14ac:dyDescent="0.3">
      <c r="A1183" t="s">
        <v>169</v>
      </c>
      <c r="B1183" t="s">
        <v>32</v>
      </c>
      <c r="C1183" s="4">
        <v>0.65716857299999998</v>
      </c>
      <c r="D1183" s="4">
        <v>0.85527777800000004</v>
      </c>
      <c r="E1183">
        <v>3.5</v>
      </c>
      <c r="F1183" s="1">
        <v>5.8917197452229297</v>
      </c>
      <c r="G1183" s="2">
        <f t="shared" si="93"/>
        <v>27.263025013466741</v>
      </c>
      <c r="H1183" s="2">
        <f t="shared" si="94"/>
        <v>6.255681542870601</v>
      </c>
      <c r="I1183" s="2">
        <f t="shared" si="90"/>
        <v>1251.1363085741202</v>
      </c>
      <c r="J1183" s="4">
        <f t="shared" si="92"/>
        <v>9.4109264290640589</v>
      </c>
      <c r="K1183" s="4">
        <f t="shared" si="91"/>
        <v>1882.1852858128118</v>
      </c>
      <c r="L1183">
        <v>5</v>
      </c>
    </row>
    <row r="1184" spans="1:12" x14ac:dyDescent="0.3">
      <c r="A1184" t="s">
        <v>169</v>
      </c>
      <c r="B1184" t="s">
        <v>47</v>
      </c>
      <c r="C1184" s="4">
        <v>0.40238543599999999</v>
      </c>
      <c r="D1184" s="4">
        <v>0.40883333300000002</v>
      </c>
      <c r="E1184">
        <v>16</v>
      </c>
      <c r="F1184" s="1">
        <v>17.834394904458598</v>
      </c>
      <c r="G1184" s="2">
        <f t="shared" si="93"/>
        <v>249.80817075889462</v>
      </c>
      <c r="H1184" s="2">
        <f t="shared" si="94"/>
        <v>116.56326648892382</v>
      </c>
      <c r="I1184" s="2">
        <f t="shared" si="90"/>
        <v>23312.653297784764</v>
      </c>
      <c r="J1184" s="4">
        <f t="shared" si="92"/>
        <v>26.79737593005801</v>
      </c>
      <c r="K1184" s="4">
        <f t="shared" si="91"/>
        <v>5359.4751860116021</v>
      </c>
      <c r="L1184">
        <v>5</v>
      </c>
    </row>
    <row r="1185" spans="1:12" x14ac:dyDescent="0.3">
      <c r="A1185" t="s">
        <v>169</v>
      </c>
      <c r="B1185" t="s">
        <v>49</v>
      </c>
      <c r="C1185" s="4">
        <v>0.57917600000000002</v>
      </c>
      <c r="D1185" s="4">
        <v>0.60285714300000004</v>
      </c>
      <c r="E1185">
        <v>6</v>
      </c>
      <c r="F1185" s="1">
        <v>25.318471337579616</v>
      </c>
      <c r="G1185" s="2">
        <f t="shared" si="93"/>
        <v>503.45985052260966</v>
      </c>
      <c r="H1185" s="2">
        <f t="shared" si="94"/>
        <v>129.56566006841905</v>
      </c>
      <c r="I1185" s="2">
        <f t="shared" si="90"/>
        <v>25913.132013683811</v>
      </c>
      <c r="J1185" s="4">
        <f t="shared" si="92"/>
        <v>22.447224808308654</v>
      </c>
      <c r="K1185" s="4">
        <f t="shared" si="91"/>
        <v>4489.4449616617303</v>
      </c>
      <c r="L1185">
        <v>5</v>
      </c>
    </row>
    <row r="1186" spans="1:12" x14ac:dyDescent="0.3">
      <c r="A1186" t="s">
        <v>169</v>
      </c>
      <c r="B1186" t="s">
        <v>167</v>
      </c>
      <c r="C1186" s="4">
        <v>0.52607139999999997</v>
      </c>
      <c r="D1186" s="4">
        <v>0.52607142900000003</v>
      </c>
      <c r="E1186">
        <v>5</v>
      </c>
      <c r="F1186" s="6">
        <v>9.872611464968152</v>
      </c>
      <c r="G1186" s="2">
        <f t="shared" si="93"/>
        <v>76.55154722554137</v>
      </c>
      <c r="H1186" s="2">
        <f t="shared" si="94"/>
        <v>15.103610749548945</v>
      </c>
      <c r="I1186" s="2">
        <f t="shared" si="90"/>
        <v>3020.7221499097891</v>
      </c>
      <c r="J1186" s="4">
        <f t="shared" si="92"/>
        <v>10.691397999918861</v>
      </c>
      <c r="K1186" s="4">
        <f t="shared" si="91"/>
        <v>2138.2795999837722</v>
      </c>
      <c r="L1186">
        <v>5</v>
      </c>
    </row>
    <row r="1187" spans="1:12" x14ac:dyDescent="0.3">
      <c r="A1187" t="s">
        <v>170</v>
      </c>
      <c r="B1187" t="s">
        <v>60</v>
      </c>
      <c r="C1187" s="4">
        <v>0.41</v>
      </c>
      <c r="D1187" s="4">
        <v>0.33983503399999998</v>
      </c>
      <c r="E1187">
        <v>8</v>
      </c>
      <c r="F1187" s="1">
        <v>7.7070063694267512</v>
      </c>
      <c r="G1187" s="2">
        <f t="shared" si="93"/>
        <v>46.651038623481838</v>
      </c>
      <c r="H1187" s="2">
        <f t="shared" si="94"/>
        <v>9.6194341517253044</v>
      </c>
      <c r="I1187" s="2">
        <f t="shared" si="90"/>
        <v>1923.8868303450611</v>
      </c>
      <c r="J1187" s="4">
        <f t="shared" si="92"/>
        <v>10.648842520994766</v>
      </c>
      <c r="K1187" s="4">
        <f t="shared" si="91"/>
        <v>2129.768504198953</v>
      </c>
      <c r="L1187">
        <v>5</v>
      </c>
    </row>
    <row r="1188" spans="1:12" x14ac:dyDescent="0.3">
      <c r="A1188" t="s">
        <v>170</v>
      </c>
      <c r="B1188" t="s">
        <v>60</v>
      </c>
      <c r="C1188" s="4">
        <v>0.41</v>
      </c>
      <c r="D1188" s="4">
        <v>0.33983503399999998</v>
      </c>
      <c r="E1188">
        <v>7</v>
      </c>
      <c r="F1188" s="1">
        <v>4.7770700636942669</v>
      </c>
      <c r="G1188" s="2">
        <f t="shared" si="93"/>
        <v>17.923098986208956</v>
      </c>
      <c r="H1188" s="2">
        <f t="shared" si="94"/>
        <v>3.3194943143656173</v>
      </c>
      <c r="I1188" s="2">
        <f t="shared" si="90"/>
        <v>663.89886287312345</v>
      </c>
      <c r="J1188" s="4">
        <f t="shared" si="92"/>
        <v>9.5447997606393766</v>
      </c>
      <c r="K1188" s="4">
        <f t="shared" si="91"/>
        <v>1908.9599521278753</v>
      </c>
      <c r="L1188">
        <v>5</v>
      </c>
    </row>
    <row r="1189" spans="1:12" x14ac:dyDescent="0.3">
      <c r="A1189" t="s">
        <v>170</v>
      </c>
      <c r="B1189" t="s">
        <v>60</v>
      </c>
      <c r="C1189" s="4">
        <v>0.41</v>
      </c>
      <c r="D1189" s="4">
        <v>0.33983503399999998</v>
      </c>
      <c r="E1189">
        <v>7</v>
      </c>
      <c r="F1189" s="1">
        <v>7.3248407643312099</v>
      </c>
      <c r="G1189" s="2">
        <f t="shared" si="93"/>
        <v>42.139197172020175</v>
      </c>
      <c r="H1189" s="2">
        <f t="shared" si="94"/>
        <v>7.6460041138943016</v>
      </c>
      <c r="I1189" s="2">
        <f t="shared" si="90"/>
        <v>1529.2008227788604</v>
      </c>
      <c r="J1189" s="4">
        <f t="shared" si="92"/>
        <v>10.300205659458801</v>
      </c>
      <c r="K1189" s="4">
        <f t="shared" si="91"/>
        <v>2060.0411318917604</v>
      </c>
      <c r="L1189">
        <v>5</v>
      </c>
    </row>
    <row r="1190" spans="1:12" x14ac:dyDescent="0.3">
      <c r="A1190" t="s">
        <v>170</v>
      </c>
      <c r="B1190" t="s">
        <v>60</v>
      </c>
      <c r="C1190" s="4">
        <v>0.41</v>
      </c>
      <c r="D1190" s="4">
        <v>0.33983503399999998</v>
      </c>
      <c r="E1190">
        <v>7</v>
      </c>
      <c r="F1190" s="1">
        <v>5.8917197452229297</v>
      </c>
      <c r="G1190" s="2">
        <f t="shared" si="93"/>
        <v>27.263025013466741</v>
      </c>
      <c r="H1190" s="2">
        <f t="shared" si="94"/>
        <v>4.9987452595641058</v>
      </c>
      <c r="I1190" s="2">
        <f t="shared" si="90"/>
        <v>999.74905191282119</v>
      </c>
      <c r="J1190" s="4">
        <f t="shared" si="92"/>
        <v>9.8361528581281181</v>
      </c>
      <c r="K1190" s="4">
        <f t="shared" si="91"/>
        <v>1967.2305716256237</v>
      </c>
      <c r="L1190">
        <v>5</v>
      </c>
    </row>
    <row r="1191" spans="1:12" x14ac:dyDescent="0.3">
      <c r="A1191" t="s">
        <v>170</v>
      </c>
      <c r="B1191" t="s">
        <v>60</v>
      </c>
      <c r="C1191" s="4">
        <v>0.41</v>
      </c>
      <c r="D1191" s="4">
        <v>0.33983503399999998</v>
      </c>
      <c r="E1191">
        <v>5</v>
      </c>
      <c r="F1191" s="1">
        <v>2.5477707006369426</v>
      </c>
      <c r="G1191" s="2">
        <f t="shared" si="93"/>
        <v>5.098125933854992</v>
      </c>
      <c r="H1191" s="2">
        <f t="shared" si="94"/>
        <v>0.70073285928977369</v>
      </c>
      <c r="I1191" s="2">
        <f t="shared" si="90"/>
        <v>140.14657185795474</v>
      </c>
      <c r="J1191" s="4">
        <f t="shared" si="92"/>
        <v>9.0992948720029201</v>
      </c>
      <c r="K1191" s="4">
        <f t="shared" si="91"/>
        <v>1819.858974400584</v>
      </c>
      <c r="L1191">
        <v>5</v>
      </c>
    </row>
    <row r="1192" spans="1:12" x14ac:dyDescent="0.3">
      <c r="A1192" t="s">
        <v>170</v>
      </c>
      <c r="B1192" t="s">
        <v>60</v>
      </c>
      <c r="C1192" s="4">
        <v>0.41</v>
      </c>
      <c r="D1192" s="4">
        <v>0.33983503399999998</v>
      </c>
      <c r="E1192">
        <v>5</v>
      </c>
      <c r="F1192" s="1">
        <v>2.2292993630573248</v>
      </c>
      <c r="G1192" s="2">
        <f t="shared" si="93"/>
        <v>3.9032526681077284</v>
      </c>
      <c r="H1192" s="2">
        <f t="shared" si="94"/>
        <v>0.53994833055423386</v>
      </c>
      <c r="I1192" s="2">
        <f t="shared" si="90"/>
        <v>107.98966611084677</v>
      </c>
      <c r="J1192" s="4">
        <f t="shared" si="92"/>
        <v>9.0726710738772365</v>
      </c>
      <c r="K1192" s="4">
        <f t="shared" si="91"/>
        <v>1814.5342147754473</v>
      </c>
      <c r="L1192">
        <v>5</v>
      </c>
    </row>
    <row r="1193" spans="1:12" x14ac:dyDescent="0.3">
      <c r="A1193" t="s">
        <v>170</v>
      </c>
      <c r="B1193" t="s">
        <v>60</v>
      </c>
      <c r="C1193" s="4">
        <v>0.41</v>
      </c>
      <c r="D1193" s="4">
        <v>0.33983503399999998</v>
      </c>
      <c r="E1193">
        <v>4.5</v>
      </c>
      <c r="F1193" s="1">
        <v>2.2292993630573248</v>
      </c>
      <c r="G1193" s="2">
        <f t="shared" si="93"/>
        <v>3.9032526681077284</v>
      </c>
      <c r="H1193" s="2">
        <f t="shared" si="94"/>
        <v>0.48718385988858659</v>
      </c>
      <c r="I1193" s="2">
        <f t="shared" si="90"/>
        <v>97.436771977717314</v>
      </c>
      <c r="J1193" s="4">
        <f t="shared" si="92"/>
        <v>9.0639739664895131</v>
      </c>
      <c r="K1193" s="4">
        <f t="shared" si="91"/>
        <v>1812.7947932979027</v>
      </c>
      <c r="L1193">
        <v>5</v>
      </c>
    </row>
    <row r="1194" spans="1:12" x14ac:dyDescent="0.3">
      <c r="A1194" t="s">
        <v>170</v>
      </c>
      <c r="B1194" t="s">
        <v>60</v>
      </c>
      <c r="C1194" s="4">
        <v>0.41</v>
      </c>
      <c r="D1194" s="4">
        <v>0.33983503399999998</v>
      </c>
      <c r="E1194">
        <v>4</v>
      </c>
      <c r="F1194" s="1">
        <v>2.7070063694267517</v>
      </c>
      <c r="G1194" s="2">
        <f t="shared" si="93"/>
        <v>5.7553062300159885</v>
      </c>
      <c r="H1194" s="2">
        <f t="shared" si="94"/>
        <v>0.63439886734763773</v>
      </c>
      <c r="I1194" s="2">
        <f t="shared" si="90"/>
        <v>126.87977346952755</v>
      </c>
      <c r="J1194" s="4">
        <f t="shared" si="92"/>
        <v>9.0882903687776384</v>
      </c>
      <c r="K1194" s="4">
        <f t="shared" si="91"/>
        <v>1817.6580737555275</v>
      </c>
      <c r="L1194">
        <v>5</v>
      </c>
    </row>
    <row r="1195" spans="1:12" x14ac:dyDescent="0.3">
      <c r="A1195" t="s">
        <v>170</v>
      </c>
      <c r="B1195" t="s">
        <v>171</v>
      </c>
      <c r="C1195" s="4">
        <v>0.6671667</v>
      </c>
      <c r="D1195" s="4">
        <v>0.66716666700000005</v>
      </c>
      <c r="E1195">
        <v>3.5</v>
      </c>
      <c r="F1195" s="1">
        <v>2.2611464968152863</v>
      </c>
      <c r="G1195" s="2">
        <f t="shared" si="93"/>
        <v>4.0155707550879711</v>
      </c>
      <c r="H1195" s="2">
        <f t="shared" si="94"/>
        <v>0.75705566735439278</v>
      </c>
      <c r="I1195" s="2">
        <f t="shared" si="90"/>
        <v>151.41113347087855</v>
      </c>
      <c r="J1195" s="4">
        <f t="shared" si="92"/>
        <v>9.0483315976307352</v>
      </c>
      <c r="K1195" s="4">
        <f t="shared" si="91"/>
        <v>1809.6663195261469</v>
      </c>
      <c r="L1195">
        <v>5</v>
      </c>
    </row>
    <row r="1196" spans="1:12" x14ac:dyDescent="0.3">
      <c r="A1196" t="s">
        <v>170</v>
      </c>
      <c r="B1196" t="s">
        <v>141</v>
      </c>
      <c r="C1196" s="4">
        <v>0.83069230800000005</v>
      </c>
      <c r="D1196" s="4">
        <v>0.78683697699999999</v>
      </c>
      <c r="E1196">
        <v>6</v>
      </c>
      <c r="F1196" s="1">
        <v>8.2802547770700627</v>
      </c>
      <c r="G1196" s="2">
        <f t="shared" si="93"/>
        <v>53.848955176343352</v>
      </c>
      <c r="H1196" s="2">
        <f t="shared" si="94"/>
        <v>18.962496502996935</v>
      </c>
      <c r="I1196" s="2">
        <f t="shared" si="90"/>
        <v>3792.499300599387</v>
      </c>
      <c r="J1196" s="4">
        <f t="shared" si="92"/>
        <v>10.425515002637024</v>
      </c>
      <c r="K1196" s="4">
        <f t="shared" si="91"/>
        <v>2085.1030005274047</v>
      </c>
      <c r="L1196">
        <v>5</v>
      </c>
    </row>
    <row r="1197" spans="1:12" x14ac:dyDescent="0.3">
      <c r="A1197" t="s">
        <v>170</v>
      </c>
      <c r="B1197" t="s">
        <v>56</v>
      </c>
      <c r="C1197" s="4">
        <v>0.39984676499999999</v>
      </c>
      <c r="D1197" s="4">
        <v>0.450333333</v>
      </c>
      <c r="E1197">
        <v>7</v>
      </c>
      <c r="F1197" s="1">
        <v>9.872611464968152</v>
      </c>
      <c r="G1197" s="2">
        <f t="shared" si="93"/>
        <v>76.55154722554137</v>
      </c>
      <c r="H1197" s="2">
        <f t="shared" si="94"/>
        <v>18.022348371233353</v>
      </c>
      <c r="I1197" s="2">
        <f t="shared" si="90"/>
        <v>3604.4696742466704</v>
      </c>
      <c r="J1197" s="4">
        <f t="shared" si="92"/>
        <v>11.373677199886405</v>
      </c>
      <c r="K1197" s="4">
        <f t="shared" si="91"/>
        <v>2274.7354399772807</v>
      </c>
      <c r="L1197">
        <v>5</v>
      </c>
    </row>
    <row r="1198" spans="1:12" x14ac:dyDescent="0.3">
      <c r="A1198" t="s">
        <v>170</v>
      </c>
      <c r="B1198" t="s">
        <v>157</v>
      </c>
      <c r="C1198" s="4">
        <v>0.63</v>
      </c>
      <c r="D1198" s="4">
        <v>0.629222222</v>
      </c>
      <c r="E1198">
        <v>4.5</v>
      </c>
      <c r="F1198" s="1">
        <v>2.6751592356687897</v>
      </c>
      <c r="G1198" s="2">
        <f t="shared" si="93"/>
        <v>5.6206838420751293</v>
      </c>
      <c r="H1198" s="2">
        <f t="shared" si="94"/>
        <v>1.2687315092498181</v>
      </c>
      <c r="I1198" s="2">
        <f t="shared" si="90"/>
        <v>253.74630184996363</v>
      </c>
      <c r="J1198" s="4">
        <f t="shared" si="92"/>
        <v>9.0984145117448971</v>
      </c>
      <c r="K1198" s="4">
        <f t="shared" si="91"/>
        <v>1819.6829023489795</v>
      </c>
      <c r="L1198">
        <v>5</v>
      </c>
    </row>
    <row r="1199" spans="1:12" x14ac:dyDescent="0.3">
      <c r="A1199" t="s">
        <v>170</v>
      </c>
      <c r="B1199" t="s">
        <v>157</v>
      </c>
      <c r="C1199" s="4">
        <v>0.63</v>
      </c>
      <c r="D1199" s="4">
        <v>0.629222222</v>
      </c>
      <c r="E1199">
        <v>4.5</v>
      </c>
      <c r="F1199" s="1">
        <v>1.910828025477707</v>
      </c>
      <c r="G1199" s="2">
        <f t="shared" si="93"/>
        <v>2.8676958377934336</v>
      </c>
      <c r="H1199" s="2">
        <f t="shared" si="94"/>
        <v>0.65785139529945458</v>
      </c>
      <c r="I1199" s="2">
        <f t="shared" si="90"/>
        <v>131.57027905989091</v>
      </c>
      <c r="J1199" s="4">
        <f t="shared" si="92"/>
        <v>9.0432074039514792</v>
      </c>
      <c r="K1199" s="4">
        <f t="shared" si="91"/>
        <v>1808.6414807902959</v>
      </c>
      <c r="L1199">
        <v>5</v>
      </c>
    </row>
    <row r="1200" spans="1:12" x14ac:dyDescent="0.3">
      <c r="A1200" t="s">
        <v>170</v>
      </c>
      <c r="B1200" t="s">
        <v>157</v>
      </c>
      <c r="C1200" s="4">
        <v>0.63</v>
      </c>
      <c r="D1200" s="4">
        <v>0.629222222</v>
      </c>
      <c r="E1200">
        <v>3</v>
      </c>
      <c r="F1200" s="1">
        <v>1.910828025477707</v>
      </c>
      <c r="G1200" s="2">
        <f t="shared" si="93"/>
        <v>2.8676958377934336</v>
      </c>
      <c r="H1200" s="2">
        <f t="shared" si="94"/>
        <v>0.44285620217532223</v>
      </c>
      <c r="I1200" s="2">
        <f t="shared" si="90"/>
        <v>88.571240435064439</v>
      </c>
      <c r="J1200" s="4">
        <f t="shared" si="92"/>
        <v>9.024038269300986</v>
      </c>
      <c r="K1200" s="4">
        <f t="shared" si="91"/>
        <v>1804.807653860197</v>
      </c>
      <c r="L1200">
        <v>5</v>
      </c>
    </row>
    <row r="1201" spans="1:12" x14ac:dyDescent="0.3">
      <c r="A1201" t="s">
        <v>170</v>
      </c>
      <c r="B1201" t="s">
        <v>157</v>
      </c>
      <c r="C1201" s="4">
        <v>0.63</v>
      </c>
      <c r="D1201" s="4">
        <v>0.629222222</v>
      </c>
      <c r="E1201">
        <v>2.2000000000000002</v>
      </c>
      <c r="F1201" s="1">
        <v>1.2738853503184713</v>
      </c>
      <c r="G1201" s="2">
        <f t="shared" si="93"/>
        <v>1.274531483463748</v>
      </c>
      <c r="H1201" s="2">
        <f t="shared" si="94"/>
        <v>0.14827460833491515</v>
      </c>
      <c r="I1201" s="2">
        <f t="shared" si="90"/>
        <v>29.654921666983029</v>
      </c>
      <c r="J1201" s="4">
        <f t="shared" si="92"/>
        <v>8.9981954359203211</v>
      </c>
      <c r="K1201" s="4">
        <f t="shared" si="91"/>
        <v>1799.6390871840642</v>
      </c>
      <c r="L1201">
        <v>5</v>
      </c>
    </row>
    <row r="1202" spans="1:12" x14ac:dyDescent="0.3">
      <c r="A1202" t="s">
        <v>170</v>
      </c>
      <c r="B1202" t="s">
        <v>172</v>
      </c>
      <c r="C1202" s="4">
        <v>0.62922219999999995</v>
      </c>
      <c r="D1202" s="4">
        <v>0.629222222</v>
      </c>
      <c r="E1202">
        <v>1.6</v>
      </c>
      <c r="F1202" s="1">
        <v>1.2738853503184713</v>
      </c>
      <c r="G1202" s="2">
        <f t="shared" si="93"/>
        <v>1.274531483463748</v>
      </c>
      <c r="H1202" s="2">
        <f t="shared" si="94"/>
        <v>0.10866341562308156</v>
      </c>
      <c r="I1202" s="2">
        <f t="shared" si="90"/>
        <v>21.732683124616312</v>
      </c>
      <c r="J1202" s="4">
        <f t="shared" si="92"/>
        <v>8.9947875897602341</v>
      </c>
      <c r="K1202" s="4">
        <f t="shared" si="91"/>
        <v>1798.9575179520466</v>
      </c>
      <c r="L1202">
        <v>5</v>
      </c>
    </row>
    <row r="1203" spans="1:12" x14ac:dyDescent="0.3">
      <c r="A1203" t="s">
        <v>170</v>
      </c>
      <c r="B1203" t="s">
        <v>172</v>
      </c>
      <c r="C1203" s="4">
        <v>0.62922219999999995</v>
      </c>
      <c r="D1203" s="4">
        <v>0.629222222</v>
      </c>
      <c r="E1203">
        <v>1.5</v>
      </c>
      <c r="F1203" s="1">
        <v>1.592356687898089</v>
      </c>
      <c r="G1203" s="2">
        <f t="shared" si="93"/>
        <v>1.9914554429121063</v>
      </c>
      <c r="H1203" s="2">
        <f t="shared" si="94"/>
        <v>0.15772323032758095</v>
      </c>
      <c r="I1203" s="2">
        <f t="shared" si="90"/>
        <v>31.54464606551619</v>
      </c>
      <c r="J1203" s="4">
        <f t="shared" si="92"/>
        <v>8.9990118990628414</v>
      </c>
      <c r="K1203" s="4">
        <f t="shared" si="91"/>
        <v>1799.8023798125682</v>
      </c>
      <c r="L1203">
        <v>5</v>
      </c>
    </row>
    <row r="1204" spans="1:12" x14ac:dyDescent="0.3">
      <c r="A1204" t="s">
        <v>170</v>
      </c>
      <c r="B1204" t="s">
        <v>135</v>
      </c>
      <c r="C1204" s="4">
        <v>0.84088890000000005</v>
      </c>
      <c r="D1204" s="4">
        <v>0.84088888900000003</v>
      </c>
      <c r="E1204">
        <v>10</v>
      </c>
      <c r="F1204" s="1">
        <v>10.764331210191081</v>
      </c>
      <c r="G1204" s="2">
        <f t="shared" si="93"/>
        <v>91.004734248020256</v>
      </c>
      <c r="H1204" s="2">
        <f t="shared" si="94"/>
        <v>55.590256432596128</v>
      </c>
      <c r="I1204" s="2">
        <f t="shared" si="90"/>
        <v>11118.051286519225</v>
      </c>
      <c r="J1204" s="4">
        <f t="shared" si="92"/>
        <v>13.041178924094282</v>
      </c>
      <c r="K1204" s="4">
        <f t="shared" si="91"/>
        <v>2608.2357848188562</v>
      </c>
      <c r="L1204">
        <v>5</v>
      </c>
    </row>
    <row r="1205" spans="1:12" x14ac:dyDescent="0.3">
      <c r="A1205" t="s">
        <v>170</v>
      </c>
      <c r="B1205" t="s">
        <v>135</v>
      </c>
      <c r="C1205" s="4">
        <v>0.84088890000000005</v>
      </c>
      <c r="D1205" s="4">
        <v>0.84088888900000003</v>
      </c>
      <c r="E1205">
        <v>10</v>
      </c>
      <c r="F1205" s="1">
        <v>16.560509554140125</v>
      </c>
      <c r="G1205" s="2">
        <f t="shared" si="93"/>
        <v>215.39582070537341</v>
      </c>
      <c r="H1205" s="2">
        <f t="shared" si="94"/>
        <v>128.88186300288953</v>
      </c>
      <c r="I1205" s="2">
        <f t="shared" si="90"/>
        <v>25776.372600577906</v>
      </c>
      <c r="J1205" s="4">
        <f t="shared" si="92"/>
        <v>18.584466684246824</v>
      </c>
      <c r="K1205" s="4">
        <f t="shared" si="91"/>
        <v>3716.8933368493649</v>
      </c>
      <c r="L1205">
        <v>5</v>
      </c>
    </row>
    <row r="1206" spans="1:12" x14ac:dyDescent="0.3">
      <c r="A1206" t="s">
        <v>170</v>
      </c>
      <c r="B1206" t="s">
        <v>163</v>
      </c>
      <c r="C1206" s="4">
        <v>0.65</v>
      </c>
      <c r="D1206" s="4">
        <v>0.65</v>
      </c>
      <c r="E1206">
        <v>10</v>
      </c>
      <c r="F1206" s="1">
        <v>6.7515923566878975</v>
      </c>
      <c r="G1206" s="2">
        <f t="shared" si="93"/>
        <v>35.801589370496679</v>
      </c>
      <c r="H1206" s="2">
        <f t="shared" si="94"/>
        <v>17.394799522246508</v>
      </c>
      <c r="I1206" s="2">
        <f t="shared" si="90"/>
        <v>3478.9599044493016</v>
      </c>
      <c r="J1206" s="4">
        <f t="shared" si="92"/>
        <v>10.581139977281024</v>
      </c>
      <c r="K1206" s="4">
        <f t="shared" si="91"/>
        <v>2116.2279954562046</v>
      </c>
      <c r="L1206">
        <v>5</v>
      </c>
    </row>
    <row r="1207" spans="1:12" x14ac:dyDescent="0.3">
      <c r="A1207" t="s">
        <v>170</v>
      </c>
      <c r="B1207" t="s">
        <v>163</v>
      </c>
      <c r="C1207" s="4">
        <v>0.65</v>
      </c>
      <c r="D1207" s="4">
        <v>0.65</v>
      </c>
      <c r="E1207">
        <v>9</v>
      </c>
      <c r="F1207" s="1">
        <v>6.114649681528662</v>
      </c>
      <c r="G1207" s="2">
        <f t="shared" si="93"/>
        <v>29.365205379004752</v>
      </c>
      <c r="H1207" s="2">
        <f t="shared" si="94"/>
        <v>12.934704602045969</v>
      </c>
      <c r="I1207" s="2">
        <f t="shared" si="90"/>
        <v>2586.940920409194</v>
      </c>
      <c r="J1207" s="4">
        <f t="shared" si="92"/>
        <v>10.163451632926284</v>
      </c>
      <c r="K1207" s="4">
        <f t="shared" si="91"/>
        <v>2032.6903265852568</v>
      </c>
      <c r="L1207">
        <v>5</v>
      </c>
    </row>
    <row r="1208" spans="1:12" x14ac:dyDescent="0.3">
      <c r="A1208" t="s">
        <v>170</v>
      </c>
      <c r="B1208" t="s">
        <v>163</v>
      </c>
      <c r="C1208" s="4">
        <v>0.65</v>
      </c>
      <c r="D1208" s="4">
        <v>0.65</v>
      </c>
      <c r="E1208">
        <v>8</v>
      </c>
      <c r="F1208" s="1">
        <v>10.254777070063694</v>
      </c>
      <c r="G1208" s="2">
        <f t="shared" si="93"/>
        <v>82.592826457159546</v>
      </c>
      <c r="H1208" s="2">
        <f t="shared" si="94"/>
        <v>31.634597718520414</v>
      </c>
      <c r="I1208" s="2">
        <f t="shared" si="90"/>
        <v>6326.9195437040826</v>
      </c>
      <c r="J1208" s="4">
        <f t="shared" si="92"/>
        <v>11.930192677187716</v>
      </c>
      <c r="K1208" s="4">
        <f t="shared" si="91"/>
        <v>2386.038535437543</v>
      </c>
      <c r="L1208">
        <v>5</v>
      </c>
    </row>
    <row r="1209" spans="1:12" x14ac:dyDescent="0.3">
      <c r="A1209" t="s">
        <v>170</v>
      </c>
      <c r="B1209" t="s">
        <v>163</v>
      </c>
      <c r="C1209" s="4">
        <v>0.65</v>
      </c>
      <c r="D1209" s="4">
        <v>0.65</v>
      </c>
      <c r="E1209">
        <v>8</v>
      </c>
      <c r="F1209" s="1">
        <v>14.840764331210192</v>
      </c>
      <c r="G1209" s="2">
        <f t="shared" si="93"/>
        <v>172.98259926440858</v>
      </c>
      <c r="H1209" s="2">
        <f t="shared" si="94"/>
        <v>65.090403526852967</v>
      </c>
      <c r="I1209" s="2">
        <f t="shared" si="90"/>
        <v>13018.080705370594</v>
      </c>
      <c r="J1209" s="4">
        <f t="shared" si="92"/>
        <v>15.15265200616658</v>
      </c>
      <c r="K1209" s="4">
        <f t="shared" si="91"/>
        <v>3030.5304012333158</v>
      </c>
      <c r="L1209">
        <v>5</v>
      </c>
    </row>
    <row r="1210" spans="1:12" x14ac:dyDescent="0.3">
      <c r="A1210" t="s">
        <v>170</v>
      </c>
      <c r="B1210" t="s">
        <v>163</v>
      </c>
      <c r="C1210" s="4">
        <v>0.65</v>
      </c>
      <c r="D1210" s="4">
        <v>0.65</v>
      </c>
      <c r="E1210">
        <v>7.5</v>
      </c>
      <c r="F1210" s="1">
        <v>20.700636942675157</v>
      </c>
      <c r="G1210" s="2">
        <f t="shared" si="93"/>
        <v>336.55596985214595</v>
      </c>
      <c r="H1210" s="2">
        <f t="shared" si="94"/>
        <v>117.02495761560679</v>
      </c>
      <c r="I1210" s="2">
        <f t="shared" si="90"/>
        <v>23404.99152312136</v>
      </c>
      <c r="J1210" s="4">
        <f t="shared" si="92"/>
        <v>20.234254708101744</v>
      </c>
      <c r="K1210" s="4">
        <f t="shared" si="91"/>
        <v>4046.8509416203487</v>
      </c>
      <c r="L1210">
        <v>5</v>
      </c>
    </row>
    <row r="1211" spans="1:12" x14ac:dyDescent="0.3">
      <c r="A1211" t="s">
        <v>170</v>
      </c>
      <c r="B1211" t="s">
        <v>163</v>
      </c>
      <c r="C1211" s="4">
        <v>0.65</v>
      </c>
      <c r="D1211" s="4">
        <v>0.65</v>
      </c>
      <c r="E1211">
        <v>7</v>
      </c>
      <c r="F1211" s="1">
        <v>16.082802547770701</v>
      </c>
      <c r="G1211" s="2">
        <f t="shared" si="93"/>
        <v>203.14836973146402</v>
      </c>
      <c r="H1211" s="2">
        <f t="shared" si="94"/>
        <v>66.842438387064647</v>
      </c>
      <c r="I1211" s="2">
        <f t="shared" si="90"/>
        <v>13368.487677412928</v>
      </c>
      <c r="J1211" s="4">
        <f t="shared" si="92"/>
        <v>15.322785175869203</v>
      </c>
      <c r="K1211" s="4">
        <f t="shared" si="91"/>
        <v>3064.5570351738406</v>
      </c>
      <c r="L1211">
        <v>5</v>
      </c>
    </row>
    <row r="1212" spans="1:12" x14ac:dyDescent="0.3">
      <c r="A1212" t="s">
        <v>170</v>
      </c>
      <c r="B1212" t="s">
        <v>163</v>
      </c>
      <c r="C1212" s="4">
        <v>0.65</v>
      </c>
      <c r="D1212" s="4">
        <v>0.65</v>
      </c>
      <c r="E1212">
        <v>7</v>
      </c>
      <c r="F1212" s="1">
        <v>5.2547770700636942</v>
      </c>
      <c r="G1212" s="2">
        <f t="shared" si="93"/>
        <v>21.68694977331284</v>
      </c>
      <c r="H1212" s="2">
        <f t="shared" si="94"/>
        <v>7.529327249508075</v>
      </c>
      <c r="I1212" s="2">
        <f t="shared" si="90"/>
        <v>1505.865449901615</v>
      </c>
      <c r="J1212" s="4">
        <f t="shared" si="92"/>
        <v>9.6622107103736461</v>
      </c>
      <c r="K1212" s="4">
        <f t="shared" si="91"/>
        <v>1932.442142074729</v>
      </c>
      <c r="L1212">
        <v>5</v>
      </c>
    </row>
    <row r="1213" spans="1:12" x14ac:dyDescent="0.3">
      <c r="A1213" t="s">
        <v>170</v>
      </c>
      <c r="B1213" t="s">
        <v>163</v>
      </c>
      <c r="C1213" s="4">
        <v>0.65</v>
      </c>
      <c r="D1213" s="4">
        <v>0.65</v>
      </c>
      <c r="E1213">
        <v>7</v>
      </c>
      <c r="F1213" s="1">
        <v>7.0063694267515917</v>
      </c>
      <c r="G1213" s="2">
        <f t="shared" si="93"/>
        <v>38.554577374778376</v>
      </c>
      <c r="H1213" s="2">
        <f t="shared" si="94"/>
        <v>13.201904514041781</v>
      </c>
      <c r="I1213" s="2">
        <f t="shared" si="90"/>
        <v>2640.380902808356</v>
      </c>
      <c r="J1213" s="4">
        <f t="shared" si="92"/>
        <v>10.188385707330925</v>
      </c>
      <c r="K1213" s="4">
        <f t="shared" si="91"/>
        <v>2037.6771414661848</v>
      </c>
      <c r="L1213">
        <v>5</v>
      </c>
    </row>
    <row r="1214" spans="1:12" x14ac:dyDescent="0.3">
      <c r="A1214" t="s">
        <v>170</v>
      </c>
      <c r="B1214" t="s">
        <v>163</v>
      </c>
      <c r="C1214" s="4">
        <v>0.65</v>
      </c>
      <c r="D1214" s="4">
        <v>0.65</v>
      </c>
      <c r="E1214">
        <v>7</v>
      </c>
      <c r="F1214" s="1">
        <v>11.783439490445859</v>
      </c>
      <c r="G1214" s="2">
        <f t="shared" si="93"/>
        <v>109.05210005386697</v>
      </c>
      <c r="H1214" s="2">
        <f t="shared" si="94"/>
        <v>36.421454016606162</v>
      </c>
      <c r="I1214" s="2">
        <f t="shared" si="90"/>
        <v>7284.2908033212325</v>
      </c>
      <c r="J1214" s="4">
        <f t="shared" si="92"/>
        <v>12.387511432512476</v>
      </c>
      <c r="K1214" s="4">
        <f t="shared" si="91"/>
        <v>2477.5022865024953</v>
      </c>
      <c r="L1214">
        <v>5</v>
      </c>
    </row>
    <row r="1215" spans="1:12" x14ac:dyDescent="0.3">
      <c r="A1215" t="s">
        <v>170</v>
      </c>
      <c r="B1215" t="s">
        <v>163</v>
      </c>
      <c r="C1215" s="4">
        <v>0.65</v>
      </c>
      <c r="D1215" s="4">
        <v>0.65</v>
      </c>
      <c r="E1215">
        <v>5.5</v>
      </c>
      <c r="F1215" s="1">
        <v>3.1847133757961781</v>
      </c>
      <c r="G1215" s="2">
        <f t="shared" si="93"/>
        <v>7.9658217716484252</v>
      </c>
      <c r="H1215" s="2">
        <f t="shared" si="94"/>
        <v>2.2387510998409428</v>
      </c>
      <c r="I1215" s="2">
        <f t="shared" si="90"/>
        <v>447.75021996818862</v>
      </c>
      <c r="J1215" s="4">
        <f t="shared" si="92"/>
        <v>9.1809411862550192</v>
      </c>
      <c r="K1215" s="4">
        <f t="shared" si="91"/>
        <v>1836.1882372510038</v>
      </c>
      <c r="L1215">
        <v>5</v>
      </c>
    </row>
    <row r="1216" spans="1:12" x14ac:dyDescent="0.3">
      <c r="A1216" t="s">
        <v>170</v>
      </c>
      <c r="B1216" t="s">
        <v>163</v>
      </c>
      <c r="C1216" s="4">
        <v>0.65</v>
      </c>
      <c r="D1216" s="4">
        <v>0.65</v>
      </c>
      <c r="E1216">
        <v>5</v>
      </c>
      <c r="F1216" s="1">
        <v>4.2993630573248405</v>
      </c>
      <c r="G1216" s="2">
        <f t="shared" si="93"/>
        <v>14.517710178829255</v>
      </c>
      <c r="H1216" s="2">
        <f t="shared" si="94"/>
        <v>3.6645281957150972</v>
      </c>
      <c r="I1216" s="2">
        <f t="shared" si="90"/>
        <v>732.90563914301947</v>
      </c>
      <c r="J1216" s="4">
        <f t="shared" si="92"/>
        <v>9.3091791472270682</v>
      </c>
      <c r="K1216" s="4">
        <f t="shared" si="91"/>
        <v>1861.8358294454138</v>
      </c>
      <c r="L1216">
        <v>5</v>
      </c>
    </row>
    <row r="1217" spans="1:12" x14ac:dyDescent="0.3">
      <c r="A1217" t="s">
        <v>170</v>
      </c>
      <c r="B1217" t="s">
        <v>163</v>
      </c>
      <c r="C1217" s="4">
        <v>0.65</v>
      </c>
      <c r="D1217" s="4">
        <v>0.65</v>
      </c>
      <c r="E1217">
        <v>4</v>
      </c>
      <c r="F1217" s="1">
        <v>2.2292993630573248</v>
      </c>
      <c r="G1217" s="2">
        <f t="shared" si="93"/>
        <v>3.9032526681077284</v>
      </c>
      <c r="H1217" s="2">
        <f t="shared" si="94"/>
        <v>0.81781251618026507</v>
      </c>
      <c r="I1217" s="2">
        <f t="shared" si="90"/>
        <v>163.56250323605303</v>
      </c>
      <c r="J1217" s="4">
        <f t="shared" si="92"/>
        <v>9.055276859101788</v>
      </c>
      <c r="K1217" s="4">
        <f t="shared" si="91"/>
        <v>1811.0553718203578</v>
      </c>
      <c r="L1217">
        <v>5</v>
      </c>
    </row>
    <row r="1218" spans="1:12" x14ac:dyDescent="0.3">
      <c r="A1218" t="s">
        <v>170</v>
      </c>
      <c r="B1218" t="s">
        <v>173</v>
      </c>
      <c r="C1218" s="4">
        <v>0.56572270000000002</v>
      </c>
      <c r="D1218" s="4">
        <v>0.61247410899999999</v>
      </c>
      <c r="E1218">
        <v>3</v>
      </c>
      <c r="F1218" s="1">
        <v>1.910828025477707</v>
      </c>
      <c r="G1218" s="2">
        <f t="shared" si="93"/>
        <v>2.8676958377934336</v>
      </c>
      <c r="H1218" s="2">
        <f t="shared" si="94"/>
        <v>0.43134781801443484</v>
      </c>
      <c r="I1218" s="2">
        <f t="shared" ref="I1218:I1281" si="95">(H1218*1000)/L1218</f>
        <v>86.269563602886961</v>
      </c>
      <c r="J1218" s="4">
        <f t="shared" si="92"/>
        <v>9.024038269300986</v>
      </c>
      <c r="K1218" s="4">
        <f t="shared" ref="K1218:K1281" si="96">(J1218*1000)/L1218</f>
        <v>1804.807653860197</v>
      </c>
      <c r="L1218">
        <v>5</v>
      </c>
    </row>
    <row r="1219" spans="1:12" x14ac:dyDescent="0.3">
      <c r="A1219" t="s">
        <v>170</v>
      </c>
      <c r="B1219" t="s">
        <v>22</v>
      </c>
      <c r="C1219" s="4">
        <v>0.43836446099999998</v>
      </c>
      <c r="D1219" s="4">
        <v>0.58666666700000003</v>
      </c>
      <c r="E1219">
        <v>4.5</v>
      </c>
      <c r="F1219" s="1">
        <v>3.2484076433121016</v>
      </c>
      <c r="G1219" s="2">
        <f t="shared" si="93"/>
        <v>8.2876409712230217</v>
      </c>
      <c r="H1219" s="2">
        <f t="shared" si="94"/>
        <v>1.7309373904084571</v>
      </c>
      <c r="I1219" s="2">
        <f t="shared" si="95"/>
        <v>346.18747808169144</v>
      </c>
      <c r="J1219" s="4">
        <f t="shared" ref="J1219:J1282" si="97">8.9857 + 0.0035 * F1219^2 * E1219</f>
        <v>9.1518963974197725</v>
      </c>
      <c r="K1219" s="4">
        <f t="shared" si="96"/>
        <v>1830.3792794839544</v>
      </c>
      <c r="L1219">
        <v>5</v>
      </c>
    </row>
    <row r="1220" spans="1:12" x14ac:dyDescent="0.3">
      <c r="A1220" t="s">
        <v>170</v>
      </c>
      <c r="B1220" t="s">
        <v>22</v>
      </c>
      <c r="C1220" s="4">
        <v>0.43836446099999998</v>
      </c>
      <c r="D1220" s="4">
        <v>0.58666666700000003</v>
      </c>
      <c r="E1220">
        <v>4.5</v>
      </c>
      <c r="F1220" s="1">
        <v>2.7070063694267517</v>
      </c>
      <c r="G1220" s="2">
        <f t="shared" ref="G1220:G1283" si="98">PI()*(F1220/2)^2</f>
        <v>5.7553062300159885</v>
      </c>
      <c r="H1220" s="2">
        <f t="shared" ref="H1220:H1283" si="99">0.0673 * ((D1220 * F1220^2 * E1220)^0.976)</f>
        <v>1.2126055930268294</v>
      </c>
      <c r="I1220" s="2">
        <f t="shared" si="95"/>
        <v>242.52111860536587</v>
      </c>
      <c r="J1220" s="4">
        <f t="shared" si="97"/>
        <v>9.1011141648748417</v>
      </c>
      <c r="K1220" s="4">
        <f t="shared" si="96"/>
        <v>1820.2228329749682</v>
      </c>
      <c r="L1220">
        <v>5</v>
      </c>
    </row>
    <row r="1221" spans="1:12" x14ac:dyDescent="0.3">
      <c r="A1221" t="s">
        <v>170</v>
      </c>
      <c r="B1221" t="s">
        <v>22</v>
      </c>
      <c r="C1221" s="4">
        <v>0.43836446099999998</v>
      </c>
      <c r="D1221" s="4">
        <v>0.58666666700000003</v>
      </c>
      <c r="E1221">
        <v>3.6</v>
      </c>
      <c r="F1221" s="1">
        <v>1.7834394904458597</v>
      </c>
      <c r="G1221" s="2">
        <f t="shared" si="98"/>
        <v>2.4980817075889461</v>
      </c>
      <c r="H1221" s="2">
        <f t="shared" si="99"/>
        <v>0.43188953417432668</v>
      </c>
      <c r="I1221" s="2">
        <f t="shared" si="95"/>
        <v>86.377906834865342</v>
      </c>
      <c r="J1221" s="4">
        <f t="shared" si="97"/>
        <v>9.0257762708426306</v>
      </c>
      <c r="K1221" s="4">
        <f t="shared" si="96"/>
        <v>1805.1552541685262</v>
      </c>
      <c r="L1221">
        <v>5</v>
      </c>
    </row>
    <row r="1222" spans="1:12" x14ac:dyDescent="0.3">
      <c r="A1222" t="s">
        <v>170</v>
      </c>
      <c r="B1222" t="s">
        <v>22</v>
      </c>
      <c r="C1222" s="4">
        <v>0.43836446099999998</v>
      </c>
      <c r="D1222" s="4">
        <v>0.58666666700000003</v>
      </c>
      <c r="E1222">
        <v>3.4</v>
      </c>
      <c r="F1222" s="1">
        <v>3.4713375796178343</v>
      </c>
      <c r="G1222" s="2">
        <f t="shared" si="98"/>
        <v>9.4641928468954948</v>
      </c>
      <c r="H1222" s="2">
        <f t="shared" si="99"/>
        <v>1.4987816167078667</v>
      </c>
      <c r="I1222" s="2">
        <f t="shared" si="95"/>
        <v>299.75632334157336</v>
      </c>
      <c r="J1222" s="4">
        <f t="shared" si="97"/>
        <v>9.1290971966408367</v>
      </c>
      <c r="K1222" s="4">
        <f t="shared" si="96"/>
        <v>1825.8194393281672</v>
      </c>
      <c r="L1222">
        <v>5</v>
      </c>
    </row>
    <row r="1223" spans="1:12" x14ac:dyDescent="0.3">
      <c r="A1223" t="s">
        <v>174</v>
      </c>
      <c r="B1223" t="s">
        <v>60</v>
      </c>
      <c r="C1223" s="4">
        <v>0.41</v>
      </c>
      <c r="D1223" s="4">
        <v>0.33983503399999998</v>
      </c>
      <c r="E1223">
        <v>8</v>
      </c>
      <c r="F1223" s="4">
        <v>7.6751592356687901</v>
      </c>
      <c r="G1223" s="2">
        <f t="shared" si="98"/>
        <v>46.266289431911233</v>
      </c>
      <c r="H1223" s="2">
        <f t="shared" si="99"/>
        <v>9.5419953108969739</v>
      </c>
      <c r="I1223" s="2">
        <f t="shared" si="95"/>
        <v>1908.3990621793951</v>
      </c>
      <c r="J1223" s="4">
        <f t="shared" si="97"/>
        <v>10.635125940200414</v>
      </c>
      <c r="K1223" s="4">
        <f t="shared" si="96"/>
        <v>2127.0251880400829</v>
      </c>
      <c r="L1223">
        <v>5</v>
      </c>
    </row>
    <row r="1224" spans="1:12" x14ac:dyDescent="0.3">
      <c r="A1224" t="s">
        <v>174</v>
      </c>
      <c r="B1224" t="s">
        <v>113</v>
      </c>
      <c r="C1224" s="4">
        <v>0.6</v>
      </c>
      <c r="D1224" s="4">
        <v>0.51040266700000003</v>
      </c>
      <c r="E1224">
        <v>7.5</v>
      </c>
      <c r="F1224" s="4">
        <v>23.089171974522291</v>
      </c>
      <c r="G1224" s="2">
        <f t="shared" si="98"/>
        <v>418.70350687227034</v>
      </c>
      <c r="H1224" s="2">
        <f t="shared" si="99"/>
        <v>114.38550599755081</v>
      </c>
      <c r="I1224" s="2">
        <f t="shared" si="95"/>
        <v>22877.101199510162</v>
      </c>
      <c r="J1224" s="4">
        <f t="shared" si="97"/>
        <v>22.979833889812973</v>
      </c>
      <c r="K1224" s="4">
        <f t="shared" si="96"/>
        <v>4595.9667779625943</v>
      </c>
      <c r="L1224">
        <v>5</v>
      </c>
    </row>
    <row r="1225" spans="1:12" x14ac:dyDescent="0.3">
      <c r="A1225" t="s">
        <v>174</v>
      </c>
      <c r="B1225" t="s">
        <v>37</v>
      </c>
      <c r="C1225" s="4">
        <v>0.39790071399999999</v>
      </c>
      <c r="D1225" s="4">
        <v>0.50565277799999997</v>
      </c>
      <c r="E1225">
        <v>6.3</v>
      </c>
      <c r="F1225" s="4">
        <v>9.3949044585987256</v>
      </c>
      <c r="G1225" s="2">
        <f t="shared" si="98"/>
        <v>69.322563967770421</v>
      </c>
      <c r="H1225" s="2">
        <f t="shared" si="99"/>
        <v>16.527885009768802</v>
      </c>
      <c r="I1225" s="2">
        <f t="shared" si="95"/>
        <v>3305.5770019537604</v>
      </c>
      <c r="J1225" s="4">
        <f t="shared" si="97"/>
        <v>10.93192626678567</v>
      </c>
      <c r="K1225" s="4">
        <f t="shared" si="96"/>
        <v>2186.3852533571339</v>
      </c>
      <c r="L1225">
        <v>5</v>
      </c>
    </row>
    <row r="1226" spans="1:12" x14ac:dyDescent="0.3">
      <c r="A1226" t="s">
        <v>174</v>
      </c>
      <c r="B1226" t="s">
        <v>37</v>
      </c>
      <c r="C1226" s="4">
        <v>0.39790071399999999</v>
      </c>
      <c r="D1226" s="4">
        <v>0.50565277799999997</v>
      </c>
      <c r="E1226">
        <v>5.5</v>
      </c>
      <c r="F1226" s="4">
        <v>8.4713375796178347</v>
      </c>
      <c r="G1226" s="2">
        <f t="shared" si="98"/>
        <v>56.362968527475616</v>
      </c>
      <c r="H1226" s="2">
        <f t="shared" si="99"/>
        <v>11.82854348613442</v>
      </c>
      <c r="I1226" s="2">
        <f t="shared" si="95"/>
        <v>2365.7086972268839</v>
      </c>
      <c r="J1226" s="4">
        <f t="shared" si="97"/>
        <v>10.367148537466022</v>
      </c>
      <c r="K1226" s="4">
        <f t="shared" si="96"/>
        <v>2073.4297074932047</v>
      </c>
      <c r="L1226">
        <v>5</v>
      </c>
    </row>
    <row r="1227" spans="1:12" x14ac:dyDescent="0.3">
      <c r="A1227" t="s">
        <v>174</v>
      </c>
      <c r="B1227" t="s">
        <v>70</v>
      </c>
      <c r="C1227" s="4">
        <v>0.55560299999999996</v>
      </c>
      <c r="D1227" s="4">
        <v>0.55961111100000005</v>
      </c>
      <c r="E1227">
        <v>6.5</v>
      </c>
      <c r="F1227" s="4">
        <v>9.0764331210191074</v>
      </c>
      <c r="G1227" s="2">
        <f t="shared" si="98"/>
        <v>64.702387340214344</v>
      </c>
      <c r="H1227" s="2">
        <f t="shared" si="99"/>
        <v>17.587578581352645</v>
      </c>
      <c r="I1227" s="2">
        <f t="shared" si="95"/>
        <v>3517.5157162705291</v>
      </c>
      <c r="J1227" s="4">
        <f t="shared" si="97"/>
        <v>10.859882269057568</v>
      </c>
      <c r="K1227" s="4">
        <f t="shared" si="96"/>
        <v>2171.9764538115137</v>
      </c>
      <c r="L1227">
        <v>5</v>
      </c>
    </row>
    <row r="1228" spans="1:12" x14ac:dyDescent="0.3">
      <c r="A1228" t="s">
        <v>174</v>
      </c>
      <c r="B1228" t="s">
        <v>70</v>
      </c>
      <c r="C1228" s="4">
        <v>0.55560299999999996</v>
      </c>
      <c r="D1228" s="4">
        <v>0.55961111100000005</v>
      </c>
      <c r="E1228">
        <v>3.5</v>
      </c>
      <c r="F1228" s="4">
        <v>4.936305732484076</v>
      </c>
      <c r="G1228" s="2">
        <f t="shared" si="98"/>
        <v>19.137886806385342</v>
      </c>
      <c r="H1228" s="2">
        <f t="shared" si="99"/>
        <v>2.9274085314021656</v>
      </c>
      <c r="I1228" s="2">
        <f t="shared" si="95"/>
        <v>585.48170628043306</v>
      </c>
      <c r="J1228" s="4">
        <f t="shared" si="97"/>
        <v>9.2841971499858005</v>
      </c>
      <c r="K1228" s="4">
        <f t="shared" si="96"/>
        <v>1856.8394299971601</v>
      </c>
      <c r="L1228">
        <v>5</v>
      </c>
    </row>
    <row r="1229" spans="1:12" x14ac:dyDescent="0.3">
      <c r="A1229" t="s">
        <v>174</v>
      </c>
      <c r="B1229" t="s">
        <v>41</v>
      </c>
      <c r="C1229" s="4">
        <v>0.56193137999999998</v>
      </c>
      <c r="D1229" s="4">
        <v>0.57808694400000005</v>
      </c>
      <c r="E1229">
        <v>6</v>
      </c>
      <c r="F1229" s="4">
        <v>3.9490445859872612</v>
      </c>
      <c r="G1229" s="2">
        <f t="shared" si="98"/>
        <v>12.248247556086621</v>
      </c>
      <c r="H1229" s="2">
        <f t="shared" si="99"/>
        <v>3.3078702498071046</v>
      </c>
      <c r="I1229" s="2">
        <f t="shared" si="95"/>
        <v>661.574049961421</v>
      </c>
      <c r="J1229" s="4">
        <f t="shared" si="97"/>
        <v>9.3131940159844202</v>
      </c>
      <c r="K1229" s="4">
        <f t="shared" si="96"/>
        <v>1862.6388031968841</v>
      </c>
      <c r="L1229">
        <v>5</v>
      </c>
    </row>
    <row r="1230" spans="1:12" x14ac:dyDescent="0.3">
      <c r="A1230" t="s">
        <v>174</v>
      </c>
      <c r="B1230" t="s">
        <v>41</v>
      </c>
      <c r="C1230" s="4">
        <v>0.56193137999999998</v>
      </c>
      <c r="D1230" s="4">
        <v>0.57808694400000005</v>
      </c>
      <c r="E1230">
        <v>5.5</v>
      </c>
      <c r="F1230" s="4">
        <v>21.496815286624201</v>
      </c>
      <c r="G1230" s="2">
        <f t="shared" si="98"/>
        <v>362.94275447073136</v>
      </c>
      <c r="H1230" s="2">
        <f t="shared" si="99"/>
        <v>83.005843241502248</v>
      </c>
      <c r="I1230" s="2">
        <f t="shared" si="95"/>
        <v>16601.168648300452</v>
      </c>
      <c r="J1230" s="4">
        <f t="shared" si="97"/>
        <v>17.88137654874437</v>
      </c>
      <c r="K1230" s="4">
        <f t="shared" si="96"/>
        <v>3576.275309748874</v>
      </c>
      <c r="L1230">
        <v>5</v>
      </c>
    </row>
    <row r="1231" spans="1:12" x14ac:dyDescent="0.3">
      <c r="A1231" t="s">
        <v>174</v>
      </c>
      <c r="B1231" t="s">
        <v>157</v>
      </c>
      <c r="C1231" s="4">
        <v>0.63</v>
      </c>
      <c r="D1231" s="4">
        <v>0.629222222</v>
      </c>
      <c r="E1231">
        <v>2.2000000000000002</v>
      </c>
      <c r="F1231" s="4">
        <v>4.5859872611464967</v>
      </c>
      <c r="G1231" s="2">
        <f t="shared" si="98"/>
        <v>16.517928025690178</v>
      </c>
      <c r="H1231" s="2">
        <f t="shared" si="99"/>
        <v>1.807046245323944</v>
      </c>
      <c r="I1231" s="2">
        <f t="shared" si="95"/>
        <v>361.40924906478881</v>
      </c>
      <c r="J1231" s="4">
        <f t="shared" si="97"/>
        <v>9.1476408495273631</v>
      </c>
      <c r="K1231" s="4">
        <f t="shared" si="96"/>
        <v>1829.5281699054726</v>
      </c>
      <c r="L1231">
        <v>5</v>
      </c>
    </row>
    <row r="1232" spans="1:12" x14ac:dyDescent="0.3">
      <c r="A1232" t="s">
        <v>174</v>
      </c>
      <c r="B1232" t="s">
        <v>157</v>
      </c>
      <c r="C1232" s="4">
        <v>0.63</v>
      </c>
      <c r="D1232" s="4">
        <v>0.629222222</v>
      </c>
      <c r="E1232">
        <v>1.3</v>
      </c>
      <c r="F1232" s="4">
        <v>1.1146496815286624</v>
      </c>
      <c r="G1232" s="2">
        <f t="shared" si="98"/>
        <v>0.9758131670269321</v>
      </c>
      <c r="H1232" s="2">
        <f t="shared" si="99"/>
        <v>6.8370802963854158E-2</v>
      </c>
      <c r="I1232" s="2">
        <f t="shared" si="95"/>
        <v>13.674160592770832</v>
      </c>
      <c r="J1232" s="4">
        <f t="shared" si="97"/>
        <v>8.9913531198020191</v>
      </c>
      <c r="K1232" s="4">
        <f t="shared" si="96"/>
        <v>1798.2706239604038</v>
      </c>
      <c r="L1232">
        <v>5</v>
      </c>
    </row>
    <row r="1233" spans="1:12" x14ac:dyDescent="0.3">
      <c r="A1233" t="s">
        <v>174</v>
      </c>
      <c r="B1233" t="s">
        <v>57</v>
      </c>
      <c r="C1233" s="4">
        <v>0.61</v>
      </c>
      <c r="D1233" s="4">
        <v>0.84088888900000003</v>
      </c>
      <c r="E1233">
        <v>6.5</v>
      </c>
      <c r="F1233" s="4">
        <v>53.025477707006367</v>
      </c>
      <c r="G1233" s="2">
        <f t="shared" si="98"/>
        <v>2208.3050260908058</v>
      </c>
      <c r="H1233" s="2">
        <f t="shared" si="99"/>
        <v>820.64873958729186</v>
      </c>
      <c r="I1233" s="2">
        <f t="shared" si="95"/>
        <v>164129.74791745836</v>
      </c>
      <c r="J1233" s="4">
        <f t="shared" si="97"/>
        <v>72.951904257779205</v>
      </c>
      <c r="K1233" s="4">
        <f t="shared" si="96"/>
        <v>14590.380851555839</v>
      </c>
      <c r="L1233">
        <v>5</v>
      </c>
    </row>
    <row r="1234" spans="1:12" x14ac:dyDescent="0.3">
      <c r="A1234" t="s">
        <v>174</v>
      </c>
      <c r="B1234" t="s">
        <v>135</v>
      </c>
      <c r="C1234" s="4">
        <v>0.84088890000000005</v>
      </c>
      <c r="D1234" s="4">
        <v>0.84088888900000003</v>
      </c>
      <c r="E1234">
        <v>10</v>
      </c>
      <c r="F1234" s="4">
        <v>33.312101910828019</v>
      </c>
      <c r="G1234" s="2">
        <f t="shared" si="98"/>
        <v>871.55330535088876</v>
      </c>
      <c r="H1234" s="2">
        <f t="shared" si="99"/>
        <v>504.28857224954567</v>
      </c>
      <c r="I1234" s="2">
        <f t="shared" si="95"/>
        <v>100857.71444990914</v>
      </c>
      <c r="J1234" s="4">
        <f t="shared" si="97"/>
        <v>47.825064680108717</v>
      </c>
      <c r="K1234" s="4">
        <f t="shared" si="96"/>
        <v>9565.0129360217434</v>
      </c>
      <c r="L1234">
        <v>5</v>
      </c>
    </row>
    <row r="1235" spans="1:12" x14ac:dyDescent="0.3">
      <c r="A1235" t="s">
        <v>174</v>
      </c>
      <c r="B1235" t="s">
        <v>135</v>
      </c>
      <c r="C1235" s="4">
        <v>0.84088890000000005</v>
      </c>
      <c r="D1235" s="4">
        <v>0.84088888900000003</v>
      </c>
      <c r="E1235">
        <v>9</v>
      </c>
      <c r="F1235" s="4">
        <v>5.5732484076433115</v>
      </c>
      <c r="G1235" s="2">
        <f t="shared" si="98"/>
        <v>24.395329175673304</v>
      </c>
      <c r="H1235" s="2">
        <f t="shared" si="99"/>
        <v>13.877276409368095</v>
      </c>
      <c r="I1235" s="2">
        <f t="shared" si="95"/>
        <v>2775.4552818736188</v>
      </c>
      <c r="J1235" s="4">
        <f t="shared" si="97"/>
        <v>9.9641245811189094</v>
      </c>
      <c r="K1235" s="4">
        <f t="shared" si="96"/>
        <v>1992.8249162237819</v>
      </c>
      <c r="L1235">
        <v>5</v>
      </c>
    </row>
    <row r="1236" spans="1:12" x14ac:dyDescent="0.3">
      <c r="A1236" t="s">
        <v>174</v>
      </c>
      <c r="B1236" t="s">
        <v>135</v>
      </c>
      <c r="C1236" s="4">
        <v>0.84088890000000005</v>
      </c>
      <c r="D1236" s="4">
        <v>0.84088888900000003</v>
      </c>
      <c r="E1236">
        <v>9</v>
      </c>
      <c r="F1236" s="4">
        <v>13.248407643312103</v>
      </c>
      <c r="G1236" s="2">
        <f t="shared" si="98"/>
        <v>137.85332525143903</v>
      </c>
      <c r="H1236" s="2">
        <f t="shared" si="99"/>
        <v>75.225338222172667</v>
      </c>
      <c r="I1236" s="2">
        <f t="shared" si="95"/>
        <v>15045.067644434534</v>
      </c>
      <c r="J1236" s="4">
        <f t="shared" si="97"/>
        <v>14.514589610126173</v>
      </c>
      <c r="K1236" s="4">
        <f t="shared" si="96"/>
        <v>2902.9179220252345</v>
      </c>
      <c r="L1236">
        <v>5</v>
      </c>
    </row>
    <row r="1237" spans="1:12" x14ac:dyDescent="0.3">
      <c r="A1237" t="s">
        <v>174</v>
      </c>
      <c r="B1237" t="s">
        <v>175</v>
      </c>
      <c r="C1237" s="4">
        <v>0.78713326400000005</v>
      </c>
      <c r="D1237" s="4">
        <v>0.8155</v>
      </c>
      <c r="E1237">
        <v>3.5</v>
      </c>
      <c r="F1237" s="4">
        <v>6.6878980891719744</v>
      </c>
      <c r="G1237" s="2">
        <f t="shared" si="98"/>
        <v>35.12927401296956</v>
      </c>
      <c r="H1237" s="2">
        <f t="shared" si="99"/>
        <v>7.6478727980528429</v>
      </c>
      <c r="I1237" s="2">
        <f t="shared" si="95"/>
        <v>1529.5745596105685</v>
      </c>
      <c r="J1237" s="4">
        <f t="shared" si="97"/>
        <v>9.5336177654265892</v>
      </c>
      <c r="K1237" s="4">
        <f t="shared" si="96"/>
        <v>1906.7235530853177</v>
      </c>
      <c r="L1237">
        <v>5</v>
      </c>
    </row>
    <row r="1238" spans="1:12" x14ac:dyDescent="0.3">
      <c r="A1238" t="s">
        <v>174</v>
      </c>
      <c r="B1238" t="s">
        <v>118</v>
      </c>
      <c r="C1238" s="4">
        <v>0.56023871300000005</v>
      </c>
      <c r="D1238" s="4">
        <v>0.74103703700000001</v>
      </c>
      <c r="E1238">
        <v>7</v>
      </c>
      <c r="F1238" s="4">
        <v>14.29936305732484</v>
      </c>
      <c r="G1238" s="2">
        <f t="shared" si="98"/>
        <v>160.59176349860942</v>
      </c>
      <c r="H1238" s="2">
        <f t="shared" si="99"/>
        <v>60.391065554207593</v>
      </c>
      <c r="I1238" s="2">
        <f t="shared" si="95"/>
        <v>12078.213110841518</v>
      </c>
      <c r="J1238" s="4">
        <f t="shared" si="97"/>
        <v>13.995258704207066</v>
      </c>
      <c r="K1238" s="4">
        <f t="shared" si="96"/>
        <v>2799.0517408414134</v>
      </c>
      <c r="L1238">
        <v>5</v>
      </c>
    </row>
    <row r="1239" spans="1:12" x14ac:dyDescent="0.3">
      <c r="A1239" t="s">
        <v>176</v>
      </c>
      <c r="B1239" t="s">
        <v>75</v>
      </c>
      <c r="C1239" s="4">
        <v>0.86</v>
      </c>
      <c r="D1239" s="4">
        <v>0.65666666699999998</v>
      </c>
      <c r="E1239">
        <v>7</v>
      </c>
      <c r="F1239" s="1">
        <v>9.2356687898089174</v>
      </c>
      <c r="G1239" s="2">
        <f t="shared" si="98"/>
        <v>66.992561099563275</v>
      </c>
      <c r="H1239" s="2">
        <f t="shared" si="99"/>
        <v>22.864076391671723</v>
      </c>
      <c r="I1239" s="2">
        <f t="shared" si="95"/>
        <v>4572.8152783343448</v>
      </c>
      <c r="J1239" s="4">
        <f t="shared" si="97"/>
        <v>11.075490660878737</v>
      </c>
      <c r="K1239" s="4">
        <f t="shared" si="96"/>
        <v>2215.0981321757472</v>
      </c>
      <c r="L1239">
        <v>5</v>
      </c>
    </row>
    <row r="1240" spans="1:12" x14ac:dyDescent="0.3">
      <c r="A1240" t="s">
        <v>176</v>
      </c>
      <c r="B1240" t="s">
        <v>75</v>
      </c>
      <c r="C1240" s="4">
        <v>0.86</v>
      </c>
      <c r="D1240" s="4">
        <v>0.65666666699999998</v>
      </c>
      <c r="E1240">
        <v>6</v>
      </c>
      <c r="F1240" s="1">
        <v>6.8471337579617835</v>
      </c>
      <c r="G1240" s="2">
        <f t="shared" si="98"/>
        <v>36.822011139444854</v>
      </c>
      <c r="H1240" s="2">
        <f t="shared" si="99"/>
        <v>10.968129706042994</v>
      </c>
      <c r="I1240" s="2">
        <f t="shared" si="95"/>
        <v>2193.6259412085988</v>
      </c>
      <c r="J1240" s="4">
        <f t="shared" si="97"/>
        <v>9.9702480546878167</v>
      </c>
      <c r="K1240" s="4">
        <f t="shared" si="96"/>
        <v>1994.0496109375631</v>
      </c>
      <c r="L1240">
        <v>5</v>
      </c>
    </row>
    <row r="1241" spans="1:12" x14ac:dyDescent="0.3">
      <c r="A1241" t="s">
        <v>176</v>
      </c>
      <c r="B1241" t="s">
        <v>75</v>
      </c>
      <c r="C1241" s="4">
        <v>0.86</v>
      </c>
      <c r="D1241" s="4">
        <v>0.65666666699999998</v>
      </c>
      <c r="E1241">
        <v>5</v>
      </c>
      <c r="F1241" s="1">
        <v>7.1656050955414008</v>
      </c>
      <c r="G1241" s="2">
        <f t="shared" si="98"/>
        <v>40.326972718970154</v>
      </c>
      <c r="H1241" s="2">
        <f t="shared" si="99"/>
        <v>10.032105325792706</v>
      </c>
      <c r="I1241" s="2">
        <f t="shared" si="95"/>
        <v>2006.4210651585413</v>
      </c>
      <c r="J1241" s="4">
        <f t="shared" si="97"/>
        <v>9.884253186741855</v>
      </c>
      <c r="K1241" s="4">
        <f t="shared" si="96"/>
        <v>1976.850637348371</v>
      </c>
      <c r="L1241">
        <v>5</v>
      </c>
    </row>
    <row r="1242" spans="1:12" x14ac:dyDescent="0.3">
      <c r="A1242" t="s">
        <v>176</v>
      </c>
      <c r="B1242" t="s">
        <v>75</v>
      </c>
      <c r="C1242" s="4">
        <v>0.86</v>
      </c>
      <c r="D1242" s="4">
        <v>0.65666666699999998</v>
      </c>
      <c r="E1242">
        <v>4.5</v>
      </c>
      <c r="F1242" s="1">
        <v>9.2356687898089174</v>
      </c>
      <c r="G1242" s="2">
        <f t="shared" si="98"/>
        <v>66.992561099563275</v>
      </c>
      <c r="H1242" s="2">
        <f t="shared" si="99"/>
        <v>14.855025063025295</v>
      </c>
      <c r="I1242" s="2">
        <f t="shared" si="95"/>
        <v>2971.0050126050587</v>
      </c>
      <c r="J1242" s="4">
        <f t="shared" si="97"/>
        <v>10.329136853422046</v>
      </c>
      <c r="K1242" s="4">
        <f t="shared" si="96"/>
        <v>2065.8273706844093</v>
      </c>
      <c r="L1242">
        <v>5</v>
      </c>
    </row>
    <row r="1243" spans="1:12" x14ac:dyDescent="0.3">
      <c r="A1243" t="s">
        <v>176</v>
      </c>
      <c r="B1243" t="s">
        <v>26</v>
      </c>
      <c r="C1243" s="4">
        <v>0.80908761900000004</v>
      </c>
      <c r="D1243" s="4">
        <v>0.87473809499999999</v>
      </c>
      <c r="E1243">
        <v>8</v>
      </c>
      <c r="F1243" s="1">
        <v>16.560509554140125</v>
      </c>
      <c r="G1243" s="2">
        <f t="shared" si="98"/>
        <v>215.39582070537341</v>
      </c>
      <c r="H1243" s="2">
        <f t="shared" si="99"/>
        <v>107.72976508608947</v>
      </c>
      <c r="I1243" s="2">
        <f t="shared" si="95"/>
        <v>21545.953017217897</v>
      </c>
      <c r="J1243" s="4">
        <f t="shared" si="97"/>
        <v>16.664713347397459</v>
      </c>
      <c r="K1243" s="4">
        <f t="shared" si="96"/>
        <v>3332.942669479492</v>
      </c>
      <c r="L1243">
        <v>5</v>
      </c>
    </row>
    <row r="1244" spans="1:12" x14ac:dyDescent="0.3">
      <c r="A1244" t="s">
        <v>176</v>
      </c>
      <c r="B1244" t="s">
        <v>60</v>
      </c>
      <c r="C1244" s="4">
        <v>0.41</v>
      </c>
      <c r="D1244" s="4">
        <v>0.33983503399999998</v>
      </c>
      <c r="E1244">
        <v>8</v>
      </c>
      <c r="F1244" s="1">
        <v>15.286624203821656</v>
      </c>
      <c r="G1244" s="2">
        <f t="shared" si="98"/>
        <v>183.53253361877975</v>
      </c>
      <c r="H1244" s="2">
        <f t="shared" si="99"/>
        <v>36.620546999700032</v>
      </c>
      <c r="I1244" s="2">
        <f t="shared" si="95"/>
        <v>7324.1093999400064</v>
      </c>
      <c r="J1244" s="4">
        <f t="shared" si="97"/>
        <v>15.52876462736825</v>
      </c>
      <c r="K1244" s="4">
        <f t="shared" si="96"/>
        <v>3105.7529254736501</v>
      </c>
      <c r="L1244">
        <v>5</v>
      </c>
    </row>
    <row r="1245" spans="1:12" x14ac:dyDescent="0.3">
      <c r="A1245" t="s">
        <v>176</v>
      </c>
      <c r="B1245" t="s">
        <v>17</v>
      </c>
      <c r="C1245" s="4">
        <v>0.708787469</v>
      </c>
      <c r="D1245" s="4">
        <v>0.80167708299999996</v>
      </c>
      <c r="E1245">
        <v>2</v>
      </c>
      <c r="F1245" s="1">
        <v>4.0999999999999996</v>
      </c>
      <c r="G1245" s="2">
        <f t="shared" si="98"/>
        <v>13.202543126711104</v>
      </c>
      <c r="H1245" s="2">
        <f t="shared" si="99"/>
        <v>1.6760150339120039</v>
      </c>
      <c r="I1245" s="2">
        <f t="shared" si="95"/>
        <v>335.20300678240079</v>
      </c>
      <c r="J1245" s="4">
        <f t="shared" si="97"/>
        <v>9.10337</v>
      </c>
      <c r="K1245" s="4">
        <f t="shared" si="96"/>
        <v>1820.6740000000002</v>
      </c>
      <c r="L1245">
        <v>5</v>
      </c>
    </row>
    <row r="1246" spans="1:12" x14ac:dyDescent="0.3">
      <c r="A1246" t="s">
        <v>176</v>
      </c>
      <c r="B1246" t="s">
        <v>157</v>
      </c>
      <c r="C1246" s="4">
        <v>0.63</v>
      </c>
      <c r="D1246" s="4">
        <v>0.629222222</v>
      </c>
      <c r="E1246">
        <v>2.6</v>
      </c>
      <c r="F1246" s="1">
        <v>2.3885350318471334</v>
      </c>
      <c r="G1246" s="2">
        <f t="shared" si="98"/>
        <v>4.480774746552239</v>
      </c>
      <c r="H1246" s="2">
        <f t="shared" si="99"/>
        <v>0.59535323762348202</v>
      </c>
      <c r="I1246" s="2">
        <f t="shared" si="95"/>
        <v>119.07064752469641</v>
      </c>
      <c r="J1246" s="4">
        <f t="shared" si="97"/>
        <v>9.0376164063450837</v>
      </c>
      <c r="K1246" s="4">
        <f t="shared" si="96"/>
        <v>1807.5232812690167</v>
      </c>
      <c r="L1246">
        <v>5</v>
      </c>
    </row>
    <row r="1247" spans="1:12" x14ac:dyDescent="0.3">
      <c r="A1247" t="s">
        <v>176</v>
      </c>
      <c r="B1247" t="s">
        <v>157</v>
      </c>
      <c r="C1247" s="4">
        <v>0.63</v>
      </c>
      <c r="D1247" s="4">
        <v>0.629222222</v>
      </c>
      <c r="E1247">
        <v>2.2000000000000002</v>
      </c>
      <c r="F1247" s="1">
        <v>1.910828025477707</v>
      </c>
      <c r="G1247" s="2">
        <f t="shared" si="98"/>
        <v>2.8676958377934336</v>
      </c>
      <c r="H1247" s="2">
        <f t="shared" si="99"/>
        <v>0.32718766562432566</v>
      </c>
      <c r="I1247" s="2">
        <f t="shared" si="95"/>
        <v>65.437533124865141</v>
      </c>
      <c r="J1247" s="4">
        <f t="shared" si="97"/>
        <v>9.013814730820723</v>
      </c>
      <c r="K1247" s="4">
        <f t="shared" si="96"/>
        <v>1802.7629461641445</v>
      </c>
      <c r="L1247">
        <v>5</v>
      </c>
    </row>
    <row r="1248" spans="1:12" x14ac:dyDescent="0.3">
      <c r="A1248" t="s">
        <v>176</v>
      </c>
      <c r="B1248" t="s">
        <v>157</v>
      </c>
      <c r="C1248" s="4">
        <v>0.63</v>
      </c>
      <c r="D1248" s="4">
        <v>0.629222222</v>
      </c>
      <c r="E1248">
        <v>1.45</v>
      </c>
      <c r="F1248" s="1">
        <v>0.46178343949044581</v>
      </c>
      <c r="G1248" s="2">
        <f t="shared" si="98"/>
        <v>0.16748140274890813</v>
      </c>
      <c r="H1248" s="2">
        <f t="shared" si="99"/>
        <v>1.361841788557773E-2</v>
      </c>
      <c r="I1248" s="2">
        <f t="shared" si="95"/>
        <v>2.7236835771155459</v>
      </c>
      <c r="J1248" s="4">
        <f t="shared" si="97"/>
        <v>8.9867822130208115</v>
      </c>
      <c r="K1248" s="4">
        <f t="shared" si="96"/>
        <v>1797.3564426041623</v>
      </c>
      <c r="L1248">
        <v>5</v>
      </c>
    </row>
    <row r="1249" spans="1:12" x14ac:dyDescent="0.3">
      <c r="A1249" t="s">
        <v>176</v>
      </c>
      <c r="B1249" t="s">
        <v>157</v>
      </c>
      <c r="C1249" s="4">
        <v>0.63</v>
      </c>
      <c r="D1249" s="4">
        <v>0.629222222</v>
      </c>
      <c r="E1249">
        <v>2.2000000000000002</v>
      </c>
      <c r="F1249" s="1">
        <v>1.592356687898089</v>
      </c>
      <c r="G1249" s="2">
        <f t="shared" si="98"/>
        <v>1.9914554429121063</v>
      </c>
      <c r="H1249" s="2">
        <f t="shared" si="99"/>
        <v>0.22921082848168559</v>
      </c>
      <c r="I1249" s="2">
        <f t="shared" si="95"/>
        <v>45.842165696337119</v>
      </c>
      <c r="J1249" s="4">
        <f t="shared" si="97"/>
        <v>9.0052241186255024</v>
      </c>
      <c r="K1249" s="4">
        <f t="shared" si="96"/>
        <v>1801.0448237251007</v>
      </c>
      <c r="L1249">
        <v>5</v>
      </c>
    </row>
    <row r="1250" spans="1:12" x14ac:dyDescent="0.3">
      <c r="A1250" t="s">
        <v>176</v>
      </c>
      <c r="B1250" t="s">
        <v>39</v>
      </c>
      <c r="C1250" s="4">
        <v>0.590536375</v>
      </c>
      <c r="D1250" s="4">
        <v>0.61247410899999999</v>
      </c>
      <c r="E1250">
        <v>9</v>
      </c>
      <c r="F1250" s="1">
        <v>43.630573248407643</v>
      </c>
      <c r="G1250" s="2">
        <f t="shared" si="98"/>
        <v>1495.1050883206933</v>
      </c>
      <c r="H1250" s="2">
        <f t="shared" si="99"/>
        <v>565.49042587832514</v>
      </c>
      <c r="I1250" s="2">
        <f t="shared" si="95"/>
        <v>113098.08517566502</v>
      </c>
      <c r="J1250" s="4">
        <f t="shared" si="97"/>
        <v>68.949948042516937</v>
      </c>
      <c r="K1250" s="4">
        <f t="shared" si="96"/>
        <v>13789.989608503387</v>
      </c>
      <c r="L1250">
        <v>5</v>
      </c>
    </row>
    <row r="1251" spans="1:12" x14ac:dyDescent="0.3">
      <c r="A1251" t="s">
        <v>176</v>
      </c>
      <c r="B1251" t="s">
        <v>22</v>
      </c>
      <c r="C1251" s="4">
        <v>0.43836446099999998</v>
      </c>
      <c r="D1251" s="4">
        <v>0.58666666700000003</v>
      </c>
      <c r="E1251">
        <v>4.5</v>
      </c>
      <c r="F1251" s="1">
        <v>3.5031847133757958</v>
      </c>
      <c r="G1251" s="2">
        <f t="shared" si="98"/>
        <v>9.6386443436945939</v>
      </c>
      <c r="H1251" s="2">
        <f t="shared" si="99"/>
        <v>2.0058217926455892</v>
      </c>
      <c r="I1251" s="2">
        <f t="shared" si="95"/>
        <v>401.16435852911786</v>
      </c>
      <c r="J1251" s="4">
        <f t="shared" si="97"/>
        <v>9.1789887743924705</v>
      </c>
      <c r="K1251" s="4">
        <f t="shared" si="96"/>
        <v>1835.7977548784941</v>
      </c>
      <c r="L1251">
        <v>5</v>
      </c>
    </row>
    <row r="1252" spans="1:12" x14ac:dyDescent="0.3">
      <c r="A1252" t="s">
        <v>176</v>
      </c>
      <c r="B1252" t="s">
        <v>22</v>
      </c>
      <c r="C1252" s="4">
        <v>0.43836446099999998</v>
      </c>
      <c r="D1252" s="4">
        <v>0.58666666700000003</v>
      </c>
      <c r="E1252">
        <v>1.8</v>
      </c>
      <c r="F1252" s="1">
        <v>1.1146496815286624</v>
      </c>
      <c r="G1252" s="2">
        <f t="shared" si="98"/>
        <v>0.9758131670269321</v>
      </c>
      <c r="H1252" s="2">
        <f t="shared" si="99"/>
        <v>8.7725367887138847E-2</v>
      </c>
      <c r="I1252" s="2">
        <f t="shared" si="95"/>
        <v>17.545073577427768</v>
      </c>
      <c r="J1252" s="4">
        <f t="shared" si="97"/>
        <v>8.9935273966489504</v>
      </c>
      <c r="K1252" s="4">
        <f t="shared" si="96"/>
        <v>1798.7054793297903</v>
      </c>
      <c r="L1252">
        <v>5</v>
      </c>
    </row>
    <row r="1253" spans="1:12" x14ac:dyDescent="0.3">
      <c r="A1253" t="s">
        <v>176</v>
      </c>
      <c r="B1253" t="s">
        <v>149</v>
      </c>
      <c r="C1253" s="4">
        <v>0.41185709999999998</v>
      </c>
      <c r="D1253" s="4">
        <v>0.41185714299999998</v>
      </c>
      <c r="E1253">
        <v>6</v>
      </c>
      <c r="F1253" s="1">
        <v>37.484076433121011</v>
      </c>
      <c r="G1253" s="2">
        <f t="shared" si="98"/>
        <v>1103.528390909594</v>
      </c>
      <c r="H1253" s="2">
        <f t="shared" si="99"/>
        <v>192.14644381618061</v>
      </c>
      <c r="I1253" s="2">
        <f t="shared" si="95"/>
        <v>38429.288763236123</v>
      </c>
      <c r="J1253" s="4">
        <f t="shared" si="97"/>
        <v>38.491875706925221</v>
      </c>
      <c r="K1253" s="4">
        <f t="shared" si="96"/>
        <v>7698.375141385045</v>
      </c>
      <c r="L1253">
        <v>5</v>
      </c>
    </row>
    <row r="1254" spans="1:12" x14ac:dyDescent="0.3">
      <c r="A1254" t="s">
        <v>177</v>
      </c>
      <c r="B1254" t="s">
        <v>75</v>
      </c>
      <c r="C1254" s="4">
        <v>0.86</v>
      </c>
      <c r="D1254" s="4">
        <v>0.65666666699999998</v>
      </c>
      <c r="E1254">
        <v>7</v>
      </c>
      <c r="F1254" s="1">
        <v>10.445859872611464</v>
      </c>
      <c r="G1254" s="2">
        <f t="shared" si="98"/>
        <v>85.699496948102421</v>
      </c>
      <c r="H1254" s="2">
        <f t="shared" si="99"/>
        <v>29.076257980882808</v>
      </c>
      <c r="I1254" s="2">
        <f t="shared" si="95"/>
        <v>5815.2515961765621</v>
      </c>
      <c r="J1254" s="4">
        <f t="shared" si="97"/>
        <v>11.659041717716743</v>
      </c>
      <c r="K1254" s="4">
        <f t="shared" si="96"/>
        <v>2331.8083435433487</v>
      </c>
      <c r="L1254">
        <v>5</v>
      </c>
    </row>
    <row r="1255" spans="1:12" x14ac:dyDescent="0.3">
      <c r="A1255" t="s">
        <v>177</v>
      </c>
      <c r="B1255" t="s">
        <v>153</v>
      </c>
      <c r="C1255" s="4">
        <v>0.57550000000000001</v>
      </c>
      <c r="D1255" s="4">
        <v>0.57550000000000001</v>
      </c>
      <c r="E1255">
        <v>1.9</v>
      </c>
      <c r="F1255" s="1">
        <v>1.8789808917197452</v>
      </c>
      <c r="G1255" s="2">
        <f t="shared" si="98"/>
        <v>2.7729025587108174</v>
      </c>
      <c r="H1255" s="2">
        <f t="shared" si="99"/>
        <v>0.25152390821075521</v>
      </c>
      <c r="I1255" s="2">
        <f t="shared" si="95"/>
        <v>50.304781642151042</v>
      </c>
      <c r="J1255" s="4">
        <f t="shared" si="97"/>
        <v>9.009178285123129</v>
      </c>
      <c r="K1255" s="4">
        <f t="shared" si="96"/>
        <v>1801.8356570246258</v>
      </c>
      <c r="L1255">
        <v>5</v>
      </c>
    </row>
    <row r="1256" spans="1:12" x14ac:dyDescent="0.3">
      <c r="A1256" t="s">
        <v>177</v>
      </c>
      <c r="B1256" t="s">
        <v>153</v>
      </c>
      <c r="C1256" s="4">
        <v>0.57550000000000001</v>
      </c>
      <c r="D1256" s="4">
        <v>0.57550000000000001</v>
      </c>
      <c r="E1256">
        <v>1.8</v>
      </c>
      <c r="F1256" s="1">
        <v>1.4649681528662419</v>
      </c>
      <c r="G1256" s="2">
        <f t="shared" si="98"/>
        <v>1.6855678868808071</v>
      </c>
      <c r="H1256" s="2">
        <f t="shared" si="99"/>
        <v>0.14677831025721508</v>
      </c>
      <c r="I1256" s="2">
        <f t="shared" si="95"/>
        <v>29.355662051443016</v>
      </c>
      <c r="J1256" s="4">
        <f t="shared" si="97"/>
        <v>8.9992206296401474</v>
      </c>
      <c r="K1256" s="4">
        <f t="shared" si="96"/>
        <v>1799.8441259280294</v>
      </c>
      <c r="L1256">
        <v>5</v>
      </c>
    </row>
    <row r="1257" spans="1:12" x14ac:dyDescent="0.3">
      <c r="A1257" t="s">
        <v>177</v>
      </c>
      <c r="B1257" t="s">
        <v>153</v>
      </c>
      <c r="C1257" s="4">
        <v>0.57550000000000001</v>
      </c>
      <c r="D1257" s="4">
        <v>0.57550000000000001</v>
      </c>
      <c r="E1257">
        <v>2.5</v>
      </c>
      <c r="F1257" s="1">
        <v>1.910828025477707</v>
      </c>
      <c r="G1257" s="2">
        <f t="shared" si="98"/>
        <v>2.8676958377934336</v>
      </c>
      <c r="H1257" s="2">
        <f t="shared" si="99"/>
        <v>0.33974519284911719</v>
      </c>
      <c r="I1257" s="2">
        <f t="shared" si="95"/>
        <v>67.949038569823443</v>
      </c>
      <c r="J1257" s="4">
        <f t="shared" si="97"/>
        <v>9.017648557750821</v>
      </c>
      <c r="K1257" s="4">
        <f t="shared" si="96"/>
        <v>1803.5297115501642</v>
      </c>
      <c r="L1257">
        <v>5</v>
      </c>
    </row>
    <row r="1258" spans="1:12" x14ac:dyDescent="0.3">
      <c r="A1258" t="s">
        <v>177</v>
      </c>
      <c r="B1258" t="s">
        <v>60</v>
      </c>
      <c r="C1258" s="4">
        <v>0.41</v>
      </c>
      <c r="D1258" s="4">
        <v>0.33983503399999998</v>
      </c>
      <c r="E1258">
        <v>7</v>
      </c>
      <c r="F1258" s="4">
        <v>12.929936305732484</v>
      </c>
      <c r="G1258" s="2">
        <f t="shared" si="98"/>
        <v>131.30541975514402</v>
      </c>
      <c r="H1258" s="2">
        <f t="shared" si="99"/>
        <v>23.183799326320926</v>
      </c>
      <c r="I1258" s="2">
        <f t="shared" si="95"/>
        <v>4636.7598652641846</v>
      </c>
      <c r="J1258" s="4">
        <f t="shared" si="97"/>
        <v>13.081689695322325</v>
      </c>
      <c r="K1258" s="4">
        <f t="shared" si="96"/>
        <v>2616.337939064465</v>
      </c>
      <c r="L1258">
        <v>5</v>
      </c>
    </row>
    <row r="1259" spans="1:12" x14ac:dyDescent="0.3">
      <c r="A1259" t="s">
        <v>177</v>
      </c>
      <c r="B1259" t="s">
        <v>60</v>
      </c>
      <c r="C1259" s="4">
        <v>0.41</v>
      </c>
      <c r="D1259" s="4">
        <v>0.33983503399999998</v>
      </c>
      <c r="E1259">
        <v>2</v>
      </c>
      <c r="F1259" s="4">
        <v>2.0382165605095541</v>
      </c>
      <c r="G1259" s="2">
        <f t="shared" si="98"/>
        <v>3.2628005976671957</v>
      </c>
      <c r="H1259" s="2">
        <f t="shared" si="99"/>
        <v>0.18535089582712658</v>
      </c>
      <c r="I1259" s="2">
        <f t="shared" si="95"/>
        <v>37.070179165425316</v>
      </c>
      <c r="J1259" s="4">
        <f t="shared" si="97"/>
        <v>9.0147802872327478</v>
      </c>
      <c r="K1259" s="4">
        <f t="shared" si="96"/>
        <v>1802.9560574465497</v>
      </c>
      <c r="L1259">
        <v>5</v>
      </c>
    </row>
    <row r="1260" spans="1:12" x14ac:dyDescent="0.3">
      <c r="A1260" t="s">
        <v>177</v>
      </c>
      <c r="B1260" t="s">
        <v>60</v>
      </c>
      <c r="C1260" s="4">
        <v>0.41</v>
      </c>
      <c r="D1260" s="4">
        <v>0.33983503399999998</v>
      </c>
      <c r="E1260">
        <v>7</v>
      </c>
      <c r="F1260" s="4">
        <v>6.0509554140127388</v>
      </c>
      <c r="G1260" s="2">
        <f t="shared" si="98"/>
        <v>28.756616595650822</v>
      </c>
      <c r="H1260" s="2">
        <f t="shared" si="99"/>
        <v>5.2658540816063697</v>
      </c>
      <c r="I1260" s="2">
        <f t="shared" si="95"/>
        <v>1053.1708163212738</v>
      </c>
      <c r="J1260" s="4">
        <f t="shared" si="97"/>
        <v>9.8827445048480662</v>
      </c>
      <c r="K1260" s="4">
        <f t="shared" si="96"/>
        <v>1976.5489009696132</v>
      </c>
      <c r="L1260">
        <v>5</v>
      </c>
    </row>
    <row r="1261" spans="1:12" x14ac:dyDescent="0.3">
      <c r="A1261" t="s">
        <v>177</v>
      </c>
      <c r="B1261" t="s">
        <v>60</v>
      </c>
      <c r="C1261" s="4">
        <v>0.41</v>
      </c>
      <c r="D1261" s="4">
        <v>0.33983503399999998</v>
      </c>
      <c r="E1261">
        <v>5.5</v>
      </c>
      <c r="F1261" s="4">
        <v>2.8025477707006372</v>
      </c>
      <c r="G1261" s="2">
        <f t="shared" si="98"/>
        <v>6.1687323799645428</v>
      </c>
      <c r="H1261" s="2">
        <f t="shared" si="99"/>
        <v>0.92629701679231569</v>
      </c>
      <c r="I1261" s="2">
        <f t="shared" si="95"/>
        <v>185.25940335846315</v>
      </c>
      <c r="J1261" s="4">
        <f t="shared" si="97"/>
        <v>9.1368947746358877</v>
      </c>
      <c r="K1261" s="4">
        <f t="shared" si="96"/>
        <v>1827.3789549271776</v>
      </c>
      <c r="L1261">
        <v>5</v>
      </c>
    </row>
    <row r="1262" spans="1:12" x14ac:dyDescent="0.3">
      <c r="A1262" t="s">
        <v>177</v>
      </c>
      <c r="B1262" t="s">
        <v>14</v>
      </c>
      <c r="C1262" s="4">
        <v>0.766138345</v>
      </c>
      <c r="D1262" s="4">
        <v>0.90500000000000003</v>
      </c>
      <c r="E1262">
        <v>2.7</v>
      </c>
      <c r="F1262" s="4">
        <v>12.197452229299362</v>
      </c>
      <c r="G1262" s="2">
        <f t="shared" si="98"/>
        <v>116.84984298613358</v>
      </c>
      <c r="H1262" s="2">
        <f t="shared" si="99"/>
        <v>21.237942717401907</v>
      </c>
      <c r="I1262" s="2">
        <f t="shared" si="95"/>
        <v>4247.5885434803813</v>
      </c>
      <c r="J1262" s="4">
        <f t="shared" si="97"/>
        <v>10.391650596373077</v>
      </c>
      <c r="K1262" s="4">
        <f t="shared" si="96"/>
        <v>2078.3301192746158</v>
      </c>
      <c r="L1262">
        <v>5</v>
      </c>
    </row>
    <row r="1263" spans="1:12" x14ac:dyDescent="0.3">
      <c r="A1263" t="s">
        <v>177</v>
      </c>
      <c r="B1263" t="s">
        <v>171</v>
      </c>
      <c r="C1263" s="4">
        <v>0.6671667</v>
      </c>
      <c r="D1263" s="4">
        <v>0.66716666700000005</v>
      </c>
      <c r="E1263">
        <v>1.75</v>
      </c>
      <c r="F1263" s="4">
        <v>3.9808917197452227</v>
      </c>
      <c r="G1263" s="2">
        <f t="shared" si="98"/>
        <v>12.446596518200664</v>
      </c>
      <c r="H1263" s="2">
        <f t="shared" si="99"/>
        <v>1.1610063307581844</v>
      </c>
      <c r="I1263" s="2">
        <f t="shared" si="95"/>
        <v>232.20126615163684</v>
      </c>
      <c r="J1263" s="4">
        <f t="shared" si="97"/>
        <v>9.0827659306665574</v>
      </c>
      <c r="K1263" s="4">
        <f t="shared" si="96"/>
        <v>1816.5531861333116</v>
      </c>
      <c r="L1263">
        <v>5</v>
      </c>
    </row>
    <row r="1264" spans="1:12" x14ac:dyDescent="0.3">
      <c r="A1264" t="s">
        <v>177</v>
      </c>
      <c r="B1264" t="s">
        <v>141</v>
      </c>
      <c r="C1264" s="4">
        <v>0.83069230800000005</v>
      </c>
      <c r="D1264" s="4">
        <v>0.78683697699999999</v>
      </c>
      <c r="E1264">
        <v>4.7</v>
      </c>
      <c r="F1264" s="4">
        <v>4.7133757961783438</v>
      </c>
      <c r="G1264" s="2">
        <f t="shared" si="98"/>
        <v>17.448336008618714</v>
      </c>
      <c r="H1264" s="2">
        <f t="shared" si="99"/>
        <v>4.9740517102818611</v>
      </c>
      <c r="I1264" s="2">
        <f t="shared" si="95"/>
        <v>994.81034205637229</v>
      </c>
      <c r="J1264" s="4">
        <f t="shared" si="97"/>
        <v>9.3511517424641966</v>
      </c>
      <c r="K1264" s="4">
        <f t="shared" si="96"/>
        <v>1870.2303484928393</v>
      </c>
      <c r="L1264">
        <v>5</v>
      </c>
    </row>
    <row r="1265" spans="1:12" x14ac:dyDescent="0.3">
      <c r="A1265" t="s">
        <v>177</v>
      </c>
      <c r="B1265" t="s">
        <v>70</v>
      </c>
      <c r="C1265" s="4">
        <v>0.55560299999999996</v>
      </c>
      <c r="D1265" s="4">
        <v>0.55961111100000005</v>
      </c>
      <c r="E1265">
        <v>2</v>
      </c>
      <c r="F1265" s="4">
        <v>3.2165605095541401</v>
      </c>
      <c r="G1265" s="2">
        <f t="shared" si="98"/>
        <v>8.1259347892585598</v>
      </c>
      <c r="H1265" s="2">
        <f t="shared" si="99"/>
        <v>0.73482859063580785</v>
      </c>
      <c r="I1265" s="2">
        <f t="shared" si="95"/>
        <v>146.96571812716155</v>
      </c>
      <c r="J1265" s="4">
        <f t="shared" si="97"/>
        <v>9.0581238305813621</v>
      </c>
      <c r="K1265" s="4">
        <f t="shared" si="96"/>
        <v>1811.6247661162724</v>
      </c>
      <c r="L1265">
        <v>5</v>
      </c>
    </row>
    <row r="1266" spans="1:12" x14ac:dyDescent="0.3">
      <c r="A1266" t="s">
        <v>177</v>
      </c>
      <c r="B1266" t="s">
        <v>41</v>
      </c>
      <c r="C1266" s="4">
        <v>0.56193137999999998</v>
      </c>
      <c r="D1266" s="4">
        <v>0.57808694400000005</v>
      </c>
      <c r="E1266">
        <v>7.5</v>
      </c>
      <c r="F1266" s="4">
        <v>10.796178343949043</v>
      </c>
      <c r="G1266" s="2">
        <f t="shared" si="98"/>
        <v>91.544020381960863</v>
      </c>
      <c r="H1266" s="2">
        <f t="shared" si="99"/>
        <v>29.290266306681225</v>
      </c>
      <c r="I1266" s="2">
        <f t="shared" si="95"/>
        <v>5858.0532613362448</v>
      </c>
      <c r="J1266" s="4">
        <f t="shared" si="97"/>
        <v>12.0453335044018</v>
      </c>
      <c r="K1266" s="4">
        <f t="shared" si="96"/>
        <v>2409.0667008803603</v>
      </c>
      <c r="L1266">
        <v>5</v>
      </c>
    </row>
    <row r="1267" spans="1:12" x14ac:dyDescent="0.3">
      <c r="A1267" t="s">
        <v>177</v>
      </c>
      <c r="B1267" t="s">
        <v>41</v>
      </c>
      <c r="C1267" s="4">
        <v>0.56193137999999998</v>
      </c>
      <c r="D1267" s="4">
        <v>0.57808694400000005</v>
      </c>
      <c r="E1267">
        <v>6.8</v>
      </c>
      <c r="F1267" s="4">
        <v>9.7452229299363058</v>
      </c>
      <c r="G1267" s="2">
        <f t="shared" si="98"/>
        <v>74.588768741007215</v>
      </c>
      <c r="H1267" s="2">
        <f t="shared" si="99"/>
        <v>21.795690869320023</v>
      </c>
      <c r="I1267" s="2">
        <f t="shared" si="95"/>
        <v>4359.1381738640048</v>
      </c>
      <c r="J1267" s="4">
        <f t="shared" si="97"/>
        <v>11.24597100490892</v>
      </c>
      <c r="K1267" s="4">
        <f t="shared" si="96"/>
        <v>2249.194200981784</v>
      </c>
      <c r="L1267">
        <v>5</v>
      </c>
    </row>
    <row r="1268" spans="1:12" x14ac:dyDescent="0.3">
      <c r="A1268" t="s">
        <v>177</v>
      </c>
      <c r="B1268" t="s">
        <v>41</v>
      </c>
      <c r="C1268" s="4">
        <v>0.56193137999999998</v>
      </c>
      <c r="D1268" s="4">
        <v>0.57808694400000005</v>
      </c>
      <c r="E1268">
        <v>2.8</v>
      </c>
      <c r="F1268" s="4">
        <v>4.4585987261146496</v>
      </c>
      <c r="G1268" s="2">
        <f t="shared" si="98"/>
        <v>15.613010672430914</v>
      </c>
      <c r="H1268" s="2">
        <f t="shared" si="99"/>
        <v>1.992424532763361</v>
      </c>
      <c r="I1268" s="2">
        <f t="shared" si="95"/>
        <v>398.48490655267221</v>
      </c>
      <c r="J1268" s="4">
        <f t="shared" si="97"/>
        <v>9.1805152054850083</v>
      </c>
      <c r="K1268" s="4">
        <f t="shared" si="96"/>
        <v>1836.1030410970016</v>
      </c>
      <c r="L1268">
        <v>5</v>
      </c>
    </row>
    <row r="1269" spans="1:12" x14ac:dyDescent="0.3">
      <c r="A1269" t="s">
        <v>177</v>
      </c>
      <c r="B1269" t="s">
        <v>41</v>
      </c>
      <c r="C1269" s="4">
        <v>0.56193137999999998</v>
      </c>
      <c r="D1269" s="4">
        <v>0.57808694400000005</v>
      </c>
      <c r="E1269">
        <v>2.5</v>
      </c>
      <c r="F1269" s="4">
        <v>2.2292993630573248</v>
      </c>
      <c r="G1269" s="2">
        <f t="shared" si="98"/>
        <v>3.9032526681077284</v>
      </c>
      <c r="H1269" s="2">
        <f t="shared" si="99"/>
        <v>0.46103568185226823</v>
      </c>
      <c r="I1269" s="2">
        <f t="shared" si="95"/>
        <v>92.20713637045364</v>
      </c>
      <c r="J1269" s="4">
        <f t="shared" si="97"/>
        <v>9.029185536938618</v>
      </c>
      <c r="K1269" s="4">
        <f t="shared" si="96"/>
        <v>1805.8371073877236</v>
      </c>
      <c r="L1269">
        <v>5</v>
      </c>
    </row>
    <row r="1270" spans="1:12" x14ac:dyDescent="0.3">
      <c r="A1270" t="s">
        <v>177</v>
      </c>
      <c r="B1270" t="s">
        <v>157</v>
      </c>
      <c r="C1270" s="4">
        <v>0.63</v>
      </c>
      <c r="D1270" s="4">
        <v>0.629222222</v>
      </c>
      <c r="E1270">
        <v>1.8</v>
      </c>
      <c r="F1270" s="4">
        <v>1.2738853503184713</v>
      </c>
      <c r="G1270" s="2">
        <f t="shared" si="98"/>
        <v>1.274531483463748</v>
      </c>
      <c r="H1270" s="2">
        <f t="shared" si="99"/>
        <v>0.12190126544869569</v>
      </c>
      <c r="I1270" s="2">
        <f t="shared" si="95"/>
        <v>24.380253089739135</v>
      </c>
      <c r="J1270" s="4">
        <f t="shared" si="97"/>
        <v>8.9959235384802625</v>
      </c>
      <c r="K1270" s="4">
        <f t="shared" si="96"/>
        <v>1799.1847076960526</v>
      </c>
      <c r="L1270">
        <v>5</v>
      </c>
    </row>
    <row r="1271" spans="1:12" x14ac:dyDescent="0.3">
      <c r="A1271" t="s">
        <v>177</v>
      </c>
      <c r="B1271" t="s">
        <v>157</v>
      </c>
      <c r="C1271" s="4">
        <v>0.63</v>
      </c>
      <c r="D1271" s="4">
        <v>0.629222222</v>
      </c>
      <c r="E1271">
        <v>1.6</v>
      </c>
      <c r="F1271" s="4">
        <v>1.2738853503184713</v>
      </c>
      <c r="G1271" s="2">
        <f t="shared" si="98"/>
        <v>1.274531483463748</v>
      </c>
      <c r="H1271" s="2">
        <f t="shared" si="99"/>
        <v>0.10866341562308156</v>
      </c>
      <c r="I1271" s="2">
        <f t="shared" si="95"/>
        <v>21.732683124616312</v>
      </c>
      <c r="J1271" s="4">
        <f t="shared" si="97"/>
        <v>8.9947875897602341</v>
      </c>
      <c r="K1271" s="4">
        <f t="shared" si="96"/>
        <v>1798.9575179520466</v>
      </c>
      <c r="L1271">
        <v>5</v>
      </c>
    </row>
    <row r="1272" spans="1:12" x14ac:dyDescent="0.3">
      <c r="A1272" t="s">
        <v>177</v>
      </c>
      <c r="B1272" t="s">
        <v>172</v>
      </c>
      <c r="C1272" s="4">
        <v>0.62922219999999995</v>
      </c>
      <c r="D1272" s="4">
        <v>0.629222222</v>
      </c>
      <c r="E1272">
        <v>1.5</v>
      </c>
      <c r="F1272" s="4">
        <v>1.592356687898089</v>
      </c>
      <c r="G1272" s="2">
        <f t="shared" si="98"/>
        <v>1.9914554429121063</v>
      </c>
      <c r="H1272" s="2">
        <f t="shared" si="99"/>
        <v>0.15772323032758095</v>
      </c>
      <c r="I1272" s="2">
        <f t="shared" si="95"/>
        <v>31.54464606551619</v>
      </c>
      <c r="J1272" s="4">
        <f t="shared" si="97"/>
        <v>8.9990118990628414</v>
      </c>
      <c r="K1272" s="4">
        <f t="shared" si="96"/>
        <v>1799.8023798125682</v>
      </c>
      <c r="L1272">
        <v>5</v>
      </c>
    </row>
    <row r="1273" spans="1:12" x14ac:dyDescent="0.3">
      <c r="A1273" t="s">
        <v>177</v>
      </c>
      <c r="B1273" t="s">
        <v>172</v>
      </c>
      <c r="C1273" s="4">
        <v>0.62922219999999995</v>
      </c>
      <c r="D1273" s="4">
        <v>0.629222222</v>
      </c>
      <c r="E1273">
        <v>1.4</v>
      </c>
      <c r="F1273" s="4">
        <v>1.1146496815286624</v>
      </c>
      <c r="G1273" s="2">
        <f t="shared" si="98"/>
        <v>0.9758131670269321</v>
      </c>
      <c r="H1273" s="2">
        <f t="shared" si="99"/>
        <v>7.3499254041162004E-2</v>
      </c>
      <c r="I1273" s="2">
        <f t="shared" si="95"/>
        <v>14.699850808232402</v>
      </c>
      <c r="J1273" s="4">
        <f t="shared" si="97"/>
        <v>8.9917879751714054</v>
      </c>
      <c r="K1273" s="4">
        <f t="shared" si="96"/>
        <v>1798.3575950342813</v>
      </c>
      <c r="L1273">
        <v>5</v>
      </c>
    </row>
    <row r="1274" spans="1:12" x14ac:dyDescent="0.3">
      <c r="A1274" t="s">
        <v>177</v>
      </c>
      <c r="B1274" t="s">
        <v>172</v>
      </c>
      <c r="C1274" s="4">
        <v>0.62922219999999995</v>
      </c>
      <c r="D1274" s="4">
        <v>0.629222222</v>
      </c>
      <c r="E1274">
        <v>1.4</v>
      </c>
      <c r="F1274" s="4">
        <v>1.2738853503184713</v>
      </c>
      <c r="G1274" s="2">
        <f t="shared" si="98"/>
        <v>1.274531483463748</v>
      </c>
      <c r="H1274" s="2">
        <f t="shared" si="99"/>
        <v>9.5385686973164518E-2</v>
      </c>
      <c r="I1274" s="2">
        <f t="shared" si="95"/>
        <v>19.077137394632906</v>
      </c>
      <c r="J1274" s="4">
        <f t="shared" si="97"/>
        <v>8.9936516410402039</v>
      </c>
      <c r="K1274" s="4">
        <f t="shared" si="96"/>
        <v>1798.7303282080406</v>
      </c>
      <c r="L1274">
        <v>5</v>
      </c>
    </row>
    <row r="1275" spans="1:12" x14ac:dyDescent="0.3">
      <c r="A1275" t="s">
        <v>177</v>
      </c>
      <c r="B1275" t="s">
        <v>172</v>
      </c>
      <c r="C1275" s="4">
        <v>0.62922219999999995</v>
      </c>
      <c r="D1275" s="4">
        <v>0.629222222</v>
      </c>
      <c r="E1275">
        <v>1.6</v>
      </c>
      <c r="F1275" s="4">
        <v>1.8471337579617833</v>
      </c>
      <c r="G1275" s="2">
        <f t="shared" si="98"/>
        <v>2.6797024439825301</v>
      </c>
      <c r="H1275" s="2">
        <f t="shared" si="99"/>
        <v>0.22442627051515415</v>
      </c>
      <c r="I1275" s="2">
        <f t="shared" si="95"/>
        <v>44.885254103030832</v>
      </c>
      <c r="J1275" s="4">
        <f t="shared" si="97"/>
        <v>9.0048066574708905</v>
      </c>
      <c r="K1275" s="4">
        <f t="shared" si="96"/>
        <v>1800.961331494178</v>
      </c>
      <c r="L1275">
        <v>5</v>
      </c>
    </row>
    <row r="1276" spans="1:12" x14ac:dyDescent="0.3">
      <c r="A1276" t="s">
        <v>177</v>
      </c>
      <c r="B1276" t="s">
        <v>172</v>
      </c>
      <c r="C1276" s="4">
        <v>0.62922219999999995</v>
      </c>
      <c r="D1276" s="4">
        <v>0.629222222</v>
      </c>
      <c r="E1276">
        <v>1.5</v>
      </c>
      <c r="F1276" s="4">
        <v>1.592356687898089</v>
      </c>
      <c r="G1276" s="2">
        <f t="shared" si="98"/>
        <v>1.9914554429121063</v>
      </c>
      <c r="H1276" s="2">
        <f t="shared" si="99"/>
        <v>0.15772323032758095</v>
      </c>
      <c r="I1276" s="2">
        <f t="shared" si="95"/>
        <v>31.54464606551619</v>
      </c>
      <c r="J1276" s="4">
        <f t="shared" si="97"/>
        <v>8.9990118990628414</v>
      </c>
      <c r="K1276" s="4">
        <f t="shared" si="96"/>
        <v>1799.8023798125682</v>
      </c>
      <c r="L1276">
        <v>5</v>
      </c>
    </row>
    <row r="1277" spans="1:12" x14ac:dyDescent="0.3">
      <c r="A1277" t="s">
        <v>177</v>
      </c>
      <c r="B1277" t="s">
        <v>135</v>
      </c>
      <c r="C1277" s="4">
        <v>0.84088890000000005</v>
      </c>
      <c r="D1277" s="4">
        <v>0.84088888900000003</v>
      </c>
      <c r="E1277">
        <v>9.5</v>
      </c>
      <c r="F1277" s="4">
        <v>14.012738853503183</v>
      </c>
      <c r="G1277" s="2">
        <f t="shared" si="98"/>
        <v>154.2183094991135</v>
      </c>
      <c r="H1277" s="2">
        <f t="shared" si="99"/>
        <v>88.477153443796368</v>
      </c>
      <c r="I1277" s="2">
        <f t="shared" si="95"/>
        <v>17695.430688759276</v>
      </c>
      <c r="J1277" s="4">
        <f t="shared" si="97"/>
        <v>15.514565268367882</v>
      </c>
      <c r="K1277" s="4">
        <f t="shared" si="96"/>
        <v>3102.9130536735765</v>
      </c>
      <c r="L1277">
        <v>5</v>
      </c>
    </row>
    <row r="1278" spans="1:12" x14ac:dyDescent="0.3">
      <c r="A1278" t="s">
        <v>177</v>
      </c>
      <c r="B1278" t="s">
        <v>135</v>
      </c>
      <c r="C1278" s="4">
        <v>0.84088890000000005</v>
      </c>
      <c r="D1278" s="4">
        <v>0.84088888900000003</v>
      </c>
      <c r="E1278">
        <v>9</v>
      </c>
      <c r="F1278" s="4">
        <v>22.547770700636946</v>
      </c>
      <c r="G1278" s="2">
        <f t="shared" si="98"/>
        <v>399.29796845435783</v>
      </c>
      <c r="H1278" s="2">
        <f t="shared" si="99"/>
        <v>212.40213933308027</v>
      </c>
      <c r="I1278" s="2">
        <f t="shared" si="95"/>
        <v>42480.427866616054</v>
      </c>
      <c r="J1278" s="4">
        <f t="shared" si="97"/>
        <v>25.000361852407814</v>
      </c>
      <c r="K1278" s="4">
        <f t="shared" si="96"/>
        <v>5000.0723704815628</v>
      </c>
      <c r="L1278">
        <v>5</v>
      </c>
    </row>
    <row r="1279" spans="1:12" x14ac:dyDescent="0.3">
      <c r="A1279" t="s">
        <v>177</v>
      </c>
      <c r="B1279" t="s">
        <v>178</v>
      </c>
      <c r="C1279" s="4">
        <v>0.685322871</v>
      </c>
      <c r="D1279" s="4">
        <v>0.8155</v>
      </c>
      <c r="E1279">
        <v>6.5</v>
      </c>
      <c r="F1279" s="4">
        <v>3.3439490445859872</v>
      </c>
      <c r="G1279" s="2">
        <f t="shared" si="98"/>
        <v>8.7823185032423901</v>
      </c>
      <c r="H1279" s="2">
        <f t="shared" si="99"/>
        <v>3.6167886342608542</v>
      </c>
      <c r="I1279" s="2">
        <f t="shared" si="95"/>
        <v>723.3577268521708</v>
      </c>
      <c r="J1279" s="4">
        <f t="shared" si="97"/>
        <v>9.2400903910909165</v>
      </c>
      <c r="K1279" s="4">
        <f t="shared" si="96"/>
        <v>1848.0180782181833</v>
      </c>
      <c r="L1279">
        <v>5</v>
      </c>
    </row>
    <row r="1280" spans="1:12" x14ac:dyDescent="0.3">
      <c r="A1280" t="s">
        <v>177</v>
      </c>
      <c r="B1280" t="s">
        <v>178</v>
      </c>
      <c r="C1280" s="4">
        <v>0.685322871</v>
      </c>
      <c r="D1280" s="4">
        <v>0.8155</v>
      </c>
      <c r="E1280">
        <v>1.5</v>
      </c>
      <c r="F1280" s="4">
        <v>9.6815286624203818</v>
      </c>
      <c r="G1280" s="2">
        <f t="shared" si="98"/>
        <v>73.616938484866097</v>
      </c>
      <c r="H1280" s="2">
        <f t="shared" si="99"/>
        <v>6.8864038074802005</v>
      </c>
      <c r="I1280" s="2">
        <f t="shared" si="95"/>
        <v>1377.28076149604</v>
      </c>
      <c r="J1280" s="4">
        <f t="shared" si="97"/>
        <v>9.4777929855166541</v>
      </c>
      <c r="K1280" s="4">
        <f t="shared" si="96"/>
        <v>1895.5585971033311</v>
      </c>
      <c r="L1280">
        <v>5</v>
      </c>
    </row>
    <row r="1281" spans="1:12" x14ac:dyDescent="0.3">
      <c r="A1281" t="s">
        <v>177</v>
      </c>
      <c r="B1281" t="s">
        <v>178</v>
      </c>
      <c r="C1281" s="4">
        <v>0.685322871</v>
      </c>
      <c r="D1281" s="4">
        <v>0.8155</v>
      </c>
      <c r="E1281">
        <v>4</v>
      </c>
      <c r="F1281" s="4">
        <v>1.2738853503184713</v>
      </c>
      <c r="G1281" s="2">
        <f t="shared" si="98"/>
        <v>1.274531483463748</v>
      </c>
      <c r="H1281" s="2">
        <f t="shared" si="99"/>
        <v>0.34228655152806114</v>
      </c>
      <c r="I1281" s="2">
        <f t="shared" si="95"/>
        <v>68.457310305612225</v>
      </c>
      <c r="J1281" s="4">
        <f t="shared" si="97"/>
        <v>9.008418974400584</v>
      </c>
      <c r="K1281" s="4">
        <f t="shared" si="96"/>
        <v>1801.6837948801167</v>
      </c>
      <c r="L1281">
        <v>5</v>
      </c>
    </row>
    <row r="1282" spans="1:12" x14ac:dyDescent="0.3">
      <c r="A1282" t="s">
        <v>177</v>
      </c>
      <c r="B1282" t="s">
        <v>118</v>
      </c>
      <c r="C1282" s="4">
        <v>0.56023871300000005</v>
      </c>
      <c r="D1282" s="4">
        <v>0.74103703700000001</v>
      </c>
      <c r="E1282">
        <v>6.5</v>
      </c>
      <c r="F1282" s="4">
        <v>0.95541401273885351</v>
      </c>
      <c r="G1282" s="2">
        <f t="shared" si="98"/>
        <v>0.71692395944835841</v>
      </c>
      <c r="H1282" s="2">
        <f t="shared" si="99"/>
        <v>0.28557242737582328</v>
      </c>
      <c r="I1282" s="2">
        <f t="shared" ref="I1282:I1315" si="100">(H1282*1000)/L1282</f>
        <v>57.114485475164656</v>
      </c>
      <c r="J1282" s="4">
        <f t="shared" si="97"/>
        <v>9.0064665625380336</v>
      </c>
      <c r="K1282" s="4">
        <f t="shared" ref="K1282:K1315" si="101">(J1282*1000)/L1282</f>
        <v>1801.2933125076065</v>
      </c>
      <c r="L1282">
        <v>5</v>
      </c>
    </row>
    <row r="1283" spans="1:12" x14ac:dyDescent="0.3">
      <c r="A1283" t="s">
        <v>177</v>
      </c>
      <c r="B1283" t="s">
        <v>118</v>
      </c>
      <c r="C1283" s="4">
        <v>0.56023871300000005</v>
      </c>
      <c r="D1283" s="4">
        <v>0.74103703700000001</v>
      </c>
      <c r="E1283">
        <v>3</v>
      </c>
      <c r="F1283" s="4">
        <v>13.726114649681529</v>
      </c>
      <c r="G1283" s="2">
        <f t="shared" si="98"/>
        <v>147.97390181231836</v>
      </c>
      <c r="H1283" s="2">
        <f t="shared" si="99"/>
        <v>24.386087273871166</v>
      </c>
      <c r="I1283" s="2">
        <f t="shared" si="100"/>
        <v>4877.2174547742334</v>
      </c>
      <c r="J1283" s="4">
        <f t="shared" ref="J1283:J1315" si="102">8.9857 + 0.0035 * F1283^2 * E1283</f>
        <v>10.96396534545012</v>
      </c>
      <c r="K1283" s="4">
        <f t="shared" si="101"/>
        <v>2192.7930690900239</v>
      </c>
      <c r="L1283">
        <v>5</v>
      </c>
    </row>
    <row r="1284" spans="1:12" x14ac:dyDescent="0.3">
      <c r="A1284" t="s">
        <v>177</v>
      </c>
      <c r="B1284" t="s">
        <v>179</v>
      </c>
      <c r="C1284" s="4">
        <v>0.56572270000000002</v>
      </c>
      <c r="D1284" s="4">
        <v>0.61247410899999999</v>
      </c>
      <c r="E1284">
        <v>0.77</v>
      </c>
      <c r="F1284" s="4">
        <v>2.6751592356687897</v>
      </c>
      <c r="G1284" s="2">
        <f t="shared" ref="G1284:G1315" si="103">PI()*(F1284/2)^2</f>
        <v>5.6206838420751293</v>
      </c>
      <c r="H1284" s="2">
        <f t="shared" ref="H1284:H1315" si="104">0.0673 * ((D1284 * F1284^2 * E1284)^0.976)</f>
        <v>0.22060438171896973</v>
      </c>
      <c r="I1284" s="2">
        <f t="shared" si="100"/>
        <v>44.120876343793945</v>
      </c>
      <c r="J1284" s="4">
        <f t="shared" si="102"/>
        <v>9.0049867053430148</v>
      </c>
      <c r="K1284" s="4">
        <f t="shared" si="101"/>
        <v>1800.997341068603</v>
      </c>
      <c r="L1284">
        <v>5</v>
      </c>
    </row>
    <row r="1285" spans="1:12" x14ac:dyDescent="0.3">
      <c r="A1285" t="s">
        <v>177</v>
      </c>
      <c r="B1285" t="s">
        <v>119</v>
      </c>
      <c r="C1285" s="4">
        <v>0.432770245</v>
      </c>
      <c r="D1285" s="4">
        <v>0.61247410899999999</v>
      </c>
      <c r="E1285">
        <v>7</v>
      </c>
      <c r="F1285" s="4">
        <v>4.6178343949044587</v>
      </c>
      <c r="G1285" s="2">
        <f t="shared" si="103"/>
        <v>16.748140274890819</v>
      </c>
      <c r="H1285" s="2">
        <f t="shared" si="104"/>
        <v>5.5209275440164678</v>
      </c>
      <c r="I1285" s="2">
        <f t="shared" si="100"/>
        <v>1104.1855088032935</v>
      </c>
      <c r="J1285" s="4">
        <f t="shared" si="102"/>
        <v>9.5081476652196848</v>
      </c>
      <c r="K1285" s="4">
        <f t="shared" si="101"/>
        <v>1901.629533043937</v>
      </c>
      <c r="L1285">
        <v>5</v>
      </c>
    </row>
    <row r="1286" spans="1:12" x14ac:dyDescent="0.3">
      <c r="A1286" t="s">
        <v>177</v>
      </c>
      <c r="B1286" t="s">
        <v>46</v>
      </c>
      <c r="C1286" s="4">
        <v>1.1200000000000001</v>
      </c>
      <c r="D1286" s="4">
        <v>0.85527777800000004</v>
      </c>
      <c r="E1286">
        <v>2.9</v>
      </c>
      <c r="F1286" s="4">
        <v>2.1974522292993632</v>
      </c>
      <c r="G1286" s="2">
        <f t="shared" si="103"/>
        <v>3.7925277454818165</v>
      </c>
      <c r="H1286" s="2">
        <f t="shared" si="104"/>
        <v>0.75941448746507434</v>
      </c>
      <c r="I1286" s="2">
        <f t="shared" si="100"/>
        <v>151.88289749301487</v>
      </c>
      <c r="J1286" s="4">
        <f t="shared" si="102"/>
        <v>9.0347122824455344</v>
      </c>
      <c r="K1286" s="4">
        <f t="shared" si="101"/>
        <v>1806.9424564891069</v>
      </c>
      <c r="L1286">
        <v>5</v>
      </c>
    </row>
    <row r="1287" spans="1:12" x14ac:dyDescent="0.3">
      <c r="A1287" t="s">
        <v>177</v>
      </c>
      <c r="B1287" t="s">
        <v>47</v>
      </c>
      <c r="C1287" s="4">
        <v>0.40238543599999999</v>
      </c>
      <c r="D1287" s="4">
        <v>0.40883333300000002</v>
      </c>
      <c r="E1287">
        <v>11</v>
      </c>
      <c r="F1287" s="4">
        <v>17.866242038216559</v>
      </c>
      <c r="G1287" s="2">
        <f t="shared" si="103"/>
        <v>250.7011393794964</v>
      </c>
      <c r="H1287" s="2">
        <f t="shared" si="104"/>
        <v>81.143239733390544</v>
      </c>
      <c r="I1287" s="2">
        <f t="shared" si="100"/>
        <v>16228.647946678107</v>
      </c>
      <c r="J1287" s="4">
        <f t="shared" si="102"/>
        <v>21.275000275873261</v>
      </c>
      <c r="K1287" s="4">
        <f t="shared" si="101"/>
        <v>4255.0000551746516</v>
      </c>
      <c r="L1287">
        <v>5</v>
      </c>
    </row>
    <row r="1288" spans="1:12" x14ac:dyDescent="0.3">
      <c r="A1288" t="s">
        <v>177</v>
      </c>
      <c r="B1288" t="s">
        <v>23</v>
      </c>
      <c r="C1288" s="4">
        <v>0.76500000000000001</v>
      </c>
      <c r="D1288" s="4">
        <v>0.61247410899999999</v>
      </c>
      <c r="E1288">
        <v>8</v>
      </c>
      <c r="F1288" s="4">
        <v>6.8471337579617835</v>
      </c>
      <c r="G1288" s="2">
        <f t="shared" si="103"/>
        <v>36.822011139444854</v>
      </c>
      <c r="H1288" s="2">
        <f t="shared" si="104"/>
        <v>13.568808749647841</v>
      </c>
      <c r="I1288" s="2">
        <f t="shared" si="100"/>
        <v>2713.7617499295684</v>
      </c>
      <c r="J1288" s="4">
        <f t="shared" si="102"/>
        <v>10.298430739583756</v>
      </c>
      <c r="K1288" s="4">
        <f t="shared" si="101"/>
        <v>2059.686147916751</v>
      </c>
      <c r="L1288">
        <v>5</v>
      </c>
    </row>
    <row r="1289" spans="1:12" x14ac:dyDescent="0.3">
      <c r="A1289" t="s">
        <v>180</v>
      </c>
      <c r="B1289" t="s">
        <v>75</v>
      </c>
      <c r="C1289" s="4">
        <v>0.86</v>
      </c>
      <c r="D1289" s="4">
        <v>0.65666666699999998</v>
      </c>
      <c r="E1289">
        <v>6</v>
      </c>
      <c r="F1289" s="1">
        <v>6.3694267515923562</v>
      </c>
      <c r="G1289" s="2">
        <f t="shared" si="103"/>
        <v>31.863287086593701</v>
      </c>
      <c r="H1289" s="2">
        <f t="shared" si="104"/>
        <v>9.524084840388932</v>
      </c>
      <c r="I1289" s="2">
        <f t="shared" si="100"/>
        <v>1904.8169680777864</v>
      </c>
      <c r="J1289" s="4">
        <f t="shared" si="102"/>
        <v>9.837661540021907</v>
      </c>
      <c r="K1289" s="4">
        <f t="shared" si="101"/>
        <v>1967.5323080043813</v>
      </c>
      <c r="L1289">
        <v>5</v>
      </c>
    </row>
    <row r="1290" spans="1:12" x14ac:dyDescent="0.3">
      <c r="A1290" t="s">
        <v>180</v>
      </c>
      <c r="B1290" t="s">
        <v>153</v>
      </c>
      <c r="C1290" s="4">
        <v>0.57550000000000001</v>
      </c>
      <c r="D1290" s="4">
        <v>0.57550000000000001</v>
      </c>
      <c r="E1290">
        <v>4</v>
      </c>
      <c r="F1290" s="1">
        <v>1.4331210191082802</v>
      </c>
      <c r="G1290" s="2">
        <f t="shared" si="103"/>
        <v>1.6130789087588062</v>
      </c>
      <c r="H1290" s="2">
        <f t="shared" si="104"/>
        <v>0.30654483969036017</v>
      </c>
      <c r="I1290" s="2">
        <f t="shared" si="100"/>
        <v>61.30896793807203</v>
      </c>
      <c r="J1290" s="4">
        <f t="shared" si="102"/>
        <v>9.0144537019757394</v>
      </c>
      <c r="K1290" s="4">
        <f t="shared" si="101"/>
        <v>1802.8907403951478</v>
      </c>
      <c r="L1290">
        <v>5</v>
      </c>
    </row>
    <row r="1291" spans="1:12" x14ac:dyDescent="0.3">
      <c r="A1291" t="s">
        <v>180</v>
      </c>
      <c r="B1291" t="s">
        <v>60</v>
      </c>
      <c r="C1291" s="4">
        <v>0.41</v>
      </c>
      <c r="D1291" s="4">
        <v>0.33983503399999998</v>
      </c>
      <c r="E1291">
        <v>7</v>
      </c>
      <c r="F1291" s="1">
        <v>7.8025477707006363</v>
      </c>
      <c r="G1291" s="2">
        <f t="shared" si="103"/>
        <v>47.814845184319672</v>
      </c>
      <c r="H1291" s="2">
        <f t="shared" si="104"/>
        <v>8.649559452367015</v>
      </c>
      <c r="I1291" s="2">
        <f t="shared" si="100"/>
        <v>1729.911890473403</v>
      </c>
      <c r="J1291" s="4">
        <f t="shared" si="102"/>
        <v>10.477253916994604</v>
      </c>
      <c r="K1291" s="4">
        <f t="shared" si="101"/>
        <v>2095.4507833989205</v>
      </c>
      <c r="L1291">
        <v>5</v>
      </c>
    </row>
    <row r="1292" spans="1:12" x14ac:dyDescent="0.3">
      <c r="A1292" t="s">
        <v>180</v>
      </c>
      <c r="B1292" t="s">
        <v>60</v>
      </c>
      <c r="C1292" s="4">
        <v>0.41</v>
      </c>
      <c r="D1292" s="4">
        <v>0.33983503399999998</v>
      </c>
      <c r="E1292">
        <v>6</v>
      </c>
      <c r="F1292" s="1">
        <v>4.4585987261146496</v>
      </c>
      <c r="G1292" s="2">
        <f t="shared" si="103"/>
        <v>15.613010672430914</v>
      </c>
      <c r="H1292" s="2">
        <f t="shared" si="104"/>
        <v>2.4959946516170342</v>
      </c>
      <c r="I1292" s="2">
        <f t="shared" si="100"/>
        <v>499.1989303234069</v>
      </c>
      <c r="J1292" s="4">
        <f t="shared" si="102"/>
        <v>9.4031611546107339</v>
      </c>
      <c r="K1292" s="4">
        <f t="shared" si="101"/>
        <v>1880.6322309221468</v>
      </c>
      <c r="L1292">
        <v>5</v>
      </c>
    </row>
    <row r="1293" spans="1:12" x14ac:dyDescent="0.3">
      <c r="A1293" t="s">
        <v>180</v>
      </c>
      <c r="B1293" t="s">
        <v>69</v>
      </c>
      <c r="C1293" s="4">
        <v>0.31264018999999998</v>
      </c>
      <c r="D1293" s="4">
        <v>0.356821212</v>
      </c>
      <c r="E1293">
        <v>4.5</v>
      </c>
      <c r="F1293" s="1">
        <v>3.8216560509554141</v>
      </c>
      <c r="G1293" s="2">
        <f t="shared" si="103"/>
        <v>11.470783351173734</v>
      </c>
      <c r="H1293" s="2">
        <f t="shared" si="104"/>
        <v>1.4631789515860378</v>
      </c>
      <c r="I1293" s="2">
        <f t="shared" si="100"/>
        <v>292.63579031720758</v>
      </c>
      <c r="J1293" s="4">
        <f t="shared" si="102"/>
        <v>9.2157296158059143</v>
      </c>
      <c r="K1293" s="4">
        <f t="shared" si="101"/>
        <v>1843.145923161183</v>
      </c>
      <c r="L1293">
        <v>5</v>
      </c>
    </row>
    <row r="1294" spans="1:12" x14ac:dyDescent="0.3">
      <c r="A1294" t="s">
        <v>180</v>
      </c>
      <c r="B1294" t="s">
        <v>70</v>
      </c>
      <c r="C1294" s="4">
        <v>0.55560299999999996</v>
      </c>
      <c r="D1294" s="4">
        <v>0.55961111100000005</v>
      </c>
      <c r="E1294">
        <v>4</v>
      </c>
      <c r="F1294" s="1">
        <v>3.0254777070063694</v>
      </c>
      <c r="G1294" s="2">
        <f t="shared" si="103"/>
        <v>7.1891541489127055</v>
      </c>
      <c r="H1294" s="2">
        <f t="shared" si="104"/>
        <v>1.282544601902972</v>
      </c>
      <c r="I1294" s="2">
        <f t="shared" si="100"/>
        <v>256.50892038059442</v>
      </c>
      <c r="J1294" s="4">
        <f t="shared" si="102"/>
        <v>9.1138492149782948</v>
      </c>
      <c r="K1294" s="4">
        <f t="shared" si="101"/>
        <v>1822.7698429956588</v>
      </c>
      <c r="L1294">
        <v>5</v>
      </c>
    </row>
    <row r="1295" spans="1:12" x14ac:dyDescent="0.3">
      <c r="A1295" t="s">
        <v>180</v>
      </c>
      <c r="B1295" t="s">
        <v>57</v>
      </c>
      <c r="C1295" s="4">
        <v>0.61</v>
      </c>
      <c r="D1295" s="4">
        <v>0.84088888900000003</v>
      </c>
      <c r="E1295">
        <v>7</v>
      </c>
      <c r="F1295" s="1">
        <v>54.140127388535028</v>
      </c>
      <c r="G1295" s="2">
        <f t="shared" si="103"/>
        <v>2302.1224920063951</v>
      </c>
      <c r="H1295" s="2">
        <f t="shared" si="104"/>
        <v>918.76672942652704</v>
      </c>
      <c r="I1295" s="2">
        <f t="shared" si="100"/>
        <v>183753.3458853054</v>
      </c>
      <c r="J1295" s="4">
        <f t="shared" si="102"/>
        <v>80.798958144346614</v>
      </c>
      <c r="K1295" s="4">
        <f t="shared" si="101"/>
        <v>16159.791628869323</v>
      </c>
      <c r="L1295">
        <v>5</v>
      </c>
    </row>
    <row r="1296" spans="1:12" x14ac:dyDescent="0.3">
      <c r="A1296" t="s">
        <v>180</v>
      </c>
      <c r="B1296" t="s">
        <v>135</v>
      </c>
      <c r="C1296" s="4">
        <v>0.84088890000000005</v>
      </c>
      <c r="D1296" s="4">
        <v>0.84088888900000003</v>
      </c>
      <c r="E1296">
        <v>10</v>
      </c>
      <c r="F1296" s="1">
        <v>22.770700636942674</v>
      </c>
      <c r="G1296" s="2">
        <f t="shared" si="103"/>
        <v>407.23272352109666</v>
      </c>
      <c r="H1296" s="2">
        <f t="shared" si="104"/>
        <v>239.9709506930632</v>
      </c>
      <c r="I1296" s="2">
        <f t="shared" si="100"/>
        <v>47994.190138612641</v>
      </c>
      <c r="J1296" s="4">
        <f t="shared" si="102"/>
        <v>27.133368262404154</v>
      </c>
      <c r="K1296" s="4">
        <f t="shared" si="101"/>
        <v>5426.6736524808312</v>
      </c>
      <c r="L1296">
        <v>5</v>
      </c>
    </row>
    <row r="1297" spans="1:12" x14ac:dyDescent="0.3">
      <c r="A1297" t="s">
        <v>180</v>
      </c>
      <c r="B1297" t="s">
        <v>135</v>
      </c>
      <c r="C1297" s="4">
        <v>0.84088890000000005</v>
      </c>
      <c r="D1297" s="4">
        <v>0.84088888900000003</v>
      </c>
      <c r="E1297">
        <v>9</v>
      </c>
      <c r="F1297" s="1">
        <v>17.515923566878982</v>
      </c>
      <c r="G1297" s="2">
        <f t="shared" si="103"/>
        <v>240.96610859236495</v>
      </c>
      <c r="H1297" s="2">
        <f t="shared" si="104"/>
        <v>129.74240305742865</v>
      </c>
      <c r="I1297" s="2">
        <f t="shared" si="100"/>
        <v>25948.480611485727</v>
      </c>
      <c r="J1297" s="4">
        <f t="shared" si="102"/>
        <v>18.650138719623513</v>
      </c>
      <c r="K1297" s="4">
        <f t="shared" si="101"/>
        <v>3730.0277439247025</v>
      </c>
      <c r="L1297">
        <v>5</v>
      </c>
    </row>
    <row r="1298" spans="1:12" x14ac:dyDescent="0.3">
      <c r="A1298" t="s">
        <v>180</v>
      </c>
      <c r="B1298" t="s">
        <v>47</v>
      </c>
      <c r="C1298" s="4">
        <v>0.40238543599999999</v>
      </c>
      <c r="D1298" s="4">
        <v>0.40883333300000002</v>
      </c>
      <c r="E1298">
        <v>8</v>
      </c>
      <c r="F1298" s="1">
        <v>14.171974522292993</v>
      </c>
      <c r="G1298" s="2">
        <f t="shared" si="103"/>
        <v>157.74318563306795</v>
      </c>
      <c r="H1298" s="2">
        <f t="shared" si="104"/>
        <v>37.834861303535497</v>
      </c>
      <c r="I1298" s="2">
        <f t="shared" si="100"/>
        <v>7566.9722607070989</v>
      </c>
      <c r="J1298" s="4">
        <f t="shared" si="102"/>
        <v>14.609356132094607</v>
      </c>
      <c r="K1298" s="4">
        <f t="shared" si="101"/>
        <v>2921.8712264189212</v>
      </c>
      <c r="L1298">
        <v>5</v>
      </c>
    </row>
    <row r="1299" spans="1:12" x14ac:dyDescent="0.3">
      <c r="A1299" t="s">
        <v>180</v>
      </c>
      <c r="B1299" t="s">
        <v>49</v>
      </c>
      <c r="C1299" s="4">
        <v>0.57917600000000002</v>
      </c>
      <c r="D1299" s="4">
        <v>0.60285714300000004</v>
      </c>
      <c r="E1299">
        <v>10</v>
      </c>
      <c r="F1299" s="1">
        <v>60.35031847133758</v>
      </c>
      <c r="G1299" s="2">
        <f t="shared" si="103"/>
        <v>2860.5465127533794</v>
      </c>
      <c r="H1299" s="2">
        <f t="shared" si="104"/>
        <v>1162.4943283170128</v>
      </c>
      <c r="I1299" s="2">
        <f t="shared" si="100"/>
        <v>232498.86566340257</v>
      </c>
      <c r="J1299" s="4">
        <f t="shared" si="102"/>
        <v>136.46133288571545</v>
      </c>
      <c r="K1299" s="4">
        <f t="shared" si="101"/>
        <v>27292.266577143087</v>
      </c>
      <c r="L1299">
        <v>5</v>
      </c>
    </row>
    <row r="1300" spans="1:12" x14ac:dyDescent="0.3">
      <c r="A1300" t="s">
        <v>180</v>
      </c>
      <c r="B1300" t="s">
        <v>149</v>
      </c>
      <c r="C1300" s="4">
        <v>0.41185709999999998</v>
      </c>
      <c r="D1300" s="4">
        <v>0.41185714299999998</v>
      </c>
      <c r="E1300">
        <v>3.5</v>
      </c>
      <c r="F1300" s="1">
        <v>5.7324840764331206</v>
      </c>
      <c r="G1300" s="2">
        <f t="shared" si="103"/>
        <v>25.809262540140899</v>
      </c>
      <c r="H1300" s="2">
        <f t="shared" si="104"/>
        <v>2.9060522364301917</v>
      </c>
      <c r="I1300" s="2">
        <f t="shared" si="100"/>
        <v>581.2104472860384</v>
      </c>
      <c r="J1300" s="4">
        <f t="shared" si="102"/>
        <v>9.3882518276603513</v>
      </c>
      <c r="K1300" s="4">
        <f t="shared" si="101"/>
        <v>1877.6503655320703</v>
      </c>
      <c r="L1300">
        <v>5</v>
      </c>
    </row>
    <row r="1301" spans="1:12" x14ac:dyDescent="0.3">
      <c r="A1301" t="s">
        <v>181</v>
      </c>
      <c r="B1301" t="s">
        <v>153</v>
      </c>
      <c r="C1301" s="4">
        <v>0.57550000000000001</v>
      </c>
      <c r="D1301" s="4">
        <v>0.57550000000000001</v>
      </c>
      <c r="E1301">
        <v>2.6</v>
      </c>
      <c r="F1301" s="1">
        <v>3.6624203821656049</v>
      </c>
      <c r="G1301" s="2">
        <f t="shared" si="103"/>
        <v>10.534799293005044</v>
      </c>
      <c r="H1301" s="2">
        <f t="shared" si="104"/>
        <v>1.2569233761223622</v>
      </c>
      <c r="I1301" s="2">
        <f t="shared" si="100"/>
        <v>251.38467522447246</v>
      </c>
      <c r="J1301" s="4">
        <f t="shared" si="102"/>
        <v>9.107761239806889</v>
      </c>
      <c r="K1301" s="4">
        <f t="shared" si="101"/>
        <v>1821.5522479613778</v>
      </c>
      <c r="L1301">
        <v>5</v>
      </c>
    </row>
    <row r="1302" spans="1:12" x14ac:dyDescent="0.3">
      <c r="A1302" t="s">
        <v>181</v>
      </c>
      <c r="B1302" t="s">
        <v>60</v>
      </c>
      <c r="C1302" s="4">
        <v>0.41</v>
      </c>
      <c r="D1302" s="4">
        <v>0.33983503399999998</v>
      </c>
      <c r="E1302">
        <v>9.5</v>
      </c>
      <c r="F1302" s="1">
        <v>5.5732484076433115</v>
      </c>
      <c r="G1302" s="2">
        <f t="shared" si="103"/>
        <v>24.395329175673304</v>
      </c>
      <c r="H1302" s="2">
        <f t="shared" si="104"/>
        <v>6.0421932890731549</v>
      </c>
      <c r="I1302" s="2">
        <f t="shared" si="100"/>
        <v>1208.4386578146309</v>
      </c>
      <c r="J1302" s="4">
        <f t="shared" si="102"/>
        <v>10.018481502292182</v>
      </c>
      <c r="K1302" s="4">
        <f t="shared" si="101"/>
        <v>2003.6963004584366</v>
      </c>
      <c r="L1302">
        <v>5</v>
      </c>
    </row>
    <row r="1303" spans="1:12" x14ac:dyDescent="0.3">
      <c r="A1303" t="s">
        <v>181</v>
      </c>
      <c r="B1303" t="s">
        <v>162</v>
      </c>
      <c r="C1303" s="4">
        <v>0.52800000000000002</v>
      </c>
      <c r="D1303" s="4">
        <v>0.51040266700000003</v>
      </c>
      <c r="E1303">
        <v>10</v>
      </c>
      <c r="F1303" s="1">
        <v>26.624203821656049</v>
      </c>
      <c r="G1303" s="2">
        <f t="shared" si="103"/>
        <v>556.72809729179983</v>
      </c>
      <c r="H1303" s="2">
        <f t="shared" si="104"/>
        <v>200.02213997003778</v>
      </c>
      <c r="I1303" s="2">
        <f t="shared" si="100"/>
        <v>40004.427994007558</v>
      </c>
      <c r="J1303" s="4">
        <f t="shared" si="102"/>
        <v>33.795388019797961</v>
      </c>
      <c r="K1303" s="4">
        <f t="shared" si="101"/>
        <v>6759.0776039595921</v>
      </c>
      <c r="L1303">
        <v>5</v>
      </c>
    </row>
    <row r="1304" spans="1:12" x14ac:dyDescent="0.3">
      <c r="A1304" t="s">
        <v>181</v>
      </c>
      <c r="B1304" t="s">
        <v>70</v>
      </c>
      <c r="C1304" s="4">
        <v>0.55560299999999996</v>
      </c>
      <c r="D1304" s="4">
        <v>0.55961111100000005</v>
      </c>
      <c r="E1304">
        <v>7</v>
      </c>
      <c r="F1304" s="1">
        <v>7.484076433121019</v>
      </c>
      <c r="G1304" s="2">
        <f t="shared" si="103"/>
        <v>43.991250733928432</v>
      </c>
      <c r="H1304" s="2">
        <f t="shared" si="104"/>
        <v>12.974349786474242</v>
      </c>
      <c r="I1304" s="2">
        <f t="shared" si="100"/>
        <v>2594.8699572948485</v>
      </c>
      <c r="J1304" s="4">
        <f t="shared" si="102"/>
        <v>10.357979301391538</v>
      </c>
      <c r="K1304" s="4">
        <f t="shared" si="101"/>
        <v>2071.5958602783076</v>
      </c>
      <c r="L1304">
        <v>5</v>
      </c>
    </row>
    <row r="1305" spans="1:12" x14ac:dyDescent="0.3">
      <c r="A1305" t="s">
        <v>181</v>
      </c>
      <c r="B1305" t="s">
        <v>70</v>
      </c>
      <c r="C1305" s="4">
        <v>0.55560299999999996</v>
      </c>
      <c r="D1305" s="4">
        <v>0.55961111100000005</v>
      </c>
      <c r="E1305">
        <v>7.5</v>
      </c>
      <c r="F1305" s="1">
        <v>18.789808917197451</v>
      </c>
      <c r="G1305" s="2">
        <f t="shared" si="103"/>
        <v>277.29025587108168</v>
      </c>
      <c r="H1305" s="2">
        <f t="shared" si="104"/>
        <v>83.696706343855766</v>
      </c>
      <c r="I1305" s="2">
        <f t="shared" si="100"/>
        <v>16739.341268771153</v>
      </c>
      <c r="J1305" s="4">
        <f t="shared" si="102"/>
        <v>18.253444127550814</v>
      </c>
      <c r="K1305" s="4">
        <f t="shared" si="101"/>
        <v>3650.688825510163</v>
      </c>
      <c r="L1305">
        <v>5</v>
      </c>
    </row>
    <row r="1306" spans="1:12" x14ac:dyDescent="0.3">
      <c r="A1306" t="s">
        <v>181</v>
      </c>
      <c r="B1306" t="s">
        <v>56</v>
      </c>
      <c r="C1306" s="4">
        <v>0.39984676499999999</v>
      </c>
      <c r="D1306" s="4">
        <v>0.450333333</v>
      </c>
      <c r="E1306">
        <v>4.5</v>
      </c>
      <c r="F1306" s="1">
        <v>13.057324840764331</v>
      </c>
      <c r="G1306" s="2">
        <f t="shared" si="103"/>
        <v>133.90546398141004</v>
      </c>
      <c r="H1306" s="2">
        <f t="shared" si="104"/>
        <v>20.209109109672049</v>
      </c>
      <c r="I1306" s="2">
        <f t="shared" si="100"/>
        <v>4041.8218219344099</v>
      </c>
      <c r="J1306" s="4">
        <f t="shared" si="102"/>
        <v>11.670976278956548</v>
      </c>
      <c r="K1306" s="4">
        <f t="shared" si="101"/>
        <v>2334.1952557913096</v>
      </c>
      <c r="L1306">
        <v>5</v>
      </c>
    </row>
    <row r="1307" spans="1:12" x14ac:dyDescent="0.3">
      <c r="A1307" t="s">
        <v>181</v>
      </c>
      <c r="B1307" t="s">
        <v>78</v>
      </c>
      <c r="C1307" s="4">
        <v>0.43538739399999998</v>
      </c>
      <c r="D1307" s="4">
        <v>0.568333333</v>
      </c>
      <c r="E1307">
        <v>6.5</v>
      </c>
      <c r="F1307" s="1">
        <v>9.5541401273885338</v>
      </c>
      <c r="G1307" s="2">
        <f t="shared" si="103"/>
        <v>71.692395944835823</v>
      </c>
      <c r="H1307" s="2">
        <f t="shared" si="104"/>
        <v>19.735365308796691</v>
      </c>
      <c r="I1307" s="2">
        <f t="shared" si="100"/>
        <v>3947.0730617593385</v>
      </c>
      <c r="J1307" s="4">
        <f t="shared" si="102"/>
        <v>11.062356253803399</v>
      </c>
      <c r="K1307" s="4">
        <f t="shared" si="101"/>
        <v>2212.4712507606796</v>
      </c>
      <c r="L1307">
        <v>5</v>
      </c>
    </row>
    <row r="1308" spans="1:12" x14ac:dyDescent="0.3">
      <c r="A1308" t="s">
        <v>181</v>
      </c>
      <c r="B1308" t="s">
        <v>31</v>
      </c>
      <c r="C1308" s="4">
        <v>0.63400000000000001</v>
      </c>
      <c r="D1308" s="4">
        <v>0.73247777800000002</v>
      </c>
      <c r="E1308">
        <v>8</v>
      </c>
      <c r="F1308" s="1">
        <v>16.401273885350317</v>
      </c>
      <c r="G1308" s="2">
        <f t="shared" si="103"/>
        <v>211.27350793854535</v>
      </c>
      <c r="H1308" s="2">
        <f t="shared" si="104"/>
        <v>88.901955983393961</v>
      </c>
      <c r="I1308" s="2">
        <f t="shared" si="100"/>
        <v>17780.391196678793</v>
      </c>
      <c r="J1308" s="4">
        <f t="shared" si="102"/>
        <v>16.51774998174368</v>
      </c>
      <c r="K1308" s="4">
        <f t="shared" si="101"/>
        <v>3303.5499963487359</v>
      </c>
      <c r="L1308">
        <v>5</v>
      </c>
    </row>
    <row r="1309" spans="1:12" x14ac:dyDescent="0.3">
      <c r="A1309" t="s">
        <v>181</v>
      </c>
      <c r="B1309" t="s">
        <v>57</v>
      </c>
      <c r="C1309" s="4">
        <v>0.61</v>
      </c>
      <c r="D1309" s="4">
        <v>0.84088888900000003</v>
      </c>
      <c r="E1309">
        <v>5</v>
      </c>
      <c r="F1309" s="1">
        <v>35.031847133757964</v>
      </c>
      <c r="G1309" s="2">
        <f t="shared" si="103"/>
        <v>963.86443436945979</v>
      </c>
      <c r="H1309" s="2">
        <f t="shared" si="104"/>
        <v>282.84370932589047</v>
      </c>
      <c r="I1309" s="2">
        <f t="shared" si="100"/>
        <v>56568.74186517809</v>
      </c>
      <c r="J1309" s="4">
        <f t="shared" si="102"/>
        <v>30.462230488052256</v>
      </c>
      <c r="K1309" s="4">
        <f t="shared" si="101"/>
        <v>6092.446097610451</v>
      </c>
      <c r="L1309">
        <v>5</v>
      </c>
    </row>
    <row r="1310" spans="1:12" x14ac:dyDescent="0.3">
      <c r="A1310" t="s">
        <v>181</v>
      </c>
      <c r="B1310" t="s">
        <v>175</v>
      </c>
      <c r="C1310" s="4">
        <v>0.78713326400000005</v>
      </c>
      <c r="D1310" s="4">
        <v>0.8155</v>
      </c>
      <c r="E1310">
        <v>4.5</v>
      </c>
      <c r="F1310" s="1">
        <v>2.6114649681528661</v>
      </c>
      <c r="G1310" s="2">
        <f t="shared" si="103"/>
        <v>5.3562185592564013</v>
      </c>
      <c r="H1310" s="2">
        <f t="shared" si="104"/>
        <v>1.5590435063461465</v>
      </c>
      <c r="I1310" s="2">
        <f t="shared" si="100"/>
        <v>311.80870126922935</v>
      </c>
      <c r="J1310" s="4">
        <f t="shared" si="102"/>
        <v>9.093111051158262</v>
      </c>
      <c r="K1310" s="4">
        <f t="shared" si="101"/>
        <v>1818.6222102316526</v>
      </c>
      <c r="L1310">
        <v>5</v>
      </c>
    </row>
    <row r="1311" spans="1:12" x14ac:dyDescent="0.3">
      <c r="A1311" t="s">
        <v>181</v>
      </c>
      <c r="B1311" t="s">
        <v>175</v>
      </c>
      <c r="C1311" s="4">
        <v>0.78713326400000005</v>
      </c>
      <c r="D1311" s="4">
        <v>0.8155</v>
      </c>
      <c r="E1311">
        <v>3.5</v>
      </c>
      <c r="F1311" s="1">
        <v>3.0254777070063694</v>
      </c>
      <c r="G1311" s="2">
        <f t="shared" si="103"/>
        <v>7.1891541489127055</v>
      </c>
      <c r="H1311" s="2">
        <f t="shared" si="104"/>
        <v>1.625867201670252</v>
      </c>
      <c r="I1311" s="2">
        <f t="shared" si="100"/>
        <v>325.17344033405038</v>
      </c>
      <c r="J1311" s="4">
        <f t="shared" si="102"/>
        <v>9.0978305631060081</v>
      </c>
      <c r="K1311" s="4">
        <f t="shared" si="101"/>
        <v>1819.5661126212017</v>
      </c>
      <c r="L1311">
        <v>5</v>
      </c>
    </row>
    <row r="1312" spans="1:12" x14ac:dyDescent="0.3">
      <c r="A1312" t="s">
        <v>181</v>
      </c>
      <c r="B1312" t="s">
        <v>118</v>
      </c>
      <c r="C1312" s="4">
        <v>0.56023871300000005</v>
      </c>
      <c r="D1312" s="4">
        <v>0.74103703700000001</v>
      </c>
      <c r="E1312">
        <v>2.7</v>
      </c>
      <c r="F1312" s="1">
        <v>2.3885350318471334</v>
      </c>
      <c r="G1312" s="2">
        <f t="shared" si="103"/>
        <v>4.480774746552239</v>
      </c>
      <c r="H1312" s="2">
        <f t="shared" si="104"/>
        <v>0.72460740469812723</v>
      </c>
      <c r="I1312" s="2">
        <f t="shared" si="100"/>
        <v>144.92148093962544</v>
      </c>
      <c r="J1312" s="4">
        <f t="shared" si="102"/>
        <v>9.039613191204511</v>
      </c>
      <c r="K1312" s="4">
        <f t="shared" si="101"/>
        <v>1807.9226382409022</v>
      </c>
      <c r="L1312">
        <v>5</v>
      </c>
    </row>
    <row r="1313" spans="1:12" x14ac:dyDescent="0.3">
      <c r="A1313" t="s">
        <v>181</v>
      </c>
      <c r="B1313" t="s">
        <v>46</v>
      </c>
      <c r="C1313" s="4">
        <v>1.1200000000000001</v>
      </c>
      <c r="D1313" s="4">
        <v>0.85527777800000004</v>
      </c>
      <c r="E1313">
        <v>2.2000000000000002</v>
      </c>
      <c r="F1313" s="1">
        <v>2.0700636942675157</v>
      </c>
      <c r="G1313" s="2">
        <f t="shared" si="103"/>
        <v>3.3655596985214595</v>
      </c>
      <c r="H1313" s="2">
        <f t="shared" si="104"/>
        <v>0.51612680602676175</v>
      </c>
      <c r="I1313" s="2">
        <f t="shared" si="100"/>
        <v>103.22536120535236</v>
      </c>
      <c r="J1313" s="4">
        <f t="shared" si="102"/>
        <v>9.0186957604770974</v>
      </c>
      <c r="K1313" s="4">
        <f t="shared" si="101"/>
        <v>1803.7391520954195</v>
      </c>
      <c r="L1313">
        <v>5</v>
      </c>
    </row>
    <row r="1314" spans="1:12" x14ac:dyDescent="0.3">
      <c r="A1314" t="s">
        <v>181</v>
      </c>
      <c r="B1314" t="s">
        <v>22</v>
      </c>
      <c r="C1314" s="4">
        <v>0.43836446099999998</v>
      </c>
      <c r="D1314" s="4">
        <v>0.58666666700000003</v>
      </c>
      <c r="E1314">
        <v>5.5</v>
      </c>
      <c r="F1314" s="1">
        <v>9.4585987261146496</v>
      </c>
      <c r="G1314" s="2">
        <f t="shared" si="103"/>
        <v>70.26571726553361</v>
      </c>
      <c r="H1314" s="2">
        <f t="shared" si="104"/>
        <v>16.957935716296792</v>
      </c>
      <c r="I1314" s="2">
        <f t="shared" si="100"/>
        <v>3391.5871432593581</v>
      </c>
      <c r="J1314" s="4">
        <f t="shared" si="102"/>
        <v>10.707902979836909</v>
      </c>
      <c r="K1314" s="4">
        <f t="shared" si="101"/>
        <v>2141.5805959673817</v>
      </c>
      <c r="L1314">
        <v>5</v>
      </c>
    </row>
    <row r="1315" spans="1:12" x14ac:dyDescent="0.3">
      <c r="A1315" t="s">
        <v>181</v>
      </c>
      <c r="B1315" t="s">
        <v>47</v>
      </c>
      <c r="C1315" s="4">
        <v>0.40238543599999999</v>
      </c>
      <c r="D1315" s="4">
        <v>0.40883333300000002</v>
      </c>
      <c r="E1315">
        <v>7</v>
      </c>
      <c r="F1315" s="1">
        <v>15.38216560509554</v>
      </c>
      <c r="G1315" s="2">
        <f t="shared" si="103"/>
        <v>185.83385952860897</v>
      </c>
      <c r="H1315" s="2">
        <f t="shared" si="104"/>
        <v>38.972481879759755</v>
      </c>
      <c r="I1315" s="2">
        <f t="shared" si="100"/>
        <v>7794.4963759519505</v>
      </c>
      <c r="J1315" s="4">
        <f t="shared" si="102"/>
        <v>14.782669958213315</v>
      </c>
      <c r="K1315" s="4">
        <f t="shared" si="101"/>
        <v>2956.5339916426628</v>
      </c>
      <c r="L1315">
        <v>5</v>
      </c>
    </row>
  </sheetData>
  <autoFilter ref="A1:L1315">
    <filterColumn colId="0">
      <filters>
        <filter val="EEG11"/>
        <filter val="EEG12"/>
        <filter val="EEG13"/>
        <filter val="EEG14"/>
        <filter val="EEG15"/>
        <filter val="EEG21"/>
        <filter val="EEG22"/>
        <filter val="EEG23"/>
        <filter val="EEG24"/>
        <filter val="EEG25"/>
        <filter val="EEG31"/>
        <filter val="EEG32"/>
        <filter val="EEG33"/>
        <filter val="EEG34"/>
        <filter val="EEG35"/>
        <filter val="EEG41"/>
        <filter val="EEG42"/>
        <filter val="EEG43"/>
        <filter val="EEG44"/>
        <filter val="EEG45"/>
        <filter val="EEG51"/>
        <filter val="EEG52"/>
        <filter val="EEG53"/>
        <filter val="EEG54"/>
        <filter val="EEG55"/>
        <filter val="ML11"/>
        <filter val="ML12"/>
        <filter val="ML13"/>
        <filter val="ML14"/>
        <filter val="ML15"/>
        <filter val="ML21"/>
        <filter val="ML22"/>
        <filter val="ML23"/>
        <filter val="ML24"/>
        <filter val="ML25"/>
        <filter val="MP1"/>
        <filter val="MP2"/>
        <filter val="MP3"/>
        <filter val="MP4"/>
        <filter val="MP5"/>
        <filter val="MP6"/>
        <filter val="REGUA_PV1"/>
        <filter val="REGUA_PV2"/>
        <filter val="REGUA_PV3"/>
        <filter val="REGUA_PV4"/>
        <filter val="REGUA_PV5"/>
        <filter val="REGUA1"/>
        <filter val="REGUA2"/>
        <filter val="REGUA3"/>
        <filter val="REGUA4"/>
        <filter val="REGUA5"/>
        <filter val="REGUA6"/>
        <filter val="REGUA7"/>
        <filter val="REGUA8"/>
        <filter val="S_HELENA1"/>
        <filter val="S_HELENA2"/>
        <filter val="S_HELENA3"/>
        <filter val="S_HELENA4"/>
        <filter val="S_HELENA5"/>
        <filter val="S_HELENABaixada"/>
        <filter val="S_JORGE1"/>
        <filter val="S_JORGE2"/>
        <filter val="S_JORGE3"/>
        <filter val="S_JORGE4"/>
        <filter val="S_JORGE5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1315"/>
  <sheetViews>
    <sheetView workbookViewId="0">
      <selection activeCell="G1" sqref="G1:L1"/>
    </sheetView>
  </sheetViews>
  <sheetFormatPr defaultRowHeight="14.4" x14ac:dyDescent="0.3"/>
  <cols>
    <col min="2" max="2" width="26.21875" bestFit="1" customWidth="1"/>
    <col min="3" max="3" width="14.77734375" hidden="1" customWidth="1"/>
    <col min="4" max="4" width="12.21875" hidden="1" customWidth="1"/>
    <col min="6" max="6" width="14.5546875" customWidth="1"/>
    <col min="7" max="7" width="19.21875" bestFit="1" customWidth="1"/>
    <col min="8" max="11" width="19.21875" customWidth="1"/>
    <col min="12" max="12" width="19.441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t="s">
        <v>11</v>
      </c>
    </row>
    <row r="2" spans="1:14" hidden="1" x14ac:dyDescent="0.3">
      <c r="A2" t="s">
        <v>12</v>
      </c>
      <c r="B2" t="s">
        <v>13</v>
      </c>
      <c r="C2" s="4">
        <v>0.36</v>
      </c>
      <c r="D2" s="4">
        <v>0.35</v>
      </c>
      <c r="E2">
        <v>4</v>
      </c>
      <c r="F2" s="2">
        <v>3.9808917197452227</v>
      </c>
      <c r="G2" s="2">
        <f>PI()*(F2/2)^2</f>
        <v>12.446596518200664</v>
      </c>
      <c r="H2" s="2">
        <f>0.0673 * ((D2 * F2^2 * E2)^0.976)</f>
        <v>1.3861100085364575</v>
      </c>
      <c r="I2" s="2">
        <f t="shared" ref="I2:I65" si="0">(H2*1000)/L2</f>
        <v>173.2637510670572</v>
      </c>
      <c r="J2" s="4">
        <f>8.9857 + 0.0035 * F2^2 * E2</f>
        <v>9.2075649843807046</v>
      </c>
      <c r="K2" s="4">
        <f t="shared" ref="K2:K65" si="1">(J2*1000)/L2</f>
        <v>1150.945623047588</v>
      </c>
      <c r="L2">
        <v>8</v>
      </c>
      <c r="N2" s="1"/>
    </row>
    <row r="3" spans="1:14" hidden="1" x14ac:dyDescent="0.3">
      <c r="A3" t="s">
        <v>12</v>
      </c>
      <c r="B3" t="s">
        <v>13</v>
      </c>
      <c r="C3" s="4">
        <v>0.36</v>
      </c>
      <c r="D3" s="4">
        <v>0.35</v>
      </c>
      <c r="E3">
        <v>4</v>
      </c>
      <c r="F3" s="2">
        <v>3.6624203821656049</v>
      </c>
      <c r="G3" s="2">
        <f>PI()*(F3/2)^2</f>
        <v>10.534799293005044</v>
      </c>
      <c r="H3" s="2">
        <f>0.0673 * ((D3 * F3^2 * E3)^0.976)</f>
        <v>1.1779084529054955</v>
      </c>
      <c r="I3" s="2">
        <f t="shared" si="0"/>
        <v>147.23855661318694</v>
      </c>
      <c r="J3" s="4">
        <f t="shared" ref="J3:J66" si="2">8.9857 + 0.0035 * F3^2 * E3</f>
        <v>9.1734865227798288</v>
      </c>
      <c r="K3" s="4">
        <f t="shared" si="1"/>
        <v>1146.6858153474786</v>
      </c>
      <c r="L3">
        <v>8</v>
      </c>
    </row>
    <row r="4" spans="1:14" hidden="1" x14ac:dyDescent="0.3">
      <c r="A4" t="s">
        <v>12</v>
      </c>
      <c r="B4" t="s">
        <v>13</v>
      </c>
      <c r="C4" s="4">
        <v>0.36</v>
      </c>
      <c r="D4" s="4">
        <v>0.35</v>
      </c>
      <c r="E4">
        <v>4</v>
      </c>
      <c r="F4" s="2">
        <v>3.9808917197452227</v>
      </c>
      <c r="G4" s="2">
        <f t="shared" ref="G4:G67" si="3">PI()*(F4/2)^2</f>
        <v>12.446596518200664</v>
      </c>
      <c r="H4" s="2">
        <f t="shared" ref="H4:H67" si="4">0.0673 * ((D4 * F4^2 * E4)^0.976)</f>
        <v>1.3861100085364575</v>
      </c>
      <c r="I4" s="2">
        <f t="shared" si="0"/>
        <v>173.2637510670572</v>
      </c>
      <c r="J4" s="4">
        <f t="shared" si="2"/>
        <v>9.2075649843807046</v>
      </c>
      <c r="K4" s="4">
        <f t="shared" si="1"/>
        <v>1150.945623047588</v>
      </c>
      <c r="L4">
        <v>8</v>
      </c>
    </row>
    <row r="5" spans="1:14" hidden="1" x14ac:dyDescent="0.3">
      <c r="A5" t="s">
        <v>12</v>
      </c>
      <c r="B5" t="s">
        <v>13</v>
      </c>
      <c r="C5" s="4">
        <v>0.36</v>
      </c>
      <c r="D5" s="4">
        <v>0.35</v>
      </c>
      <c r="E5">
        <v>2.5</v>
      </c>
      <c r="F5" s="2">
        <v>2.2292993630573248</v>
      </c>
      <c r="G5" s="2">
        <f t="shared" si="3"/>
        <v>3.9032526681077284</v>
      </c>
      <c r="H5" s="2">
        <f t="shared" si="4"/>
        <v>0.28251377288151469</v>
      </c>
      <c r="I5" s="2">
        <f t="shared" si="0"/>
        <v>35.314221610189335</v>
      </c>
      <c r="J5" s="4">
        <f t="shared" si="2"/>
        <v>9.029185536938618</v>
      </c>
      <c r="K5" s="4">
        <f t="shared" si="1"/>
        <v>1128.6481921173272</v>
      </c>
      <c r="L5">
        <v>8</v>
      </c>
    </row>
    <row r="6" spans="1:14" hidden="1" x14ac:dyDescent="0.3">
      <c r="A6" t="s">
        <v>12</v>
      </c>
      <c r="B6" t="s">
        <v>14</v>
      </c>
      <c r="C6" s="4">
        <v>0.766138345</v>
      </c>
      <c r="D6" s="4">
        <v>0.90500000000000003</v>
      </c>
      <c r="E6">
        <v>7</v>
      </c>
      <c r="F6" s="2">
        <v>5.5732484076433115</v>
      </c>
      <c r="G6" s="2">
        <f t="shared" si="3"/>
        <v>24.395329175673304</v>
      </c>
      <c r="H6" s="2">
        <f t="shared" si="4"/>
        <v>11.666037351206468</v>
      </c>
      <c r="I6" s="2">
        <f t="shared" si="0"/>
        <v>1458.2546689008084</v>
      </c>
      <c r="J6" s="4">
        <f t="shared" si="2"/>
        <v>9.7466968964258172</v>
      </c>
      <c r="K6" s="4">
        <f t="shared" si="1"/>
        <v>1218.3371120532272</v>
      </c>
      <c r="L6">
        <v>8</v>
      </c>
    </row>
    <row r="7" spans="1:14" hidden="1" x14ac:dyDescent="0.3">
      <c r="A7" t="s">
        <v>12</v>
      </c>
      <c r="B7" t="s">
        <v>14</v>
      </c>
      <c r="C7" s="4">
        <v>0.766138345</v>
      </c>
      <c r="D7" s="4">
        <v>0.90500000000000003</v>
      </c>
      <c r="E7">
        <v>6</v>
      </c>
      <c r="F7" s="2">
        <v>11.942675159235668</v>
      </c>
      <c r="G7" s="2">
        <f t="shared" si="3"/>
        <v>112.01936866380598</v>
      </c>
      <c r="H7" s="2">
        <f t="shared" si="4"/>
        <v>44.430587865108954</v>
      </c>
      <c r="I7" s="2">
        <f t="shared" si="0"/>
        <v>5553.8234831386189</v>
      </c>
      <c r="J7" s="4">
        <f t="shared" si="2"/>
        <v>11.980877289139517</v>
      </c>
      <c r="K7" s="4">
        <f t="shared" si="1"/>
        <v>1497.6096611424396</v>
      </c>
      <c r="L7">
        <v>8</v>
      </c>
    </row>
    <row r="8" spans="1:14" hidden="1" x14ac:dyDescent="0.3">
      <c r="A8" t="s">
        <v>12</v>
      </c>
      <c r="B8" t="s">
        <v>15</v>
      </c>
      <c r="C8" s="4">
        <v>0.47982689899999997</v>
      </c>
      <c r="D8" s="4">
        <v>0.51</v>
      </c>
      <c r="E8">
        <v>4</v>
      </c>
      <c r="F8" s="2">
        <v>1.910828025477707</v>
      </c>
      <c r="G8" s="2">
        <f t="shared" si="3"/>
        <v>2.8676958377934336</v>
      </c>
      <c r="H8" s="2">
        <f t="shared" si="4"/>
        <v>0.47770377728979629</v>
      </c>
      <c r="I8" s="2">
        <f t="shared" si="0"/>
        <v>59.712972161224535</v>
      </c>
      <c r="J8" s="4">
        <f t="shared" si="2"/>
        <v>9.0368176924013142</v>
      </c>
      <c r="K8" s="4">
        <f t="shared" si="1"/>
        <v>1129.6022115501642</v>
      </c>
      <c r="L8">
        <v>8</v>
      </c>
    </row>
    <row r="9" spans="1:14" hidden="1" x14ac:dyDescent="0.3">
      <c r="A9" t="s">
        <v>12</v>
      </c>
      <c r="B9" t="s">
        <v>15</v>
      </c>
      <c r="C9" s="4">
        <v>0.47982689899999997</v>
      </c>
      <c r="D9" s="4">
        <v>0.51</v>
      </c>
      <c r="E9">
        <v>3</v>
      </c>
      <c r="F9" s="2">
        <v>1.7515923566878979</v>
      </c>
      <c r="G9" s="2">
        <f t="shared" si="3"/>
        <v>2.4096610859236485</v>
      </c>
      <c r="H9" s="2">
        <f t="shared" si="4"/>
        <v>0.30440739427722058</v>
      </c>
      <c r="I9" s="2">
        <f t="shared" si="0"/>
        <v>38.050924284652574</v>
      </c>
      <c r="J9" s="4">
        <f t="shared" si="2"/>
        <v>9.0179147957320787</v>
      </c>
      <c r="K9" s="4">
        <f t="shared" si="1"/>
        <v>1127.2393494665098</v>
      </c>
      <c r="L9">
        <v>8</v>
      </c>
    </row>
    <row r="10" spans="1:14" hidden="1" x14ac:dyDescent="0.3">
      <c r="A10" t="s">
        <v>12</v>
      </c>
      <c r="B10" t="s">
        <v>16</v>
      </c>
      <c r="C10" s="4">
        <v>0.89361000000000002</v>
      </c>
      <c r="D10" s="4">
        <v>0.61247410899999999</v>
      </c>
      <c r="E10">
        <v>4</v>
      </c>
      <c r="F10" s="2">
        <v>4.4585987261146496</v>
      </c>
      <c r="G10" s="2">
        <f t="shared" si="3"/>
        <v>15.613010672430914</v>
      </c>
      <c r="H10" s="2">
        <f t="shared" si="4"/>
        <v>2.9857847622336413</v>
      </c>
      <c r="I10" s="2">
        <f t="shared" si="0"/>
        <v>373.22309527920515</v>
      </c>
      <c r="J10" s="4">
        <f t="shared" si="2"/>
        <v>9.2640074364071552</v>
      </c>
      <c r="K10" s="4">
        <f t="shared" si="1"/>
        <v>1158.0009295508944</v>
      </c>
      <c r="L10">
        <v>8</v>
      </c>
    </row>
    <row r="11" spans="1:14" hidden="1" x14ac:dyDescent="0.3">
      <c r="A11" t="s">
        <v>12</v>
      </c>
      <c r="B11" t="s">
        <v>17</v>
      </c>
      <c r="C11" s="4">
        <v>0.708787469</v>
      </c>
      <c r="D11" s="4">
        <v>0.80167708299999996</v>
      </c>
      <c r="E11">
        <v>9</v>
      </c>
      <c r="F11" s="2">
        <v>9.3949044585987256</v>
      </c>
      <c r="G11" s="2">
        <f t="shared" si="3"/>
        <v>69.322563967770421</v>
      </c>
      <c r="H11" s="2">
        <f t="shared" si="4"/>
        <v>36.706682659982548</v>
      </c>
      <c r="I11" s="2">
        <f t="shared" si="0"/>
        <v>4588.3353324978189</v>
      </c>
      <c r="J11" s="4">
        <f t="shared" si="2"/>
        <v>11.766023238265245</v>
      </c>
      <c r="K11" s="4">
        <f t="shared" si="1"/>
        <v>1470.7529047831556</v>
      </c>
      <c r="L11">
        <v>8</v>
      </c>
    </row>
    <row r="12" spans="1:14" hidden="1" x14ac:dyDescent="0.3">
      <c r="A12" t="s">
        <v>12</v>
      </c>
      <c r="B12" t="s">
        <v>17</v>
      </c>
      <c r="C12" s="4">
        <v>0.708787469</v>
      </c>
      <c r="D12" s="4">
        <v>0.80167708299999996</v>
      </c>
      <c r="E12">
        <v>9</v>
      </c>
      <c r="F12" s="2">
        <v>12.898089171974522</v>
      </c>
      <c r="G12" s="2">
        <f t="shared" si="3"/>
        <v>130.65939160946331</v>
      </c>
      <c r="H12" s="2">
        <f t="shared" si="4"/>
        <v>68.140413917417519</v>
      </c>
      <c r="I12" s="2">
        <f t="shared" si="0"/>
        <v>8517.5517396771902</v>
      </c>
      <c r="J12" s="4">
        <f t="shared" si="2"/>
        <v>14.226062185078501</v>
      </c>
      <c r="K12" s="4">
        <f t="shared" si="1"/>
        <v>1778.2577731348126</v>
      </c>
      <c r="L12">
        <v>8</v>
      </c>
    </row>
    <row r="13" spans="1:14" hidden="1" x14ac:dyDescent="0.3">
      <c r="A13" t="s">
        <v>12</v>
      </c>
      <c r="B13" t="s">
        <v>17</v>
      </c>
      <c r="C13" s="4">
        <v>0.708787469</v>
      </c>
      <c r="D13" s="4">
        <v>0.80167708299999996</v>
      </c>
      <c r="E13">
        <v>8</v>
      </c>
      <c r="F13" s="2">
        <v>4.2993630573248405</v>
      </c>
      <c r="G13" s="2">
        <f t="shared" si="3"/>
        <v>14.517710178829255</v>
      </c>
      <c r="H13" s="2">
        <f t="shared" si="4"/>
        <v>7.1144153482303318</v>
      </c>
      <c r="I13" s="2">
        <f t="shared" si="0"/>
        <v>889.30191852879148</v>
      </c>
      <c r="J13" s="4">
        <f t="shared" si="2"/>
        <v>9.5032666355633086</v>
      </c>
      <c r="K13" s="4">
        <f t="shared" si="1"/>
        <v>1187.9083294454135</v>
      </c>
      <c r="L13">
        <v>8</v>
      </c>
    </row>
    <row r="14" spans="1:14" hidden="1" x14ac:dyDescent="0.3">
      <c r="A14" t="s">
        <v>12</v>
      </c>
      <c r="B14" t="s">
        <v>17</v>
      </c>
      <c r="C14" s="4">
        <v>0.708787469</v>
      </c>
      <c r="D14" s="4">
        <v>0.80167708299999996</v>
      </c>
      <c r="E14">
        <v>7</v>
      </c>
      <c r="F14" s="2">
        <v>4.7770700636942669</v>
      </c>
      <c r="G14" s="2">
        <f t="shared" si="3"/>
        <v>17.923098986208956</v>
      </c>
      <c r="H14" s="2">
        <f t="shared" si="4"/>
        <v>7.6711009420756602</v>
      </c>
      <c r="I14" s="2">
        <f t="shared" si="0"/>
        <v>958.8876177594575</v>
      </c>
      <c r="J14" s="4">
        <f t="shared" si="2"/>
        <v>9.5447997606393766</v>
      </c>
      <c r="K14" s="4">
        <f t="shared" si="1"/>
        <v>1193.0999700799221</v>
      </c>
      <c r="L14">
        <v>8</v>
      </c>
    </row>
    <row r="15" spans="1:14" hidden="1" x14ac:dyDescent="0.3">
      <c r="A15" t="s">
        <v>12</v>
      </c>
      <c r="B15" t="s">
        <v>18</v>
      </c>
      <c r="C15" s="4">
        <v>0.45255480399999998</v>
      </c>
      <c r="D15" s="4">
        <v>0.57808694400000005</v>
      </c>
      <c r="E15">
        <v>9</v>
      </c>
      <c r="F15" s="2">
        <v>23.544585987261144</v>
      </c>
      <c r="G15" s="2">
        <f t="shared" si="3"/>
        <v>435.38353140519177</v>
      </c>
      <c r="H15" s="2">
        <f t="shared" si="4"/>
        <v>160.321742347585</v>
      </c>
      <c r="I15" s="2">
        <f t="shared" si="0"/>
        <v>20040.217793448126</v>
      </c>
      <c r="J15" s="4">
        <f t="shared" si="2"/>
        <v>26.447647173313314</v>
      </c>
      <c r="K15" s="4">
        <f t="shared" si="1"/>
        <v>3305.9558966641644</v>
      </c>
      <c r="L15">
        <v>8</v>
      </c>
    </row>
    <row r="16" spans="1:14" hidden="1" x14ac:dyDescent="0.3">
      <c r="A16" t="s">
        <v>12</v>
      </c>
      <c r="B16" t="s">
        <v>18</v>
      </c>
      <c r="C16" s="4">
        <v>0.45255480399999998</v>
      </c>
      <c r="D16" s="4">
        <v>0.57808694400000005</v>
      </c>
      <c r="E16">
        <v>9</v>
      </c>
      <c r="F16" s="2">
        <v>47.611464968152866</v>
      </c>
      <c r="G16" s="2">
        <f t="shared" si="3"/>
        <v>1780.3810805178525</v>
      </c>
      <c r="H16" s="2">
        <f t="shared" si="4"/>
        <v>633.80259590057665</v>
      </c>
      <c r="I16" s="2">
        <f t="shared" si="0"/>
        <v>79225.324487572085</v>
      </c>
      <c r="J16" s="4">
        <f t="shared" si="2"/>
        <v>80.391525287029893</v>
      </c>
      <c r="K16" s="4">
        <f t="shared" si="1"/>
        <v>10048.940660878736</v>
      </c>
      <c r="L16">
        <v>8</v>
      </c>
    </row>
    <row r="17" spans="1:12" hidden="1" x14ac:dyDescent="0.3">
      <c r="A17" t="s">
        <v>12</v>
      </c>
      <c r="B17" t="s">
        <v>18</v>
      </c>
      <c r="C17" s="4">
        <v>0.45255480399999998</v>
      </c>
      <c r="D17" s="4">
        <v>0.57808694400000005</v>
      </c>
      <c r="E17">
        <v>8</v>
      </c>
      <c r="F17" s="2">
        <v>13.535031847133757</v>
      </c>
      <c r="G17" s="2">
        <f t="shared" si="3"/>
        <v>143.88265575039969</v>
      </c>
      <c r="H17" s="2">
        <f t="shared" si="4"/>
        <v>48.500334635987954</v>
      </c>
      <c r="I17" s="2">
        <f t="shared" si="0"/>
        <v>6062.5418294984947</v>
      </c>
      <c r="J17" s="4">
        <f t="shared" si="2"/>
        <v>14.1152184388819</v>
      </c>
      <c r="K17" s="4">
        <f t="shared" si="1"/>
        <v>1764.4023048602376</v>
      </c>
      <c r="L17">
        <v>8</v>
      </c>
    </row>
    <row r="18" spans="1:12" hidden="1" x14ac:dyDescent="0.3">
      <c r="A18" t="s">
        <v>12</v>
      </c>
      <c r="B18" t="s">
        <v>18</v>
      </c>
      <c r="C18" s="4">
        <v>0.45255480399999998</v>
      </c>
      <c r="D18" s="4">
        <v>0.57808694400000005</v>
      </c>
      <c r="E18">
        <v>8</v>
      </c>
      <c r="F18" s="2">
        <v>49.044585987261144</v>
      </c>
      <c r="G18" s="2">
        <f t="shared" si="3"/>
        <v>1889.1742913641408</v>
      </c>
      <c r="H18" s="2">
        <f t="shared" si="4"/>
        <v>598.64587002559119</v>
      </c>
      <c r="I18" s="2">
        <f t="shared" si="0"/>
        <v>74830.733753198903</v>
      </c>
      <c r="J18" s="4">
        <f t="shared" si="2"/>
        <v>76.336099610531861</v>
      </c>
      <c r="K18" s="4">
        <f t="shared" si="1"/>
        <v>9542.0124513164828</v>
      </c>
      <c r="L18">
        <v>8</v>
      </c>
    </row>
    <row r="19" spans="1:12" hidden="1" x14ac:dyDescent="0.3">
      <c r="A19" t="s">
        <v>12</v>
      </c>
      <c r="B19" t="s">
        <v>19</v>
      </c>
      <c r="C19" s="4">
        <v>0.374</v>
      </c>
      <c r="D19" s="4">
        <v>0.47945833300000001</v>
      </c>
      <c r="E19">
        <v>6</v>
      </c>
      <c r="F19" s="2">
        <v>4.936305732484076</v>
      </c>
      <c r="G19" s="2">
        <f t="shared" si="3"/>
        <v>19.137886806385342</v>
      </c>
      <c r="H19" s="2">
        <f t="shared" si="4"/>
        <v>4.2601445623777083</v>
      </c>
      <c r="I19" s="2">
        <f t="shared" si="0"/>
        <v>532.51807029721351</v>
      </c>
      <c r="J19" s="4">
        <f t="shared" si="2"/>
        <v>9.4974093999756573</v>
      </c>
      <c r="K19" s="4">
        <f t="shared" si="1"/>
        <v>1187.1761749969571</v>
      </c>
      <c r="L19">
        <v>8</v>
      </c>
    </row>
    <row r="20" spans="1:12" hidden="1" x14ac:dyDescent="0.3">
      <c r="A20" t="s">
        <v>12</v>
      </c>
      <c r="B20" t="s">
        <v>19</v>
      </c>
      <c r="C20" s="4">
        <v>0.374</v>
      </c>
      <c r="D20" s="4">
        <v>0.47945833300000001</v>
      </c>
      <c r="E20">
        <v>5</v>
      </c>
      <c r="F20" s="2">
        <v>3.6624203821656049</v>
      </c>
      <c r="G20" s="2">
        <f t="shared" si="3"/>
        <v>10.534799293005044</v>
      </c>
      <c r="H20" s="2">
        <f t="shared" si="4"/>
        <v>1.9911232792925877</v>
      </c>
      <c r="I20" s="2">
        <f t="shared" si="0"/>
        <v>248.89040991157347</v>
      </c>
      <c r="J20" s="4">
        <f t="shared" si="2"/>
        <v>9.2204331534747848</v>
      </c>
      <c r="K20" s="4">
        <f t="shared" si="1"/>
        <v>1152.5541441843482</v>
      </c>
      <c r="L20">
        <v>8</v>
      </c>
    </row>
    <row r="21" spans="1:12" hidden="1" x14ac:dyDescent="0.3">
      <c r="A21" t="s">
        <v>12</v>
      </c>
      <c r="B21" t="s">
        <v>20</v>
      </c>
      <c r="C21" s="4">
        <v>0.74387999999999999</v>
      </c>
      <c r="D21" s="4">
        <v>0.59130000000000005</v>
      </c>
      <c r="E21">
        <v>6</v>
      </c>
      <c r="F21" s="2">
        <v>3.8216560509554141</v>
      </c>
      <c r="G21" s="2">
        <f t="shared" si="3"/>
        <v>11.470783351173734</v>
      </c>
      <c r="H21" s="2">
        <f t="shared" si="4"/>
        <v>3.1719789293523761</v>
      </c>
      <c r="I21" s="2">
        <f t="shared" si="0"/>
        <v>396.49736616904704</v>
      </c>
      <c r="J21" s="4">
        <f t="shared" si="2"/>
        <v>9.2924061544078871</v>
      </c>
      <c r="K21" s="4">
        <f t="shared" si="1"/>
        <v>1161.5507693009858</v>
      </c>
      <c r="L21">
        <v>8</v>
      </c>
    </row>
    <row r="22" spans="1:12" hidden="1" x14ac:dyDescent="0.3">
      <c r="A22" t="s">
        <v>12</v>
      </c>
      <c r="B22" t="s">
        <v>20</v>
      </c>
      <c r="C22" s="4">
        <v>0.74387999999999999</v>
      </c>
      <c r="D22" s="4">
        <v>0.59130000000000005</v>
      </c>
      <c r="E22">
        <v>10.1</v>
      </c>
      <c r="F22" s="2">
        <v>18.312101910828027</v>
      </c>
      <c r="G22" s="2">
        <f t="shared" si="3"/>
        <v>263.3699823251261</v>
      </c>
      <c r="H22" s="2">
        <f t="shared" si="4"/>
        <v>112.30062537116449</v>
      </c>
      <c r="I22" s="2">
        <f t="shared" si="0"/>
        <v>14037.57817139556</v>
      </c>
      <c r="J22" s="4">
        <f t="shared" si="2"/>
        <v>20.839724250476692</v>
      </c>
      <c r="K22" s="4">
        <f t="shared" si="1"/>
        <v>2604.9655313095864</v>
      </c>
      <c r="L22">
        <v>8</v>
      </c>
    </row>
    <row r="23" spans="1:12" hidden="1" x14ac:dyDescent="0.3">
      <c r="A23" t="s">
        <v>12</v>
      </c>
      <c r="B23" t="s">
        <v>21</v>
      </c>
      <c r="C23" s="4">
        <v>0.66608171000000005</v>
      </c>
      <c r="D23" s="4">
        <v>0.68661666700000001</v>
      </c>
      <c r="E23">
        <v>5</v>
      </c>
      <c r="F23" s="2">
        <v>2.7070063694267517</v>
      </c>
      <c r="G23" s="2">
        <f t="shared" si="3"/>
        <v>5.7553062300159885</v>
      </c>
      <c r="H23" s="2">
        <f t="shared" si="4"/>
        <v>1.5669749562967354</v>
      </c>
      <c r="I23" s="2">
        <f t="shared" si="0"/>
        <v>195.87186953709192</v>
      </c>
      <c r="J23" s="4">
        <f t="shared" si="2"/>
        <v>9.1139379609720468</v>
      </c>
      <c r="K23" s="4">
        <f t="shared" si="1"/>
        <v>1139.2422451215059</v>
      </c>
      <c r="L23">
        <v>8</v>
      </c>
    </row>
    <row r="24" spans="1:12" hidden="1" x14ac:dyDescent="0.3">
      <c r="A24" t="s">
        <v>12</v>
      </c>
      <c r="B24" t="s">
        <v>21</v>
      </c>
      <c r="C24" s="4">
        <v>0.66608171000000005</v>
      </c>
      <c r="D24" s="4">
        <v>0.68661666700000001</v>
      </c>
      <c r="E24">
        <v>5</v>
      </c>
      <c r="F24" s="2">
        <v>3.5031847133757958</v>
      </c>
      <c r="G24" s="2">
        <f t="shared" si="3"/>
        <v>9.6386443436945939</v>
      </c>
      <c r="H24" s="2">
        <f t="shared" si="4"/>
        <v>2.5919990258533456</v>
      </c>
      <c r="I24" s="2">
        <f t="shared" si="0"/>
        <v>323.99987823166822</v>
      </c>
      <c r="J24" s="4">
        <f t="shared" si="2"/>
        <v>9.2004653048805221</v>
      </c>
      <c r="K24" s="4">
        <f t="shared" si="1"/>
        <v>1150.0581631100652</v>
      </c>
      <c r="L24">
        <v>8</v>
      </c>
    </row>
    <row r="25" spans="1:12" hidden="1" x14ac:dyDescent="0.3">
      <c r="A25" t="s">
        <v>12</v>
      </c>
      <c r="B25" t="s">
        <v>21</v>
      </c>
      <c r="C25" s="4">
        <v>0.66608171000000005</v>
      </c>
      <c r="D25" s="4">
        <v>0.68661666700000001</v>
      </c>
      <c r="E25">
        <v>5</v>
      </c>
      <c r="F25" s="2">
        <v>6.2101910828025479</v>
      </c>
      <c r="G25" s="2">
        <f t="shared" si="3"/>
        <v>30.290037286693146</v>
      </c>
      <c r="H25" s="2">
        <f t="shared" si="4"/>
        <v>7.9247190414458375</v>
      </c>
      <c r="I25" s="2">
        <f t="shared" si="0"/>
        <v>990.58988018072966</v>
      </c>
      <c r="J25" s="4">
        <f t="shared" si="2"/>
        <v>9.6606132824861053</v>
      </c>
      <c r="K25" s="4">
        <f t="shared" si="1"/>
        <v>1207.5766603107631</v>
      </c>
      <c r="L25">
        <v>8</v>
      </c>
    </row>
    <row r="26" spans="1:12" hidden="1" x14ac:dyDescent="0.3">
      <c r="A26" t="s">
        <v>12</v>
      </c>
      <c r="B26" t="s">
        <v>21</v>
      </c>
      <c r="C26" s="4">
        <v>0.66608171000000005</v>
      </c>
      <c r="D26" s="4">
        <v>0.68661666700000001</v>
      </c>
      <c r="E26">
        <v>4</v>
      </c>
      <c r="F26" s="2">
        <v>3.3439490445859872</v>
      </c>
      <c r="G26" s="2">
        <f t="shared" si="3"/>
        <v>8.7823185032423901</v>
      </c>
      <c r="H26" s="2">
        <f t="shared" si="4"/>
        <v>1.9037663739053985</v>
      </c>
      <c r="I26" s="2">
        <f t="shared" si="0"/>
        <v>237.97079673817481</v>
      </c>
      <c r="J26" s="4">
        <f t="shared" si="2"/>
        <v>9.1422479329790249</v>
      </c>
      <c r="K26" s="4">
        <f t="shared" si="1"/>
        <v>1142.7809916223782</v>
      </c>
      <c r="L26">
        <v>8</v>
      </c>
    </row>
    <row r="27" spans="1:12" hidden="1" x14ac:dyDescent="0.3">
      <c r="A27" t="s">
        <v>12</v>
      </c>
      <c r="B27" t="s">
        <v>22</v>
      </c>
      <c r="C27" s="4">
        <v>0.43836446099999998</v>
      </c>
      <c r="D27" s="4">
        <v>0.58666666700000003</v>
      </c>
      <c r="E27">
        <v>7</v>
      </c>
      <c r="F27" s="2">
        <v>19.936305732484072</v>
      </c>
      <c r="G27" s="2">
        <f t="shared" si="3"/>
        <v>312.16143725864976</v>
      </c>
      <c r="H27" s="2">
        <f t="shared" si="4"/>
        <v>91.978684962229181</v>
      </c>
      <c r="I27" s="2">
        <f t="shared" si="0"/>
        <v>11497.335620278647</v>
      </c>
      <c r="J27" s="4">
        <f t="shared" si="2"/>
        <v>18.723379013347394</v>
      </c>
      <c r="K27" s="4">
        <f t="shared" si="1"/>
        <v>2340.422376668424</v>
      </c>
      <c r="L27">
        <v>8</v>
      </c>
    </row>
    <row r="28" spans="1:12" hidden="1" x14ac:dyDescent="0.3">
      <c r="A28" t="s">
        <v>12</v>
      </c>
      <c r="B28" t="s">
        <v>22</v>
      </c>
      <c r="C28" s="4">
        <v>0.43836446099999998</v>
      </c>
      <c r="D28" s="4">
        <v>0.58666666700000003</v>
      </c>
      <c r="E28">
        <v>7</v>
      </c>
      <c r="F28" s="2">
        <v>6.5286624203821653</v>
      </c>
      <c r="G28" s="2">
        <f t="shared" si="3"/>
        <v>33.476365995352509</v>
      </c>
      <c r="H28" s="2">
        <f t="shared" si="4"/>
        <v>10.40681021185018</v>
      </c>
      <c r="I28" s="2">
        <f t="shared" si="0"/>
        <v>1300.8512764812726</v>
      </c>
      <c r="J28" s="4">
        <f t="shared" si="2"/>
        <v>10.029974108483103</v>
      </c>
      <c r="K28" s="4">
        <f t="shared" si="1"/>
        <v>1253.7467635603878</v>
      </c>
      <c r="L28">
        <v>8</v>
      </c>
    </row>
    <row r="29" spans="1:12" hidden="1" x14ac:dyDescent="0.3">
      <c r="A29" t="s">
        <v>12</v>
      </c>
      <c r="B29" t="s">
        <v>22</v>
      </c>
      <c r="C29" s="4">
        <v>0.43836446099999998</v>
      </c>
      <c r="D29" s="4">
        <v>0.58666666700000003</v>
      </c>
      <c r="E29">
        <v>4</v>
      </c>
      <c r="F29" s="2">
        <v>10.764331210191081</v>
      </c>
      <c r="G29" s="2">
        <f t="shared" si="3"/>
        <v>91.004734248020256</v>
      </c>
      <c r="H29" s="2">
        <f t="shared" si="4"/>
        <v>15.9961092306367</v>
      </c>
      <c r="I29" s="2">
        <f t="shared" si="0"/>
        <v>1999.5136538295874</v>
      </c>
      <c r="J29" s="4">
        <f t="shared" si="2"/>
        <v>10.607891569637712</v>
      </c>
      <c r="K29" s="4">
        <f t="shared" si="1"/>
        <v>1325.986446204714</v>
      </c>
      <c r="L29">
        <v>8</v>
      </c>
    </row>
    <row r="30" spans="1:12" hidden="1" x14ac:dyDescent="0.3">
      <c r="A30" t="s">
        <v>12</v>
      </c>
      <c r="B30" t="s">
        <v>23</v>
      </c>
      <c r="C30" s="4">
        <v>0.76500000000000001</v>
      </c>
      <c r="D30" s="4">
        <v>0.61247410899999999</v>
      </c>
      <c r="E30">
        <v>10</v>
      </c>
      <c r="F30" s="2">
        <v>21.815286624203821</v>
      </c>
      <c r="G30" s="2">
        <f t="shared" si="3"/>
        <v>373.77627208017333</v>
      </c>
      <c r="H30" s="2">
        <f t="shared" si="4"/>
        <v>161.98470737818045</v>
      </c>
      <c r="I30" s="2">
        <f t="shared" si="0"/>
        <v>20248.088422272554</v>
      </c>
      <c r="J30" s="4">
        <f t="shared" si="2"/>
        <v>25.642435567365816</v>
      </c>
      <c r="K30" s="4">
        <f t="shared" si="1"/>
        <v>3205.3044459207267</v>
      </c>
      <c r="L30">
        <v>8</v>
      </c>
    </row>
    <row r="31" spans="1:12" hidden="1" x14ac:dyDescent="0.3">
      <c r="A31" t="s">
        <v>12</v>
      </c>
      <c r="B31" t="s">
        <v>23</v>
      </c>
      <c r="C31" s="4">
        <v>0.76500000000000001</v>
      </c>
      <c r="D31" s="4">
        <v>0.61247410899999999</v>
      </c>
      <c r="E31">
        <v>10</v>
      </c>
      <c r="F31" s="2">
        <v>21.592356687898086</v>
      </c>
      <c r="G31" s="2">
        <f t="shared" si="3"/>
        <v>366.17608152784345</v>
      </c>
      <c r="H31" s="2">
        <f t="shared" si="4"/>
        <v>158.76924609177664</v>
      </c>
      <c r="I31" s="2">
        <f t="shared" si="0"/>
        <v>19846.15576147208</v>
      </c>
      <c r="J31" s="4">
        <f t="shared" si="2"/>
        <v>25.3037453568096</v>
      </c>
      <c r="K31" s="4">
        <f t="shared" si="1"/>
        <v>3162.9681696011999</v>
      </c>
      <c r="L31">
        <v>8</v>
      </c>
    </row>
    <row r="32" spans="1:12" hidden="1" x14ac:dyDescent="0.3">
      <c r="A32" t="s">
        <v>12</v>
      </c>
      <c r="B32" t="s">
        <v>23</v>
      </c>
      <c r="C32" s="4">
        <v>0.76500000000000001</v>
      </c>
      <c r="D32" s="4">
        <v>0.61247410899999999</v>
      </c>
      <c r="E32">
        <v>10</v>
      </c>
      <c r="F32" s="2">
        <v>27.133757961783438</v>
      </c>
      <c r="G32" s="2">
        <f t="shared" si="3"/>
        <v>578.24218873266784</v>
      </c>
      <c r="H32" s="2">
        <f t="shared" si="4"/>
        <v>247.98425592077845</v>
      </c>
      <c r="I32" s="2">
        <f t="shared" si="0"/>
        <v>30998.031990097308</v>
      </c>
      <c r="J32" s="4">
        <f t="shared" si="2"/>
        <v>34.754128739502612</v>
      </c>
      <c r="K32" s="4">
        <f t="shared" si="1"/>
        <v>4344.266092437826</v>
      </c>
      <c r="L32">
        <v>8</v>
      </c>
    </row>
    <row r="33" spans="1:12" hidden="1" x14ac:dyDescent="0.3">
      <c r="A33" t="s">
        <v>12</v>
      </c>
      <c r="B33" t="s">
        <v>24</v>
      </c>
      <c r="C33" s="4">
        <v>0.41240947999999999</v>
      </c>
      <c r="D33" s="4">
        <v>0.52705000000000002</v>
      </c>
      <c r="E33">
        <v>9</v>
      </c>
      <c r="F33" s="2">
        <v>6.2101910828025479</v>
      </c>
      <c r="G33" s="2">
        <f t="shared" si="3"/>
        <v>30.290037286693146</v>
      </c>
      <c r="H33" s="2">
        <f t="shared" si="4"/>
        <v>10.864857029557426</v>
      </c>
      <c r="I33" s="2">
        <f t="shared" si="0"/>
        <v>1358.1071286946783</v>
      </c>
      <c r="J33" s="4">
        <f t="shared" si="2"/>
        <v>10.200543908474989</v>
      </c>
      <c r="K33" s="4">
        <f t="shared" si="1"/>
        <v>1275.0679885593736</v>
      </c>
      <c r="L33">
        <v>8</v>
      </c>
    </row>
    <row r="34" spans="1:12" hidden="1" x14ac:dyDescent="0.3">
      <c r="A34" t="s">
        <v>12</v>
      </c>
      <c r="B34" t="s">
        <v>24</v>
      </c>
      <c r="C34" s="4">
        <v>0.41240947999999999</v>
      </c>
      <c r="D34" s="4">
        <v>0.52705000000000002</v>
      </c>
      <c r="E34">
        <v>8.5</v>
      </c>
      <c r="F34" s="2">
        <v>7.484076433121019</v>
      </c>
      <c r="G34" s="2">
        <f t="shared" si="3"/>
        <v>43.991250733928432</v>
      </c>
      <c r="H34" s="2">
        <f t="shared" si="4"/>
        <v>14.790167889295736</v>
      </c>
      <c r="I34" s="2">
        <f t="shared" si="0"/>
        <v>1848.7709861619669</v>
      </c>
      <c r="J34" s="4">
        <f t="shared" si="2"/>
        <v>10.652039151689724</v>
      </c>
      <c r="K34" s="4">
        <f t="shared" si="1"/>
        <v>1331.5048939612154</v>
      </c>
      <c r="L34">
        <v>8</v>
      </c>
    </row>
    <row r="35" spans="1:12" hidden="1" x14ac:dyDescent="0.3">
      <c r="A35" t="s">
        <v>12</v>
      </c>
      <c r="B35" t="s">
        <v>24</v>
      </c>
      <c r="C35" s="4">
        <v>0.41240947999999999</v>
      </c>
      <c r="D35" s="4">
        <v>0.52705000000000002</v>
      </c>
      <c r="E35">
        <v>8.5</v>
      </c>
      <c r="F35" s="2">
        <v>5.5732484076433115</v>
      </c>
      <c r="G35" s="2">
        <f t="shared" si="3"/>
        <v>24.395329175673304</v>
      </c>
      <c r="H35" s="2">
        <f t="shared" si="4"/>
        <v>8.3187659930417581</v>
      </c>
      <c r="I35" s="2">
        <f t="shared" si="0"/>
        <v>1039.8457491302197</v>
      </c>
      <c r="J35" s="4">
        <f t="shared" si="2"/>
        <v>9.9097676599456364</v>
      </c>
      <c r="K35" s="4">
        <f t="shared" si="1"/>
        <v>1238.7209574932047</v>
      </c>
      <c r="L35">
        <v>8</v>
      </c>
    </row>
    <row r="36" spans="1:12" hidden="1" x14ac:dyDescent="0.3">
      <c r="A36" t="s">
        <v>12</v>
      </c>
      <c r="B36" t="s">
        <v>24</v>
      </c>
      <c r="C36" s="4">
        <v>0.41240947999999999</v>
      </c>
      <c r="D36" s="4">
        <v>0.52705000000000002</v>
      </c>
      <c r="E36">
        <v>4</v>
      </c>
      <c r="F36" s="2">
        <v>5.8917197452229297</v>
      </c>
      <c r="G36" s="2">
        <f t="shared" si="3"/>
        <v>27.263025013466741</v>
      </c>
      <c r="H36" s="2">
        <f t="shared" si="4"/>
        <v>4.4428896908761519</v>
      </c>
      <c r="I36" s="2">
        <f t="shared" si="0"/>
        <v>555.36121135951896</v>
      </c>
      <c r="J36" s="4">
        <f t="shared" si="2"/>
        <v>9.4716730617874951</v>
      </c>
      <c r="K36" s="4">
        <f t="shared" si="1"/>
        <v>1183.9591327234368</v>
      </c>
      <c r="L36">
        <v>8</v>
      </c>
    </row>
    <row r="37" spans="1:12" hidden="1" x14ac:dyDescent="0.3">
      <c r="A37" t="s">
        <v>12</v>
      </c>
      <c r="B37" t="s">
        <v>24</v>
      </c>
      <c r="C37" s="4">
        <v>0.41240947999999999</v>
      </c>
      <c r="D37" s="4">
        <v>0.52705000000000002</v>
      </c>
      <c r="E37">
        <v>2.7</v>
      </c>
      <c r="F37" s="2">
        <v>2.0700636942675157</v>
      </c>
      <c r="G37" s="2">
        <f t="shared" si="3"/>
        <v>3.3655596985214595</v>
      </c>
      <c r="H37" s="2">
        <f t="shared" si="4"/>
        <v>0.39296481920279069</v>
      </c>
      <c r="I37" s="2">
        <f t="shared" si="0"/>
        <v>49.120602400348837</v>
      </c>
      <c r="J37" s="4">
        <f t="shared" si="2"/>
        <v>9.0261947969491665</v>
      </c>
      <c r="K37" s="4">
        <f t="shared" si="1"/>
        <v>1128.2743496186458</v>
      </c>
      <c r="L37">
        <v>8</v>
      </c>
    </row>
    <row r="38" spans="1:12" hidden="1" x14ac:dyDescent="0.3">
      <c r="A38" t="s">
        <v>25</v>
      </c>
      <c r="B38" t="s">
        <v>26</v>
      </c>
      <c r="C38" s="4">
        <v>0.80908761900000004</v>
      </c>
      <c r="D38" s="4">
        <v>0.87473809499999999</v>
      </c>
      <c r="E38">
        <v>7</v>
      </c>
      <c r="F38" s="2">
        <v>5.8917197452229297</v>
      </c>
      <c r="G38" s="2">
        <f t="shared" si="3"/>
        <v>27.263025013466741</v>
      </c>
      <c r="H38" s="2">
        <f t="shared" si="4"/>
        <v>12.578135231310311</v>
      </c>
      <c r="I38" s="2">
        <f t="shared" si="0"/>
        <v>1572.2669039137888</v>
      </c>
      <c r="J38" s="4">
        <f t="shared" si="2"/>
        <v>9.8361528581281181</v>
      </c>
      <c r="K38" s="4">
        <f t="shared" si="1"/>
        <v>1229.5191072660148</v>
      </c>
      <c r="L38">
        <v>8</v>
      </c>
    </row>
    <row r="39" spans="1:12" hidden="1" x14ac:dyDescent="0.3">
      <c r="A39" t="s">
        <v>25</v>
      </c>
      <c r="B39" t="s">
        <v>13</v>
      </c>
      <c r="C39" s="4">
        <v>0.36</v>
      </c>
      <c r="D39" s="4">
        <v>0.35</v>
      </c>
      <c r="E39">
        <v>5</v>
      </c>
      <c r="F39" s="2">
        <v>5.5095541401273884</v>
      </c>
      <c r="G39" s="2">
        <f t="shared" si="3"/>
        <v>23.840907980366573</v>
      </c>
      <c r="H39" s="2">
        <f t="shared" si="4"/>
        <v>3.2499712566168633</v>
      </c>
      <c r="I39" s="2">
        <f t="shared" si="0"/>
        <v>406.2464070771079</v>
      </c>
      <c r="J39" s="4">
        <f t="shared" si="2"/>
        <v>9.5169157694024094</v>
      </c>
      <c r="K39" s="4">
        <f t="shared" si="1"/>
        <v>1189.6144711753011</v>
      </c>
      <c r="L39">
        <v>8</v>
      </c>
    </row>
    <row r="40" spans="1:12" hidden="1" x14ac:dyDescent="0.3">
      <c r="A40" t="s">
        <v>25</v>
      </c>
      <c r="B40" t="s">
        <v>13</v>
      </c>
      <c r="C40" s="4">
        <v>0.36</v>
      </c>
      <c r="D40" s="4">
        <v>0.35</v>
      </c>
      <c r="E40">
        <v>2.2999999999999998</v>
      </c>
      <c r="F40" s="2">
        <v>4.4585987261146496</v>
      </c>
      <c r="G40" s="2">
        <f t="shared" si="3"/>
        <v>15.613010672430914</v>
      </c>
      <c r="H40" s="2">
        <f t="shared" si="4"/>
        <v>1.0076439369639711</v>
      </c>
      <c r="I40" s="2">
        <f t="shared" si="0"/>
        <v>125.95549212049639</v>
      </c>
      <c r="J40" s="4">
        <f t="shared" si="2"/>
        <v>9.145726775934115</v>
      </c>
      <c r="K40" s="4">
        <f t="shared" si="1"/>
        <v>1143.2158469917645</v>
      </c>
      <c r="L40">
        <v>8</v>
      </c>
    </row>
    <row r="41" spans="1:12" hidden="1" x14ac:dyDescent="0.3">
      <c r="A41" t="s">
        <v>25</v>
      </c>
      <c r="B41" t="s">
        <v>14</v>
      </c>
      <c r="C41" s="4">
        <v>0.766138345</v>
      </c>
      <c r="D41" s="4">
        <v>0.90500000000000003</v>
      </c>
      <c r="E41">
        <v>7</v>
      </c>
      <c r="F41" s="2">
        <v>9.0764331210191074</v>
      </c>
      <c r="G41" s="2">
        <f t="shared" si="3"/>
        <v>64.702387340214344</v>
      </c>
      <c r="H41" s="2">
        <f t="shared" si="4"/>
        <v>30.225274816805985</v>
      </c>
      <c r="I41" s="2">
        <f t="shared" si="0"/>
        <v>3778.159352100748</v>
      </c>
      <c r="J41" s="4">
        <f t="shared" si="2"/>
        <v>11.00405013590815</v>
      </c>
      <c r="K41" s="4">
        <f t="shared" si="1"/>
        <v>1375.5062669885187</v>
      </c>
      <c r="L41">
        <v>8</v>
      </c>
    </row>
    <row r="42" spans="1:12" hidden="1" x14ac:dyDescent="0.3">
      <c r="A42" t="s">
        <v>25</v>
      </c>
      <c r="B42" t="s">
        <v>14</v>
      </c>
      <c r="C42" s="4">
        <v>0.766138345</v>
      </c>
      <c r="D42" s="4">
        <v>0.90500000000000003</v>
      </c>
      <c r="E42">
        <v>5.5</v>
      </c>
      <c r="F42" s="2">
        <v>8.7579617834394909</v>
      </c>
      <c r="G42" s="2">
        <f t="shared" si="3"/>
        <v>60.241527148091237</v>
      </c>
      <c r="H42" s="2">
        <f t="shared" si="4"/>
        <v>22.277620825237975</v>
      </c>
      <c r="I42" s="2">
        <f t="shared" si="0"/>
        <v>2784.7026031547466</v>
      </c>
      <c r="J42" s="4">
        <f t="shared" si="2"/>
        <v>10.462211471053593</v>
      </c>
      <c r="K42" s="4">
        <f t="shared" si="1"/>
        <v>1307.7764338816992</v>
      </c>
      <c r="L42">
        <v>8</v>
      </c>
    </row>
    <row r="43" spans="1:12" hidden="1" x14ac:dyDescent="0.3">
      <c r="A43" t="s">
        <v>25</v>
      </c>
      <c r="B43" t="s">
        <v>14</v>
      </c>
      <c r="C43" s="4">
        <v>0.766138345</v>
      </c>
      <c r="D43" s="4">
        <v>0.90500000000000003</v>
      </c>
      <c r="E43">
        <v>5</v>
      </c>
      <c r="F43" s="2">
        <v>4.936305732484076</v>
      </c>
      <c r="G43" s="2">
        <f t="shared" si="3"/>
        <v>19.137886806385342</v>
      </c>
      <c r="H43" s="2">
        <f t="shared" si="4"/>
        <v>6.6285662851316234</v>
      </c>
      <c r="I43" s="2">
        <f t="shared" si="0"/>
        <v>828.57078564145297</v>
      </c>
      <c r="J43" s="4">
        <f t="shared" si="2"/>
        <v>9.4121244999797149</v>
      </c>
      <c r="K43" s="4">
        <f t="shared" si="1"/>
        <v>1176.5155624974643</v>
      </c>
      <c r="L43">
        <v>8</v>
      </c>
    </row>
    <row r="44" spans="1:12" hidden="1" x14ac:dyDescent="0.3">
      <c r="A44" t="s">
        <v>25</v>
      </c>
      <c r="B44" t="s">
        <v>18</v>
      </c>
      <c r="C44" s="4">
        <v>0.45255480399999998</v>
      </c>
      <c r="D44" s="4">
        <v>0.57808694400000005</v>
      </c>
      <c r="E44">
        <v>9</v>
      </c>
      <c r="F44" s="2">
        <v>44.904458598726116</v>
      </c>
      <c r="G44" s="2">
        <f t="shared" si="3"/>
        <v>1583.6850264214238</v>
      </c>
      <c r="H44" s="2">
        <f t="shared" si="4"/>
        <v>565.36655473751841</v>
      </c>
      <c r="I44" s="2">
        <f t="shared" si="0"/>
        <v>70670.819342189803</v>
      </c>
      <c r="J44" s="4">
        <f t="shared" si="2"/>
        <v>72.502627664408294</v>
      </c>
      <c r="K44" s="4">
        <f t="shared" si="1"/>
        <v>9062.8284580510372</v>
      </c>
      <c r="L44">
        <v>8</v>
      </c>
    </row>
    <row r="45" spans="1:12" hidden="1" x14ac:dyDescent="0.3">
      <c r="A45" t="s">
        <v>25</v>
      </c>
      <c r="B45" t="s">
        <v>18</v>
      </c>
      <c r="C45" s="4">
        <v>0.45255480399999998</v>
      </c>
      <c r="D45" s="4">
        <v>0.57808694400000005</v>
      </c>
      <c r="E45">
        <v>8</v>
      </c>
      <c r="F45" s="2">
        <v>26.273885350318469</v>
      </c>
      <c r="G45" s="2">
        <f t="shared" si="3"/>
        <v>542.173744332821</v>
      </c>
      <c r="H45" s="2">
        <f t="shared" si="4"/>
        <v>177.03031870356764</v>
      </c>
      <c r="I45" s="2">
        <f t="shared" si="0"/>
        <v>22128.789837945955</v>
      </c>
      <c r="J45" s="4">
        <f t="shared" si="2"/>
        <v>28.314577439247024</v>
      </c>
      <c r="K45" s="4">
        <f t="shared" si="1"/>
        <v>3539.3221799058779</v>
      </c>
      <c r="L45">
        <v>8</v>
      </c>
    </row>
    <row r="46" spans="1:12" hidden="1" x14ac:dyDescent="0.3">
      <c r="A46" t="s">
        <v>25</v>
      </c>
      <c r="B46" t="s">
        <v>18</v>
      </c>
      <c r="C46" s="4">
        <v>0.45255480399999998</v>
      </c>
      <c r="D46" s="4">
        <v>0.57808694400000005</v>
      </c>
      <c r="E46">
        <v>7</v>
      </c>
      <c r="F46" s="2">
        <v>47.133757961783438</v>
      </c>
      <c r="G46" s="2">
        <f t="shared" si="3"/>
        <v>1744.8336008618714</v>
      </c>
      <c r="H46" s="2">
        <f t="shared" si="4"/>
        <v>486.27312935614452</v>
      </c>
      <c r="I46" s="2">
        <f t="shared" si="0"/>
        <v>60784.141169518065</v>
      </c>
      <c r="J46" s="4">
        <f t="shared" si="2"/>
        <v>63.414682920199603</v>
      </c>
      <c r="K46" s="4">
        <f t="shared" si="1"/>
        <v>7926.8353650249501</v>
      </c>
      <c r="L46">
        <v>8</v>
      </c>
    </row>
    <row r="47" spans="1:12" hidden="1" x14ac:dyDescent="0.3">
      <c r="A47" t="s">
        <v>25</v>
      </c>
      <c r="B47" t="s">
        <v>20</v>
      </c>
      <c r="C47" s="4">
        <v>0.74387999999999999</v>
      </c>
      <c r="D47" s="4">
        <v>0.59130000000000005</v>
      </c>
      <c r="E47">
        <v>7</v>
      </c>
      <c r="F47" s="2">
        <v>6.3694267515923562</v>
      </c>
      <c r="G47" s="2">
        <f t="shared" si="3"/>
        <v>31.863287086593701</v>
      </c>
      <c r="H47" s="2">
        <f t="shared" si="4"/>
        <v>9.993534582563397</v>
      </c>
      <c r="I47" s="2">
        <f t="shared" si="0"/>
        <v>1249.1918228204247</v>
      </c>
      <c r="J47" s="4">
        <f t="shared" si="2"/>
        <v>9.9796551300255576</v>
      </c>
      <c r="K47" s="4">
        <f t="shared" si="1"/>
        <v>1247.4568912531947</v>
      </c>
      <c r="L47">
        <v>8</v>
      </c>
    </row>
    <row r="48" spans="1:12" hidden="1" x14ac:dyDescent="0.3">
      <c r="A48" t="s">
        <v>25</v>
      </c>
      <c r="B48" t="s">
        <v>20</v>
      </c>
      <c r="C48" s="4">
        <v>0.74387999999999999</v>
      </c>
      <c r="D48" s="4">
        <v>0.59130000000000005</v>
      </c>
      <c r="E48">
        <v>6</v>
      </c>
      <c r="F48" s="2">
        <v>3.8216560509554141</v>
      </c>
      <c r="G48" s="2">
        <f t="shared" si="3"/>
        <v>11.470783351173734</v>
      </c>
      <c r="H48" s="2">
        <f t="shared" si="4"/>
        <v>3.1719789293523761</v>
      </c>
      <c r="I48" s="2">
        <f t="shared" si="0"/>
        <v>396.49736616904704</v>
      </c>
      <c r="J48" s="4">
        <f t="shared" si="2"/>
        <v>9.2924061544078871</v>
      </c>
      <c r="K48" s="4">
        <f t="shared" si="1"/>
        <v>1161.5507693009858</v>
      </c>
      <c r="L48">
        <v>8</v>
      </c>
    </row>
    <row r="49" spans="1:12" hidden="1" x14ac:dyDescent="0.3">
      <c r="A49" t="s">
        <v>25</v>
      </c>
      <c r="B49" t="s">
        <v>20</v>
      </c>
      <c r="C49" s="4">
        <v>0.74387999999999999</v>
      </c>
      <c r="D49" s="4">
        <v>0.59130000000000005</v>
      </c>
      <c r="E49">
        <v>5</v>
      </c>
      <c r="F49" s="2">
        <v>5.0955414012738851</v>
      </c>
      <c r="G49" s="2">
        <f t="shared" si="3"/>
        <v>20.392503735419968</v>
      </c>
      <c r="H49" s="2">
        <f t="shared" si="4"/>
        <v>4.6551085387138649</v>
      </c>
      <c r="I49" s="2">
        <f t="shared" si="0"/>
        <v>581.88856733923308</v>
      </c>
      <c r="J49" s="4">
        <f t="shared" si="2"/>
        <v>9.4400794880116834</v>
      </c>
      <c r="K49" s="4">
        <f t="shared" si="1"/>
        <v>1180.0099360014603</v>
      </c>
      <c r="L49">
        <v>8</v>
      </c>
    </row>
    <row r="50" spans="1:12" hidden="1" x14ac:dyDescent="0.3">
      <c r="A50" t="s">
        <v>25</v>
      </c>
      <c r="B50" t="s">
        <v>20</v>
      </c>
      <c r="C50" s="4">
        <v>0.74387999999999999</v>
      </c>
      <c r="D50" s="4">
        <v>0.59130000000000005</v>
      </c>
      <c r="E50">
        <v>5</v>
      </c>
      <c r="F50" s="2">
        <v>3.3757961783439487</v>
      </c>
      <c r="G50" s="2">
        <f t="shared" si="3"/>
        <v>8.9503973426241696</v>
      </c>
      <c r="H50" s="2">
        <f t="shared" si="4"/>
        <v>2.0839373299017248</v>
      </c>
      <c r="I50" s="2">
        <f t="shared" si="0"/>
        <v>260.49216623771559</v>
      </c>
      <c r="J50" s="4">
        <f t="shared" si="2"/>
        <v>9.1851299971601286</v>
      </c>
      <c r="K50" s="4">
        <f t="shared" si="1"/>
        <v>1148.1412496450162</v>
      </c>
      <c r="L50">
        <v>8</v>
      </c>
    </row>
    <row r="51" spans="1:12" hidden="1" x14ac:dyDescent="0.3">
      <c r="A51" t="s">
        <v>25</v>
      </c>
      <c r="B51" t="s">
        <v>27</v>
      </c>
      <c r="C51" s="4">
        <v>0.50857142899999996</v>
      </c>
      <c r="D51" s="4">
        <v>0.49666666700000001</v>
      </c>
      <c r="E51">
        <v>10</v>
      </c>
      <c r="F51" s="2">
        <v>6.5286624203821653</v>
      </c>
      <c r="G51" s="2">
        <f t="shared" si="3"/>
        <v>33.476365995352509</v>
      </c>
      <c r="H51" s="2">
        <f t="shared" si="4"/>
        <v>12.528854958499005</v>
      </c>
      <c r="I51" s="2">
        <f t="shared" si="0"/>
        <v>1566.1068698123756</v>
      </c>
      <c r="J51" s="4">
        <f t="shared" si="2"/>
        <v>10.47752015497586</v>
      </c>
      <c r="K51" s="4">
        <f t="shared" si="1"/>
        <v>1309.6900193719825</v>
      </c>
      <c r="L51">
        <v>8</v>
      </c>
    </row>
    <row r="52" spans="1:12" hidden="1" x14ac:dyDescent="0.3">
      <c r="A52" t="s">
        <v>25</v>
      </c>
      <c r="B52" t="s">
        <v>27</v>
      </c>
      <c r="C52" s="4">
        <v>0.50857142899999996</v>
      </c>
      <c r="D52" s="4">
        <v>0.49666666700000001</v>
      </c>
      <c r="E52">
        <v>9</v>
      </c>
      <c r="F52" s="2">
        <v>8.9171974522292992</v>
      </c>
      <c r="G52" s="2">
        <f t="shared" si="3"/>
        <v>62.452042689723655</v>
      </c>
      <c r="H52" s="2">
        <f t="shared" si="4"/>
        <v>20.775955730534701</v>
      </c>
      <c r="I52" s="2">
        <f t="shared" si="0"/>
        <v>2596.9944663168376</v>
      </c>
      <c r="J52" s="4">
        <f t="shared" si="2"/>
        <v>11.490466927664407</v>
      </c>
      <c r="K52" s="4">
        <f t="shared" si="1"/>
        <v>1436.3083659580509</v>
      </c>
      <c r="L52">
        <v>8</v>
      </c>
    </row>
    <row r="53" spans="1:12" hidden="1" x14ac:dyDescent="0.3">
      <c r="A53" t="s">
        <v>25</v>
      </c>
      <c r="B53" t="s">
        <v>27</v>
      </c>
      <c r="C53" s="4">
        <v>0.50857142899999996</v>
      </c>
      <c r="D53" s="4">
        <v>0.49666666700000001</v>
      </c>
      <c r="E53">
        <v>9</v>
      </c>
      <c r="F53" s="2">
        <v>7.1656050955414008</v>
      </c>
      <c r="G53" s="2">
        <f t="shared" si="3"/>
        <v>40.326972718970154</v>
      </c>
      <c r="H53" s="2">
        <f t="shared" si="4"/>
        <v>13.557162741635373</v>
      </c>
      <c r="I53" s="2">
        <f t="shared" si="0"/>
        <v>1694.6453427044216</v>
      </c>
      <c r="J53" s="4">
        <f t="shared" si="2"/>
        <v>10.603095736135339</v>
      </c>
      <c r="K53" s="4">
        <f t="shared" si="1"/>
        <v>1325.3869670169174</v>
      </c>
      <c r="L53">
        <v>8</v>
      </c>
    </row>
    <row r="54" spans="1:12" hidden="1" x14ac:dyDescent="0.3">
      <c r="A54" t="s">
        <v>25</v>
      </c>
      <c r="B54" t="s">
        <v>28</v>
      </c>
      <c r="C54" s="4">
        <v>0.48464433800000001</v>
      </c>
      <c r="D54" s="4">
        <v>0.62688577999999995</v>
      </c>
      <c r="E54">
        <v>5</v>
      </c>
      <c r="F54" s="2">
        <v>2.5477707006369426</v>
      </c>
      <c r="G54" s="2">
        <f t="shared" si="3"/>
        <v>5.098125933854992</v>
      </c>
      <c r="H54" s="2">
        <f t="shared" si="4"/>
        <v>1.273768974860543</v>
      </c>
      <c r="I54" s="2">
        <f t="shared" si="0"/>
        <v>159.22112185756788</v>
      </c>
      <c r="J54" s="4">
        <f t="shared" si="2"/>
        <v>9.0992948720029201</v>
      </c>
      <c r="K54" s="4">
        <f t="shared" si="1"/>
        <v>1137.411859000365</v>
      </c>
      <c r="L54">
        <v>8</v>
      </c>
    </row>
    <row r="55" spans="1:12" hidden="1" x14ac:dyDescent="0.3">
      <c r="A55" t="s">
        <v>25</v>
      </c>
      <c r="B55" t="s">
        <v>21</v>
      </c>
      <c r="C55" s="4">
        <v>0.66608171000000005</v>
      </c>
      <c r="D55" s="4">
        <v>0.68661666700000001</v>
      </c>
      <c r="E55">
        <v>5</v>
      </c>
      <c r="F55" s="2">
        <v>4.2993630573248405</v>
      </c>
      <c r="G55" s="2">
        <f t="shared" si="3"/>
        <v>14.517710178829255</v>
      </c>
      <c r="H55" s="2">
        <f t="shared" si="4"/>
        <v>3.8658751895990231</v>
      </c>
      <c r="I55" s="2">
        <f t="shared" si="0"/>
        <v>483.23439869987789</v>
      </c>
      <c r="J55" s="4">
        <f t="shared" si="2"/>
        <v>9.3091791472270682</v>
      </c>
      <c r="K55" s="4">
        <f t="shared" si="1"/>
        <v>1163.6473934033836</v>
      </c>
      <c r="L55">
        <v>8</v>
      </c>
    </row>
    <row r="56" spans="1:12" hidden="1" x14ac:dyDescent="0.3">
      <c r="A56" t="s">
        <v>25</v>
      </c>
      <c r="B56" t="s">
        <v>21</v>
      </c>
      <c r="C56" s="4">
        <v>0.66608171000000005</v>
      </c>
      <c r="D56" s="4">
        <v>0.68661666700000001</v>
      </c>
      <c r="E56">
        <v>3.5</v>
      </c>
      <c r="F56" s="2">
        <v>2.8025477707006372</v>
      </c>
      <c r="G56" s="2">
        <f t="shared" si="3"/>
        <v>6.1687323799645428</v>
      </c>
      <c r="H56" s="2">
        <f t="shared" si="4"/>
        <v>1.1838104671321783</v>
      </c>
      <c r="I56" s="2">
        <f t="shared" si="0"/>
        <v>147.97630839152228</v>
      </c>
      <c r="J56" s="4">
        <f t="shared" si="2"/>
        <v>9.081914856586474</v>
      </c>
      <c r="K56" s="4">
        <f t="shared" si="1"/>
        <v>1135.2393570733093</v>
      </c>
      <c r="L56">
        <v>8</v>
      </c>
    </row>
    <row r="57" spans="1:12" hidden="1" x14ac:dyDescent="0.3">
      <c r="A57" t="s">
        <v>25</v>
      </c>
      <c r="B57" t="s">
        <v>22</v>
      </c>
      <c r="C57" s="4">
        <v>0.43836446099999998</v>
      </c>
      <c r="D57" s="4">
        <v>0.58666666700000003</v>
      </c>
      <c r="E57">
        <v>8</v>
      </c>
      <c r="F57" s="2">
        <v>3.5031847133757958</v>
      </c>
      <c r="G57" s="2">
        <f t="shared" si="3"/>
        <v>9.6386443436945939</v>
      </c>
      <c r="H57" s="2">
        <f t="shared" si="4"/>
        <v>3.5170031665739172</v>
      </c>
      <c r="I57" s="2">
        <f t="shared" si="0"/>
        <v>439.62539582173963</v>
      </c>
      <c r="J57" s="4">
        <f t="shared" si="2"/>
        <v>9.3293244878088348</v>
      </c>
      <c r="K57" s="4">
        <f t="shared" si="1"/>
        <v>1166.1655609761044</v>
      </c>
      <c r="L57">
        <v>8</v>
      </c>
    </row>
    <row r="58" spans="1:12" hidden="1" x14ac:dyDescent="0.3">
      <c r="A58" t="s">
        <v>25</v>
      </c>
      <c r="B58" t="s">
        <v>22</v>
      </c>
      <c r="C58" s="4">
        <v>0.43836446099999998</v>
      </c>
      <c r="D58" s="4">
        <v>0.58666666700000003</v>
      </c>
      <c r="E58">
        <v>7</v>
      </c>
      <c r="F58" s="2">
        <v>14.936305732484076</v>
      </c>
      <c r="G58" s="2">
        <f t="shared" si="3"/>
        <v>175.21701227135594</v>
      </c>
      <c r="H58" s="2">
        <f t="shared" si="4"/>
        <v>52.348408967166279</v>
      </c>
      <c r="I58" s="2">
        <f t="shared" si="0"/>
        <v>6543.5511208957851</v>
      </c>
      <c r="J58" s="4">
        <f t="shared" si="2"/>
        <v>14.451484108888799</v>
      </c>
      <c r="K58" s="4">
        <f t="shared" si="1"/>
        <v>1806.4355136110999</v>
      </c>
      <c r="L58">
        <v>8</v>
      </c>
    </row>
    <row r="59" spans="1:12" hidden="1" x14ac:dyDescent="0.3">
      <c r="A59" t="s">
        <v>25</v>
      </c>
      <c r="B59" t="s">
        <v>22</v>
      </c>
      <c r="C59" s="4">
        <v>0.43836446099999998</v>
      </c>
      <c r="D59" s="4">
        <v>0.58666666700000003</v>
      </c>
      <c r="E59">
        <v>6.5</v>
      </c>
      <c r="F59" s="2">
        <v>15.445859872611464</v>
      </c>
      <c r="G59" s="2">
        <f t="shared" si="3"/>
        <v>187.37604262360011</v>
      </c>
      <c r="H59" s="2">
        <f t="shared" si="4"/>
        <v>51.991185516408244</v>
      </c>
      <c r="I59" s="2">
        <f t="shared" si="0"/>
        <v>6498.8981895510306</v>
      </c>
      <c r="J59" s="4">
        <f t="shared" si="2"/>
        <v>14.413271858898941</v>
      </c>
      <c r="K59" s="4">
        <f t="shared" si="1"/>
        <v>1801.6589823623676</v>
      </c>
      <c r="L59">
        <v>8</v>
      </c>
    </row>
    <row r="60" spans="1:12" hidden="1" x14ac:dyDescent="0.3">
      <c r="A60" t="s">
        <v>25</v>
      </c>
      <c r="B60" t="s">
        <v>23</v>
      </c>
      <c r="C60" s="4">
        <v>0.76500000000000001</v>
      </c>
      <c r="D60" s="4">
        <v>0.61247410899999999</v>
      </c>
      <c r="E60">
        <v>8</v>
      </c>
      <c r="F60" s="2">
        <v>10.19108280254777</v>
      </c>
      <c r="G60" s="2">
        <f t="shared" si="3"/>
        <v>81.570014941679872</v>
      </c>
      <c r="H60" s="2">
        <f t="shared" si="4"/>
        <v>29.489988630667401</v>
      </c>
      <c r="I60" s="2">
        <f t="shared" si="0"/>
        <v>3686.2485788334252</v>
      </c>
      <c r="J60" s="4">
        <f t="shared" si="2"/>
        <v>11.893728723274776</v>
      </c>
      <c r="K60" s="4">
        <f t="shared" si="1"/>
        <v>1486.7160904093471</v>
      </c>
      <c r="L60">
        <v>8</v>
      </c>
    </row>
    <row r="61" spans="1:12" hidden="1" x14ac:dyDescent="0.3">
      <c r="A61" t="s">
        <v>25</v>
      </c>
      <c r="B61" t="s">
        <v>24</v>
      </c>
      <c r="C61" s="4">
        <v>0.41240947999999999</v>
      </c>
      <c r="D61" s="4">
        <v>0.52705000000000002</v>
      </c>
      <c r="E61">
        <v>6.5</v>
      </c>
      <c r="F61" s="2">
        <v>4.7770700636942669</v>
      </c>
      <c r="G61" s="2">
        <f t="shared" si="3"/>
        <v>17.923098986208956</v>
      </c>
      <c r="H61" s="2">
        <f t="shared" si="4"/>
        <v>4.7388104663678314</v>
      </c>
      <c r="I61" s="2">
        <f t="shared" si="0"/>
        <v>592.35130829597892</v>
      </c>
      <c r="J61" s="4">
        <f t="shared" si="2"/>
        <v>9.5048640634508494</v>
      </c>
      <c r="K61" s="4">
        <f t="shared" si="1"/>
        <v>1188.1080079313563</v>
      </c>
      <c r="L61">
        <v>8</v>
      </c>
    </row>
    <row r="62" spans="1:12" hidden="1" x14ac:dyDescent="0.3">
      <c r="A62" t="s">
        <v>25</v>
      </c>
      <c r="B62" t="s">
        <v>24</v>
      </c>
      <c r="C62" s="4">
        <v>0.41240947999999999</v>
      </c>
      <c r="D62" s="4">
        <v>0.52705000000000002</v>
      </c>
      <c r="E62">
        <v>6</v>
      </c>
      <c r="F62" s="2">
        <v>4.0764331210191083</v>
      </c>
      <c r="G62" s="2">
        <f t="shared" si="3"/>
        <v>13.051202390668783</v>
      </c>
      <c r="H62" s="2">
        <f t="shared" si="4"/>
        <v>3.2157719770855806</v>
      </c>
      <c r="I62" s="2">
        <f t="shared" si="0"/>
        <v>401.97149713569758</v>
      </c>
      <c r="J62" s="4">
        <f t="shared" si="2"/>
        <v>9.3346634467929732</v>
      </c>
      <c r="K62" s="4">
        <f t="shared" si="1"/>
        <v>1166.8329308491216</v>
      </c>
      <c r="L62">
        <v>8</v>
      </c>
    </row>
    <row r="63" spans="1:12" hidden="1" x14ac:dyDescent="0.3">
      <c r="A63" t="s">
        <v>25</v>
      </c>
      <c r="B63" t="s">
        <v>24</v>
      </c>
      <c r="C63" s="4">
        <v>0.41240947999999999</v>
      </c>
      <c r="D63" s="4">
        <v>0.52705000000000002</v>
      </c>
      <c r="E63">
        <v>4.5</v>
      </c>
      <c r="F63" s="2">
        <v>4.3949044585987265</v>
      </c>
      <c r="G63" s="2">
        <f t="shared" si="3"/>
        <v>15.170110981927266</v>
      </c>
      <c r="H63" s="2">
        <f t="shared" si="4"/>
        <v>2.812646518663243</v>
      </c>
      <c r="I63" s="2">
        <f t="shared" si="0"/>
        <v>351.58081483290539</v>
      </c>
      <c r="J63" s="4">
        <f t="shared" si="2"/>
        <v>9.2899141669033227</v>
      </c>
      <c r="K63" s="4">
        <f t="shared" si="1"/>
        <v>1161.2392708629154</v>
      </c>
      <c r="L63">
        <v>8</v>
      </c>
    </row>
    <row r="64" spans="1:12" hidden="1" x14ac:dyDescent="0.3">
      <c r="A64" t="s">
        <v>29</v>
      </c>
      <c r="B64" t="s">
        <v>13</v>
      </c>
      <c r="C64" s="4">
        <v>0.36</v>
      </c>
      <c r="D64" s="4">
        <v>0.35</v>
      </c>
      <c r="E64">
        <v>4</v>
      </c>
      <c r="F64" s="2">
        <v>3.1847133757961781</v>
      </c>
      <c r="G64" s="2">
        <f t="shared" si="3"/>
        <v>7.9658217716484252</v>
      </c>
      <c r="H64" s="2">
        <f t="shared" si="4"/>
        <v>0.8966632160717094</v>
      </c>
      <c r="I64" s="2">
        <f t="shared" si="0"/>
        <v>112.08290200896367</v>
      </c>
      <c r="J64" s="4">
        <f t="shared" si="2"/>
        <v>9.1276935900036502</v>
      </c>
      <c r="K64" s="4">
        <f t="shared" si="1"/>
        <v>1140.9616987504562</v>
      </c>
      <c r="L64">
        <v>8</v>
      </c>
    </row>
    <row r="65" spans="1:12" hidden="1" x14ac:dyDescent="0.3">
      <c r="A65" t="s">
        <v>29</v>
      </c>
      <c r="B65" t="s">
        <v>14</v>
      </c>
      <c r="C65" s="4">
        <v>0.766138345</v>
      </c>
      <c r="D65" s="4">
        <v>0.90500000000000003</v>
      </c>
      <c r="E65">
        <v>6</v>
      </c>
      <c r="F65" s="2">
        <v>6.7515923566878975</v>
      </c>
      <c r="G65" s="2">
        <f t="shared" si="3"/>
        <v>35.801589370496679</v>
      </c>
      <c r="H65" s="2">
        <f t="shared" si="4"/>
        <v>14.594211151131432</v>
      </c>
      <c r="I65" s="2">
        <f t="shared" si="0"/>
        <v>1824.2763938914291</v>
      </c>
      <c r="J65" s="4">
        <f t="shared" si="2"/>
        <v>9.9429639863686141</v>
      </c>
      <c r="K65" s="4">
        <f t="shared" si="1"/>
        <v>1242.8704982960767</v>
      </c>
      <c r="L65">
        <v>8</v>
      </c>
    </row>
    <row r="66" spans="1:12" hidden="1" x14ac:dyDescent="0.3">
      <c r="A66" t="s">
        <v>29</v>
      </c>
      <c r="B66" t="s">
        <v>17</v>
      </c>
      <c r="C66" s="4">
        <v>0.708787469</v>
      </c>
      <c r="D66" s="4">
        <v>0.80167708299999996</v>
      </c>
      <c r="E66">
        <v>7</v>
      </c>
      <c r="F66" s="2">
        <v>8.9171974522292992</v>
      </c>
      <c r="G66" s="2">
        <f t="shared" si="3"/>
        <v>62.452042689723655</v>
      </c>
      <c r="H66" s="2">
        <f t="shared" si="4"/>
        <v>25.94060119844589</v>
      </c>
      <c r="I66" s="2">
        <f t="shared" ref="I66:I129" si="5">(H66*1000)/L66</f>
        <v>3242.5751498057361</v>
      </c>
      <c r="J66" s="4">
        <f t="shared" si="2"/>
        <v>10.933852054850094</v>
      </c>
      <c r="K66" s="4">
        <f t="shared" ref="K66:K129" si="6">(J66*1000)/L66</f>
        <v>1366.7315068562618</v>
      </c>
      <c r="L66">
        <v>8</v>
      </c>
    </row>
    <row r="67" spans="1:12" hidden="1" x14ac:dyDescent="0.3">
      <c r="A67" t="s">
        <v>29</v>
      </c>
      <c r="B67" t="s">
        <v>18</v>
      </c>
      <c r="C67" s="4">
        <v>0.45255480399999998</v>
      </c>
      <c r="D67" s="4">
        <v>0.57808694400000005</v>
      </c>
      <c r="E67">
        <v>8</v>
      </c>
      <c r="F67" s="2">
        <v>30.573248407643312</v>
      </c>
      <c r="G67" s="2">
        <f t="shared" si="3"/>
        <v>734.13013447511901</v>
      </c>
      <c r="H67" s="2">
        <f t="shared" si="4"/>
        <v>237.97042735965869</v>
      </c>
      <c r="I67" s="2">
        <f t="shared" si="5"/>
        <v>29746.303419957334</v>
      </c>
      <c r="J67" s="4">
        <f t="shared" ref="J67:J130" si="7">8.9857 + 0.0035 * F67^2 * E67</f>
        <v>35.157958509472998</v>
      </c>
      <c r="K67" s="4">
        <f t="shared" si="6"/>
        <v>4394.7448136841249</v>
      </c>
      <c r="L67">
        <v>8</v>
      </c>
    </row>
    <row r="68" spans="1:12" hidden="1" x14ac:dyDescent="0.3">
      <c r="A68" t="s">
        <v>29</v>
      </c>
      <c r="B68" t="s">
        <v>18</v>
      </c>
      <c r="C68" s="4">
        <v>0.45255480399999998</v>
      </c>
      <c r="D68" s="4">
        <v>0.57808694400000005</v>
      </c>
      <c r="E68">
        <v>7</v>
      </c>
      <c r="F68" s="2">
        <v>25.796178343949045</v>
      </c>
      <c r="G68" s="2">
        <f t="shared" ref="G68:G131" si="8">PI()*(F68/2)^2</f>
        <v>522.63756643785325</v>
      </c>
      <c r="H68" s="2">
        <f t="shared" ref="H68:H131" si="9">0.0673 * ((D68 * F68^2 * E68)^0.976)</f>
        <v>149.93124946588696</v>
      </c>
      <c r="I68" s="2">
        <f t="shared" si="5"/>
        <v>18741.406183235871</v>
      </c>
      <c r="J68" s="4">
        <f t="shared" si="7"/>
        <v>25.289049020244228</v>
      </c>
      <c r="K68" s="4">
        <f t="shared" si="6"/>
        <v>3161.1311275305284</v>
      </c>
      <c r="L68">
        <v>8</v>
      </c>
    </row>
    <row r="69" spans="1:12" hidden="1" x14ac:dyDescent="0.3">
      <c r="A69" t="s">
        <v>29</v>
      </c>
      <c r="B69" t="s">
        <v>18</v>
      </c>
      <c r="C69" s="4">
        <v>0.45255480399999998</v>
      </c>
      <c r="D69" s="4">
        <v>0.57808694400000005</v>
      </c>
      <c r="E69">
        <v>5</v>
      </c>
      <c r="F69" s="2">
        <v>5.7324840764331206</v>
      </c>
      <c r="G69" s="2">
        <f t="shared" si="8"/>
        <v>25.809262540140899</v>
      </c>
      <c r="H69" s="2">
        <f t="shared" si="9"/>
        <v>5.7306036297489085</v>
      </c>
      <c r="I69" s="2">
        <f t="shared" si="5"/>
        <v>716.32545371861352</v>
      </c>
      <c r="J69" s="4">
        <f t="shared" si="7"/>
        <v>9.5607740395147864</v>
      </c>
      <c r="K69" s="4">
        <f t="shared" si="6"/>
        <v>1195.0967549393483</v>
      </c>
      <c r="L69">
        <v>8</v>
      </c>
    </row>
    <row r="70" spans="1:12" hidden="1" x14ac:dyDescent="0.3">
      <c r="A70" t="s">
        <v>29</v>
      </c>
      <c r="B70" t="s">
        <v>30</v>
      </c>
      <c r="C70" s="4">
        <v>0.372</v>
      </c>
      <c r="D70" s="4">
        <v>0.73247777800000002</v>
      </c>
      <c r="E70">
        <v>6</v>
      </c>
      <c r="F70" s="2">
        <v>4.0445859872611463</v>
      </c>
      <c r="G70" s="2">
        <f t="shared" si="8"/>
        <v>12.848073935491747</v>
      </c>
      <c r="H70" s="2">
        <f t="shared" si="9"/>
        <v>4.3666487754235765</v>
      </c>
      <c r="I70" s="2">
        <f t="shared" si="5"/>
        <v>545.8310969279471</v>
      </c>
      <c r="J70" s="4">
        <f t="shared" si="7"/>
        <v>9.3292321919753327</v>
      </c>
      <c r="K70" s="4">
        <f t="shared" si="6"/>
        <v>1166.1540239969165</v>
      </c>
      <c r="L70">
        <v>8</v>
      </c>
    </row>
    <row r="71" spans="1:12" hidden="1" x14ac:dyDescent="0.3">
      <c r="A71" t="s">
        <v>29</v>
      </c>
      <c r="B71" t="s">
        <v>31</v>
      </c>
      <c r="C71" s="4">
        <v>0.63400000000000001</v>
      </c>
      <c r="D71" s="4">
        <v>0.73247777800000002</v>
      </c>
      <c r="E71">
        <v>6</v>
      </c>
      <c r="F71" s="2">
        <v>4.3949044585987265</v>
      </c>
      <c r="G71" s="2">
        <f t="shared" si="8"/>
        <v>15.170110981927266</v>
      </c>
      <c r="H71" s="2">
        <f t="shared" si="9"/>
        <v>5.135318387975941</v>
      </c>
      <c r="I71" s="2">
        <f t="shared" si="5"/>
        <v>641.9147984969926</v>
      </c>
      <c r="J71" s="4">
        <f t="shared" si="7"/>
        <v>9.3913188892044293</v>
      </c>
      <c r="K71" s="4">
        <f t="shared" si="6"/>
        <v>1173.9148611505536</v>
      </c>
      <c r="L71">
        <v>8</v>
      </c>
    </row>
    <row r="72" spans="1:12" hidden="1" x14ac:dyDescent="0.3">
      <c r="A72" t="s">
        <v>29</v>
      </c>
      <c r="B72" t="s">
        <v>31</v>
      </c>
      <c r="C72" s="4">
        <v>0.63400000000000001</v>
      </c>
      <c r="D72" s="4">
        <v>0.73247777800000002</v>
      </c>
      <c r="E72">
        <v>5</v>
      </c>
      <c r="F72" s="2">
        <v>5.8280254777070066</v>
      </c>
      <c r="G72" s="2">
        <f t="shared" si="8"/>
        <v>26.676740531073417</v>
      </c>
      <c r="H72" s="2">
        <f t="shared" si="9"/>
        <v>7.4567061543982396</v>
      </c>
      <c r="I72" s="2">
        <f t="shared" si="5"/>
        <v>932.08826929977999</v>
      </c>
      <c r="J72" s="4">
        <f t="shared" si="7"/>
        <v>9.5801029169540346</v>
      </c>
      <c r="K72" s="4">
        <f t="shared" si="6"/>
        <v>1197.5128646192543</v>
      </c>
      <c r="L72">
        <v>8</v>
      </c>
    </row>
    <row r="73" spans="1:12" hidden="1" x14ac:dyDescent="0.3">
      <c r="A73" t="s">
        <v>29</v>
      </c>
      <c r="B73" t="s">
        <v>20</v>
      </c>
      <c r="C73" s="4">
        <v>0.74387999999999999</v>
      </c>
      <c r="D73" s="4">
        <v>0.59130000000000005</v>
      </c>
      <c r="E73">
        <v>9</v>
      </c>
      <c r="F73" s="2">
        <v>9.872611464968152</v>
      </c>
      <c r="G73" s="2">
        <f t="shared" si="8"/>
        <v>76.55154722554137</v>
      </c>
      <c r="H73" s="2">
        <f t="shared" si="9"/>
        <v>30.044957683030223</v>
      </c>
      <c r="I73" s="2">
        <f t="shared" si="5"/>
        <v>3755.6197103787777</v>
      </c>
      <c r="J73" s="4">
        <f t="shared" si="7"/>
        <v>12.055956399853949</v>
      </c>
      <c r="K73" s="4">
        <f t="shared" si="6"/>
        <v>1506.9945499817436</v>
      </c>
      <c r="L73">
        <v>8</v>
      </c>
    </row>
    <row r="74" spans="1:12" hidden="1" x14ac:dyDescent="0.3">
      <c r="A74" t="s">
        <v>29</v>
      </c>
      <c r="B74" t="s">
        <v>20</v>
      </c>
      <c r="C74" s="4">
        <v>0.74387999999999999</v>
      </c>
      <c r="D74" s="4">
        <v>0.59130000000000005</v>
      </c>
      <c r="E74">
        <v>8</v>
      </c>
      <c r="F74" s="2">
        <v>5.7324840764331206</v>
      </c>
      <c r="G74" s="2">
        <f t="shared" si="8"/>
        <v>25.809262540140899</v>
      </c>
      <c r="H74" s="2">
        <f t="shared" si="9"/>
        <v>9.2683118569447167</v>
      </c>
      <c r="I74" s="2">
        <f t="shared" si="5"/>
        <v>1158.5389821180895</v>
      </c>
      <c r="J74" s="4">
        <f t="shared" si="7"/>
        <v>9.9058184632236603</v>
      </c>
      <c r="K74" s="4">
        <f t="shared" si="6"/>
        <v>1238.2273079029576</v>
      </c>
      <c r="L74">
        <v>8</v>
      </c>
    </row>
    <row r="75" spans="1:12" hidden="1" x14ac:dyDescent="0.3">
      <c r="A75" t="s">
        <v>29</v>
      </c>
      <c r="B75" t="s">
        <v>20</v>
      </c>
      <c r="C75" s="4">
        <v>0.74387999999999999</v>
      </c>
      <c r="D75" s="4">
        <v>0.59130000000000005</v>
      </c>
      <c r="E75">
        <v>6</v>
      </c>
      <c r="F75" s="2">
        <v>9.5541401273885338</v>
      </c>
      <c r="G75" s="2">
        <f t="shared" si="8"/>
        <v>71.692395944835823</v>
      </c>
      <c r="H75" s="2">
        <f t="shared" si="9"/>
        <v>18.97182852524687</v>
      </c>
      <c r="I75" s="2">
        <f t="shared" si="5"/>
        <v>2371.4785656558588</v>
      </c>
      <c r="J75" s="4">
        <f t="shared" si="7"/>
        <v>10.902613465049292</v>
      </c>
      <c r="K75" s="4">
        <f t="shared" si="6"/>
        <v>1362.8266831311614</v>
      </c>
      <c r="L75">
        <v>8</v>
      </c>
    </row>
    <row r="76" spans="1:12" hidden="1" x14ac:dyDescent="0.3">
      <c r="A76" t="s">
        <v>29</v>
      </c>
      <c r="B76" t="s">
        <v>32</v>
      </c>
      <c r="C76" s="4">
        <v>0.65716857299999998</v>
      </c>
      <c r="D76" s="4">
        <v>0.85527777800000004</v>
      </c>
      <c r="E76">
        <v>6</v>
      </c>
      <c r="F76" s="2">
        <v>12.961783439490446</v>
      </c>
      <c r="G76" s="2">
        <f t="shared" si="8"/>
        <v>131.95304106517904</v>
      </c>
      <c r="H76" s="2">
        <f t="shared" si="9"/>
        <v>49.334293602440439</v>
      </c>
      <c r="I76" s="2">
        <f t="shared" si="5"/>
        <v>6166.7867003050551</v>
      </c>
      <c r="J76" s="4">
        <f t="shared" si="7"/>
        <v>12.513864428577225</v>
      </c>
      <c r="K76" s="4">
        <f t="shared" si="6"/>
        <v>1564.233053572153</v>
      </c>
      <c r="L76">
        <v>8</v>
      </c>
    </row>
    <row r="77" spans="1:12" hidden="1" x14ac:dyDescent="0.3">
      <c r="A77" t="s">
        <v>29</v>
      </c>
      <c r="B77" t="s">
        <v>28</v>
      </c>
      <c r="C77" s="4">
        <v>0.48464433800000001</v>
      </c>
      <c r="D77" s="4">
        <v>0.62688577999999995</v>
      </c>
      <c r="E77">
        <v>3.5</v>
      </c>
      <c r="F77" s="2">
        <v>2.2292993630573248</v>
      </c>
      <c r="G77" s="2">
        <f t="shared" si="8"/>
        <v>3.9032526681077284</v>
      </c>
      <c r="H77" s="2">
        <f t="shared" si="9"/>
        <v>0.69295666002449408</v>
      </c>
      <c r="I77" s="2">
        <f t="shared" si="5"/>
        <v>86.619582503061764</v>
      </c>
      <c r="J77" s="4">
        <f t="shared" si="7"/>
        <v>9.0465797517140647</v>
      </c>
      <c r="K77" s="4">
        <f t="shared" si="6"/>
        <v>1130.8224689642582</v>
      </c>
      <c r="L77">
        <v>8</v>
      </c>
    </row>
    <row r="78" spans="1:12" hidden="1" x14ac:dyDescent="0.3">
      <c r="A78" t="s">
        <v>29</v>
      </c>
      <c r="B78" t="s">
        <v>33</v>
      </c>
      <c r="C78" s="4">
        <v>0.69835862100000001</v>
      </c>
      <c r="D78" s="4">
        <v>0.69262500000000005</v>
      </c>
      <c r="E78">
        <v>8</v>
      </c>
      <c r="F78" s="2">
        <v>8.4394904458598727</v>
      </c>
      <c r="G78" s="2">
        <f t="shared" si="8"/>
        <v>55.939983391401071</v>
      </c>
      <c r="H78" s="2">
        <f t="shared" si="9"/>
        <v>23.010516743806956</v>
      </c>
      <c r="I78" s="2">
        <f t="shared" si="5"/>
        <v>2876.3145929758693</v>
      </c>
      <c r="J78" s="4">
        <f t="shared" si="7"/>
        <v>10.979999971601281</v>
      </c>
      <c r="K78" s="4">
        <f t="shared" si="6"/>
        <v>1372.4999964501601</v>
      </c>
      <c r="L78">
        <v>8</v>
      </c>
    </row>
    <row r="79" spans="1:12" hidden="1" x14ac:dyDescent="0.3">
      <c r="A79" t="s">
        <v>29</v>
      </c>
      <c r="B79" t="s">
        <v>34</v>
      </c>
      <c r="C79" s="4">
        <v>0.54326798300000001</v>
      </c>
      <c r="D79" s="4">
        <v>0.61247410899999999</v>
      </c>
      <c r="E79">
        <v>8</v>
      </c>
      <c r="F79" s="2">
        <v>14.968152866242038</v>
      </c>
      <c r="G79" s="2">
        <f t="shared" si="8"/>
        <v>175.96500293571373</v>
      </c>
      <c r="H79" s="2">
        <f t="shared" si="9"/>
        <v>62.45351209919788</v>
      </c>
      <c r="I79" s="2">
        <f t="shared" si="5"/>
        <v>7806.6890123997346</v>
      </c>
      <c r="J79" s="4">
        <f t="shared" si="7"/>
        <v>15.258976806361312</v>
      </c>
      <c r="K79" s="4">
        <f t="shared" si="6"/>
        <v>1907.372100795164</v>
      </c>
      <c r="L79">
        <v>8</v>
      </c>
    </row>
    <row r="80" spans="1:12" hidden="1" x14ac:dyDescent="0.3">
      <c r="A80" t="s">
        <v>29</v>
      </c>
      <c r="B80" t="s">
        <v>34</v>
      </c>
      <c r="C80" s="4">
        <v>0.54326798300000001</v>
      </c>
      <c r="D80" s="4">
        <v>0.61247410899999999</v>
      </c>
      <c r="E80">
        <v>5.5</v>
      </c>
      <c r="F80" s="2">
        <v>5.2547770700636942</v>
      </c>
      <c r="G80" s="2">
        <f t="shared" si="8"/>
        <v>21.68694977331284</v>
      </c>
      <c r="H80" s="2">
        <f t="shared" si="9"/>
        <v>5.6147272507820185</v>
      </c>
      <c r="I80" s="2">
        <f t="shared" si="5"/>
        <v>701.84090634775237</v>
      </c>
      <c r="J80" s="4">
        <f t="shared" si="7"/>
        <v>9.5172441295792929</v>
      </c>
      <c r="K80" s="4">
        <f t="shared" si="6"/>
        <v>1189.6555161974115</v>
      </c>
      <c r="L80">
        <v>8</v>
      </c>
    </row>
    <row r="81" spans="1:12" hidden="1" x14ac:dyDescent="0.3">
      <c r="A81" t="s">
        <v>29</v>
      </c>
      <c r="B81" t="s">
        <v>22</v>
      </c>
      <c r="C81" s="4">
        <v>0.43836446099999998</v>
      </c>
      <c r="D81" s="4">
        <v>0.58666666700000003</v>
      </c>
      <c r="E81">
        <v>9</v>
      </c>
      <c r="F81" s="2">
        <v>10.828025477707007</v>
      </c>
      <c r="G81" s="2">
        <f t="shared" si="8"/>
        <v>92.084899680255816</v>
      </c>
      <c r="H81" s="2">
        <f t="shared" si="9"/>
        <v>35.70639013702214</v>
      </c>
      <c r="I81" s="2">
        <f t="shared" si="5"/>
        <v>4463.2987671277679</v>
      </c>
      <c r="J81" s="4">
        <f t="shared" si="7"/>
        <v>12.678953275994969</v>
      </c>
      <c r="K81" s="4">
        <f t="shared" si="6"/>
        <v>1584.8691594993711</v>
      </c>
      <c r="L81">
        <v>8</v>
      </c>
    </row>
    <row r="82" spans="1:12" hidden="1" x14ac:dyDescent="0.3">
      <c r="A82" t="s">
        <v>29</v>
      </c>
      <c r="B82" t="s">
        <v>22</v>
      </c>
      <c r="C82" s="4">
        <v>0.43836446099999998</v>
      </c>
      <c r="D82" s="4">
        <v>0.58666666700000003</v>
      </c>
      <c r="E82">
        <v>8</v>
      </c>
      <c r="F82" s="2">
        <v>13.152866242038215</v>
      </c>
      <c r="G82" s="2">
        <f t="shared" si="8"/>
        <v>135.87222537683002</v>
      </c>
      <c r="H82" s="2">
        <f t="shared" si="9"/>
        <v>46.527395110886523</v>
      </c>
      <c r="I82" s="2">
        <f t="shared" si="5"/>
        <v>5815.9243888608153</v>
      </c>
      <c r="J82" s="4">
        <f t="shared" si="7"/>
        <v>13.829640930666557</v>
      </c>
      <c r="K82" s="4">
        <f t="shared" si="6"/>
        <v>1728.7051163333197</v>
      </c>
      <c r="L82">
        <v>8</v>
      </c>
    </row>
    <row r="83" spans="1:12" hidden="1" x14ac:dyDescent="0.3">
      <c r="A83" t="s">
        <v>29</v>
      </c>
      <c r="B83" t="s">
        <v>22</v>
      </c>
      <c r="C83" s="4">
        <v>0.43836446099999998</v>
      </c>
      <c r="D83" s="4">
        <v>0.58666666700000003</v>
      </c>
      <c r="E83">
        <v>8</v>
      </c>
      <c r="F83" s="2">
        <v>13.343949044585989</v>
      </c>
      <c r="G83" s="2">
        <f t="shared" si="8"/>
        <v>139.84876360523697</v>
      </c>
      <c r="H83" s="2">
        <f t="shared" si="9"/>
        <v>47.855957581765985</v>
      </c>
      <c r="I83" s="2">
        <f t="shared" si="5"/>
        <v>5981.9946977207483</v>
      </c>
      <c r="J83" s="4">
        <f t="shared" si="7"/>
        <v>13.971407330926205</v>
      </c>
      <c r="K83" s="4">
        <f t="shared" si="6"/>
        <v>1746.4259163657755</v>
      </c>
      <c r="L83">
        <v>8</v>
      </c>
    </row>
    <row r="84" spans="1:12" hidden="1" x14ac:dyDescent="0.3">
      <c r="A84" t="s">
        <v>29</v>
      </c>
      <c r="B84" t="s">
        <v>22</v>
      </c>
      <c r="C84" s="4">
        <v>0.43836446099999998</v>
      </c>
      <c r="D84" s="4">
        <v>0.58666666700000003</v>
      </c>
      <c r="E84">
        <v>6.5</v>
      </c>
      <c r="F84" s="2">
        <v>39.36305732484076</v>
      </c>
      <c r="G84" s="2">
        <f t="shared" si="8"/>
        <v>1216.9354057260214</v>
      </c>
      <c r="H84" s="2">
        <f t="shared" si="9"/>
        <v>322.83595831306661</v>
      </c>
      <c r="I84" s="2">
        <f t="shared" si="5"/>
        <v>40354.494789133329</v>
      </c>
      <c r="J84" s="4">
        <f t="shared" si="7"/>
        <v>44.235693914560422</v>
      </c>
      <c r="K84" s="4">
        <f t="shared" si="6"/>
        <v>5529.4617393200524</v>
      </c>
      <c r="L84">
        <v>8</v>
      </c>
    </row>
    <row r="85" spans="1:12" hidden="1" x14ac:dyDescent="0.3">
      <c r="A85" t="s">
        <v>29</v>
      </c>
      <c r="B85" t="s">
        <v>22</v>
      </c>
      <c r="C85" s="4">
        <v>0.43836446099999998</v>
      </c>
      <c r="D85" s="4">
        <v>0.58666666700000003</v>
      </c>
      <c r="E85">
        <v>6</v>
      </c>
      <c r="F85" s="2">
        <v>10.987261146496815</v>
      </c>
      <c r="G85" s="2">
        <f t="shared" si="8"/>
        <v>94.813193637045387</v>
      </c>
      <c r="H85" s="2">
        <f t="shared" si="9"/>
        <v>24.73186712676727</v>
      </c>
      <c r="I85" s="2">
        <f t="shared" si="5"/>
        <v>3091.4833908459086</v>
      </c>
      <c r="J85" s="4">
        <f t="shared" si="7"/>
        <v>11.520818057527688</v>
      </c>
      <c r="K85" s="4">
        <f t="shared" si="6"/>
        <v>1440.1022571909609</v>
      </c>
      <c r="L85">
        <v>8</v>
      </c>
    </row>
    <row r="86" spans="1:12" hidden="1" x14ac:dyDescent="0.3">
      <c r="A86" t="s">
        <v>29</v>
      </c>
      <c r="B86" t="s">
        <v>23</v>
      </c>
      <c r="C86" s="4">
        <v>0.76500000000000001</v>
      </c>
      <c r="D86" s="4">
        <v>0.61247410899999999</v>
      </c>
      <c r="E86">
        <v>9</v>
      </c>
      <c r="F86" s="2">
        <v>28.980891719745223</v>
      </c>
      <c r="G86" s="2">
        <f t="shared" si="8"/>
        <v>659.64970091020621</v>
      </c>
      <c r="H86" s="2">
        <f t="shared" si="9"/>
        <v>254.44592921854627</v>
      </c>
      <c r="I86" s="2">
        <f t="shared" si="5"/>
        <v>31805.741152318282</v>
      </c>
      <c r="J86" s="4">
        <f t="shared" si="7"/>
        <v>35.442300673455314</v>
      </c>
      <c r="K86" s="4">
        <f t="shared" si="6"/>
        <v>4430.2875841819141</v>
      </c>
      <c r="L86">
        <v>8</v>
      </c>
    </row>
    <row r="87" spans="1:12" hidden="1" x14ac:dyDescent="0.3">
      <c r="A87" t="s">
        <v>29</v>
      </c>
      <c r="B87" t="s">
        <v>23</v>
      </c>
      <c r="C87" s="4">
        <v>0.76500000000000001</v>
      </c>
      <c r="D87" s="4">
        <v>0.61247410899999999</v>
      </c>
      <c r="E87">
        <v>10.4</v>
      </c>
      <c r="F87" s="2">
        <v>13.503184713375795</v>
      </c>
      <c r="G87" s="2">
        <f t="shared" si="8"/>
        <v>143.20635748198671</v>
      </c>
      <c r="H87" s="2">
        <f t="shared" si="9"/>
        <v>65.985530308408244</v>
      </c>
      <c r="I87" s="2">
        <f t="shared" si="5"/>
        <v>8248.1912885510301</v>
      </c>
      <c r="J87" s="4">
        <f t="shared" si="7"/>
        <v>15.622730305489066</v>
      </c>
      <c r="K87" s="4">
        <f t="shared" si="6"/>
        <v>1952.8412881861332</v>
      </c>
      <c r="L87">
        <v>8</v>
      </c>
    </row>
    <row r="88" spans="1:12" hidden="1" x14ac:dyDescent="0.3">
      <c r="A88" t="s">
        <v>29</v>
      </c>
      <c r="B88" t="s">
        <v>23</v>
      </c>
      <c r="C88" s="4">
        <v>0.76500000000000001</v>
      </c>
      <c r="D88" s="4">
        <v>0.61247410899999999</v>
      </c>
      <c r="E88">
        <v>9.1</v>
      </c>
      <c r="F88" s="2">
        <v>14.872611464968154</v>
      </c>
      <c r="G88" s="2">
        <f t="shared" si="8"/>
        <v>173.72581043570338</v>
      </c>
      <c r="H88" s="2">
        <f t="shared" si="9"/>
        <v>69.941826560040184</v>
      </c>
      <c r="I88" s="2">
        <f t="shared" si="5"/>
        <v>8742.7283200050224</v>
      </c>
      <c r="J88" s="4">
        <f t="shared" si="7"/>
        <v>16.030747111444683</v>
      </c>
      <c r="K88" s="4">
        <f t="shared" si="6"/>
        <v>2003.8433889305854</v>
      </c>
      <c r="L88">
        <v>8</v>
      </c>
    </row>
    <row r="89" spans="1:12" hidden="1" x14ac:dyDescent="0.3">
      <c r="A89" t="s">
        <v>29</v>
      </c>
      <c r="B89" t="s">
        <v>24</v>
      </c>
      <c r="C89" s="4">
        <v>0.41240947999999999</v>
      </c>
      <c r="D89" s="4">
        <v>0.52705000000000002</v>
      </c>
      <c r="E89">
        <v>6</v>
      </c>
      <c r="F89" s="2">
        <v>4.3949044585987265</v>
      </c>
      <c r="G89" s="2">
        <f t="shared" si="8"/>
        <v>15.170110981927266</v>
      </c>
      <c r="H89" s="2">
        <f t="shared" si="9"/>
        <v>3.7243918040162489</v>
      </c>
      <c r="I89" s="2">
        <f t="shared" si="5"/>
        <v>465.54897550203111</v>
      </c>
      <c r="J89" s="4">
        <f t="shared" si="7"/>
        <v>9.3913188892044293</v>
      </c>
      <c r="K89" s="4">
        <f t="shared" si="6"/>
        <v>1173.9148611505536</v>
      </c>
      <c r="L89">
        <v>8</v>
      </c>
    </row>
    <row r="90" spans="1:12" hidden="1" x14ac:dyDescent="0.3">
      <c r="A90" t="s">
        <v>35</v>
      </c>
      <c r="B90" t="s">
        <v>13</v>
      </c>
      <c r="C90" s="4">
        <v>0.36</v>
      </c>
      <c r="D90" s="4">
        <v>0.35</v>
      </c>
      <c r="E90">
        <v>4.5</v>
      </c>
      <c r="F90" s="2">
        <v>16.464968152866241</v>
      </c>
      <c r="G90" s="2">
        <f t="shared" si="8"/>
        <v>212.91765355221364</v>
      </c>
      <c r="H90" s="2">
        <f t="shared" si="9"/>
        <v>24.847789316616161</v>
      </c>
      <c r="I90" s="2">
        <f t="shared" si="5"/>
        <v>3105.9736645770204</v>
      </c>
      <c r="J90" s="4">
        <f t="shared" si="7"/>
        <v>13.255449026329668</v>
      </c>
      <c r="K90" s="4">
        <f t="shared" si="6"/>
        <v>1656.9311282912086</v>
      </c>
      <c r="L90">
        <v>8</v>
      </c>
    </row>
    <row r="91" spans="1:12" hidden="1" x14ac:dyDescent="0.3">
      <c r="A91" t="s">
        <v>35</v>
      </c>
      <c r="B91" t="s">
        <v>13</v>
      </c>
      <c r="C91" s="4">
        <v>0.36</v>
      </c>
      <c r="D91" s="4">
        <v>0.35</v>
      </c>
      <c r="E91">
        <v>4</v>
      </c>
      <c r="F91" s="2">
        <v>4.4585987261146496</v>
      </c>
      <c r="G91" s="2">
        <f t="shared" si="8"/>
        <v>15.613010672430914</v>
      </c>
      <c r="H91" s="2">
        <f t="shared" si="9"/>
        <v>1.729303735682749</v>
      </c>
      <c r="I91" s="2">
        <f t="shared" si="5"/>
        <v>216.16296696034362</v>
      </c>
      <c r="J91" s="4">
        <f t="shared" si="7"/>
        <v>9.2640074364071552</v>
      </c>
      <c r="K91" s="4">
        <f t="shared" si="6"/>
        <v>1158.0009295508944</v>
      </c>
      <c r="L91">
        <v>8</v>
      </c>
    </row>
    <row r="92" spans="1:12" hidden="1" x14ac:dyDescent="0.3">
      <c r="A92" t="s">
        <v>35</v>
      </c>
      <c r="B92" t="s">
        <v>13</v>
      </c>
      <c r="C92" s="4">
        <v>0.36</v>
      </c>
      <c r="D92" s="4">
        <v>0.35</v>
      </c>
      <c r="E92">
        <v>3.2</v>
      </c>
      <c r="F92" s="2">
        <v>5.4140127388535033</v>
      </c>
      <c r="G92" s="2">
        <f t="shared" si="8"/>
        <v>23.021224920063954</v>
      </c>
      <c r="H92" s="2">
        <f t="shared" si="9"/>
        <v>2.0318024320791621</v>
      </c>
      <c r="I92" s="2">
        <f t="shared" si="5"/>
        <v>253.97530400989527</v>
      </c>
      <c r="J92" s="4">
        <f t="shared" si="7"/>
        <v>9.3139891800884413</v>
      </c>
      <c r="K92" s="4">
        <f t="shared" si="6"/>
        <v>1164.2486475110552</v>
      </c>
      <c r="L92">
        <v>8</v>
      </c>
    </row>
    <row r="93" spans="1:12" hidden="1" x14ac:dyDescent="0.3">
      <c r="A93" t="s">
        <v>35</v>
      </c>
      <c r="B93" t="s">
        <v>36</v>
      </c>
      <c r="C93" s="4">
        <v>0.86599999999999999</v>
      </c>
      <c r="D93" s="4">
        <v>0.73582777799999999</v>
      </c>
      <c r="E93">
        <v>9</v>
      </c>
      <c r="F93" s="2">
        <v>17.038216560509554</v>
      </c>
      <c r="G93" s="2">
        <f t="shared" si="8"/>
        <v>228.0017336590071</v>
      </c>
      <c r="H93" s="2">
        <f t="shared" si="9"/>
        <v>107.91186872235879</v>
      </c>
      <c r="I93" s="2">
        <f t="shared" si="5"/>
        <v>13488.983590294849</v>
      </c>
      <c r="J93" s="4">
        <f t="shared" si="7"/>
        <v>18.130175942228895</v>
      </c>
      <c r="K93" s="4">
        <f t="shared" si="6"/>
        <v>2266.271992778612</v>
      </c>
      <c r="L93">
        <v>8</v>
      </c>
    </row>
    <row r="94" spans="1:12" hidden="1" x14ac:dyDescent="0.3">
      <c r="A94" t="s">
        <v>35</v>
      </c>
      <c r="B94" t="s">
        <v>37</v>
      </c>
      <c r="C94" s="4">
        <v>0.39790071399999999</v>
      </c>
      <c r="D94" s="4">
        <v>0.50565277799999997</v>
      </c>
      <c r="E94">
        <v>7</v>
      </c>
      <c r="F94" s="2">
        <v>11.305732484076433</v>
      </c>
      <c r="G94" s="2">
        <f t="shared" si="8"/>
        <v>100.3892688771993</v>
      </c>
      <c r="H94" s="2">
        <f t="shared" si="9"/>
        <v>26.292371703565664</v>
      </c>
      <c r="I94" s="2">
        <f t="shared" si="5"/>
        <v>3286.5464629457078</v>
      </c>
      <c r="J94" s="4">
        <f t="shared" si="7"/>
        <v>12.117279881536776</v>
      </c>
      <c r="K94" s="4">
        <f t="shared" si="6"/>
        <v>1514.6599851920969</v>
      </c>
      <c r="L94">
        <v>8</v>
      </c>
    </row>
    <row r="95" spans="1:12" hidden="1" x14ac:dyDescent="0.3">
      <c r="A95" t="s">
        <v>35</v>
      </c>
      <c r="B95" t="s">
        <v>18</v>
      </c>
      <c r="C95" s="4">
        <v>0.45255480399999998</v>
      </c>
      <c r="D95" s="4">
        <v>0.57808694400000005</v>
      </c>
      <c r="E95">
        <v>8</v>
      </c>
      <c r="F95" s="2">
        <v>36.783439490445858</v>
      </c>
      <c r="G95" s="2">
        <f t="shared" si="8"/>
        <v>1062.6605388923292</v>
      </c>
      <c r="H95" s="2">
        <f t="shared" si="9"/>
        <v>341.42048650594387</v>
      </c>
      <c r="I95" s="2">
        <f t="shared" si="5"/>
        <v>42677.560813242984</v>
      </c>
      <c r="J95" s="4">
        <f t="shared" si="7"/>
        <v>46.870299780924171</v>
      </c>
      <c r="K95" s="4">
        <f t="shared" si="6"/>
        <v>5858.7874726155214</v>
      </c>
      <c r="L95">
        <v>8</v>
      </c>
    </row>
    <row r="96" spans="1:12" hidden="1" x14ac:dyDescent="0.3">
      <c r="A96" t="s">
        <v>35</v>
      </c>
      <c r="B96" t="s">
        <v>18</v>
      </c>
      <c r="C96" s="4">
        <v>0.45255480399999998</v>
      </c>
      <c r="D96" s="4">
        <v>0.57808694400000005</v>
      </c>
      <c r="E96">
        <v>6.1</v>
      </c>
      <c r="F96" s="2">
        <v>48.152866242038208</v>
      </c>
      <c r="G96" s="2">
        <f t="shared" si="8"/>
        <v>1821.1015648323414</v>
      </c>
      <c r="H96" s="2">
        <f t="shared" si="9"/>
        <v>443.28264819723927</v>
      </c>
      <c r="I96" s="2">
        <f t="shared" si="5"/>
        <v>55410.331024654908</v>
      </c>
      <c r="J96" s="4">
        <f t="shared" si="7"/>
        <v>58.489913558359348</v>
      </c>
      <c r="K96" s="4">
        <f t="shared" si="6"/>
        <v>7311.2391947949181</v>
      </c>
      <c r="L96">
        <v>8</v>
      </c>
    </row>
    <row r="97" spans="1:12" hidden="1" x14ac:dyDescent="0.3">
      <c r="A97" t="s">
        <v>35</v>
      </c>
      <c r="B97" t="s">
        <v>38</v>
      </c>
      <c r="C97" s="4">
        <v>1082380952</v>
      </c>
      <c r="D97" s="4">
        <v>0.61247410899999999</v>
      </c>
      <c r="E97">
        <v>8</v>
      </c>
      <c r="F97" s="2">
        <v>15.764331210191083</v>
      </c>
      <c r="G97" s="2">
        <f t="shared" si="8"/>
        <v>195.18254795981557</v>
      </c>
      <c r="H97" s="2">
        <f t="shared" si="9"/>
        <v>69.102092052572189</v>
      </c>
      <c r="I97" s="2">
        <f t="shared" si="5"/>
        <v>8637.7615065715236</v>
      </c>
      <c r="J97" s="4">
        <f t="shared" si="7"/>
        <v>15.94409587812893</v>
      </c>
      <c r="K97" s="4">
        <f t="shared" si="6"/>
        <v>1993.0119847661163</v>
      </c>
      <c r="L97">
        <v>8</v>
      </c>
    </row>
    <row r="98" spans="1:12" hidden="1" x14ac:dyDescent="0.3">
      <c r="A98" t="s">
        <v>35</v>
      </c>
      <c r="B98" t="s">
        <v>30</v>
      </c>
      <c r="C98" s="4">
        <v>0.372</v>
      </c>
      <c r="D98" s="4">
        <v>0.73247777800000002</v>
      </c>
      <c r="E98">
        <v>6</v>
      </c>
      <c r="F98" s="2">
        <v>9.3949044585987256</v>
      </c>
      <c r="G98" s="2">
        <f t="shared" si="8"/>
        <v>69.322563967770421</v>
      </c>
      <c r="H98" s="2">
        <f t="shared" si="9"/>
        <v>22.626426721406872</v>
      </c>
      <c r="I98" s="2">
        <f t="shared" si="5"/>
        <v>2828.3033401758589</v>
      </c>
      <c r="J98" s="4">
        <f t="shared" si="7"/>
        <v>10.839248825510163</v>
      </c>
      <c r="K98" s="4">
        <f t="shared" si="6"/>
        <v>1354.9061031887704</v>
      </c>
      <c r="L98">
        <v>8</v>
      </c>
    </row>
    <row r="99" spans="1:12" hidden="1" x14ac:dyDescent="0.3">
      <c r="A99" t="s">
        <v>35</v>
      </c>
      <c r="B99" t="s">
        <v>30</v>
      </c>
      <c r="C99" s="4">
        <v>0.372</v>
      </c>
      <c r="D99" s="4">
        <v>0.73247777800000002</v>
      </c>
      <c r="E99">
        <v>5.5</v>
      </c>
      <c r="F99" s="2">
        <v>10.668789808917197</v>
      </c>
      <c r="G99" s="2">
        <f t="shared" si="8"/>
        <v>89.396434832324445</v>
      </c>
      <c r="H99" s="2">
        <f t="shared" si="9"/>
        <v>26.639693642844531</v>
      </c>
      <c r="I99" s="2">
        <f t="shared" si="5"/>
        <v>3329.9617053555662</v>
      </c>
      <c r="J99" s="4">
        <f t="shared" si="7"/>
        <v>11.176794212746966</v>
      </c>
      <c r="K99" s="4">
        <f t="shared" si="6"/>
        <v>1397.0992765933706</v>
      </c>
      <c r="L99">
        <v>8</v>
      </c>
    </row>
    <row r="100" spans="1:12" hidden="1" x14ac:dyDescent="0.3">
      <c r="A100" t="s">
        <v>35</v>
      </c>
      <c r="B100" t="s">
        <v>19</v>
      </c>
      <c r="C100" s="4">
        <v>0.374</v>
      </c>
      <c r="D100" s="4">
        <v>0.47945833300000001</v>
      </c>
      <c r="E100">
        <v>5</v>
      </c>
      <c r="F100" s="2">
        <v>4.1401273885350314</v>
      </c>
      <c r="G100" s="2">
        <f t="shared" si="8"/>
        <v>13.462238794085838</v>
      </c>
      <c r="H100" s="2">
        <f t="shared" si="9"/>
        <v>2.5294924606293905</v>
      </c>
      <c r="I100" s="2">
        <f t="shared" si="5"/>
        <v>316.18655757867378</v>
      </c>
      <c r="J100" s="4">
        <f t="shared" si="7"/>
        <v>9.2856614588827124</v>
      </c>
      <c r="K100" s="4">
        <f t="shared" si="6"/>
        <v>1160.707682360339</v>
      </c>
      <c r="L100">
        <v>8</v>
      </c>
    </row>
    <row r="101" spans="1:12" hidden="1" x14ac:dyDescent="0.3">
      <c r="A101" t="s">
        <v>35</v>
      </c>
      <c r="B101" t="s">
        <v>20</v>
      </c>
      <c r="C101" s="4">
        <v>0.74387999999999999</v>
      </c>
      <c r="D101" s="4">
        <v>0.59130000000000005</v>
      </c>
      <c r="E101">
        <v>12</v>
      </c>
      <c r="F101" s="2">
        <v>16.242038216560509</v>
      </c>
      <c r="G101" s="2">
        <f t="shared" si="8"/>
        <v>207.19102428057556</v>
      </c>
      <c r="H101" s="2">
        <f t="shared" si="9"/>
        <v>105.13583323469436</v>
      </c>
      <c r="I101" s="2">
        <f t="shared" si="5"/>
        <v>13141.979154336796</v>
      </c>
      <c r="J101" s="4">
        <f t="shared" si="7"/>
        <v>20.065459827984906</v>
      </c>
      <c r="K101" s="4">
        <f t="shared" si="6"/>
        <v>2508.1824784981131</v>
      </c>
      <c r="L101">
        <v>8</v>
      </c>
    </row>
    <row r="102" spans="1:12" hidden="1" x14ac:dyDescent="0.3">
      <c r="A102" t="s">
        <v>35</v>
      </c>
      <c r="B102" t="s">
        <v>20</v>
      </c>
      <c r="C102" s="4">
        <v>0.74387999999999999</v>
      </c>
      <c r="D102" s="4">
        <v>0.59130000000000005</v>
      </c>
      <c r="E102">
        <v>9</v>
      </c>
      <c r="F102" s="2">
        <v>9.4585987261146496</v>
      </c>
      <c r="G102" s="2">
        <f t="shared" si="8"/>
        <v>70.26571726553361</v>
      </c>
      <c r="H102" s="2">
        <f t="shared" si="9"/>
        <v>27.634662145127106</v>
      </c>
      <c r="I102" s="2">
        <f t="shared" si="5"/>
        <v>3454.3327681408882</v>
      </c>
      <c r="J102" s="4">
        <f t="shared" si="7"/>
        <v>11.803850330642216</v>
      </c>
      <c r="K102" s="4">
        <f t="shared" si="6"/>
        <v>1475.4812913302771</v>
      </c>
      <c r="L102">
        <v>8</v>
      </c>
    </row>
    <row r="103" spans="1:12" hidden="1" x14ac:dyDescent="0.3">
      <c r="A103" t="s">
        <v>35</v>
      </c>
      <c r="B103" t="s">
        <v>20</v>
      </c>
      <c r="C103" s="4">
        <v>0.74387999999999999</v>
      </c>
      <c r="D103" s="4">
        <v>0.59130000000000005</v>
      </c>
      <c r="E103">
        <v>7</v>
      </c>
      <c r="F103" s="2">
        <v>10.350318471337578</v>
      </c>
      <c r="G103" s="2">
        <f t="shared" si="8"/>
        <v>84.138992463036487</v>
      </c>
      <c r="H103" s="2">
        <f t="shared" si="9"/>
        <v>25.781304527996088</v>
      </c>
      <c r="I103" s="2">
        <f t="shared" si="5"/>
        <v>3222.6630659995112</v>
      </c>
      <c r="J103" s="4">
        <f t="shared" si="7"/>
        <v>11.610362765223741</v>
      </c>
      <c r="K103" s="4">
        <f t="shared" si="6"/>
        <v>1451.2953456529676</v>
      </c>
      <c r="L103">
        <v>8</v>
      </c>
    </row>
    <row r="104" spans="1:12" hidden="1" x14ac:dyDescent="0.3">
      <c r="A104" t="s">
        <v>35</v>
      </c>
      <c r="B104" t="s">
        <v>39</v>
      </c>
      <c r="C104" s="4">
        <v>0.590536375</v>
      </c>
      <c r="D104" s="4">
        <v>0.61247410899999999</v>
      </c>
      <c r="E104">
        <v>9</v>
      </c>
      <c r="F104" s="2">
        <v>27.866242038216559</v>
      </c>
      <c r="G104" s="2">
        <f t="shared" si="8"/>
        <v>609.88322939183263</v>
      </c>
      <c r="H104" s="2">
        <f t="shared" si="9"/>
        <v>235.69286135248356</v>
      </c>
      <c r="I104" s="2">
        <f t="shared" si="5"/>
        <v>29461.607669060446</v>
      </c>
      <c r="J104" s="4">
        <f t="shared" si="7"/>
        <v>33.446314527972739</v>
      </c>
      <c r="K104" s="4">
        <f t="shared" si="6"/>
        <v>4180.7893159965924</v>
      </c>
      <c r="L104">
        <v>8</v>
      </c>
    </row>
    <row r="105" spans="1:12" hidden="1" x14ac:dyDescent="0.3">
      <c r="A105" t="s">
        <v>35</v>
      </c>
      <c r="B105" t="s">
        <v>39</v>
      </c>
      <c r="C105" s="4">
        <v>0.590536375</v>
      </c>
      <c r="D105" s="4">
        <v>0.61247410899999999</v>
      </c>
      <c r="E105">
        <v>8.5</v>
      </c>
      <c r="F105" s="2">
        <v>56.050955414012734</v>
      </c>
      <c r="G105" s="2">
        <f t="shared" si="8"/>
        <v>2467.492951985816</v>
      </c>
      <c r="H105" s="2">
        <f t="shared" si="9"/>
        <v>872.08661162760143</v>
      </c>
      <c r="I105" s="2">
        <f t="shared" si="5"/>
        <v>109010.82645345018</v>
      </c>
      <c r="J105" s="4">
        <f t="shared" si="7"/>
        <v>102.45156068400338</v>
      </c>
      <c r="K105" s="4">
        <f t="shared" si="6"/>
        <v>12806.445085500423</v>
      </c>
      <c r="L105">
        <v>8</v>
      </c>
    </row>
    <row r="106" spans="1:12" hidden="1" x14ac:dyDescent="0.3">
      <c r="A106" t="s">
        <v>35</v>
      </c>
      <c r="B106" t="s">
        <v>22</v>
      </c>
      <c r="C106" s="4">
        <v>0.43836446099999998</v>
      </c>
      <c r="D106" s="4">
        <v>0.58666666700000003</v>
      </c>
      <c r="E106">
        <v>6.5</v>
      </c>
      <c r="F106" s="2">
        <v>29.29936305732484</v>
      </c>
      <c r="G106" s="2">
        <f t="shared" si="8"/>
        <v>674.2271547523228</v>
      </c>
      <c r="H106" s="2">
        <f t="shared" si="9"/>
        <v>181.41604119402928</v>
      </c>
      <c r="I106" s="2">
        <f t="shared" si="5"/>
        <v>22677.005149253659</v>
      </c>
      <c r="J106" s="4">
        <f t="shared" si="7"/>
        <v>28.515498369102197</v>
      </c>
      <c r="K106" s="4">
        <f t="shared" si="6"/>
        <v>3564.4372961377744</v>
      </c>
      <c r="L106">
        <v>8</v>
      </c>
    </row>
    <row r="107" spans="1:12" hidden="1" x14ac:dyDescent="0.3">
      <c r="A107" t="s">
        <v>35</v>
      </c>
      <c r="B107" t="s">
        <v>24</v>
      </c>
      <c r="C107" s="4">
        <v>0.41240947999999999</v>
      </c>
      <c r="D107" s="4">
        <v>0.52705000000000002</v>
      </c>
      <c r="E107">
        <v>8</v>
      </c>
      <c r="F107" s="2">
        <v>10.987261146496815</v>
      </c>
      <c r="G107" s="2">
        <f t="shared" si="8"/>
        <v>94.813193637045387</v>
      </c>
      <c r="H107" s="2">
        <f t="shared" si="9"/>
        <v>29.496770292514544</v>
      </c>
      <c r="I107" s="2">
        <f t="shared" si="5"/>
        <v>3687.0962865643178</v>
      </c>
      <c r="J107" s="4">
        <f t="shared" si="7"/>
        <v>12.365857410036918</v>
      </c>
      <c r="K107" s="4">
        <f t="shared" si="6"/>
        <v>1545.7321762546148</v>
      </c>
      <c r="L107">
        <v>8</v>
      </c>
    </row>
    <row r="108" spans="1:12" hidden="1" x14ac:dyDescent="0.3">
      <c r="A108" t="s">
        <v>35</v>
      </c>
      <c r="B108" t="s">
        <v>24</v>
      </c>
      <c r="C108" s="4">
        <v>0.41240947999999999</v>
      </c>
      <c r="D108" s="4">
        <v>0.52705000000000002</v>
      </c>
      <c r="E108">
        <v>6</v>
      </c>
      <c r="F108" s="2">
        <v>8.9171974522292992</v>
      </c>
      <c r="G108" s="2">
        <f t="shared" si="8"/>
        <v>62.452042689723655</v>
      </c>
      <c r="H108" s="2">
        <f t="shared" si="9"/>
        <v>14.820534367005608</v>
      </c>
      <c r="I108" s="2">
        <f t="shared" si="5"/>
        <v>1852.566795875701</v>
      </c>
      <c r="J108" s="4">
        <f t="shared" si="7"/>
        <v>10.655544618442939</v>
      </c>
      <c r="K108" s="4">
        <f t="shared" si="6"/>
        <v>1331.9430773053673</v>
      </c>
      <c r="L108">
        <v>8</v>
      </c>
    </row>
    <row r="109" spans="1:12" hidden="1" x14ac:dyDescent="0.3">
      <c r="A109" t="s">
        <v>40</v>
      </c>
      <c r="B109" t="s">
        <v>26</v>
      </c>
      <c r="C109" s="4">
        <v>0.80908761900000004</v>
      </c>
      <c r="D109" s="4">
        <v>0.87473809499999999</v>
      </c>
      <c r="E109">
        <v>10.199999999999999</v>
      </c>
      <c r="F109" s="2">
        <v>20.063694267515924</v>
      </c>
      <c r="G109" s="2">
        <f t="shared" si="8"/>
        <v>316.16346611672606</v>
      </c>
      <c r="H109" s="2">
        <f t="shared" si="9"/>
        <v>198.60394866035315</v>
      </c>
      <c r="I109" s="2">
        <f t="shared" si="5"/>
        <v>24825.493582544143</v>
      </c>
      <c r="J109" s="4">
        <f t="shared" si="7"/>
        <v>23.356800247474542</v>
      </c>
      <c r="K109" s="4">
        <f t="shared" si="6"/>
        <v>2919.6000309343176</v>
      </c>
      <c r="L109">
        <v>8</v>
      </c>
    </row>
    <row r="110" spans="1:12" hidden="1" x14ac:dyDescent="0.3">
      <c r="A110" t="s">
        <v>40</v>
      </c>
      <c r="B110" t="s">
        <v>26</v>
      </c>
      <c r="C110" s="4">
        <v>0.80908761900000004</v>
      </c>
      <c r="D110" s="4">
        <v>0.87473809499999999</v>
      </c>
      <c r="E110">
        <v>8.6</v>
      </c>
      <c r="F110" s="2">
        <v>29.490445859872608</v>
      </c>
      <c r="G110" s="2">
        <f t="shared" si="8"/>
        <v>683.05009894660043</v>
      </c>
      <c r="H110" s="2">
        <f t="shared" si="9"/>
        <v>356.59602123279393</v>
      </c>
      <c r="I110" s="2">
        <f t="shared" si="5"/>
        <v>44574.50265409924</v>
      </c>
      <c r="J110" s="4">
        <f t="shared" si="7"/>
        <v>35.163260550123731</v>
      </c>
      <c r="K110" s="4">
        <f t="shared" si="6"/>
        <v>4395.4075687654667</v>
      </c>
      <c r="L110">
        <v>8</v>
      </c>
    </row>
    <row r="111" spans="1:12" hidden="1" x14ac:dyDescent="0.3">
      <c r="A111" t="s">
        <v>40</v>
      </c>
      <c r="B111" t="s">
        <v>26</v>
      </c>
      <c r="C111" s="4">
        <v>0.80908761900000004</v>
      </c>
      <c r="D111" s="4">
        <v>0.87473809499999999</v>
      </c>
      <c r="E111">
        <v>8.1</v>
      </c>
      <c r="F111" s="2">
        <v>23.789808917197451</v>
      </c>
      <c r="G111" s="2">
        <f t="shared" si="8"/>
        <v>444.50002409757667</v>
      </c>
      <c r="H111" s="2">
        <f t="shared" si="9"/>
        <v>221.14878206653859</v>
      </c>
      <c r="I111" s="2">
        <f t="shared" si="5"/>
        <v>27643.597758317323</v>
      </c>
      <c r="J111" s="4">
        <f t="shared" si="7"/>
        <v>25.030524485780354</v>
      </c>
      <c r="K111" s="4">
        <f t="shared" si="6"/>
        <v>3128.8155607225444</v>
      </c>
      <c r="L111">
        <v>8</v>
      </c>
    </row>
    <row r="112" spans="1:12" hidden="1" x14ac:dyDescent="0.3">
      <c r="A112" t="s">
        <v>40</v>
      </c>
      <c r="B112" t="s">
        <v>13</v>
      </c>
      <c r="C112" s="4">
        <v>0.36</v>
      </c>
      <c r="D112" s="4">
        <v>0.35</v>
      </c>
      <c r="E112">
        <v>5</v>
      </c>
      <c r="F112" s="2">
        <v>19.044585987261144</v>
      </c>
      <c r="G112" s="2">
        <f t="shared" si="8"/>
        <v>284.86097288285629</v>
      </c>
      <c r="H112" s="2">
        <f t="shared" si="9"/>
        <v>36.587626571697399</v>
      </c>
      <c r="I112" s="2">
        <f t="shared" si="5"/>
        <v>4573.4533214621752</v>
      </c>
      <c r="J112" s="4">
        <f t="shared" si="7"/>
        <v>15.332884469958211</v>
      </c>
      <c r="K112" s="4">
        <f t="shared" si="6"/>
        <v>1916.6105587447764</v>
      </c>
      <c r="L112">
        <v>8</v>
      </c>
    </row>
    <row r="113" spans="1:12" hidden="1" x14ac:dyDescent="0.3">
      <c r="A113" t="s">
        <v>40</v>
      </c>
      <c r="B113" t="s">
        <v>14</v>
      </c>
      <c r="C113" s="4">
        <v>0.766138345</v>
      </c>
      <c r="D113" s="4">
        <v>0.90500000000000003</v>
      </c>
      <c r="E113">
        <v>6.5</v>
      </c>
      <c r="F113" s="2">
        <v>8.598726114649681</v>
      </c>
      <c r="G113" s="2">
        <f t="shared" si="8"/>
        <v>58.070840715317019</v>
      </c>
      <c r="H113" s="2">
        <f t="shared" si="9"/>
        <v>25.300139058084721</v>
      </c>
      <c r="I113" s="2">
        <f t="shared" si="5"/>
        <v>3162.5173822605902</v>
      </c>
      <c r="J113" s="4">
        <f t="shared" si="7"/>
        <v>10.667791565580753</v>
      </c>
      <c r="K113" s="4">
        <f t="shared" si="6"/>
        <v>1333.4739456975942</v>
      </c>
      <c r="L113">
        <v>8</v>
      </c>
    </row>
    <row r="114" spans="1:12" hidden="1" x14ac:dyDescent="0.3">
      <c r="A114" t="s">
        <v>40</v>
      </c>
      <c r="B114" t="s">
        <v>37</v>
      </c>
      <c r="C114" s="4">
        <v>0.39790071399999999</v>
      </c>
      <c r="D114" s="4">
        <v>0.50565277799999997</v>
      </c>
      <c r="E114">
        <v>8</v>
      </c>
      <c r="F114" s="2">
        <v>11.942675159235668</v>
      </c>
      <c r="G114" s="2">
        <f t="shared" si="8"/>
        <v>112.01936866380598</v>
      </c>
      <c r="H114" s="2">
        <f t="shared" si="9"/>
        <v>33.334442263011745</v>
      </c>
      <c r="I114" s="2">
        <f t="shared" si="5"/>
        <v>4166.8052828764685</v>
      </c>
      <c r="J114" s="4">
        <f t="shared" si="7"/>
        <v>12.979269718852692</v>
      </c>
      <c r="K114" s="4">
        <f t="shared" si="6"/>
        <v>1622.4087148565864</v>
      </c>
      <c r="L114">
        <v>8</v>
      </c>
    </row>
    <row r="115" spans="1:12" hidden="1" x14ac:dyDescent="0.3">
      <c r="A115" t="s">
        <v>40</v>
      </c>
      <c r="B115" t="s">
        <v>37</v>
      </c>
      <c r="C115" s="4">
        <v>0.39790071399999999</v>
      </c>
      <c r="D115" s="4">
        <v>0.50565277799999997</v>
      </c>
      <c r="E115">
        <v>5.5</v>
      </c>
      <c r="F115" s="2">
        <v>7.6433121019108281</v>
      </c>
      <c r="G115" s="2">
        <f t="shared" si="8"/>
        <v>45.883133404694938</v>
      </c>
      <c r="H115" s="2">
        <f t="shared" si="9"/>
        <v>9.6768645013948031</v>
      </c>
      <c r="I115" s="2">
        <f t="shared" si="5"/>
        <v>1209.6080626743503</v>
      </c>
      <c r="J115" s="4">
        <f t="shared" si="7"/>
        <v>10.110289232828917</v>
      </c>
      <c r="K115" s="4">
        <f t="shared" si="6"/>
        <v>1263.7861541036145</v>
      </c>
      <c r="L115">
        <v>8</v>
      </c>
    </row>
    <row r="116" spans="1:12" hidden="1" x14ac:dyDescent="0.3">
      <c r="A116" t="s">
        <v>40</v>
      </c>
      <c r="B116" t="s">
        <v>16</v>
      </c>
      <c r="C116" s="4">
        <v>0.89361000000000002</v>
      </c>
      <c r="D116" s="4">
        <v>0.61247410899999999</v>
      </c>
      <c r="E116">
        <v>6</v>
      </c>
      <c r="F116" s="2">
        <v>7.6433121019108281</v>
      </c>
      <c r="G116" s="2">
        <f t="shared" si="8"/>
        <v>45.883133404694938</v>
      </c>
      <c r="H116" s="2">
        <f t="shared" si="9"/>
        <v>12.701469928347809</v>
      </c>
      <c r="I116" s="2">
        <f t="shared" si="5"/>
        <v>1587.6837410434762</v>
      </c>
      <c r="J116" s="4">
        <f t="shared" si="7"/>
        <v>10.212524617631546</v>
      </c>
      <c r="K116" s="4">
        <f t="shared" si="6"/>
        <v>1276.5655772039433</v>
      </c>
      <c r="L116">
        <v>8</v>
      </c>
    </row>
    <row r="117" spans="1:12" hidden="1" x14ac:dyDescent="0.3">
      <c r="A117" t="s">
        <v>40</v>
      </c>
      <c r="B117" t="s">
        <v>16</v>
      </c>
      <c r="C117" s="4">
        <v>0.89361000000000002</v>
      </c>
      <c r="D117" s="4">
        <v>0.61247410899999999</v>
      </c>
      <c r="E117">
        <v>2.7</v>
      </c>
      <c r="F117" s="2">
        <v>3.6624203821656049</v>
      </c>
      <c r="G117" s="2">
        <f t="shared" si="8"/>
        <v>10.534799293005044</v>
      </c>
      <c r="H117" s="2">
        <f t="shared" si="9"/>
        <v>1.3857957922163595</v>
      </c>
      <c r="I117" s="2">
        <f t="shared" si="5"/>
        <v>173.22447402704495</v>
      </c>
      <c r="J117" s="4">
        <f t="shared" si="7"/>
        <v>9.1124559028763841</v>
      </c>
      <c r="K117" s="4">
        <f t="shared" si="6"/>
        <v>1139.0569878595479</v>
      </c>
      <c r="L117">
        <v>8</v>
      </c>
    </row>
    <row r="118" spans="1:12" hidden="1" x14ac:dyDescent="0.3">
      <c r="A118" t="s">
        <v>40</v>
      </c>
      <c r="B118" t="s">
        <v>17</v>
      </c>
      <c r="C118" s="4">
        <v>0.708787469</v>
      </c>
      <c r="D118" s="4">
        <v>0.80167708299999996</v>
      </c>
      <c r="E118">
        <v>8</v>
      </c>
      <c r="F118" s="2">
        <v>8.598726114649681</v>
      </c>
      <c r="G118" s="2">
        <f t="shared" si="8"/>
        <v>58.070840715317019</v>
      </c>
      <c r="H118" s="2">
        <f t="shared" si="9"/>
        <v>27.526422261541022</v>
      </c>
      <c r="I118" s="2">
        <f t="shared" si="5"/>
        <v>3440.8027826926277</v>
      </c>
      <c r="J118" s="4">
        <f t="shared" si="7"/>
        <v>11.055966542253234</v>
      </c>
      <c r="K118" s="4">
        <f t="shared" si="6"/>
        <v>1381.9958177816543</v>
      </c>
      <c r="L118">
        <v>8</v>
      </c>
    </row>
    <row r="119" spans="1:12" hidden="1" x14ac:dyDescent="0.3">
      <c r="A119" t="s">
        <v>40</v>
      </c>
      <c r="B119" t="s">
        <v>41</v>
      </c>
      <c r="C119" s="4">
        <v>0.56193137999999998</v>
      </c>
      <c r="D119" s="4">
        <v>0.57808694400000005</v>
      </c>
      <c r="E119">
        <v>5.5</v>
      </c>
      <c r="F119" s="2">
        <v>14.490445859872612</v>
      </c>
      <c r="G119" s="2">
        <f t="shared" si="8"/>
        <v>164.91242522755155</v>
      </c>
      <c r="H119" s="2">
        <f t="shared" si="9"/>
        <v>38.436687034753241</v>
      </c>
      <c r="I119" s="2">
        <f t="shared" si="5"/>
        <v>4804.5858793441548</v>
      </c>
      <c r="J119" s="4">
        <f t="shared" si="7"/>
        <v>13.027680658444561</v>
      </c>
      <c r="K119" s="4">
        <f t="shared" si="6"/>
        <v>1628.4600823055703</v>
      </c>
      <c r="L119">
        <v>8</v>
      </c>
    </row>
    <row r="120" spans="1:12" hidden="1" x14ac:dyDescent="0.3">
      <c r="A120" t="s">
        <v>40</v>
      </c>
      <c r="B120" t="s">
        <v>30</v>
      </c>
      <c r="C120" s="4">
        <v>0.372</v>
      </c>
      <c r="D120" s="4">
        <v>0.73247777800000002</v>
      </c>
      <c r="E120">
        <v>5.5</v>
      </c>
      <c r="F120" s="2">
        <v>12.993630573248407</v>
      </c>
      <c r="G120" s="2">
        <f t="shared" si="8"/>
        <v>132.60225553956835</v>
      </c>
      <c r="H120" s="2">
        <f t="shared" si="9"/>
        <v>39.142665918508136</v>
      </c>
      <c r="I120" s="2">
        <f t="shared" si="5"/>
        <v>4892.8332398135171</v>
      </c>
      <c r="J120" s="4">
        <f t="shared" si="7"/>
        <v>12.235762882875573</v>
      </c>
      <c r="K120" s="4">
        <f t="shared" si="6"/>
        <v>1529.4703603594467</v>
      </c>
      <c r="L120">
        <v>8</v>
      </c>
    </row>
    <row r="121" spans="1:12" hidden="1" x14ac:dyDescent="0.3">
      <c r="A121" t="s">
        <v>40</v>
      </c>
      <c r="B121" t="s">
        <v>20</v>
      </c>
      <c r="C121" s="4">
        <v>0.74387999999999999</v>
      </c>
      <c r="D121" s="4">
        <v>0.59130000000000005</v>
      </c>
      <c r="E121">
        <v>6.5</v>
      </c>
      <c r="F121" s="2">
        <v>5.7324840764331206</v>
      </c>
      <c r="G121" s="2">
        <f t="shared" si="8"/>
        <v>25.809262540140899</v>
      </c>
      <c r="H121" s="2">
        <f t="shared" si="9"/>
        <v>7.5681241390466463</v>
      </c>
      <c r="I121" s="2">
        <f t="shared" si="5"/>
        <v>946.01551738083083</v>
      </c>
      <c r="J121" s="4">
        <f t="shared" si="7"/>
        <v>9.7332962513692234</v>
      </c>
      <c r="K121" s="4">
        <f t="shared" si="6"/>
        <v>1216.662031421153</v>
      </c>
      <c r="L121">
        <v>8</v>
      </c>
    </row>
    <row r="122" spans="1:12" hidden="1" x14ac:dyDescent="0.3">
      <c r="A122" t="s">
        <v>40</v>
      </c>
      <c r="B122" t="s">
        <v>39</v>
      </c>
      <c r="C122" s="4">
        <v>0.590536375</v>
      </c>
      <c r="D122" s="4">
        <v>0.61247410899999999</v>
      </c>
      <c r="E122">
        <v>9</v>
      </c>
      <c r="F122" s="2">
        <v>23.248407643312103</v>
      </c>
      <c r="G122" s="2">
        <f t="shared" si="8"/>
        <v>424.49864221114467</v>
      </c>
      <c r="H122" s="2">
        <f t="shared" si="9"/>
        <v>165.48282730941466</v>
      </c>
      <c r="I122" s="2">
        <f t="shared" si="5"/>
        <v>20685.353413676832</v>
      </c>
      <c r="J122" s="4">
        <f t="shared" si="7"/>
        <v>26.011086425412799</v>
      </c>
      <c r="K122" s="4">
        <f t="shared" si="6"/>
        <v>3251.3858031765999</v>
      </c>
      <c r="L122">
        <v>8</v>
      </c>
    </row>
    <row r="123" spans="1:12" hidden="1" x14ac:dyDescent="0.3">
      <c r="A123" t="s">
        <v>40</v>
      </c>
      <c r="B123" t="s">
        <v>42</v>
      </c>
      <c r="C123" s="4">
        <v>1187461538</v>
      </c>
      <c r="D123" s="4">
        <v>0.95</v>
      </c>
      <c r="E123">
        <v>2.5</v>
      </c>
      <c r="F123" s="2">
        <v>3.9808917197452227</v>
      </c>
      <c r="G123" s="2">
        <f t="shared" si="8"/>
        <v>12.446596518200664</v>
      </c>
      <c r="H123" s="2">
        <f t="shared" si="9"/>
        <v>2.3217979521250802</v>
      </c>
      <c r="I123" s="2">
        <f t="shared" si="5"/>
        <v>290.22474401563505</v>
      </c>
      <c r="J123" s="4">
        <f t="shared" si="7"/>
        <v>9.1243656152379398</v>
      </c>
      <c r="K123" s="4">
        <f t="shared" si="6"/>
        <v>1140.5457019047424</v>
      </c>
      <c r="L123">
        <v>8</v>
      </c>
    </row>
    <row r="124" spans="1:12" hidden="1" x14ac:dyDescent="0.3">
      <c r="A124" t="s">
        <v>40</v>
      </c>
      <c r="B124" t="s">
        <v>28</v>
      </c>
      <c r="C124" s="4">
        <v>0.48464433800000001</v>
      </c>
      <c r="D124" s="4">
        <v>0.62688577999999995</v>
      </c>
      <c r="E124">
        <v>6</v>
      </c>
      <c r="F124" s="2">
        <v>3.9808917197452227</v>
      </c>
      <c r="G124" s="2">
        <f t="shared" si="8"/>
        <v>12.446596518200664</v>
      </c>
      <c r="H124" s="2">
        <f t="shared" si="9"/>
        <v>3.636706506120404</v>
      </c>
      <c r="I124" s="2">
        <f t="shared" si="5"/>
        <v>454.58831326505049</v>
      </c>
      <c r="J124" s="4">
        <f t="shared" si="7"/>
        <v>9.3184974765710571</v>
      </c>
      <c r="K124" s="4">
        <f t="shared" si="6"/>
        <v>1164.8121845713822</v>
      </c>
      <c r="L124">
        <v>8</v>
      </c>
    </row>
    <row r="125" spans="1:12" hidden="1" x14ac:dyDescent="0.3">
      <c r="A125" t="s">
        <v>40</v>
      </c>
      <c r="B125" t="s">
        <v>21</v>
      </c>
      <c r="C125" s="4">
        <v>0.66608171000000005</v>
      </c>
      <c r="D125" s="4">
        <v>0.68661666700000001</v>
      </c>
      <c r="E125">
        <v>6</v>
      </c>
      <c r="F125" s="2">
        <v>11.464968152866241</v>
      </c>
      <c r="G125" s="2">
        <f t="shared" si="8"/>
        <v>103.2370501605636</v>
      </c>
      <c r="H125" s="2">
        <f t="shared" si="9"/>
        <v>31.33427785501587</v>
      </c>
      <c r="I125" s="2">
        <f t="shared" si="5"/>
        <v>3916.7847318769836</v>
      </c>
      <c r="J125" s="4">
        <f t="shared" si="7"/>
        <v>11.74605538967098</v>
      </c>
      <c r="K125" s="4">
        <f t="shared" si="6"/>
        <v>1468.2569237088726</v>
      </c>
      <c r="L125">
        <v>8</v>
      </c>
    </row>
    <row r="126" spans="1:12" hidden="1" x14ac:dyDescent="0.3">
      <c r="A126" t="s">
        <v>40</v>
      </c>
      <c r="B126" t="s">
        <v>23</v>
      </c>
      <c r="C126" s="4">
        <v>0.76500000000000001</v>
      </c>
      <c r="D126" s="4">
        <v>0.61247410899999999</v>
      </c>
      <c r="E126">
        <v>10</v>
      </c>
      <c r="F126" s="2">
        <v>33.757961783439491</v>
      </c>
      <c r="G126" s="2">
        <f t="shared" si="8"/>
        <v>895.03973426241714</v>
      </c>
      <c r="H126" s="2">
        <f t="shared" si="9"/>
        <v>379.84207446322267</v>
      </c>
      <c r="I126" s="2">
        <f t="shared" si="5"/>
        <v>47480.259307902837</v>
      </c>
      <c r="J126" s="4">
        <f t="shared" si="7"/>
        <v>48.871699432025643</v>
      </c>
      <c r="K126" s="4">
        <f t="shared" si="6"/>
        <v>6108.9624290032052</v>
      </c>
      <c r="L126">
        <v>8</v>
      </c>
    </row>
    <row r="127" spans="1:12" hidden="1" x14ac:dyDescent="0.3">
      <c r="A127" t="s">
        <v>43</v>
      </c>
      <c r="B127" t="s">
        <v>44</v>
      </c>
      <c r="C127" s="4">
        <v>0.54247040000000002</v>
      </c>
      <c r="D127" s="4">
        <v>0.54247042099999998</v>
      </c>
      <c r="E127">
        <v>4</v>
      </c>
      <c r="F127" s="2">
        <v>2.5477707006369426</v>
      </c>
      <c r="G127" s="2">
        <f t="shared" si="8"/>
        <v>5.098125933854992</v>
      </c>
      <c r="H127" s="2">
        <f t="shared" si="9"/>
        <v>0.88961405242058189</v>
      </c>
      <c r="I127" s="2">
        <f t="shared" si="5"/>
        <v>111.20175655257273</v>
      </c>
      <c r="J127" s="4">
        <f t="shared" si="7"/>
        <v>9.0765758976023356</v>
      </c>
      <c r="K127" s="4">
        <f t="shared" si="6"/>
        <v>1134.5719872002919</v>
      </c>
      <c r="L127">
        <v>8</v>
      </c>
    </row>
    <row r="128" spans="1:12" hidden="1" x14ac:dyDescent="0.3">
      <c r="A128" t="s">
        <v>43</v>
      </c>
      <c r="B128" t="s">
        <v>45</v>
      </c>
      <c r="C128" s="4">
        <v>0.81991655299999999</v>
      </c>
      <c r="D128" s="4">
        <v>0.72276027399999998</v>
      </c>
      <c r="E128">
        <v>4</v>
      </c>
      <c r="F128" s="2">
        <v>4.4585987261146496</v>
      </c>
      <c r="G128" s="2">
        <f t="shared" si="8"/>
        <v>15.613010672430914</v>
      </c>
      <c r="H128" s="2">
        <f t="shared" si="9"/>
        <v>3.5094517806950214</v>
      </c>
      <c r="I128" s="2">
        <f t="shared" si="5"/>
        <v>438.68147258687765</v>
      </c>
      <c r="J128" s="4">
        <f t="shared" si="7"/>
        <v>9.2640074364071552</v>
      </c>
      <c r="K128" s="4">
        <f t="shared" si="6"/>
        <v>1158.0009295508944</v>
      </c>
      <c r="L128">
        <v>8</v>
      </c>
    </row>
    <row r="129" spans="1:12" hidden="1" x14ac:dyDescent="0.3">
      <c r="A129" t="s">
        <v>43</v>
      </c>
      <c r="B129" t="s">
        <v>16</v>
      </c>
      <c r="C129" s="4">
        <v>0.89361000000000002</v>
      </c>
      <c r="D129" s="4">
        <v>0.61247410899999999</v>
      </c>
      <c r="E129">
        <v>6.5</v>
      </c>
      <c r="F129" s="2">
        <v>8.7579617834394909</v>
      </c>
      <c r="G129" s="2">
        <f t="shared" si="8"/>
        <v>60.241527148091237</v>
      </c>
      <c r="H129" s="2">
        <f t="shared" si="9"/>
        <v>17.91376507867809</v>
      </c>
      <c r="I129" s="2">
        <f t="shared" si="5"/>
        <v>2239.2206348347613</v>
      </c>
      <c r="J129" s="4">
        <f t="shared" si="7"/>
        <v>10.730668102154246</v>
      </c>
      <c r="K129" s="4">
        <f t="shared" si="6"/>
        <v>1341.3335127692808</v>
      </c>
      <c r="L129">
        <v>8</v>
      </c>
    </row>
    <row r="130" spans="1:12" hidden="1" x14ac:dyDescent="0.3">
      <c r="A130" t="s">
        <v>43</v>
      </c>
      <c r="B130" t="s">
        <v>16</v>
      </c>
      <c r="C130" s="4">
        <v>0.89361000000000002</v>
      </c>
      <c r="D130" s="4">
        <v>0.61247410899999999</v>
      </c>
      <c r="E130">
        <v>5</v>
      </c>
      <c r="F130" s="2">
        <v>3.121019108280255</v>
      </c>
      <c r="G130" s="2">
        <f t="shared" si="8"/>
        <v>7.65037522949115</v>
      </c>
      <c r="H130" s="2">
        <f t="shared" si="9"/>
        <v>1.8504358940222632</v>
      </c>
      <c r="I130" s="2">
        <f t="shared" ref="I130:I193" si="10">(H130*1000)/L130</f>
        <v>231.30448675278291</v>
      </c>
      <c r="J130" s="4">
        <f t="shared" si="7"/>
        <v>9.1561633047993833</v>
      </c>
      <c r="K130" s="4">
        <f t="shared" ref="K130:K193" si="11">(J130*1000)/L130</f>
        <v>1144.520413099923</v>
      </c>
      <c r="L130">
        <v>8</v>
      </c>
    </row>
    <row r="131" spans="1:12" hidden="1" x14ac:dyDescent="0.3">
      <c r="A131" t="s">
        <v>43</v>
      </c>
      <c r="B131" t="s">
        <v>16</v>
      </c>
      <c r="C131" s="4">
        <v>0.89361000000000002</v>
      </c>
      <c r="D131" s="4">
        <v>0.61247410899999999</v>
      </c>
      <c r="E131">
        <v>4.5</v>
      </c>
      <c r="F131" s="2">
        <v>3.1847133757961781</v>
      </c>
      <c r="G131" s="2">
        <f t="shared" si="8"/>
        <v>7.9658217716484252</v>
      </c>
      <c r="H131" s="2">
        <f t="shared" si="9"/>
        <v>1.7367665001375754</v>
      </c>
      <c r="I131" s="2">
        <f t="shared" si="10"/>
        <v>217.09581251719692</v>
      </c>
      <c r="J131" s="4">
        <f t="shared" ref="J131:J194" si="12">8.9857 + 0.0035 * F131^2 * E131</f>
        <v>9.1454427887541065</v>
      </c>
      <c r="K131" s="4">
        <f t="shared" si="11"/>
        <v>1143.1803485942633</v>
      </c>
      <c r="L131">
        <v>8</v>
      </c>
    </row>
    <row r="132" spans="1:12" hidden="1" x14ac:dyDescent="0.3">
      <c r="A132" t="s">
        <v>43</v>
      </c>
      <c r="B132" t="s">
        <v>18</v>
      </c>
      <c r="C132" s="4">
        <v>0.45255480399999998</v>
      </c>
      <c r="D132" s="4">
        <v>0.57808694400000005</v>
      </c>
      <c r="E132">
        <v>8</v>
      </c>
      <c r="F132" s="2">
        <v>43.630573248407643</v>
      </c>
      <c r="G132" s="2">
        <f t="shared" ref="G132:G195" si="13">PI()*(F132/2)^2</f>
        <v>1495.1050883206933</v>
      </c>
      <c r="H132" s="2">
        <f t="shared" ref="H132:H195" si="14">0.0673 * ((D132 * F132^2 * E132)^0.976)</f>
        <v>476.43986260351005</v>
      </c>
      <c r="I132" s="2">
        <f t="shared" si="10"/>
        <v>59554.982825438754</v>
      </c>
      <c r="J132" s="4">
        <f t="shared" si="12"/>
        <v>62.287253815570615</v>
      </c>
      <c r="K132" s="4">
        <f t="shared" si="11"/>
        <v>7785.9067269463267</v>
      </c>
      <c r="L132">
        <v>8</v>
      </c>
    </row>
    <row r="133" spans="1:12" hidden="1" x14ac:dyDescent="0.3">
      <c r="A133" t="s">
        <v>43</v>
      </c>
      <c r="B133" t="s">
        <v>18</v>
      </c>
      <c r="C133" s="4">
        <v>0.45255480399999998</v>
      </c>
      <c r="D133" s="4">
        <v>0.57808694400000005</v>
      </c>
      <c r="E133">
        <v>8</v>
      </c>
      <c r="F133" s="2">
        <v>28.980891719745223</v>
      </c>
      <c r="G133" s="2">
        <f t="shared" si="13"/>
        <v>659.64970091020621</v>
      </c>
      <c r="H133" s="2">
        <f t="shared" si="14"/>
        <v>214.37707520620538</v>
      </c>
      <c r="I133" s="2">
        <f t="shared" si="10"/>
        <v>26797.134400775671</v>
      </c>
      <c r="J133" s="4">
        <f t="shared" si="12"/>
        <v>32.502678376404724</v>
      </c>
      <c r="K133" s="4">
        <f t="shared" si="11"/>
        <v>4062.8347970505906</v>
      </c>
      <c r="L133">
        <v>8</v>
      </c>
    </row>
    <row r="134" spans="1:12" hidden="1" x14ac:dyDescent="0.3">
      <c r="A134" t="s">
        <v>43</v>
      </c>
      <c r="B134" t="s">
        <v>20</v>
      </c>
      <c r="C134" s="4">
        <v>0.74387999999999999</v>
      </c>
      <c r="D134" s="4">
        <v>0.59130000000000005</v>
      </c>
      <c r="E134">
        <v>5</v>
      </c>
      <c r="F134" s="2">
        <v>8.7579617834394909</v>
      </c>
      <c r="G134" s="2">
        <f t="shared" si="13"/>
        <v>60.241527148091237</v>
      </c>
      <c r="H134" s="2">
        <f t="shared" si="14"/>
        <v>13.398772822507244</v>
      </c>
      <c r="I134" s="2">
        <f t="shared" si="10"/>
        <v>1674.8466028134055</v>
      </c>
      <c r="J134" s="4">
        <f t="shared" si="12"/>
        <v>10.327983155503265</v>
      </c>
      <c r="K134" s="4">
        <f t="shared" si="11"/>
        <v>1290.9978944379081</v>
      </c>
      <c r="L134">
        <v>8</v>
      </c>
    </row>
    <row r="135" spans="1:12" hidden="1" x14ac:dyDescent="0.3">
      <c r="A135" t="s">
        <v>43</v>
      </c>
      <c r="B135" t="s">
        <v>20</v>
      </c>
      <c r="C135" s="4">
        <v>0.74387999999999999</v>
      </c>
      <c r="D135" s="4">
        <v>0.59130000000000005</v>
      </c>
      <c r="E135">
        <v>3.5</v>
      </c>
      <c r="F135" s="2">
        <v>6.2101910828025479</v>
      </c>
      <c r="G135" s="2">
        <f t="shared" si="13"/>
        <v>30.290037286693146</v>
      </c>
      <c r="H135" s="2">
        <f t="shared" si="14"/>
        <v>4.8356053984407446</v>
      </c>
      <c r="I135" s="2">
        <f t="shared" si="10"/>
        <v>604.45067480509306</v>
      </c>
      <c r="J135" s="4">
        <f t="shared" si="12"/>
        <v>9.4581392977402725</v>
      </c>
      <c r="K135" s="4">
        <f t="shared" si="11"/>
        <v>1182.267412217534</v>
      </c>
      <c r="L135">
        <v>8</v>
      </c>
    </row>
    <row r="136" spans="1:12" hidden="1" x14ac:dyDescent="0.3">
      <c r="A136" t="s">
        <v>43</v>
      </c>
      <c r="B136" t="s">
        <v>46</v>
      </c>
      <c r="C136" s="4">
        <v>1.1200000000000001</v>
      </c>
      <c r="D136" s="4">
        <v>0.85527777800000004</v>
      </c>
      <c r="E136">
        <v>5</v>
      </c>
      <c r="F136" s="2">
        <v>9.3949044585987256</v>
      </c>
      <c r="G136" s="2">
        <f t="shared" si="13"/>
        <v>69.322563967770421</v>
      </c>
      <c r="H136" s="2">
        <f t="shared" si="14"/>
        <v>22.030903406414829</v>
      </c>
      <c r="I136" s="2">
        <f t="shared" si="10"/>
        <v>2753.8629258018536</v>
      </c>
      <c r="J136" s="4">
        <f t="shared" si="12"/>
        <v>10.530324021258469</v>
      </c>
      <c r="K136" s="4">
        <f t="shared" si="11"/>
        <v>1316.2905026573087</v>
      </c>
      <c r="L136">
        <v>8</v>
      </c>
    </row>
    <row r="137" spans="1:12" hidden="1" x14ac:dyDescent="0.3">
      <c r="A137" t="s">
        <v>43</v>
      </c>
      <c r="B137" t="s">
        <v>33</v>
      </c>
      <c r="C137" s="4">
        <v>0.69835862100000001</v>
      </c>
      <c r="D137" s="4">
        <v>0.69262500000000005</v>
      </c>
      <c r="E137">
        <v>4.5</v>
      </c>
      <c r="F137" s="2">
        <v>3.0254777070063694</v>
      </c>
      <c r="G137" s="2">
        <f t="shared" si="13"/>
        <v>7.1891541489127055</v>
      </c>
      <c r="H137" s="2">
        <f t="shared" si="14"/>
        <v>1.771684923219784</v>
      </c>
      <c r="I137" s="2">
        <f t="shared" si="10"/>
        <v>221.460615402473</v>
      </c>
      <c r="J137" s="4">
        <f t="shared" si="12"/>
        <v>9.1298678668505815</v>
      </c>
      <c r="K137" s="4">
        <f t="shared" si="11"/>
        <v>1141.2334833563227</v>
      </c>
      <c r="L137">
        <v>8</v>
      </c>
    </row>
    <row r="138" spans="1:12" hidden="1" x14ac:dyDescent="0.3">
      <c r="A138" t="s">
        <v>43</v>
      </c>
      <c r="B138" t="s">
        <v>21</v>
      </c>
      <c r="C138" s="4">
        <v>0.66608171000000005</v>
      </c>
      <c r="D138" s="4">
        <v>0.68661666700000001</v>
      </c>
      <c r="E138">
        <v>7</v>
      </c>
      <c r="F138" s="2">
        <v>11.783439490445859</v>
      </c>
      <c r="G138" s="2">
        <f t="shared" si="13"/>
        <v>109.05210005386697</v>
      </c>
      <c r="H138" s="2">
        <f t="shared" si="14"/>
        <v>38.422625760270186</v>
      </c>
      <c r="I138" s="2">
        <f t="shared" si="10"/>
        <v>4802.8282200337735</v>
      </c>
      <c r="J138" s="4">
        <f t="shared" si="12"/>
        <v>12.387511432512476</v>
      </c>
      <c r="K138" s="4">
        <f t="shared" si="11"/>
        <v>1548.4389290640595</v>
      </c>
      <c r="L138">
        <v>8</v>
      </c>
    </row>
    <row r="139" spans="1:12" hidden="1" x14ac:dyDescent="0.3">
      <c r="A139" t="s">
        <v>43</v>
      </c>
      <c r="B139" t="s">
        <v>21</v>
      </c>
      <c r="C139" s="4">
        <v>0.66608171000000005</v>
      </c>
      <c r="D139" s="4">
        <v>0.68661666700000001</v>
      </c>
      <c r="E139">
        <v>6</v>
      </c>
      <c r="F139" s="2">
        <v>9.2356687898089174</v>
      </c>
      <c r="G139" s="2">
        <f t="shared" si="13"/>
        <v>66.992561099563275</v>
      </c>
      <c r="H139" s="2">
        <f t="shared" si="14"/>
        <v>20.545565557980407</v>
      </c>
      <c r="I139" s="2">
        <f t="shared" si="10"/>
        <v>2568.195694747551</v>
      </c>
      <c r="J139" s="4">
        <f t="shared" si="12"/>
        <v>10.776949137896061</v>
      </c>
      <c r="K139" s="4">
        <f t="shared" si="11"/>
        <v>1347.1186422370076</v>
      </c>
      <c r="L139">
        <v>8</v>
      </c>
    </row>
    <row r="140" spans="1:12" hidden="1" x14ac:dyDescent="0.3">
      <c r="A140" t="s">
        <v>43</v>
      </c>
      <c r="B140" t="s">
        <v>22</v>
      </c>
      <c r="C140" s="4">
        <v>0.43836446099999998</v>
      </c>
      <c r="D140" s="4">
        <v>0.58666666700000003</v>
      </c>
      <c r="E140">
        <v>8</v>
      </c>
      <c r="F140" s="2">
        <v>43.248407643312106</v>
      </c>
      <c r="G140" s="2">
        <f t="shared" si="13"/>
        <v>1469.0281741690251</v>
      </c>
      <c r="H140" s="2">
        <f t="shared" si="14"/>
        <v>475.11045662972577</v>
      </c>
      <c r="I140" s="2">
        <f t="shared" si="10"/>
        <v>59388.807078715719</v>
      </c>
      <c r="J140" s="4">
        <f t="shared" si="12"/>
        <v>61.357593383098717</v>
      </c>
      <c r="K140" s="4">
        <f t="shared" si="11"/>
        <v>7669.69917288734</v>
      </c>
      <c r="L140">
        <v>8</v>
      </c>
    </row>
    <row r="141" spans="1:12" hidden="1" x14ac:dyDescent="0.3">
      <c r="A141" t="s">
        <v>43</v>
      </c>
      <c r="B141" t="s">
        <v>22</v>
      </c>
      <c r="C141" s="4">
        <v>0.43836446099999998</v>
      </c>
      <c r="D141" s="4">
        <v>0.58666666700000003</v>
      </c>
      <c r="E141">
        <v>8</v>
      </c>
      <c r="F141" s="2">
        <v>43.949044585987259</v>
      </c>
      <c r="G141" s="2">
        <f t="shared" si="13"/>
        <v>1517.0110981927262</v>
      </c>
      <c r="H141" s="2">
        <f t="shared" si="14"/>
        <v>490.25069110671899</v>
      </c>
      <c r="I141" s="2">
        <f t="shared" si="10"/>
        <v>61281.336388339871</v>
      </c>
      <c r="J141" s="4">
        <f t="shared" si="12"/>
        <v>63.068218560590694</v>
      </c>
      <c r="K141" s="4">
        <f t="shared" si="11"/>
        <v>7883.5273200738366</v>
      </c>
      <c r="L141">
        <v>8</v>
      </c>
    </row>
    <row r="142" spans="1:12" hidden="1" x14ac:dyDescent="0.3">
      <c r="A142" t="s">
        <v>43</v>
      </c>
      <c r="B142" t="s">
        <v>22</v>
      </c>
      <c r="C142" s="4">
        <v>0.43836446099999998</v>
      </c>
      <c r="D142" s="4">
        <v>0.58666666700000003</v>
      </c>
      <c r="E142">
        <v>8</v>
      </c>
      <c r="F142" s="2">
        <v>32.675159235668787</v>
      </c>
      <c r="G142" s="2">
        <f t="shared" si="13"/>
        <v>838.54293992917769</v>
      </c>
      <c r="H142" s="2">
        <f t="shared" si="14"/>
        <v>274.87414161572303</v>
      </c>
      <c r="I142" s="2">
        <f t="shared" si="10"/>
        <v>34359.267701965378</v>
      </c>
      <c r="J142" s="4">
        <f t="shared" si="12"/>
        <v>38.880348870136714</v>
      </c>
      <c r="K142" s="4">
        <f t="shared" si="11"/>
        <v>4860.0436087670896</v>
      </c>
      <c r="L142">
        <v>8</v>
      </c>
    </row>
    <row r="143" spans="1:12" hidden="1" x14ac:dyDescent="0.3">
      <c r="A143" t="s">
        <v>43</v>
      </c>
      <c r="B143" t="s">
        <v>22</v>
      </c>
      <c r="C143" s="4">
        <v>0.43836446099999998</v>
      </c>
      <c r="D143" s="4">
        <v>0.58666666700000003</v>
      </c>
      <c r="E143">
        <v>6.5</v>
      </c>
      <c r="F143" s="2">
        <v>14.968152866242038</v>
      </c>
      <c r="G143" s="2">
        <f t="shared" si="13"/>
        <v>175.96500293571373</v>
      </c>
      <c r="H143" s="2">
        <f t="shared" si="14"/>
        <v>48.898649566167919</v>
      </c>
      <c r="I143" s="2">
        <f t="shared" si="10"/>
        <v>6112.3311957709902</v>
      </c>
      <c r="J143" s="4">
        <f t="shared" si="12"/>
        <v>14.082737405168565</v>
      </c>
      <c r="K143" s="4">
        <f t="shared" si="11"/>
        <v>1760.3421756460707</v>
      </c>
      <c r="L143">
        <v>8</v>
      </c>
    </row>
    <row r="144" spans="1:12" hidden="1" x14ac:dyDescent="0.3">
      <c r="A144" t="s">
        <v>43</v>
      </c>
      <c r="B144" t="s">
        <v>47</v>
      </c>
      <c r="C144" s="4">
        <v>0.40238543599999999</v>
      </c>
      <c r="D144" s="4">
        <v>0.40883333300000002</v>
      </c>
      <c r="E144">
        <v>12</v>
      </c>
      <c r="F144" s="2">
        <v>16.242038216560509</v>
      </c>
      <c r="G144" s="2">
        <f t="shared" si="13"/>
        <v>207.19102428057556</v>
      </c>
      <c r="H144" s="2">
        <f t="shared" si="14"/>
        <v>73.339079955438663</v>
      </c>
      <c r="I144" s="2">
        <f t="shared" si="10"/>
        <v>9167.3849944298327</v>
      </c>
      <c r="J144" s="4">
        <f t="shared" si="12"/>
        <v>20.065459827984906</v>
      </c>
      <c r="K144" s="4">
        <f t="shared" si="11"/>
        <v>2508.1824784981131</v>
      </c>
      <c r="L144">
        <v>8</v>
      </c>
    </row>
    <row r="145" spans="1:12" hidden="1" x14ac:dyDescent="0.3">
      <c r="A145" t="s">
        <v>43</v>
      </c>
      <c r="B145" t="s">
        <v>23</v>
      </c>
      <c r="C145" s="4">
        <v>0.76500000000000001</v>
      </c>
      <c r="D145" s="4">
        <v>0.61247410899999999</v>
      </c>
      <c r="E145">
        <v>9</v>
      </c>
      <c r="F145" s="2">
        <v>18.312101910828027</v>
      </c>
      <c r="G145" s="2">
        <f t="shared" si="13"/>
        <v>263.3699823251261</v>
      </c>
      <c r="H145" s="2">
        <f t="shared" si="14"/>
        <v>103.85283157332336</v>
      </c>
      <c r="I145" s="2">
        <f t="shared" si="10"/>
        <v>12981.60394666542</v>
      </c>
      <c r="J145" s="4">
        <f t="shared" si="12"/>
        <v>19.54869190636537</v>
      </c>
      <c r="K145" s="4">
        <f t="shared" si="11"/>
        <v>2443.5864882956712</v>
      </c>
      <c r="L145">
        <v>8</v>
      </c>
    </row>
    <row r="146" spans="1:12" hidden="1" x14ac:dyDescent="0.3">
      <c r="A146" t="s">
        <v>43</v>
      </c>
      <c r="B146" t="s">
        <v>24</v>
      </c>
      <c r="C146" s="4">
        <v>0.41240947999999999</v>
      </c>
      <c r="D146" s="4">
        <v>0.52705000000000002</v>
      </c>
      <c r="E146">
        <v>7</v>
      </c>
      <c r="F146" s="2">
        <v>10.031847133757962</v>
      </c>
      <c r="G146" s="2">
        <f t="shared" si="13"/>
        <v>79.040866529181514</v>
      </c>
      <c r="H146" s="2">
        <f t="shared" si="14"/>
        <v>21.679719222230172</v>
      </c>
      <c r="I146" s="2">
        <f t="shared" si="10"/>
        <v>2709.9649027787714</v>
      </c>
      <c r="J146" s="4">
        <f t="shared" si="12"/>
        <v>11.451329944419651</v>
      </c>
      <c r="K146" s="4">
        <f t="shared" si="11"/>
        <v>1431.4162430524564</v>
      </c>
      <c r="L146">
        <v>8</v>
      </c>
    </row>
    <row r="147" spans="1:12" hidden="1" x14ac:dyDescent="0.3">
      <c r="A147" t="s">
        <v>43</v>
      </c>
      <c r="B147" t="s">
        <v>24</v>
      </c>
      <c r="C147" s="4">
        <v>0.41240947999999999</v>
      </c>
      <c r="D147" s="4">
        <v>0.52705000000000002</v>
      </c>
      <c r="E147">
        <v>6.5</v>
      </c>
      <c r="F147" s="2">
        <v>8.1210191082802545</v>
      </c>
      <c r="G147" s="2">
        <f t="shared" si="13"/>
        <v>51.79775607014389</v>
      </c>
      <c r="H147" s="2">
        <f t="shared" si="14"/>
        <v>13.350749075854461</v>
      </c>
      <c r="I147" s="2">
        <f t="shared" si="10"/>
        <v>1668.8436344818076</v>
      </c>
      <c r="J147" s="4">
        <f t="shared" si="12"/>
        <v>10.486084143372956</v>
      </c>
      <c r="K147" s="4">
        <f t="shared" si="11"/>
        <v>1310.7605179216196</v>
      </c>
      <c r="L147">
        <v>8</v>
      </c>
    </row>
    <row r="148" spans="1:12" hidden="1" x14ac:dyDescent="0.3">
      <c r="A148" t="s">
        <v>43</v>
      </c>
      <c r="B148" t="s">
        <v>24</v>
      </c>
      <c r="C148" s="4">
        <v>0.41240947999999999</v>
      </c>
      <c r="D148" s="4">
        <v>0.52705000000000002</v>
      </c>
      <c r="E148">
        <v>6</v>
      </c>
      <c r="F148" s="2">
        <v>7.9617834394904454</v>
      </c>
      <c r="G148" s="2">
        <f t="shared" si="13"/>
        <v>49.786386072802657</v>
      </c>
      <c r="H148" s="2">
        <f t="shared" si="14"/>
        <v>11.87928447390674</v>
      </c>
      <c r="I148" s="2">
        <f t="shared" si="10"/>
        <v>1484.9105592383426</v>
      </c>
      <c r="J148" s="4">
        <f t="shared" si="12"/>
        <v>10.31688990628423</v>
      </c>
      <c r="K148" s="4">
        <f t="shared" si="11"/>
        <v>1289.6112382855288</v>
      </c>
      <c r="L148">
        <v>8</v>
      </c>
    </row>
    <row r="149" spans="1:12" hidden="1" x14ac:dyDescent="0.3">
      <c r="A149" t="s">
        <v>43</v>
      </c>
      <c r="B149" t="s">
        <v>24</v>
      </c>
      <c r="C149" s="4">
        <v>0.41240947999999999</v>
      </c>
      <c r="D149" s="4">
        <v>0.52705000000000002</v>
      </c>
      <c r="E149">
        <v>4.5</v>
      </c>
      <c r="F149" s="2">
        <v>4.2993630573248405</v>
      </c>
      <c r="G149" s="2">
        <f t="shared" si="13"/>
        <v>14.517710178829255</v>
      </c>
      <c r="H149" s="2">
        <f t="shared" si="14"/>
        <v>2.6945279620274487</v>
      </c>
      <c r="I149" s="2">
        <f t="shared" si="10"/>
        <v>336.81599525343108</v>
      </c>
      <c r="J149" s="4">
        <f t="shared" si="12"/>
        <v>9.2768312325043603</v>
      </c>
      <c r="K149" s="4">
        <f t="shared" si="11"/>
        <v>1159.6039040630451</v>
      </c>
      <c r="L149">
        <v>8</v>
      </c>
    </row>
    <row r="150" spans="1:12" hidden="1" x14ac:dyDescent="0.3">
      <c r="A150" t="s">
        <v>48</v>
      </c>
      <c r="B150" t="s">
        <v>14</v>
      </c>
      <c r="C150" s="4">
        <v>0.766138345</v>
      </c>
      <c r="D150" s="4">
        <v>0.90500000000000003</v>
      </c>
      <c r="E150">
        <v>5</v>
      </c>
      <c r="F150" s="2">
        <v>3.5031847133757958</v>
      </c>
      <c r="G150" s="2">
        <f t="shared" si="13"/>
        <v>9.6386443436945939</v>
      </c>
      <c r="H150" s="2">
        <f t="shared" si="14"/>
        <v>3.3938344216908192</v>
      </c>
      <c r="I150" s="2">
        <f t="shared" si="10"/>
        <v>424.22930271135237</v>
      </c>
      <c r="J150" s="4">
        <f t="shared" si="12"/>
        <v>9.2004653048805221</v>
      </c>
      <c r="K150" s="4">
        <f t="shared" si="11"/>
        <v>1150.0581631100652</v>
      </c>
      <c r="L150">
        <v>8</v>
      </c>
    </row>
    <row r="151" spans="1:12" hidden="1" x14ac:dyDescent="0.3">
      <c r="A151" t="s">
        <v>48</v>
      </c>
      <c r="B151" t="s">
        <v>14</v>
      </c>
      <c r="C151" s="4">
        <v>0.766138345</v>
      </c>
      <c r="D151" s="4">
        <v>0.90500000000000003</v>
      </c>
      <c r="E151">
        <v>4</v>
      </c>
      <c r="F151" s="2">
        <v>5.3184713375796173</v>
      </c>
      <c r="G151" s="2">
        <f t="shared" si="13"/>
        <v>22.215880338950296</v>
      </c>
      <c r="H151" s="2">
        <f t="shared" si="14"/>
        <v>6.166667149756714</v>
      </c>
      <c r="I151" s="2">
        <f t="shared" si="10"/>
        <v>770.83339371958925</v>
      </c>
      <c r="J151" s="4">
        <f t="shared" si="12"/>
        <v>9.3817059231611832</v>
      </c>
      <c r="K151" s="4">
        <f t="shared" si="11"/>
        <v>1172.713240395148</v>
      </c>
      <c r="L151">
        <v>8</v>
      </c>
    </row>
    <row r="152" spans="1:12" hidden="1" x14ac:dyDescent="0.3">
      <c r="A152" t="s">
        <v>48</v>
      </c>
      <c r="B152" t="s">
        <v>44</v>
      </c>
      <c r="C152" s="4">
        <v>0.54247040000000002</v>
      </c>
      <c r="D152" s="4">
        <v>0.54247042099999998</v>
      </c>
      <c r="E152">
        <v>3</v>
      </c>
      <c r="F152" s="2">
        <v>4.7770700636942669</v>
      </c>
      <c r="G152" s="2">
        <f t="shared" si="13"/>
        <v>17.923098986208956</v>
      </c>
      <c r="H152" s="2">
        <f t="shared" si="14"/>
        <v>2.2917113232529447</v>
      </c>
      <c r="I152" s="2">
        <f t="shared" si="10"/>
        <v>286.46391540661807</v>
      </c>
      <c r="J152" s="4">
        <f t="shared" si="12"/>
        <v>9.2253141831311609</v>
      </c>
      <c r="K152" s="4">
        <f t="shared" si="11"/>
        <v>1153.1642728913951</v>
      </c>
      <c r="L152">
        <v>8</v>
      </c>
    </row>
    <row r="153" spans="1:12" hidden="1" x14ac:dyDescent="0.3">
      <c r="A153" t="s">
        <v>48</v>
      </c>
      <c r="B153" t="s">
        <v>44</v>
      </c>
      <c r="C153" s="4">
        <v>0.54247040000000002</v>
      </c>
      <c r="D153" s="4">
        <v>0.54247042099999998</v>
      </c>
      <c r="E153">
        <v>2.2999999999999998</v>
      </c>
      <c r="F153" s="2">
        <v>3.9808917197452227</v>
      </c>
      <c r="G153" s="2">
        <f t="shared" si="13"/>
        <v>12.446596518200664</v>
      </c>
      <c r="H153" s="2">
        <f t="shared" si="14"/>
        <v>1.2387228294635269</v>
      </c>
      <c r="I153" s="2">
        <f t="shared" si="10"/>
        <v>154.84035368294084</v>
      </c>
      <c r="J153" s="4">
        <f t="shared" si="12"/>
        <v>9.1132723660189043</v>
      </c>
      <c r="K153" s="4">
        <f t="shared" si="11"/>
        <v>1139.159045752363</v>
      </c>
      <c r="L153">
        <v>8</v>
      </c>
    </row>
    <row r="154" spans="1:12" hidden="1" x14ac:dyDescent="0.3">
      <c r="A154" t="s">
        <v>48</v>
      </c>
      <c r="B154" t="s">
        <v>16</v>
      </c>
      <c r="C154" s="4">
        <v>0.89361000000000002</v>
      </c>
      <c r="D154" s="4">
        <v>0.61247410899999999</v>
      </c>
      <c r="E154">
        <v>6</v>
      </c>
      <c r="F154" s="2">
        <v>2.7070063694267517</v>
      </c>
      <c r="G154" s="2">
        <f t="shared" si="13"/>
        <v>5.7553062300159885</v>
      </c>
      <c r="H154" s="2">
        <f t="shared" si="14"/>
        <v>1.6745857202004957</v>
      </c>
      <c r="I154" s="2">
        <f t="shared" si="10"/>
        <v>209.32321502506196</v>
      </c>
      <c r="J154" s="4">
        <f t="shared" si="12"/>
        <v>9.1395855531664569</v>
      </c>
      <c r="K154" s="4">
        <f t="shared" si="11"/>
        <v>1142.4481941458071</v>
      </c>
      <c r="L154">
        <v>8</v>
      </c>
    </row>
    <row r="155" spans="1:12" hidden="1" x14ac:dyDescent="0.3">
      <c r="A155" t="s">
        <v>48</v>
      </c>
      <c r="B155" t="s">
        <v>17</v>
      </c>
      <c r="C155" s="4">
        <v>0.708787469</v>
      </c>
      <c r="D155" s="4">
        <v>0.80167708299999996</v>
      </c>
      <c r="E155">
        <v>5</v>
      </c>
      <c r="F155" s="2">
        <v>3.5031847133757958</v>
      </c>
      <c r="G155" s="2">
        <f t="shared" si="13"/>
        <v>9.6386443436945939</v>
      </c>
      <c r="H155" s="2">
        <f t="shared" si="14"/>
        <v>3.015123589312823</v>
      </c>
      <c r="I155" s="2">
        <f t="shared" si="10"/>
        <v>376.89044866410285</v>
      </c>
      <c r="J155" s="4">
        <f t="shared" si="12"/>
        <v>9.2004653048805221</v>
      </c>
      <c r="K155" s="4">
        <f t="shared" si="11"/>
        <v>1150.0581631100652</v>
      </c>
      <c r="L155">
        <v>8</v>
      </c>
    </row>
    <row r="156" spans="1:12" hidden="1" x14ac:dyDescent="0.3">
      <c r="A156" t="s">
        <v>48</v>
      </c>
      <c r="B156" t="s">
        <v>17</v>
      </c>
      <c r="C156" s="4">
        <v>0.708787469</v>
      </c>
      <c r="D156" s="4">
        <v>0.80167708299999996</v>
      </c>
      <c r="E156">
        <v>4</v>
      </c>
      <c r="F156" s="2">
        <v>3.5031847133757958</v>
      </c>
      <c r="G156" s="2">
        <f t="shared" si="13"/>
        <v>9.6386443436945939</v>
      </c>
      <c r="H156" s="2">
        <f t="shared" si="14"/>
        <v>2.4250513871362016</v>
      </c>
      <c r="I156" s="2">
        <f t="shared" si="10"/>
        <v>303.13142339202523</v>
      </c>
      <c r="J156" s="4">
        <f t="shared" si="12"/>
        <v>9.1575122439044172</v>
      </c>
      <c r="K156" s="4">
        <f t="shared" si="11"/>
        <v>1144.6890304880521</v>
      </c>
      <c r="L156">
        <v>8</v>
      </c>
    </row>
    <row r="157" spans="1:12" hidden="1" x14ac:dyDescent="0.3">
      <c r="A157" t="s">
        <v>48</v>
      </c>
      <c r="B157" t="s">
        <v>18</v>
      </c>
      <c r="C157" s="4">
        <v>0.45255480399999998</v>
      </c>
      <c r="D157" s="4">
        <v>0.57808694400000005</v>
      </c>
      <c r="E157">
        <v>9</v>
      </c>
      <c r="F157" s="2">
        <v>57.00636942675159</v>
      </c>
      <c r="G157" s="2">
        <f t="shared" si="13"/>
        <v>2552.3289538538725</v>
      </c>
      <c r="H157" s="2">
        <f t="shared" si="14"/>
        <v>900.78992896006355</v>
      </c>
      <c r="I157" s="2">
        <f t="shared" si="10"/>
        <v>112598.74112000794</v>
      </c>
      <c r="J157" s="4">
        <f t="shared" si="12"/>
        <v>111.35207388940728</v>
      </c>
      <c r="K157" s="4">
        <f t="shared" si="11"/>
        <v>13919.009236175911</v>
      </c>
      <c r="L157">
        <v>8</v>
      </c>
    </row>
    <row r="158" spans="1:12" hidden="1" x14ac:dyDescent="0.3">
      <c r="A158" t="s">
        <v>48</v>
      </c>
      <c r="B158" t="s">
        <v>18</v>
      </c>
      <c r="C158" s="4">
        <v>0.45255480399999998</v>
      </c>
      <c r="D158" s="4">
        <v>0.57808694400000005</v>
      </c>
      <c r="E158">
        <v>9</v>
      </c>
      <c r="F158" s="2">
        <v>25.796178343949045</v>
      </c>
      <c r="G158" s="2">
        <f t="shared" si="13"/>
        <v>522.63756643785325</v>
      </c>
      <c r="H158" s="2">
        <f t="shared" si="14"/>
        <v>191.60955506183683</v>
      </c>
      <c r="I158" s="2">
        <f t="shared" si="10"/>
        <v>23951.194382729605</v>
      </c>
      <c r="J158" s="4">
        <f t="shared" si="12"/>
        <v>29.947148740314006</v>
      </c>
      <c r="K158" s="4">
        <f t="shared" si="11"/>
        <v>3743.3935925392507</v>
      </c>
      <c r="L158">
        <v>8</v>
      </c>
    </row>
    <row r="159" spans="1:12" hidden="1" x14ac:dyDescent="0.3">
      <c r="A159" t="s">
        <v>48</v>
      </c>
      <c r="B159" t="s">
        <v>18</v>
      </c>
      <c r="C159" s="4">
        <v>0.45255480399999998</v>
      </c>
      <c r="D159" s="4">
        <v>0.57808694400000005</v>
      </c>
      <c r="E159">
        <v>8.5</v>
      </c>
      <c r="F159" s="2">
        <v>19.585987261146496</v>
      </c>
      <c r="G159" s="2">
        <f t="shared" si="13"/>
        <v>301.2872939581726</v>
      </c>
      <c r="H159" s="2">
        <f t="shared" si="14"/>
        <v>105.85486285652358</v>
      </c>
      <c r="I159" s="2">
        <f t="shared" si="10"/>
        <v>13231.857857065448</v>
      </c>
      <c r="J159" s="4">
        <f t="shared" si="12"/>
        <v>20.398124185565337</v>
      </c>
      <c r="K159" s="4">
        <f t="shared" si="11"/>
        <v>2549.7655231956669</v>
      </c>
      <c r="L159">
        <v>8</v>
      </c>
    </row>
    <row r="160" spans="1:12" hidden="1" x14ac:dyDescent="0.3">
      <c r="A160" t="s">
        <v>48</v>
      </c>
      <c r="B160" t="s">
        <v>18</v>
      </c>
      <c r="C160" s="4">
        <v>0.45255480399999998</v>
      </c>
      <c r="D160" s="4">
        <v>0.57808694400000005</v>
      </c>
      <c r="E160">
        <v>8</v>
      </c>
      <c r="F160" s="2">
        <v>48.726114649681527</v>
      </c>
      <c r="G160" s="2">
        <f t="shared" si="13"/>
        <v>1864.7192185251802</v>
      </c>
      <c r="H160" s="2">
        <f t="shared" si="14"/>
        <v>591.08129561168528</v>
      </c>
      <c r="I160" s="2">
        <f t="shared" si="10"/>
        <v>73885.161951460657</v>
      </c>
      <c r="J160" s="4">
        <f t="shared" si="12"/>
        <v>75.464258967909444</v>
      </c>
      <c r="K160" s="4">
        <f t="shared" si="11"/>
        <v>9433.0323709886798</v>
      </c>
      <c r="L160">
        <v>8</v>
      </c>
    </row>
    <row r="161" spans="1:12" hidden="1" x14ac:dyDescent="0.3">
      <c r="A161" t="s">
        <v>48</v>
      </c>
      <c r="B161" t="s">
        <v>18</v>
      </c>
      <c r="C161" s="4">
        <v>0.45255480399999998</v>
      </c>
      <c r="D161" s="4">
        <v>0.57808694400000005</v>
      </c>
      <c r="E161">
        <v>7</v>
      </c>
      <c r="F161" s="2">
        <v>28.821656050955411</v>
      </c>
      <c r="G161" s="2">
        <f t="shared" si="13"/>
        <v>652.42071765243509</v>
      </c>
      <c r="H161" s="2">
        <f t="shared" si="14"/>
        <v>186.16902745179704</v>
      </c>
      <c r="I161" s="2">
        <f t="shared" si="10"/>
        <v>23271.12843147463</v>
      </c>
      <c r="J161" s="4">
        <f t="shared" si="12"/>
        <v>29.337552509229582</v>
      </c>
      <c r="K161" s="4">
        <f t="shared" si="11"/>
        <v>3667.1940636536979</v>
      </c>
      <c r="L161">
        <v>8</v>
      </c>
    </row>
    <row r="162" spans="1:12" hidden="1" x14ac:dyDescent="0.3">
      <c r="A162" t="s">
        <v>48</v>
      </c>
      <c r="B162" t="s">
        <v>18</v>
      </c>
      <c r="C162" s="4">
        <v>0.45255480399999998</v>
      </c>
      <c r="D162" s="4">
        <v>0.57808694400000005</v>
      </c>
      <c r="E162">
        <v>6</v>
      </c>
      <c r="F162" s="2">
        <v>4.6178343949044587</v>
      </c>
      <c r="G162" s="2">
        <f t="shared" si="13"/>
        <v>16.748140274890819</v>
      </c>
      <c r="H162" s="2">
        <f t="shared" si="14"/>
        <v>4.4893108407143938</v>
      </c>
      <c r="I162" s="2">
        <f t="shared" si="10"/>
        <v>561.1638550892992</v>
      </c>
      <c r="J162" s="4">
        <f t="shared" si="12"/>
        <v>9.4335122844740145</v>
      </c>
      <c r="K162" s="4">
        <f t="shared" si="11"/>
        <v>1179.1890355592518</v>
      </c>
      <c r="L162">
        <v>8</v>
      </c>
    </row>
    <row r="163" spans="1:12" hidden="1" x14ac:dyDescent="0.3">
      <c r="A163" t="s">
        <v>48</v>
      </c>
      <c r="B163" t="s">
        <v>18</v>
      </c>
      <c r="C163" s="4">
        <v>0.45255480399999998</v>
      </c>
      <c r="D163" s="4">
        <v>0.57808694400000005</v>
      </c>
      <c r="E163">
        <v>6</v>
      </c>
      <c r="F163" s="2">
        <v>33.375796178343947</v>
      </c>
      <c r="G163" s="2">
        <f t="shared" si="13"/>
        <v>874.88939150885528</v>
      </c>
      <c r="H163" s="2">
        <f t="shared" si="14"/>
        <v>213.27235298154449</v>
      </c>
      <c r="I163" s="2">
        <f t="shared" si="10"/>
        <v>26659.04412269306</v>
      </c>
      <c r="J163" s="4">
        <f t="shared" si="12"/>
        <v>32.378519181305528</v>
      </c>
      <c r="K163" s="4">
        <f t="shared" si="11"/>
        <v>4047.314897663191</v>
      </c>
      <c r="L163">
        <v>8</v>
      </c>
    </row>
    <row r="164" spans="1:12" hidden="1" x14ac:dyDescent="0.3">
      <c r="A164" t="s">
        <v>48</v>
      </c>
      <c r="B164" t="s">
        <v>18</v>
      </c>
      <c r="C164" s="4">
        <v>0.45255480399999998</v>
      </c>
      <c r="D164" s="4">
        <v>0.57808694400000005</v>
      </c>
      <c r="E164">
        <v>5</v>
      </c>
      <c r="F164" s="2">
        <v>15.923566878980891</v>
      </c>
      <c r="G164" s="2">
        <f t="shared" si="13"/>
        <v>199.14554429121063</v>
      </c>
      <c r="H164" s="2">
        <f t="shared" si="14"/>
        <v>42.10153100184003</v>
      </c>
      <c r="I164" s="2">
        <f t="shared" si="10"/>
        <v>5262.6913752300034</v>
      </c>
      <c r="J164" s="4">
        <f t="shared" si="12"/>
        <v>13.422999687614102</v>
      </c>
      <c r="K164" s="4">
        <f t="shared" si="11"/>
        <v>1677.8749609517627</v>
      </c>
      <c r="L164">
        <v>8</v>
      </c>
    </row>
    <row r="165" spans="1:12" hidden="1" x14ac:dyDescent="0.3">
      <c r="A165" t="s">
        <v>48</v>
      </c>
      <c r="B165" t="s">
        <v>30</v>
      </c>
      <c r="C165" s="4">
        <v>0.372</v>
      </c>
      <c r="D165" s="4">
        <v>0.73247777800000002</v>
      </c>
      <c r="E165">
        <v>5</v>
      </c>
      <c r="F165" s="2">
        <v>6.8471337579617835</v>
      </c>
      <c r="G165" s="2">
        <f t="shared" si="13"/>
        <v>36.822011139444854</v>
      </c>
      <c r="H165" s="2">
        <f t="shared" si="14"/>
        <v>10.213212681919188</v>
      </c>
      <c r="I165" s="2">
        <f t="shared" si="10"/>
        <v>1276.6515852398986</v>
      </c>
      <c r="J165" s="4">
        <f t="shared" si="12"/>
        <v>9.8061567122398472</v>
      </c>
      <c r="K165" s="4">
        <f t="shared" si="11"/>
        <v>1225.7695890299808</v>
      </c>
      <c r="L165">
        <v>8</v>
      </c>
    </row>
    <row r="166" spans="1:12" hidden="1" x14ac:dyDescent="0.3">
      <c r="A166" t="s">
        <v>48</v>
      </c>
      <c r="B166" t="s">
        <v>30</v>
      </c>
      <c r="C166" s="4">
        <v>0.372</v>
      </c>
      <c r="D166" s="4">
        <v>0.73247777800000002</v>
      </c>
      <c r="E166">
        <v>5</v>
      </c>
      <c r="F166" s="2">
        <v>12.420382165605096</v>
      </c>
      <c r="G166" s="2">
        <f t="shared" si="13"/>
        <v>121.16014914677258</v>
      </c>
      <c r="H166" s="2">
        <f t="shared" si="14"/>
        <v>32.658829464642665</v>
      </c>
      <c r="I166" s="2">
        <f t="shared" si="10"/>
        <v>4082.3536830803332</v>
      </c>
      <c r="J166" s="4">
        <f t="shared" si="12"/>
        <v>11.685353129944419</v>
      </c>
      <c r="K166" s="4">
        <f t="shared" si="11"/>
        <v>1460.6691412430523</v>
      </c>
      <c r="L166">
        <v>8</v>
      </c>
    </row>
    <row r="167" spans="1:12" hidden="1" x14ac:dyDescent="0.3">
      <c r="A167" t="s">
        <v>48</v>
      </c>
      <c r="B167" t="s">
        <v>20</v>
      </c>
      <c r="C167" s="4">
        <v>0.74387999999999999</v>
      </c>
      <c r="D167" s="4">
        <v>0.59130000000000005</v>
      </c>
      <c r="E167">
        <v>10</v>
      </c>
      <c r="F167" s="2">
        <v>7.3248407643312099</v>
      </c>
      <c r="G167" s="2">
        <f t="shared" si="13"/>
        <v>42.139197172020175</v>
      </c>
      <c r="H167" s="2">
        <f t="shared" si="14"/>
        <v>18.594547618451539</v>
      </c>
      <c r="I167" s="2">
        <f t="shared" si="10"/>
        <v>2324.3184523064424</v>
      </c>
      <c r="J167" s="4">
        <f t="shared" si="12"/>
        <v>10.863565227798288</v>
      </c>
      <c r="K167" s="4">
        <f t="shared" si="11"/>
        <v>1357.945653474786</v>
      </c>
      <c r="L167">
        <v>8</v>
      </c>
    </row>
    <row r="168" spans="1:12" hidden="1" x14ac:dyDescent="0.3">
      <c r="A168" t="s">
        <v>48</v>
      </c>
      <c r="B168" t="s">
        <v>20</v>
      </c>
      <c r="C168" s="4">
        <v>0.74387999999999999</v>
      </c>
      <c r="D168" s="4">
        <v>0.59130000000000005</v>
      </c>
      <c r="E168">
        <v>8.5</v>
      </c>
      <c r="F168" s="2">
        <v>5.4140127388535033</v>
      </c>
      <c r="G168" s="2">
        <f t="shared" si="13"/>
        <v>23.021224920063954</v>
      </c>
      <c r="H168" s="2">
        <f t="shared" si="14"/>
        <v>8.7951256258393773</v>
      </c>
      <c r="I168" s="2">
        <f t="shared" si="10"/>
        <v>1099.3907032299221</v>
      </c>
      <c r="J168" s="4">
        <f t="shared" si="12"/>
        <v>9.8577181346099234</v>
      </c>
      <c r="K168" s="4">
        <f t="shared" si="11"/>
        <v>1232.2147668262405</v>
      </c>
      <c r="L168">
        <v>8</v>
      </c>
    </row>
    <row r="169" spans="1:12" hidden="1" x14ac:dyDescent="0.3">
      <c r="A169" t="s">
        <v>48</v>
      </c>
      <c r="B169" t="s">
        <v>20</v>
      </c>
      <c r="C169" s="4">
        <v>0.74387999999999999</v>
      </c>
      <c r="D169" s="4">
        <v>0.59130000000000005</v>
      </c>
      <c r="E169">
        <v>7</v>
      </c>
      <c r="F169" s="2">
        <v>3.5668789808917194</v>
      </c>
      <c r="G169" s="2">
        <f t="shared" si="13"/>
        <v>9.9923268303557844</v>
      </c>
      <c r="H169" s="2">
        <f t="shared" si="14"/>
        <v>3.2224200301020121</v>
      </c>
      <c r="I169" s="2">
        <f t="shared" si="10"/>
        <v>402.80250376275148</v>
      </c>
      <c r="J169" s="4">
        <f t="shared" si="12"/>
        <v>9.2974043287760146</v>
      </c>
      <c r="K169" s="4">
        <f t="shared" si="11"/>
        <v>1162.1755410970018</v>
      </c>
      <c r="L169">
        <v>8</v>
      </c>
    </row>
    <row r="170" spans="1:12" hidden="1" x14ac:dyDescent="0.3">
      <c r="A170" t="s">
        <v>48</v>
      </c>
      <c r="B170" t="s">
        <v>20</v>
      </c>
      <c r="C170" s="4">
        <v>0.74387999999999999</v>
      </c>
      <c r="D170" s="4">
        <v>0.59130000000000005</v>
      </c>
      <c r="E170">
        <v>5</v>
      </c>
      <c r="F170" s="2">
        <v>3.6624203821656049</v>
      </c>
      <c r="G170" s="2">
        <f t="shared" si="13"/>
        <v>10.534799293005044</v>
      </c>
      <c r="H170" s="2">
        <f t="shared" si="14"/>
        <v>2.4432605891571972</v>
      </c>
      <c r="I170" s="2">
        <f t="shared" si="10"/>
        <v>305.40757364464963</v>
      </c>
      <c r="J170" s="4">
        <f t="shared" si="12"/>
        <v>9.2204331534747848</v>
      </c>
      <c r="K170" s="4">
        <f t="shared" si="11"/>
        <v>1152.5541441843482</v>
      </c>
      <c r="L170">
        <v>8</v>
      </c>
    </row>
    <row r="171" spans="1:12" hidden="1" x14ac:dyDescent="0.3">
      <c r="A171" t="s">
        <v>48</v>
      </c>
      <c r="B171" t="s">
        <v>27</v>
      </c>
      <c r="C171" s="4">
        <v>0.50857142899999996</v>
      </c>
      <c r="D171" s="4">
        <v>0.49666666700000001</v>
      </c>
      <c r="E171">
        <v>10</v>
      </c>
      <c r="F171" s="2">
        <v>10.668789808917197</v>
      </c>
      <c r="G171" s="2">
        <f t="shared" si="13"/>
        <v>89.396434832324445</v>
      </c>
      <c r="H171" s="2">
        <f t="shared" si="14"/>
        <v>32.677987940821822</v>
      </c>
      <c r="I171" s="2">
        <f t="shared" si="10"/>
        <v>4084.7484926027278</v>
      </c>
      <c r="J171" s="4">
        <f t="shared" si="12"/>
        <v>12.969507659539939</v>
      </c>
      <c r="K171" s="4">
        <f t="shared" si="11"/>
        <v>1621.1884574424923</v>
      </c>
      <c r="L171">
        <v>8</v>
      </c>
    </row>
    <row r="172" spans="1:12" hidden="1" x14ac:dyDescent="0.3">
      <c r="A172" t="s">
        <v>48</v>
      </c>
      <c r="B172" t="s">
        <v>27</v>
      </c>
      <c r="C172" s="4">
        <v>0.50857142899999996</v>
      </c>
      <c r="D172" s="4">
        <v>0.49666666700000001</v>
      </c>
      <c r="E172">
        <v>9</v>
      </c>
      <c r="F172" s="2">
        <v>13.375796178343949</v>
      </c>
      <c r="G172" s="2">
        <f t="shared" si="13"/>
        <v>140.51709605187824</v>
      </c>
      <c r="H172" s="2">
        <f t="shared" si="14"/>
        <v>45.844912577572472</v>
      </c>
      <c r="I172" s="2">
        <f t="shared" si="10"/>
        <v>5730.6140721965594</v>
      </c>
      <c r="J172" s="4">
        <f t="shared" si="12"/>
        <v>14.621425587244918</v>
      </c>
      <c r="K172" s="4">
        <f t="shared" si="11"/>
        <v>1827.6781984056147</v>
      </c>
      <c r="L172">
        <v>8</v>
      </c>
    </row>
    <row r="173" spans="1:12" hidden="1" x14ac:dyDescent="0.3">
      <c r="A173" t="s">
        <v>48</v>
      </c>
      <c r="B173" t="s">
        <v>22</v>
      </c>
      <c r="C173" s="4">
        <v>0.43836446099999998</v>
      </c>
      <c r="D173" s="4">
        <v>0.58666666700000003</v>
      </c>
      <c r="E173">
        <v>7</v>
      </c>
      <c r="F173" s="2">
        <v>12.579617834394904</v>
      </c>
      <c r="G173" s="2">
        <f t="shared" si="13"/>
        <v>124.28673419214456</v>
      </c>
      <c r="H173" s="2">
        <f t="shared" si="14"/>
        <v>37.439636912494116</v>
      </c>
      <c r="I173" s="2">
        <f t="shared" si="10"/>
        <v>4679.9546140617649</v>
      </c>
      <c r="J173" s="4">
        <f t="shared" si="12"/>
        <v>12.862746229055944</v>
      </c>
      <c r="K173" s="4">
        <f t="shared" si="11"/>
        <v>1607.8432786319929</v>
      </c>
      <c r="L173">
        <v>8</v>
      </c>
    </row>
    <row r="174" spans="1:12" hidden="1" x14ac:dyDescent="0.3">
      <c r="A174" t="s">
        <v>48</v>
      </c>
      <c r="B174" t="s">
        <v>22</v>
      </c>
      <c r="C174" s="4">
        <v>0.43836446099999998</v>
      </c>
      <c r="D174" s="4">
        <v>0.58666666700000003</v>
      </c>
      <c r="E174">
        <v>6</v>
      </c>
      <c r="F174" s="2">
        <v>14.808917197452228</v>
      </c>
      <c r="G174" s="2">
        <f t="shared" si="13"/>
        <v>172.24098125746809</v>
      </c>
      <c r="H174" s="2">
        <f t="shared" si="14"/>
        <v>44.28964456909771</v>
      </c>
      <c r="I174" s="2">
        <f t="shared" si="10"/>
        <v>5536.2055711372141</v>
      </c>
      <c r="J174" s="4">
        <f t="shared" si="12"/>
        <v>13.591084599780924</v>
      </c>
      <c r="K174" s="4">
        <f t="shared" si="11"/>
        <v>1698.8855749726156</v>
      </c>
      <c r="L174">
        <v>8</v>
      </c>
    </row>
    <row r="175" spans="1:12" hidden="1" x14ac:dyDescent="0.3">
      <c r="A175" t="s">
        <v>48</v>
      </c>
      <c r="B175" t="s">
        <v>22</v>
      </c>
      <c r="C175" s="4">
        <v>0.43836446099999998</v>
      </c>
      <c r="D175" s="4">
        <v>0.58666666700000003</v>
      </c>
      <c r="E175">
        <v>6</v>
      </c>
      <c r="F175" s="2">
        <v>12.929936305732484</v>
      </c>
      <c r="G175" s="2">
        <f t="shared" si="13"/>
        <v>131.30541975514402</v>
      </c>
      <c r="H175" s="2">
        <f t="shared" si="14"/>
        <v>33.984184161053456</v>
      </c>
      <c r="I175" s="2">
        <f t="shared" si="10"/>
        <v>4248.0230201316817</v>
      </c>
      <c r="J175" s="4">
        <f t="shared" si="12"/>
        <v>12.496548310276278</v>
      </c>
      <c r="K175" s="4">
        <f t="shared" si="11"/>
        <v>1562.0685387845347</v>
      </c>
      <c r="L175">
        <v>8</v>
      </c>
    </row>
    <row r="176" spans="1:12" hidden="1" x14ac:dyDescent="0.3">
      <c r="A176" t="s">
        <v>48</v>
      </c>
      <c r="B176" t="s">
        <v>22</v>
      </c>
      <c r="C176" s="4">
        <v>0.43836446099999998</v>
      </c>
      <c r="D176" s="4">
        <v>0.58666666700000003</v>
      </c>
      <c r="E176">
        <v>5.5</v>
      </c>
      <c r="F176" s="2">
        <v>3.121019108280255</v>
      </c>
      <c r="G176" s="2">
        <f t="shared" si="13"/>
        <v>7.65037522949115</v>
      </c>
      <c r="H176" s="2">
        <f t="shared" si="14"/>
        <v>1.9472678577646125</v>
      </c>
      <c r="I176" s="2">
        <f t="shared" si="10"/>
        <v>243.40848222057656</v>
      </c>
      <c r="J176" s="4">
        <f t="shared" si="12"/>
        <v>9.1732096352793207</v>
      </c>
      <c r="K176" s="4">
        <f t="shared" si="11"/>
        <v>1146.6512044099152</v>
      </c>
      <c r="L176">
        <v>8</v>
      </c>
    </row>
    <row r="177" spans="1:12" hidden="1" x14ac:dyDescent="0.3">
      <c r="A177" t="s">
        <v>48</v>
      </c>
      <c r="B177" t="s">
        <v>22</v>
      </c>
      <c r="C177" s="4">
        <v>0.43836446099999998</v>
      </c>
      <c r="D177" s="4">
        <v>0.58666666700000003</v>
      </c>
      <c r="E177">
        <v>4.5</v>
      </c>
      <c r="F177" s="2">
        <v>8.2802547770700627</v>
      </c>
      <c r="G177" s="2">
        <f t="shared" si="13"/>
        <v>53.848955176343352</v>
      </c>
      <c r="H177" s="2">
        <f t="shared" si="14"/>
        <v>10.752805724453451</v>
      </c>
      <c r="I177" s="2">
        <f t="shared" si="10"/>
        <v>1344.1007155566813</v>
      </c>
      <c r="J177" s="4">
        <f t="shared" si="12"/>
        <v>10.065561251977767</v>
      </c>
      <c r="K177" s="4">
        <f t="shared" si="11"/>
        <v>1258.195156497221</v>
      </c>
      <c r="L177">
        <v>8</v>
      </c>
    </row>
    <row r="178" spans="1:12" hidden="1" x14ac:dyDescent="0.3">
      <c r="A178" t="s">
        <v>48</v>
      </c>
      <c r="B178" t="s">
        <v>47</v>
      </c>
      <c r="C178" s="4">
        <v>0.40238543599999999</v>
      </c>
      <c r="D178" s="4">
        <v>0.40883333300000002</v>
      </c>
      <c r="E178">
        <v>8</v>
      </c>
      <c r="F178" s="2">
        <v>13.694267515923567</v>
      </c>
      <c r="G178" s="2">
        <f t="shared" si="13"/>
        <v>147.28804455777941</v>
      </c>
      <c r="H178" s="2">
        <f t="shared" si="14"/>
        <v>35.385377254141616</v>
      </c>
      <c r="I178" s="2">
        <f t="shared" si="10"/>
        <v>4423.1721567677023</v>
      </c>
      <c r="J178" s="4">
        <f t="shared" si="12"/>
        <v>14.236622958335023</v>
      </c>
      <c r="K178" s="4">
        <f t="shared" si="11"/>
        <v>1779.5778697918779</v>
      </c>
      <c r="L178">
        <v>8</v>
      </c>
    </row>
    <row r="179" spans="1:12" hidden="1" x14ac:dyDescent="0.3">
      <c r="A179" t="s">
        <v>48</v>
      </c>
      <c r="B179" t="s">
        <v>23</v>
      </c>
      <c r="C179" s="4">
        <v>0.76500000000000001</v>
      </c>
      <c r="D179" s="4">
        <v>0.61247410899999999</v>
      </c>
      <c r="E179">
        <v>8</v>
      </c>
      <c r="F179" s="2">
        <v>18.630573248407643</v>
      </c>
      <c r="G179" s="2">
        <f t="shared" si="13"/>
        <v>272.61033558023826</v>
      </c>
      <c r="H179" s="2">
        <f t="shared" si="14"/>
        <v>95.743676040240118</v>
      </c>
      <c r="I179" s="2">
        <f t="shared" si="10"/>
        <v>11967.959505030014</v>
      </c>
      <c r="J179" s="4">
        <f t="shared" si="12"/>
        <v>18.704451267799911</v>
      </c>
      <c r="K179" s="4">
        <f t="shared" si="11"/>
        <v>2338.056408474989</v>
      </c>
      <c r="L179">
        <v>8</v>
      </c>
    </row>
    <row r="180" spans="1:12" hidden="1" x14ac:dyDescent="0.3">
      <c r="A180" t="s">
        <v>48</v>
      </c>
      <c r="B180" t="s">
        <v>49</v>
      </c>
      <c r="C180" s="4">
        <v>0.57917600000000002</v>
      </c>
      <c r="D180" s="4">
        <v>0.60285714300000004</v>
      </c>
      <c r="E180">
        <v>6</v>
      </c>
      <c r="F180" s="2">
        <v>10.350318471337578</v>
      </c>
      <c r="G180" s="2">
        <f t="shared" si="13"/>
        <v>84.138992463036487</v>
      </c>
      <c r="H180" s="2">
        <f t="shared" si="14"/>
        <v>22.603182801842905</v>
      </c>
      <c r="I180" s="2">
        <f t="shared" si="10"/>
        <v>2825.397850230363</v>
      </c>
      <c r="J180" s="4">
        <f t="shared" si="12"/>
        <v>11.23541094162035</v>
      </c>
      <c r="K180" s="4">
        <f t="shared" si="11"/>
        <v>1404.4263677025438</v>
      </c>
      <c r="L180">
        <v>8</v>
      </c>
    </row>
    <row r="181" spans="1:12" hidden="1" x14ac:dyDescent="0.3">
      <c r="A181" t="s">
        <v>48</v>
      </c>
      <c r="B181" t="s">
        <v>24</v>
      </c>
      <c r="C181" s="4">
        <v>0.41240947999999999</v>
      </c>
      <c r="D181" s="4">
        <v>0.52705000000000002</v>
      </c>
      <c r="E181">
        <v>7</v>
      </c>
      <c r="F181" s="2">
        <v>8.4394904458598727</v>
      </c>
      <c r="G181" s="2">
        <f t="shared" si="13"/>
        <v>55.939983391401071</v>
      </c>
      <c r="H181" s="2">
        <f t="shared" si="14"/>
        <v>15.471321043351168</v>
      </c>
      <c r="I181" s="2">
        <f t="shared" si="10"/>
        <v>1933.9151304188958</v>
      </c>
      <c r="J181" s="4">
        <f t="shared" si="12"/>
        <v>10.730712475151121</v>
      </c>
      <c r="K181" s="4">
        <f t="shared" si="11"/>
        <v>1341.33905939389</v>
      </c>
      <c r="L181">
        <v>8</v>
      </c>
    </row>
    <row r="182" spans="1:12" hidden="1" x14ac:dyDescent="0.3">
      <c r="A182" t="s">
        <v>48</v>
      </c>
      <c r="B182" t="s">
        <v>24</v>
      </c>
      <c r="C182" s="4">
        <v>0.41240947999999999</v>
      </c>
      <c r="D182" s="4">
        <v>0.52705000000000002</v>
      </c>
      <c r="E182">
        <v>6</v>
      </c>
      <c r="F182" s="2">
        <v>4.6815286624203818</v>
      </c>
      <c r="G182" s="2">
        <f t="shared" si="13"/>
        <v>17.213344266355083</v>
      </c>
      <c r="H182" s="2">
        <f t="shared" si="14"/>
        <v>4.2132266544569523</v>
      </c>
      <c r="I182" s="2">
        <f t="shared" si="10"/>
        <v>526.653331807119</v>
      </c>
      <c r="J182" s="4">
        <f t="shared" si="12"/>
        <v>9.4459509229583354</v>
      </c>
      <c r="K182" s="4">
        <f t="shared" si="11"/>
        <v>1180.7438653697918</v>
      </c>
      <c r="L182">
        <v>8</v>
      </c>
    </row>
    <row r="183" spans="1:12" hidden="1" x14ac:dyDescent="0.3">
      <c r="A183" t="s">
        <v>48</v>
      </c>
      <c r="B183" t="s">
        <v>24</v>
      </c>
      <c r="C183" s="4">
        <v>0.41240947999999999</v>
      </c>
      <c r="D183" s="4">
        <v>0.52705000000000002</v>
      </c>
      <c r="E183">
        <v>6</v>
      </c>
      <c r="F183" s="2">
        <v>3.7898089171974521</v>
      </c>
      <c r="G183" s="2">
        <f t="shared" si="13"/>
        <v>11.280400210831337</v>
      </c>
      <c r="H183" s="2">
        <f t="shared" si="14"/>
        <v>2.7891961318658836</v>
      </c>
      <c r="I183" s="2">
        <f t="shared" si="10"/>
        <v>348.64951648323546</v>
      </c>
      <c r="J183" s="4">
        <f t="shared" si="12"/>
        <v>9.2873156842062556</v>
      </c>
      <c r="K183" s="4">
        <f t="shared" si="11"/>
        <v>1160.914460525782</v>
      </c>
      <c r="L183">
        <v>8</v>
      </c>
    </row>
    <row r="184" spans="1:12" hidden="1" x14ac:dyDescent="0.3">
      <c r="A184" t="s">
        <v>48</v>
      </c>
      <c r="B184" t="s">
        <v>24</v>
      </c>
      <c r="C184" s="4">
        <v>0.41240947999999999</v>
      </c>
      <c r="D184" s="4">
        <v>0.52705000000000002</v>
      </c>
      <c r="E184">
        <v>5</v>
      </c>
      <c r="F184" s="2">
        <v>4.936305732484076</v>
      </c>
      <c r="G184" s="2">
        <f t="shared" si="13"/>
        <v>19.137886806385342</v>
      </c>
      <c r="H184" s="2">
        <f t="shared" si="14"/>
        <v>3.9107311827681963</v>
      </c>
      <c r="I184" s="2">
        <f t="shared" si="10"/>
        <v>488.84139784602456</v>
      </c>
      <c r="J184" s="4">
        <f t="shared" si="12"/>
        <v>9.4121244999797149</v>
      </c>
      <c r="K184" s="4">
        <f t="shared" si="11"/>
        <v>1176.5155624974643</v>
      </c>
      <c r="L184">
        <v>8</v>
      </c>
    </row>
    <row r="185" spans="1:12" hidden="1" x14ac:dyDescent="0.3">
      <c r="A185" t="s">
        <v>50</v>
      </c>
      <c r="B185" t="s">
        <v>51</v>
      </c>
      <c r="C185" s="4">
        <v>0.40257753800000001</v>
      </c>
      <c r="D185" s="4">
        <v>0.40843333300000001</v>
      </c>
      <c r="E185">
        <v>7</v>
      </c>
      <c r="F185" s="4">
        <v>14.490445859872612</v>
      </c>
      <c r="G185" s="2">
        <f t="shared" si="13"/>
        <v>164.91242522755155</v>
      </c>
      <c r="H185" s="2">
        <f t="shared" si="14"/>
        <v>34.651065596872719</v>
      </c>
      <c r="I185" s="2">
        <f t="shared" si="10"/>
        <v>8662.7663992181806</v>
      </c>
      <c r="J185" s="4">
        <f t="shared" si="12"/>
        <v>14.130039019838533</v>
      </c>
      <c r="K185" s="4">
        <f t="shared" si="11"/>
        <v>3532.509754959633</v>
      </c>
      <c r="L185">
        <v>4</v>
      </c>
    </row>
    <row r="186" spans="1:12" hidden="1" x14ac:dyDescent="0.3">
      <c r="A186" t="s">
        <v>50</v>
      </c>
      <c r="B186" t="s">
        <v>51</v>
      </c>
      <c r="C186" s="4">
        <v>0.40257753800000001</v>
      </c>
      <c r="D186" s="4">
        <v>0.40843333300000001</v>
      </c>
      <c r="E186">
        <v>7</v>
      </c>
      <c r="F186" s="4">
        <v>8.7898089171974529</v>
      </c>
      <c r="G186" s="2">
        <f t="shared" si="13"/>
        <v>60.680443927709064</v>
      </c>
      <c r="H186" s="2">
        <f t="shared" si="14"/>
        <v>13.05969025389218</v>
      </c>
      <c r="I186" s="2">
        <f t="shared" si="10"/>
        <v>3264.9225634730451</v>
      </c>
      <c r="J186" s="4">
        <f t="shared" si="12"/>
        <v>10.878588149620674</v>
      </c>
      <c r="K186" s="4">
        <f t="shared" si="11"/>
        <v>2719.6470374051682</v>
      </c>
      <c r="L186">
        <v>4</v>
      </c>
    </row>
    <row r="187" spans="1:12" hidden="1" x14ac:dyDescent="0.3">
      <c r="A187" t="s">
        <v>50</v>
      </c>
      <c r="B187" t="s">
        <v>26</v>
      </c>
      <c r="C187" s="4">
        <v>0.80908761900000004</v>
      </c>
      <c r="D187" s="4">
        <v>0.87473809499999999</v>
      </c>
      <c r="E187">
        <v>8</v>
      </c>
      <c r="F187" s="4">
        <v>22.643312101910826</v>
      </c>
      <c r="G187" s="2">
        <f t="shared" si="13"/>
        <v>402.68901878254832</v>
      </c>
      <c r="H187" s="2">
        <f t="shared" si="14"/>
        <v>198.4022745208932</v>
      </c>
      <c r="I187" s="2">
        <f t="shared" si="10"/>
        <v>49600.568630223301</v>
      </c>
      <c r="J187" s="4">
        <f t="shared" si="12"/>
        <v>23.341848322447156</v>
      </c>
      <c r="K187" s="4">
        <f t="shared" si="11"/>
        <v>5835.4620806117891</v>
      </c>
      <c r="L187">
        <v>4</v>
      </c>
    </row>
    <row r="188" spans="1:12" hidden="1" x14ac:dyDescent="0.3">
      <c r="A188" t="s">
        <v>50</v>
      </c>
      <c r="B188" t="s">
        <v>52</v>
      </c>
      <c r="C188" s="4">
        <v>0.78445916699999996</v>
      </c>
      <c r="D188" s="4">
        <v>0.87841666699999998</v>
      </c>
      <c r="E188">
        <v>3.5</v>
      </c>
      <c r="F188" s="4">
        <v>3.7579617834394905</v>
      </c>
      <c r="G188" s="2">
        <f t="shared" si="13"/>
        <v>11.091610234843269</v>
      </c>
      <c r="H188" s="2">
        <f t="shared" si="14"/>
        <v>2.6692191658454902</v>
      </c>
      <c r="I188" s="2">
        <f t="shared" si="10"/>
        <v>667.30479146137259</v>
      </c>
      <c r="J188" s="4">
        <f t="shared" si="12"/>
        <v>9.1586978903809477</v>
      </c>
      <c r="K188" s="4">
        <f t="shared" si="11"/>
        <v>2289.6744725952371</v>
      </c>
      <c r="L188">
        <v>4</v>
      </c>
    </row>
    <row r="189" spans="1:12" hidden="1" x14ac:dyDescent="0.3">
      <c r="A189" t="s">
        <v>50</v>
      </c>
      <c r="B189" t="s">
        <v>53</v>
      </c>
      <c r="C189" s="4">
        <v>0.63206279899999995</v>
      </c>
      <c r="D189" s="4">
        <v>0.75690909100000003</v>
      </c>
      <c r="E189">
        <v>3</v>
      </c>
      <c r="F189" s="4">
        <v>3.7261146496815285</v>
      </c>
      <c r="G189" s="2">
        <f t="shared" si="13"/>
        <v>10.904413423209531</v>
      </c>
      <c r="H189" s="2">
        <f t="shared" si="14"/>
        <v>1.9530987859003874</v>
      </c>
      <c r="I189" s="2">
        <f t="shared" si="10"/>
        <v>488.27469647509685</v>
      </c>
      <c r="J189" s="4">
        <f t="shared" si="12"/>
        <v>9.131481269016998</v>
      </c>
      <c r="K189" s="4">
        <f t="shared" si="11"/>
        <v>2282.8703172542496</v>
      </c>
      <c r="L189">
        <v>4</v>
      </c>
    </row>
    <row r="190" spans="1:12" hidden="1" x14ac:dyDescent="0.3">
      <c r="A190" t="s">
        <v>50</v>
      </c>
      <c r="B190" t="s">
        <v>54</v>
      </c>
      <c r="C190" s="4">
        <v>0.53</v>
      </c>
      <c r="D190" s="4">
        <v>0.54764999999999997</v>
      </c>
      <c r="E190">
        <v>5</v>
      </c>
      <c r="F190" s="4">
        <v>24.331210191082803</v>
      </c>
      <c r="G190" s="2">
        <f t="shared" si="13"/>
        <v>464.96183048241005</v>
      </c>
      <c r="H190" s="2">
        <f t="shared" si="14"/>
        <v>91.365107417244872</v>
      </c>
      <c r="I190" s="2">
        <f t="shared" si="10"/>
        <v>22841.276854311218</v>
      </c>
      <c r="J190" s="4">
        <f t="shared" si="12"/>
        <v>19.345836313846405</v>
      </c>
      <c r="K190" s="4">
        <f t="shared" si="11"/>
        <v>4836.4590784616012</v>
      </c>
      <c r="L190">
        <v>4</v>
      </c>
    </row>
    <row r="191" spans="1:12" hidden="1" x14ac:dyDescent="0.3">
      <c r="A191" t="s">
        <v>50</v>
      </c>
      <c r="B191" t="s">
        <v>55</v>
      </c>
      <c r="C191" s="4">
        <v>0.52500000000000002</v>
      </c>
      <c r="D191" s="4">
        <v>0.52500000000000002</v>
      </c>
      <c r="E191">
        <v>5</v>
      </c>
      <c r="F191" s="4">
        <v>14.108280254777069</v>
      </c>
      <c r="G191" s="2">
        <f t="shared" si="13"/>
        <v>156.32845568642318</v>
      </c>
      <c r="H191" s="2">
        <f t="shared" si="14"/>
        <v>30.259285509510391</v>
      </c>
      <c r="I191" s="2">
        <f t="shared" si="10"/>
        <v>7564.8213773775979</v>
      </c>
      <c r="J191" s="4">
        <f t="shared" si="12"/>
        <v>12.468962505578318</v>
      </c>
      <c r="K191" s="4">
        <f t="shared" si="11"/>
        <v>3117.2406263945795</v>
      </c>
      <c r="L191">
        <v>4</v>
      </c>
    </row>
    <row r="192" spans="1:12" hidden="1" x14ac:dyDescent="0.3">
      <c r="A192" t="s">
        <v>50</v>
      </c>
      <c r="B192" t="s">
        <v>55</v>
      </c>
      <c r="C192" s="4">
        <v>0.52500000000000002</v>
      </c>
      <c r="D192" s="4">
        <v>0.52500000000000002</v>
      </c>
      <c r="E192">
        <v>5</v>
      </c>
      <c r="F192" s="4">
        <v>42.834394904458598</v>
      </c>
      <c r="G192" s="2">
        <f t="shared" si="13"/>
        <v>1441.0370730456295</v>
      </c>
      <c r="H192" s="2">
        <f t="shared" si="14"/>
        <v>264.4505621633084</v>
      </c>
      <c r="I192" s="2">
        <f t="shared" si="10"/>
        <v>66112.640540827095</v>
      </c>
      <c r="J192" s="4">
        <f t="shared" si="12"/>
        <v>41.094444269544404</v>
      </c>
      <c r="K192" s="4">
        <f t="shared" si="11"/>
        <v>10273.6110673861</v>
      </c>
      <c r="L192">
        <v>4</v>
      </c>
    </row>
    <row r="193" spans="1:12" hidden="1" x14ac:dyDescent="0.3">
      <c r="A193" t="s">
        <v>50</v>
      </c>
      <c r="B193" t="s">
        <v>56</v>
      </c>
      <c r="C193" s="4">
        <v>0.39984676499999999</v>
      </c>
      <c r="D193" s="4">
        <v>0.450333333</v>
      </c>
      <c r="E193">
        <v>7</v>
      </c>
      <c r="F193" s="4">
        <v>17.070063694267517</v>
      </c>
      <c r="G193" s="2">
        <f t="shared" si="13"/>
        <v>228.85487317075069</v>
      </c>
      <c r="H193" s="2">
        <f t="shared" si="14"/>
        <v>52.481111383480709</v>
      </c>
      <c r="I193" s="2">
        <f t="shared" si="10"/>
        <v>13120.277845870178</v>
      </c>
      <c r="J193" s="4">
        <f t="shared" si="12"/>
        <v>16.124683325895575</v>
      </c>
      <c r="K193" s="4">
        <f t="shared" si="11"/>
        <v>4031.1708314738935</v>
      </c>
      <c r="L193">
        <v>4</v>
      </c>
    </row>
    <row r="194" spans="1:12" hidden="1" x14ac:dyDescent="0.3">
      <c r="A194" t="s">
        <v>50</v>
      </c>
      <c r="B194" t="s">
        <v>57</v>
      </c>
      <c r="C194" s="4">
        <v>0.61</v>
      </c>
      <c r="D194" s="4">
        <v>0.84088888900000003</v>
      </c>
      <c r="E194">
        <v>6.5</v>
      </c>
      <c r="F194" s="4">
        <v>61.178343949044589</v>
      </c>
      <c r="G194" s="2">
        <f t="shared" si="13"/>
        <v>2939.5802100429664</v>
      </c>
      <c r="H194" s="2">
        <f t="shared" si="14"/>
        <v>1084.9310304152698</v>
      </c>
      <c r="I194" s="2">
        <f t="shared" ref="I194:I257" si="15">(H194*1000)/L194</f>
        <v>271232.75760381744</v>
      </c>
      <c r="J194" s="4">
        <f t="shared" si="12"/>
        <v>94.134167229907916</v>
      </c>
      <c r="K194" s="4">
        <f t="shared" ref="K194:K257" si="16">(J194*1000)/L194</f>
        <v>23533.54180747698</v>
      </c>
      <c r="L194">
        <v>4</v>
      </c>
    </row>
    <row r="195" spans="1:12" hidden="1" x14ac:dyDescent="0.3">
      <c r="A195" t="s">
        <v>50</v>
      </c>
      <c r="B195" t="s">
        <v>20</v>
      </c>
      <c r="C195" s="4">
        <v>0.74387999999999999</v>
      </c>
      <c r="D195" s="4">
        <v>0.59130000000000005</v>
      </c>
      <c r="E195">
        <v>8</v>
      </c>
      <c r="F195" s="4">
        <v>9.936305732484076</v>
      </c>
      <c r="G195" s="2">
        <f t="shared" si="13"/>
        <v>77.542495453934436</v>
      </c>
      <c r="H195" s="2">
        <f t="shared" si="14"/>
        <v>27.120548951885002</v>
      </c>
      <c r="I195" s="2">
        <f t="shared" si="15"/>
        <v>6780.1372379712502</v>
      </c>
      <c r="J195" s="4">
        <f t="shared" ref="J195:J258" si="17">8.9857 + 0.0035 * F195^2 * E195</f>
        <v>11.750144805063085</v>
      </c>
      <c r="K195" s="4">
        <f t="shared" si="16"/>
        <v>2937.5362012657715</v>
      </c>
      <c r="L195">
        <v>4</v>
      </c>
    </row>
    <row r="196" spans="1:12" hidden="1" x14ac:dyDescent="0.3">
      <c r="A196" t="s">
        <v>50</v>
      </c>
      <c r="B196" t="s">
        <v>58</v>
      </c>
      <c r="C196" s="4">
        <v>0.371297506</v>
      </c>
      <c r="D196" s="4">
        <v>0.35258402799999999</v>
      </c>
      <c r="E196">
        <v>7</v>
      </c>
      <c r="F196" s="4">
        <v>9.3312101910828016</v>
      </c>
      <c r="G196" s="2">
        <f t="shared" ref="G196:G259" si="18">PI()*(F196/2)^2</f>
        <v>68.385783327424562</v>
      </c>
      <c r="H196" s="2">
        <f t="shared" ref="H196:H259" si="19">0.0673 * ((D196 * F196^2 * E196)^0.976)</f>
        <v>12.713876980196423</v>
      </c>
      <c r="I196" s="2">
        <f t="shared" si="15"/>
        <v>3178.4692450491057</v>
      </c>
      <c r="J196" s="4">
        <f t="shared" si="17"/>
        <v>11.118951348939104</v>
      </c>
      <c r="K196" s="4">
        <f t="shared" si="16"/>
        <v>2779.7378372347762</v>
      </c>
      <c r="L196">
        <v>4</v>
      </c>
    </row>
    <row r="197" spans="1:12" hidden="1" x14ac:dyDescent="0.3">
      <c r="A197" t="s">
        <v>50</v>
      </c>
      <c r="B197" t="s">
        <v>58</v>
      </c>
      <c r="C197" s="4">
        <v>0.371297506</v>
      </c>
      <c r="D197" s="4">
        <v>0.35258402799999999</v>
      </c>
      <c r="E197">
        <v>7</v>
      </c>
      <c r="F197" s="4">
        <v>23.503184713375795</v>
      </c>
      <c r="G197" s="2">
        <f t="shared" si="18"/>
        <v>433.85370329976854</v>
      </c>
      <c r="H197" s="2">
        <f t="shared" si="19"/>
        <v>77.161103188816554</v>
      </c>
      <c r="I197" s="2">
        <f t="shared" si="15"/>
        <v>19290.27579720414</v>
      </c>
      <c r="J197" s="4">
        <f t="shared" si="17"/>
        <v>22.519492445941012</v>
      </c>
      <c r="K197" s="4">
        <f t="shared" si="16"/>
        <v>5629.8731114852526</v>
      </c>
      <c r="L197">
        <v>4</v>
      </c>
    </row>
    <row r="198" spans="1:12" hidden="1" x14ac:dyDescent="0.3">
      <c r="A198" t="s">
        <v>59</v>
      </c>
      <c r="B198" t="s">
        <v>26</v>
      </c>
      <c r="C198" s="4">
        <v>0.80908761900000004</v>
      </c>
      <c r="D198" s="4">
        <v>0.87473809499999999</v>
      </c>
      <c r="E198">
        <v>4.5</v>
      </c>
      <c r="F198" s="4">
        <v>10.350318471337578</v>
      </c>
      <c r="G198" s="2">
        <f t="shared" si="18"/>
        <v>84.138992463036487</v>
      </c>
      <c r="H198" s="2">
        <f t="shared" si="19"/>
        <v>24.547829197649403</v>
      </c>
      <c r="I198" s="2">
        <f t="shared" si="15"/>
        <v>6136.9572994123509</v>
      </c>
      <c r="J198" s="4">
        <f t="shared" si="17"/>
        <v>10.672983206215262</v>
      </c>
      <c r="K198" s="4">
        <f t="shared" si="16"/>
        <v>2668.2458015538155</v>
      </c>
      <c r="L198">
        <v>4</v>
      </c>
    </row>
    <row r="199" spans="1:12" hidden="1" x14ac:dyDescent="0.3">
      <c r="A199" t="s">
        <v>59</v>
      </c>
      <c r="B199" t="s">
        <v>60</v>
      </c>
      <c r="C199" s="4">
        <v>0.41</v>
      </c>
      <c r="D199" s="4">
        <v>0.33983503399999998</v>
      </c>
      <c r="E199">
        <v>5.5</v>
      </c>
      <c r="F199" s="4">
        <v>16.97452229299363</v>
      </c>
      <c r="G199" s="2">
        <f t="shared" si="18"/>
        <v>226.30023412858299</v>
      </c>
      <c r="H199" s="2">
        <f t="shared" si="19"/>
        <v>31.16675602764964</v>
      </c>
      <c r="I199" s="2">
        <f t="shared" si="15"/>
        <v>7791.6890069124102</v>
      </c>
      <c r="J199" s="4">
        <f t="shared" si="17"/>
        <v>14.53228733620025</v>
      </c>
      <c r="K199" s="4">
        <f t="shared" si="16"/>
        <v>3633.0718340500625</v>
      </c>
      <c r="L199">
        <v>4</v>
      </c>
    </row>
    <row r="200" spans="1:12" hidden="1" x14ac:dyDescent="0.3">
      <c r="A200" t="s">
        <v>59</v>
      </c>
      <c r="B200" t="s">
        <v>61</v>
      </c>
      <c r="C200" s="4">
        <v>0.9</v>
      </c>
      <c r="D200" s="4">
        <v>0.61247410899999999</v>
      </c>
      <c r="E200">
        <v>4</v>
      </c>
      <c r="F200" s="4">
        <v>5.5732484076433115</v>
      </c>
      <c r="G200" s="2">
        <f t="shared" si="18"/>
        <v>24.395329175673304</v>
      </c>
      <c r="H200" s="2">
        <f t="shared" si="19"/>
        <v>4.6155859503181826</v>
      </c>
      <c r="I200" s="2">
        <f t="shared" si="15"/>
        <v>1153.8964875795457</v>
      </c>
      <c r="J200" s="4">
        <f t="shared" si="17"/>
        <v>9.4205553693861823</v>
      </c>
      <c r="K200" s="4">
        <f t="shared" si="16"/>
        <v>2355.1388423465455</v>
      </c>
      <c r="L200">
        <v>4</v>
      </c>
    </row>
    <row r="201" spans="1:12" hidden="1" x14ac:dyDescent="0.3">
      <c r="A201" t="s">
        <v>59</v>
      </c>
      <c r="B201" t="s">
        <v>61</v>
      </c>
      <c r="C201" s="4">
        <v>0.9</v>
      </c>
      <c r="D201" s="4">
        <v>0.61247410899999999</v>
      </c>
      <c r="E201">
        <v>4</v>
      </c>
      <c r="F201" s="4">
        <v>10.127388535031846</v>
      </c>
      <c r="G201" s="2">
        <f t="shared" si="18"/>
        <v>80.553576083617529</v>
      </c>
      <c r="H201" s="2">
        <f t="shared" si="19"/>
        <v>14.809974470345026</v>
      </c>
      <c r="I201" s="2">
        <f t="shared" si="15"/>
        <v>3702.4936175862563</v>
      </c>
      <c r="J201" s="4">
        <f t="shared" si="17"/>
        <v>10.421595979552922</v>
      </c>
      <c r="K201" s="4">
        <f t="shared" si="16"/>
        <v>2605.3989948882304</v>
      </c>
      <c r="L201">
        <v>4</v>
      </c>
    </row>
    <row r="202" spans="1:12" hidden="1" x14ac:dyDescent="0.3">
      <c r="A202" t="s">
        <v>59</v>
      </c>
      <c r="B202" t="s">
        <v>41</v>
      </c>
      <c r="C202" s="4">
        <v>0.56193137999999998</v>
      </c>
      <c r="D202" s="4">
        <v>0.57808694400000005</v>
      </c>
      <c r="E202">
        <v>5</v>
      </c>
      <c r="F202" s="4">
        <v>20.159235668789808</v>
      </c>
      <c r="G202" s="2">
        <f t="shared" si="18"/>
        <v>319.18171598600367</v>
      </c>
      <c r="H202" s="2">
        <f t="shared" si="19"/>
        <v>66.718839330385379</v>
      </c>
      <c r="I202" s="2">
        <f t="shared" si="15"/>
        <v>16679.709832596345</v>
      </c>
      <c r="J202" s="4">
        <f t="shared" si="17"/>
        <v>16.097608698121626</v>
      </c>
      <c r="K202" s="4">
        <f t="shared" si="16"/>
        <v>4024.4021745304062</v>
      </c>
      <c r="L202">
        <v>4</v>
      </c>
    </row>
    <row r="203" spans="1:12" hidden="1" x14ac:dyDescent="0.3">
      <c r="A203" t="s">
        <v>59</v>
      </c>
      <c r="B203" t="s">
        <v>56</v>
      </c>
      <c r="C203" s="4">
        <v>0.39984676499999999</v>
      </c>
      <c r="D203" s="4">
        <v>0.450333333</v>
      </c>
      <c r="E203">
        <v>7</v>
      </c>
      <c r="F203" s="4">
        <v>13.439490445859873</v>
      </c>
      <c r="G203" s="2">
        <f t="shared" si="18"/>
        <v>141.85854043822386</v>
      </c>
      <c r="H203" s="2">
        <f t="shared" si="19"/>
        <v>32.906618648879373</v>
      </c>
      <c r="I203" s="2">
        <f t="shared" si="15"/>
        <v>8226.6546622198439</v>
      </c>
      <c r="J203" s="4">
        <f t="shared" si="17"/>
        <v>13.410887634386789</v>
      </c>
      <c r="K203" s="4">
        <f t="shared" si="16"/>
        <v>3352.7219085966972</v>
      </c>
      <c r="L203">
        <v>4</v>
      </c>
    </row>
    <row r="204" spans="1:12" hidden="1" x14ac:dyDescent="0.3">
      <c r="A204" t="s">
        <v>59</v>
      </c>
      <c r="B204" t="s">
        <v>38</v>
      </c>
      <c r="C204" s="4">
        <v>1082380952</v>
      </c>
      <c r="D204" s="4">
        <v>0.61247410899999999</v>
      </c>
      <c r="E204">
        <v>6.5</v>
      </c>
      <c r="F204" s="4">
        <v>23.885350318471335</v>
      </c>
      <c r="G204" s="2">
        <f t="shared" si="18"/>
        <v>448.07747465522391</v>
      </c>
      <c r="H204" s="2">
        <f t="shared" si="19"/>
        <v>126.97816374118136</v>
      </c>
      <c r="I204" s="2">
        <f t="shared" si="15"/>
        <v>31744.540935295339</v>
      </c>
      <c r="J204" s="4">
        <f t="shared" si="17"/>
        <v>21.964801586271246</v>
      </c>
      <c r="K204" s="4">
        <f t="shared" si="16"/>
        <v>5491.2003965678114</v>
      </c>
      <c r="L204">
        <v>4</v>
      </c>
    </row>
    <row r="205" spans="1:12" hidden="1" x14ac:dyDescent="0.3">
      <c r="A205" t="s">
        <v>59</v>
      </c>
      <c r="B205" t="s">
        <v>57</v>
      </c>
      <c r="C205" s="4">
        <v>0.61</v>
      </c>
      <c r="D205" s="4">
        <v>0.84088888900000003</v>
      </c>
      <c r="E205">
        <v>6</v>
      </c>
      <c r="F205" s="4">
        <v>56.464968152866234</v>
      </c>
      <c r="G205" s="2">
        <f t="shared" si="18"/>
        <v>2504.0791748008201</v>
      </c>
      <c r="H205" s="2">
        <f t="shared" si="19"/>
        <v>858.04161321277161</v>
      </c>
      <c r="I205" s="2">
        <f t="shared" si="15"/>
        <v>214510.4033031929</v>
      </c>
      <c r="J205" s="4">
        <f t="shared" si="17"/>
        <v>75.939845198588159</v>
      </c>
      <c r="K205" s="4">
        <f t="shared" si="16"/>
        <v>18984.961299647039</v>
      </c>
      <c r="L205">
        <v>4</v>
      </c>
    </row>
    <row r="206" spans="1:12" hidden="1" x14ac:dyDescent="0.3">
      <c r="A206" t="s">
        <v>59</v>
      </c>
      <c r="B206" t="s">
        <v>22</v>
      </c>
      <c r="C206" s="4">
        <v>0.43836446099999998</v>
      </c>
      <c r="D206" s="4">
        <v>0.58666666700000003</v>
      </c>
      <c r="E206">
        <v>4</v>
      </c>
      <c r="F206" s="4">
        <v>58.630573248407636</v>
      </c>
      <c r="G206" s="2">
        <f t="shared" si="18"/>
        <v>2699.8408380034343</v>
      </c>
      <c r="H206" s="2">
        <f t="shared" si="19"/>
        <v>437.47572273533149</v>
      </c>
      <c r="I206" s="2">
        <f t="shared" si="15"/>
        <v>109368.93068383288</v>
      </c>
      <c r="J206" s="4">
        <f t="shared" si="17"/>
        <v>57.111317672116506</v>
      </c>
      <c r="K206" s="4">
        <f t="shared" si="16"/>
        <v>14277.829418029127</v>
      </c>
      <c r="L206">
        <v>4</v>
      </c>
    </row>
    <row r="207" spans="1:12" hidden="1" x14ac:dyDescent="0.3">
      <c r="A207" t="s">
        <v>59</v>
      </c>
      <c r="B207" t="s">
        <v>22</v>
      </c>
      <c r="C207" s="4">
        <v>0.43836446099999998</v>
      </c>
      <c r="D207" s="4">
        <v>0.58666666700000003</v>
      </c>
      <c r="E207">
        <v>3.5</v>
      </c>
      <c r="F207" s="4">
        <v>14.968152866242038</v>
      </c>
      <c r="G207" s="2">
        <f t="shared" si="18"/>
        <v>175.96500293571373</v>
      </c>
      <c r="H207" s="2">
        <f t="shared" si="19"/>
        <v>26.724146298212627</v>
      </c>
      <c r="I207" s="2">
        <f t="shared" si="15"/>
        <v>6681.0365745531572</v>
      </c>
      <c r="J207" s="4">
        <f t="shared" si="17"/>
        <v>11.730258602783074</v>
      </c>
      <c r="K207" s="4">
        <f t="shared" si="16"/>
        <v>2932.5646506957687</v>
      </c>
      <c r="L207">
        <v>4</v>
      </c>
    </row>
    <row r="208" spans="1:12" hidden="1" x14ac:dyDescent="0.3">
      <c r="A208" t="s">
        <v>59</v>
      </c>
      <c r="B208" t="s">
        <v>22</v>
      </c>
      <c r="C208" s="4">
        <v>0.43836446099999998</v>
      </c>
      <c r="D208" s="4">
        <v>0.58666666700000003</v>
      </c>
      <c r="E208">
        <v>5</v>
      </c>
      <c r="F208" s="4">
        <v>18.439490445859871</v>
      </c>
      <c r="G208" s="2">
        <f t="shared" si="18"/>
        <v>267.04700565491896</v>
      </c>
      <c r="H208" s="2">
        <f t="shared" si="19"/>
        <v>56.872417742203282</v>
      </c>
      <c r="I208" s="2">
        <f t="shared" si="15"/>
        <v>14218.10443555082</v>
      </c>
      <c r="J208" s="4">
        <f t="shared" si="17"/>
        <v>14.935959138301754</v>
      </c>
      <c r="K208" s="4">
        <f t="shared" si="16"/>
        <v>3733.9897845754385</v>
      </c>
      <c r="L208">
        <v>4</v>
      </c>
    </row>
    <row r="209" spans="1:12" hidden="1" x14ac:dyDescent="0.3">
      <c r="A209" t="s">
        <v>59</v>
      </c>
      <c r="B209" t="s">
        <v>22</v>
      </c>
      <c r="C209" s="4">
        <v>0.43836446099999998</v>
      </c>
      <c r="D209" s="4">
        <v>0.58666666700000003</v>
      </c>
      <c r="E209">
        <v>5.5</v>
      </c>
      <c r="F209" s="4">
        <v>51.464968152866248</v>
      </c>
      <c r="G209" s="2">
        <f t="shared" si="18"/>
        <v>2080.2393060501918</v>
      </c>
      <c r="H209" s="2">
        <f t="shared" si="19"/>
        <v>462.83897520399466</v>
      </c>
      <c r="I209" s="2">
        <f t="shared" si="15"/>
        <v>115709.74380099867</v>
      </c>
      <c r="J209" s="4">
        <f t="shared" si="17"/>
        <v>59.972076729279088</v>
      </c>
      <c r="K209" s="4">
        <f t="shared" si="16"/>
        <v>14993.019182319773</v>
      </c>
      <c r="L209">
        <v>4</v>
      </c>
    </row>
    <row r="210" spans="1:12" hidden="1" x14ac:dyDescent="0.3">
      <c r="A210" t="s">
        <v>59</v>
      </c>
      <c r="B210" t="s">
        <v>58</v>
      </c>
      <c r="C210" s="4">
        <v>0.371297506</v>
      </c>
      <c r="D210" s="4">
        <v>0.35258402799999999</v>
      </c>
      <c r="E210">
        <v>5</v>
      </c>
      <c r="F210" s="4">
        <v>24.490445859872612</v>
      </c>
      <c r="G210" s="2">
        <f t="shared" si="18"/>
        <v>471.06763287037853</v>
      </c>
      <c r="H210" s="2">
        <f t="shared" si="19"/>
        <v>60.208757145370988</v>
      </c>
      <c r="I210" s="2">
        <f t="shared" si="15"/>
        <v>15052.189286342747</v>
      </c>
      <c r="J210" s="4">
        <f t="shared" si="17"/>
        <v>19.481883922268651</v>
      </c>
      <c r="K210" s="4">
        <f t="shared" si="16"/>
        <v>4870.4709805671628</v>
      </c>
      <c r="L210">
        <v>4</v>
      </c>
    </row>
    <row r="211" spans="1:12" hidden="1" x14ac:dyDescent="0.3">
      <c r="A211" t="s">
        <v>59</v>
      </c>
      <c r="B211" t="s">
        <v>62</v>
      </c>
      <c r="C211" s="4">
        <v>0.693333333</v>
      </c>
      <c r="D211" s="4">
        <v>0.64166666699999997</v>
      </c>
      <c r="E211">
        <v>6</v>
      </c>
      <c r="F211" s="4">
        <v>10.286624203821654</v>
      </c>
      <c r="G211" s="2">
        <f t="shared" si="18"/>
        <v>83.106621961430847</v>
      </c>
      <c r="H211" s="2">
        <f t="shared" si="19"/>
        <v>23.73457103825136</v>
      </c>
      <c r="I211" s="2">
        <f t="shared" si="15"/>
        <v>5933.6427595628402</v>
      </c>
      <c r="J211" s="4">
        <f t="shared" si="17"/>
        <v>11.207807387723639</v>
      </c>
      <c r="K211" s="4">
        <f t="shared" si="16"/>
        <v>2801.9518469309096</v>
      </c>
      <c r="L211">
        <v>4</v>
      </c>
    </row>
    <row r="212" spans="1:12" hidden="1" x14ac:dyDescent="0.3">
      <c r="A212" t="s">
        <v>59</v>
      </c>
      <c r="B212" t="s">
        <v>62</v>
      </c>
      <c r="C212" s="4">
        <v>0.693333333</v>
      </c>
      <c r="D212" s="4">
        <v>0.64166666699999997</v>
      </c>
      <c r="E212">
        <v>4.5</v>
      </c>
      <c r="F212" s="4">
        <v>9.6496815286624198</v>
      </c>
      <c r="G212" s="2">
        <f t="shared" si="18"/>
        <v>73.13341310332703</v>
      </c>
      <c r="H212" s="2">
        <f t="shared" si="19"/>
        <v>15.821726297425954</v>
      </c>
      <c r="I212" s="2">
        <f t="shared" si="15"/>
        <v>3955.4315743564885</v>
      </c>
      <c r="J212" s="4">
        <f t="shared" si="17"/>
        <v>10.452282569272587</v>
      </c>
      <c r="K212" s="4">
        <f t="shared" si="16"/>
        <v>2613.0706423181468</v>
      </c>
      <c r="L212">
        <v>4</v>
      </c>
    </row>
    <row r="213" spans="1:12" hidden="1" x14ac:dyDescent="0.3">
      <c r="A213" t="s">
        <v>63</v>
      </c>
      <c r="B213" t="s">
        <v>26</v>
      </c>
      <c r="C213" s="4">
        <v>0.80908761900000004</v>
      </c>
      <c r="D213" s="4">
        <v>0.87473809499999999</v>
      </c>
      <c r="E213">
        <v>4.5</v>
      </c>
      <c r="F213" s="4">
        <v>8.7579617834394909</v>
      </c>
      <c r="G213" s="2">
        <f t="shared" si="18"/>
        <v>60.241527148091237</v>
      </c>
      <c r="H213" s="2">
        <f t="shared" si="19"/>
        <v>17.717163399845305</v>
      </c>
      <c r="I213" s="2">
        <f t="shared" si="15"/>
        <v>4429.2908499613259</v>
      </c>
      <c r="J213" s="4">
        <f t="shared" si="17"/>
        <v>10.193754839952939</v>
      </c>
      <c r="K213" s="4">
        <f t="shared" si="16"/>
        <v>2548.4387099882347</v>
      </c>
      <c r="L213">
        <v>4</v>
      </c>
    </row>
    <row r="214" spans="1:12" hidden="1" x14ac:dyDescent="0.3">
      <c r="A214" t="s">
        <v>63</v>
      </c>
      <c r="B214" t="s">
        <v>52</v>
      </c>
      <c r="C214" s="4">
        <v>0.78445916699999996</v>
      </c>
      <c r="D214" s="4">
        <v>0.87841666699999998</v>
      </c>
      <c r="E214">
        <v>4</v>
      </c>
      <c r="F214" s="4">
        <v>7.2929936305732479</v>
      </c>
      <c r="G214" s="2">
        <f t="shared" si="18"/>
        <v>41.773565952701503</v>
      </c>
      <c r="H214" s="2">
        <f t="shared" si="19"/>
        <v>11.093524786946661</v>
      </c>
      <c r="I214" s="2">
        <f t="shared" si="15"/>
        <v>2773.3811967366651</v>
      </c>
      <c r="J214" s="4">
        <f t="shared" si="17"/>
        <v>9.7303285853381478</v>
      </c>
      <c r="K214" s="4">
        <f t="shared" si="16"/>
        <v>2432.5821463345369</v>
      </c>
      <c r="L214">
        <v>4</v>
      </c>
    </row>
    <row r="215" spans="1:12" hidden="1" x14ac:dyDescent="0.3">
      <c r="A215" t="s">
        <v>63</v>
      </c>
      <c r="B215" t="s">
        <v>64</v>
      </c>
      <c r="C215" s="4">
        <v>0.66</v>
      </c>
      <c r="D215" s="4">
        <v>0.75533333300000005</v>
      </c>
      <c r="E215">
        <v>7</v>
      </c>
      <c r="F215" s="4">
        <v>7.7388535031847123</v>
      </c>
      <c r="G215" s="2">
        <f t="shared" si="18"/>
        <v>47.037380979406777</v>
      </c>
      <c r="H215" s="2">
        <f t="shared" si="19"/>
        <v>18.560550251895538</v>
      </c>
      <c r="I215" s="2">
        <f t="shared" si="15"/>
        <v>4640.137562973885</v>
      </c>
      <c r="J215" s="4">
        <f t="shared" si="17"/>
        <v>10.45300141182198</v>
      </c>
      <c r="K215" s="4">
        <f t="shared" si="16"/>
        <v>2613.2503529554947</v>
      </c>
      <c r="L215">
        <v>4</v>
      </c>
    </row>
    <row r="216" spans="1:12" hidden="1" x14ac:dyDescent="0.3">
      <c r="A216" t="s">
        <v>63</v>
      </c>
      <c r="B216" t="s">
        <v>44</v>
      </c>
      <c r="C216" s="4">
        <v>0.54247040000000002</v>
      </c>
      <c r="D216" s="4">
        <v>0.54247042099999998</v>
      </c>
      <c r="E216">
        <v>3.5</v>
      </c>
      <c r="F216" s="4">
        <v>16.019108280254777</v>
      </c>
      <c r="G216" s="2">
        <f t="shared" si="18"/>
        <v>201.54246006229965</v>
      </c>
      <c r="H216" s="2">
        <f t="shared" si="19"/>
        <v>28.263799682956368</v>
      </c>
      <c r="I216" s="2">
        <f t="shared" si="15"/>
        <v>7065.9499207390918</v>
      </c>
      <c r="J216" s="4">
        <f t="shared" si="17"/>
        <v>12.129194918657957</v>
      </c>
      <c r="K216" s="4">
        <f t="shared" si="16"/>
        <v>3032.2987296644892</v>
      </c>
      <c r="L216">
        <v>4</v>
      </c>
    </row>
    <row r="217" spans="1:12" hidden="1" x14ac:dyDescent="0.3">
      <c r="A217" t="s">
        <v>63</v>
      </c>
      <c r="B217" t="s">
        <v>55</v>
      </c>
      <c r="C217" s="4">
        <v>0.52500000000000002</v>
      </c>
      <c r="D217" s="4">
        <v>0.52500000000000002</v>
      </c>
      <c r="E217">
        <v>5</v>
      </c>
      <c r="F217" s="4">
        <v>7.2929936305732479</v>
      </c>
      <c r="G217" s="2">
        <f t="shared" si="18"/>
        <v>41.773565952701503</v>
      </c>
      <c r="H217" s="2">
        <f t="shared" si="19"/>
        <v>8.3459822564818484</v>
      </c>
      <c r="I217" s="2">
        <f t="shared" si="15"/>
        <v>2086.4955641204619</v>
      </c>
      <c r="J217" s="4">
        <f t="shared" si="17"/>
        <v>9.9164857316726831</v>
      </c>
      <c r="K217" s="4">
        <f t="shared" si="16"/>
        <v>2479.1214329181707</v>
      </c>
      <c r="L217">
        <v>4</v>
      </c>
    </row>
    <row r="218" spans="1:12" hidden="1" x14ac:dyDescent="0.3">
      <c r="A218" t="s">
        <v>63</v>
      </c>
      <c r="B218" t="s">
        <v>41</v>
      </c>
      <c r="C218" s="4">
        <v>0.56193137999999998</v>
      </c>
      <c r="D218" s="4">
        <v>0.57808694400000005</v>
      </c>
      <c r="E218">
        <v>7</v>
      </c>
      <c r="F218" s="4">
        <v>28.057324840764334</v>
      </c>
      <c r="G218" s="2">
        <f t="shared" si="18"/>
        <v>618.27601921044163</v>
      </c>
      <c r="H218" s="2">
        <f t="shared" si="19"/>
        <v>176.65355294612766</v>
      </c>
      <c r="I218" s="2">
        <f t="shared" si="15"/>
        <v>44163.388236531915</v>
      </c>
      <c r="J218" s="4">
        <f t="shared" si="17"/>
        <v>28.272430191894202</v>
      </c>
      <c r="K218" s="4">
        <f t="shared" si="16"/>
        <v>7068.10754797355</v>
      </c>
      <c r="L218">
        <v>4</v>
      </c>
    </row>
    <row r="219" spans="1:12" hidden="1" x14ac:dyDescent="0.3">
      <c r="A219" t="s">
        <v>63</v>
      </c>
      <c r="B219" t="s">
        <v>41</v>
      </c>
      <c r="C219" s="4">
        <v>0.56193137999999998</v>
      </c>
      <c r="D219" s="4">
        <v>0.57808694400000005</v>
      </c>
      <c r="E219">
        <v>7</v>
      </c>
      <c r="F219" s="4">
        <v>35.828025477707008</v>
      </c>
      <c r="G219" s="2">
        <f t="shared" si="18"/>
        <v>1008.1743179742541</v>
      </c>
      <c r="H219" s="2">
        <f t="shared" si="19"/>
        <v>284.69453283857302</v>
      </c>
      <c r="I219" s="2">
        <f t="shared" si="15"/>
        <v>71173.63320964326</v>
      </c>
      <c r="J219" s="4">
        <f t="shared" si="17"/>
        <v>40.435061535964948</v>
      </c>
      <c r="K219" s="4">
        <f t="shared" si="16"/>
        <v>10108.765383991236</v>
      </c>
      <c r="L219">
        <v>4</v>
      </c>
    </row>
    <row r="220" spans="1:12" hidden="1" x14ac:dyDescent="0.3">
      <c r="A220" t="s">
        <v>63</v>
      </c>
      <c r="B220" t="s">
        <v>56</v>
      </c>
      <c r="C220" s="4">
        <v>0.39984676499999999</v>
      </c>
      <c r="D220" s="4">
        <v>0.450333333</v>
      </c>
      <c r="E220">
        <v>8</v>
      </c>
      <c r="F220" s="4">
        <v>20.636942675159233</v>
      </c>
      <c r="G220" s="2">
        <f t="shared" si="18"/>
        <v>334.48804252022603</v>
      </c>
      <c r="H220" s="2">
        <f t="shared" si="19"/>
        <v>86.590033103324089</v>
      </c>
      <c r="I220" s="2">
        <f t="shared" si="15"/>
        <v>21647.508275831024</v>
      </c>
      <c r="J220" s="4">
        <f t="shared" si="17"/>
        <v>20.910435283378632</v>
      </c>
      <c r="K220" s="4">
        <f t="shared" si="16"/>
        <v>5227.6088208446581</v>
      </c>
      <c r="L220">
        <v>4</v>
      </c>
    </row>
    <row r="221" spans="1:12" hidden="1" x14ac:dyDescent="0.3">
      <c r="A221" t="s">
        <v>63</v>
      </c>
      <c r="B221" t="s">
        <v>56</v>
      </c>
      <c r="C221" s="4">
        <v>0.39984676499999999</v>
      </c>
      <c r="D221" s="4">
        <v>0.450333333</v>
      </c>
      <c r="E221">
        <v>9</v>
      </c>
      <c r="F221" s="4">
        <v>42.866242038216569</v>
      </c>
      <c r="G221" s="2">
        <f t="shared" si="18"/>
        <v>1443.1806756843805</v>
      </c>
      <c r="H221" s="2">
        <f t="shared" si="19"/>
        <v>404.66376046163577</v>
      </c>
      <c r="I221" s="2">
        <f t="shared" si="15"/>
        <v>101165.94011540894</v>
      </c>
      <c r="J221" s="4">
        <f t="shared" si="17"/>
        <v>66.86741325408741</v>
      </c>
      <c r="K221" s="4">
        <f t="shared" si="16"/>
        <v>16716.853313521853</v>
      </c>
      <c r="L221">
        <v>4</v>
      </c>
    </row>
    <row r="222" spans="1:12" hidden="1" x14ac:dyDescent="0.3">
      <c r="A222" t="s">
        <v>63</v>
      </c>
      <c r="B222" t="s">
        <v>38</v>
      </c>
      <c r="C222" s="4">
        <v>1082380952</v>
      </c>
      <c r="D222" s="4">
        <v>0.61247410899999999</v>
      </c>
      <c r="E222">
        <v>5.5</v>
      </c>
      <c r="F222" s="4">
        <v>12.961783439490446</v>
      </c>
      <c r="G222" s="2">
        <f t="shared" si="18"/>
        <v>131.95304106517904</v>
      </c>
      <c r="H222" s="2">
        <f t="shared" si="19"/>
        <v>32.713596442541601</v>
      </c>
      <c r="I222" s="2">
        <f t="shared" si="15"/>
        <v>8178.3991106354006</v>
      </c>
      <c r="J222" s="4">
        <f t="shared" si="17"/>
        <v>12.219850726195789</v>
      </c>
      <c r="K222" s="4">
        <f t="shared" si="16"/>
        <v>3054.9626815489473</v>
      </c>
      <c r="L222">
        <v>4</v>
      </c>
    </row>
    <row r="223" spans="1:12" hidden="1" x14ac:dyDescent="0.3">
      <c r="A223" t="s">
        <v>63</v>
      </c>
      <c r="B223" t="s">
        <v>57</v>
      </c>
      <c r="C223" s="4">
        <v>0.61</v>
      </c>
      <c r="D223" s="4">
        <v>0.84088888900000003</v>
      </c>
      <c r="E223">
        <v>6.5</v>
      </c>
      <c r="F223" s="4">
        <v>51.27388535031848</v>
      </c>
      <c r="G223" s="2">
        <f t="shared" si="18"/>
        <v>2064.8206614289893</v>
      </c>
      <c r="H223" s="2">
        <f t="shared" si="19"/>
        <v>768.56539197835389</v>
      </c>
      <c r="I223" s="2">
        <f t="shared" si="15"/>
        <v>192141.34799458846</v>
      </c>
      <c r="J223" s="4">
        <f t="shared" si="17"/>
        <v>68.795707505375489</v>
      </c>
      <c r="K223" s="4">
        <f t="shared" si="16"/>
        <v>17198.926876343874</v>
      </c>
      <c r="L223">
        <v>4</v>
      </c>
    </row>
    <row r="224" spans="1:12" hidden="1" x14ac:dyDescent="0.3">
      <c r="A224" t="s">
        <v>63</v>
      </c>
      <c r="B224" t="s">
        <v>57</v>
      </c>
      <c r="C224" s="4">
        <v>0.61</v>
      </c>
      <c r="D224" s="4">
        <v>0.84088888900000003</v>
      </c>
      <c r="E224">
        <v>8</v>
      </c>
      <c r="F224" s="4">
        <v>49.777070063694261</v>
      </c>
      <c r="G224" s="2">
        <f t="shared" si="18"/>
        <v>1946.0255647662179</v>
      </c>
      <c r="H224" s="2">
        <f t="shared" si="19"/>
        <v>888.33552651273214</v>
      </c>
      <c r="I224" s="2">
        <f t="shared" si="15"/>
        <v>222083.88162818304</v>
      </c>
      <c r="J224" s="4">
        <f t="shared" si="17"/>
        <v>78.362887715525957</v>
      </c>
      <c r="K224" s="4">
        <f t="shared" si="16"/>
        <v>19590.721928881489</v>
      </c>
      <c r="L224">
        <v>4</v>
      </c>
    </row>
    <row r="225" spans="1:12" hidden="1" x14ac:dyDescent="0.3">
      <c r="A225" t="s">
        <v>63</v>
      </c>
      <c r="B225" t="s">
        <v>22</v>
      </c>
      <c r="C225" s="4">
        <v>0.43836446099999998</v>
      </c>
      <c r="D225" s="4">
        <v>0.58666666700000003</v>
      </c>
      <c r="E225">
        <v>5</v>
      </c>
      <c r="F225" s="4">
        <v>39.71337579617834</v>
      </c>
      <c r="G225" s="2">
        <f t="shared" si="18"/>
        <v>1238.6924547309247</v>
      </c>
      <c r="H225" s="2">
        <f t="shared" si="19"/>
        <v>254.2637524294361</v>
      </c>
      <c r="I225" s="2">
        <f t="shared" si="15"/>
        <v>63565.938107359027</v>
      </c>
      <c r="J225" s="4">
        <f t="shared" si="17"/>
        <v>36.585863799748466</v>
      </c>
      <c r="K225" s="4">
        <f t="shared" si="16"/>
        <v>9146.4659499371173</v>
      </c>
      <c r="L225">
        <v>4</v>
      </c>
    </row>
    <row r="226" spans="1:12" hidden="1" x14ac:dyDescent="0.3">
      <c r="A226" t="s">
        <v>63</v>
      </c>
      <c r="B226" t="s">
        <v>22</v>
      </c>
      <c r="C226" s="4">
        <v>0.43836446099999998</v>
      </c>
      <c r="D226" s="4">
        <v>0.58666666700000003</v>
      </c>
      <c r="E226">
        <v>6.5</v>
      </c>
      <c r="F226" s="4">
        <v>22.611464968152866</v>
      </c>
      <c r="G226" s="2">
        <f t="shared" si="18"/>
        <v>401.5570755087972</v>
      </c>
      <c r="H226" s="2">
        <f t="shared" si="19"/>
        <v>109.4002069110892</v>
      </c>
      <c r="I226" s="2">
        <f t="shared" si="15"/>
        <v>27350.051727772301</v>
      </c>
      <c r="J226" s="4">
        <f t="shared" si="17"/>
        <v>20.617282417136597</v>
      </c>
      <c r="K226" s="4">
        <f t="shared" si="16"/>
        <v>5154.3206042841493</v>
      </c>
      <c r="L226">
        <v>4</v>
      </c>
    </row>
    <row r="227" spans="1:12" hidden="1" x14ac:dyDescent="0.3">
      <c r="A227" t="s">
        <v>63</v>
      </c>
      <c r="B227" t="s">
        <v>58</v>
      </c>
      <c r="C227" s="4">
        <v>0.371297506</v>
      </c>
      <c r="D227" s="4">
        <v>0.35258402799999999</v>
      </c>
      <c r="E227">
        <v>6</v>
      </c>
      <c r="F227" s="4">
        <v>15.318471337579615</v>
      </c>
      <c r="G227" s="2">
        <f t="shared" si="18"/>
        <v>184.2980490910351</v>
      </c>
      <c r="H227" s="2">
        <f t="shared" si="19"/>
        <v>28.784555831908577</v>
      </c>
      <c r="I227" s="2">
        <f t="shared" si="15"/>
        <v>7196.1389579771439</v>
      </c>
      <c r="J227" s="4">
        <f t="shared" si="17"/>
        <v>13.91346684652521</v>
      </c>
      <c r="K227" s="4">
        <f t="shared" si="16"/>
        <v>3478.3667116313027</v>
      </c>
      <c r="L227">
        <v>4</v>
      </c>
    </row>
    <row r="228" spans="1:12" hidden="1" x14ac:dyDescent="0.3">
      <c r="A228" t="s">
        <v>63</v>
      </c>
      <c r="B228" t="s">
        <v>62</v>
      </c>
      <c r="C228" s="4">
        <v>0.693333333</v>
      </c>
      <c r="D228" s="4">
        <v>0.64166666699999997</v>
      </c>
      <c r="E228">
        <v>5</v>
      </c>
      <c r="F228" s="4">
        <v>9.4585987261146496</v>
      </c>
      <c r="G228" s="2">
        <f t="shared" si="18"/>
        <v>70.26571726553361</v>
      </c>
      <c r="H228" s="2">
        <f t="shared" si="19"/>
        <v>16.863889829543421</v>
      </c>
      <c r="I228" s="2">
        <f t="shared" si="15"/>
        <v>4215.9724573858548</v>
      </c>
      <c r="J228" s="4">
        <f t="shared" si="17"/>
        <v>10.551339072579008</v>
      </c>
      <c r="K228" s="4">
        <f t="shared" si="16"/>
        <v>2637.8347681447522</v>
      </c>
      <c r="L228">
        <v>4</v>
      </c>
    </row>
    <row r="229" spans="1:12" hidden="1" x14ac:dyDescent="0.3">
      <c r="A229" t="s">
        <v>65</v>
      </c>
      <c r="B229" t="s">
        <v>60</v>
      </c>
      <c r="C229" s="4">
        <v>0.41</v>
      </c>
      <c r="D229" s="4">
        <v>0.33983503399999998</v>
      </c>
      <c r="E229">
        <v>6</v>
      </c>
      <c r="F229" s="4">
        <v>12.707006369426752</v>
      </c>
      <c r="G229" s="2">
        <f t="shared" si="18"/>
        <v>126.81667918682014</v>
      </c>
      <c r="H229" s="2">
        <f t="shared" si="19"/>
        <v>19.279724208831478</v>
      </c>
      <c r="I229" s="2">
        <f t="shared" si="15"/>
        <v>4819.9310522078695</v>
      </c>
      <c r="J229" s="4">
        <f t="shared" si="17"/>
        <v>12.376528228325693</v>
      </c>
      <c r="K229" s="4">
        <f t="shared" si="16"/>
        <v>3094.1320570814232</v>
      </c>
      <c r="L229">
        <v>4</v>
      </c>
    </row>
    <row r="230" spans="1:12" hidden="1" x14ac:dyDescent="0.3">
      <c r="A230" t="s">
        <v>65</v>
      </c>
      <c r="B230" t="s">
        <v>44</v>
      </c>
      <c r="C230" s="4">
        <v>0.54247040000000002</v>
      </c>
      <c r="D230" s="4">
        <v>0.54247042099999998</v>
      </c>
      <c r="E230">
        <v>2.8</v>
      </c>
      <c r="F230" s="4">
        <v>10.127388535031846</v>
      </c>
      <c r="G230" s="2">
        <f t="shared" si="18"/>
        <v>80.553576083617529</v>
      </c>
      <c r="H230" s="2">
        <f t="shared" si="19"/>
        <v>9.2880256288707344</v>
      </c>
      <c r="I230" s="2">
        <f t="shared" si="15"/>
        <v>2322.0064072176838</v>
      </c>
      <c r="J230" s="4">
        <f t="shared" si="17"/>
        <v>9.9908271856870456</v>
      </c>
      <c r="K230" s="4">
        <f t="shared" si="16"/>
        <v>2497.7067964217613</v>
      </c>
      <c r="L230">
        <v>4</v>
      </c>
    </row>
    <row r="231" spans="1:12" hidden="1" x14ac:dyDescent="0.3">
      <c r="A231" t="s">
        <v>65</v>
      </c>
      <c r="B231" t="s">
        <v>53</v>
      </c>
      <c r="C231" s="4">
        <v>0.63206279899999995</v>
      </c>
      <c r="D231" s="4">
        <v>0.75690909100000003</v>
      </c>
      <c r="E231">
        <v>3</v>
      </c>
      <c r="F231" s="4">
        <v>2.4203821656050954</v>
      </c>
      <c r="G231" s="2">
        <f t="shared" si="18"/>
        <v>4.6010586553041311</v>
      </c>
      <c r="H231" s="2">
        <f t="shared" si="19"/>
        <v>0.84134388013232886</v>
      </c>
      <c r="I231" s="2">
        <f t="shared" si="15"/>
        <v>210.33597003308222</v>
      </c>
      <c r="J231" s="4">
        <f t="shared" si="17"/>
        <v>9.0472116231895807</v>
      </c>
      <c r="K231" s="4">
        <f t="shared" si="16"/>
        <v>2261.8029057973954</v>
      </c>
      <c r="L231">
        <v>4</v>
      </c>
    </row>
    <row r="232" spans="1:12" hidden="1" x14ac:dyDescent="0.3">
      <c r="A232" t="s">
        <v>65</v>
      </c>
      <c r="B232" t="s">
        <v>61</v>
      </c>
      <c r="C232" s="4">
        <v>0.9</v>
      </c>
      <c r="D232" s="4">
        <v>0.61247410899999999</v>
      </c>
      <c r="E232">
        <v>5</v>
      </c>
      <c r="F232" s="4">
        <v>8.9808917197452232</v>
      </c>
      <c r="G232" s="2">
        <f t="shared" si="18"/>
        <v>63.347401056856945</v>
      </c>
      <c r="H232" s="2">
        <f t="shared" si="19"/>
        <v>14.564212395934689</v>
      </c>
      <c r="I232" s="2">
        <f t="shared" si="15"/>
        <v>3641.053098983672</v>
      </c>
      <c r="J232" s="4">
        <f t="shared" si="17"/>
        <v>10.397187281431295</v>
      </c>
      <c r="K232" s="4">
        <f t="shared" si="16"/>
        <v>2599.2968203578239</v>
      </c>
      <c r="L232">
        <v>4</v>
      </c>
    </row>
    <row r="233" spans="1:12" hidden="1" x14ac:dyDescent="0.3">
      <c r="A233" t="s">
        <v>65</v>
      </c>
      <c r="B233" t="s">
        <v>55</v>
      </c>
      <c r="C233" s="4">
        <v>0.52500000000000002</v>
      </c>
      <c r="D233" s="4">
        <v>0.52500000000000002</v>
      </c>
      <c r="E233">
        <v>8</v>
      </c>
      <c r="F233" s="4">
        <v>4.5222929936305727</v>
      </c>
      <c r="G233" s="2">
        <f t="shared" si="18"/>
        <v>16.062283020351884</v>
      </c>
      <c r="H233" s="2">
        <f t="shared" si="19"/>
        <v>5.1947726679758723</v>
      </c>
      <c r="I233" s="2">
        <f t="shared" si="15"/>
        <v>1298.6931669939681</v>
      </c>
      <c r="J233" s="4">
        <f t="shared" si="17"/>
        <v>9.5583317497667242</v>
      </c>
      <c r="K233" s="4">
        <f t="shared" si="16"/>
        <v>2389.5829374416812</v>
      </c>
      <c r="L233">
        <v>4</v>
      </c>
    </row>
    <row r="234" spans="1:12" hidden="1" x14ac:dyDescent="0.3">
      <c r="A234" t="s">
        <v>65</v>
      </c>
      <c r="B234" t="s">
        <v>55</v>
      </c>
      <c r="C234" s="4">
        <v>0.52500000000000002</v>
      </c>
      <c r="D234" s="4">
        <v>0.52500000000000002</v>
      </c>
      <c r="E234">
        <v>6</v>
      </c>
      <c r="F234" s="4">
        <v>14.490445859872612</v>
      </c>
      <c r="G234" s="2">
        <f t="shared" si="18"/>
        <v>164.91242522755155</v>
      </c>
      <c r="H234" s="2">
        <f t="shared" si="19"/>
        <v>38.088839261929088</v>
      </c>
      <c r="I234" s="2">
        <f t="shared" si="15"/>
        <v>9522.2098154822725</v>
      </c>
      <c r="J234" s="4">
        <f t="shared" si="17"/>
        <v>13.395133445575885</v>
      </c>
      <c r="K234" s="4">
        <f t="shared" si="16"/>
        <v>3348.7833613939711</v>
      </c>
      <c r="L234">
        <v>4</v>
      </c>
    </row>
    <row r="235" spans="1:12" hidden="1" x14ac:dyDescent="0.3">
      <c r="A235" t="s">
        <v>65</v>
      </c>
      <c r="B235" t="s">
        <v>66</v>
      </c>
      <c r="C235" s="4">
        <v>0.62643652800000005</v>
      </c>
      <c r="D235" s="4">
        <v>0.57808694400000005</v>
      </c>
      <c r="E235">
        <v>5.5</v>
      </c>
      <c r="F235" s="4">
        <v>34.681528662420384</v>
      </c>
      <c r="G235" s="2">
        <f t="shared" si="18"/>
        <v>944.68353212550744</v>
      </c>
      <c r="H235" s="2">
        <f t="shared" si="19"/>
        <v>211.14758695371552</v>
      </c>
      <c r="I235" s="2">
        <f t="shared" si="15"/>
        <v>52786.896738428877</v>
      </c>
      <c r="J235" s="4">
        <f t="shared" si="17"/>
        <v>32.139762284474017</v>
      </c>
      <c r="K235" s="4">
        <f t="shared" si="16"/>
        <v>8034.9405711185045</v>
      </c>
      <c r="L235">
        <v>4</v>
      </c>
    </row>
    <row r="236" spans="1:12" hidden="1" x14ac:dyDescent="0.3">
      <c r="A236" t="s">
        <v>65</v>
      </c>
      <c r="B236" t="s">
        <v>41</v>
      </c>
      <c r="C236" s="4">
        <v>0.56193137999999998</v>
      </c>
      <c r="D236" s="4">
        <v>0.57808694400000005</v>
      </c>
      <c r="E236">
        <v>6.5</v>
      </c>
      <c r="F236" s="4">
        <v>37.101910828025474</v>
      </c>
      <c r="G236" s="2">
        <f t="shared" si="18"/>
        <v>1081.1412454025535</v>
      </c>
      <c r="H236" s="2">
        <f t="shared" si="19"/>
        <v>283.52108273137719</v>
      </c>
      <c r="I236" s="2">
        <f t="shared" si="15"/>
        <v>70880.270682844304</v>
      </c>
      <c r="J236" s="4">
        <f t="shared" si="17"/>
        <v>40.302253156314656</v>
      </c>
      <c r="K236" s="4">
        <f t="shared" si="16"/>
        <v>10075.563289078664</v>
      </c>
      <c r="L236">
        <v>4</v>
      </c>
    </row>
    <row r="237" spans="1:12" hidden="1" x14ac:dyDescent="0.3">
      <c r="A237" t="s">
        <v>65</v>
      </c>
      <c r="B237" t="s">
        <v>41</v>
      </c>
      <c r="C237" s="4">
        <v>0.56193137999999998</v>
      </c>
      <c r="D237" s="4">
        <v>0.57808694400000005</v>
      </c>
      <c r="E237">
        <v>4</v>
      </c>
      <c r="F237" s="4">
        <v>11.242038216560509</v>
      </c>
      <c r="G237" s="2">
        <f t="shared" si="18"/>
        <v>99.261308514333876</v>
      </c>
      <c r="H237" s="2">
        <f t="shared" si="19"/>
        <v>17.162497729460849</v>
      </c>
      <c r="I237" s="2">
        <f t="shared" si="15"/>
        <v>4290.6244323652127</v>
      </c>
      <c r="J237" s="4">
        <f t="shared" si="17"/>
        <v>10.755067925676498</v>
      </c>
      <c r="K237" s="4">
        <f t="shared" si="16"/>
        <v>2688.7669814191245</v>
      </c>
      <c r="L237">
        <v>4</v>
      </c>
    </row>
    <row r="238" spans="1:12" hidden="1" x14ac:dyDescent="0.3">
      <c r="A238" t="s">
        <v>65</v>
      </c>
      <c r="B238" t="s">
        <v>56</v>
      </c>
      <c r="C238" s="4">
        <v>0.39984676499999999</v>
      </c>
      <c r="D238" s="4">
        <v>0.450333333</v>
      </c>
      <c r="E238">
        <v>10</v>
      </c>
      <c r="F238" s="4">
        <v>30.191082802547768</v>
      </c>
      <c r="G238" s="2">
        <f t="shared" si="18"/>
        <v>715.89158894675268</v>
      </c>
      <c r="H238" s="2">
        <f t="shared" si="19"/>
        <v>226.24945482504853</v>
      </c>
      <c r="I238" s="2">
        <f t="shared" si="15"/>
        <v>56562.363706262135</v>
      </c>
      <c r="J238" s="4">
        <f t="shared" si="17"/>
        <v>40.888251827660348</v>
      </c>
      <c r="K238" s="4">
        <f t="shared" si="16"/>
        <v>10222.062956915086</v>
      </c>
      <c r="L238">
        <v>4</v>
      </c>
    </row>
    <row r="239" spans="1:12" hidden="1" x14ac:dyDescent="0.3">
      <c r="A239" t="s">
        <v>65</v>
      </c>
      <c r="B239" t="s">
        <v>56</v>
      </c>
      <c r="C239" s="4">
        <v>0.39984676499999999</v>
      </c>
      <c r="D239" s="4">
        <v>0.450333333</v>
      </c>
      <c r="E239">
        <v>9</v>
      </c>
      <c r="F239" s="4">
        <v>15.19108280254777</v>
      </c>
      <c r="G239" s="2">
        <f t="shared" si="18"/>
        <v>181.24554618813946</v>
      </c>
      <c r="H239" s="2">
        <f t="shared" si="19"/>
        <v>53.415368890415074</v>
      </c>
      <c r="I239" s="2">
        <f t="shared" si="15"/>
        <v>13353.842222603769</v>
      </c>
      <c r="J239" s="4">
        <f t="shared" si="17"/>
        <v>16.254923396486671</v>
      </c>
      <c r="K239" s="4">
        <f t="shared" si="16"/>
        <v>4063.7308491216677</v>
      </c>
      <c r="L239">
        <v>4</v>
      </c>
    </row>
    <row r="240" spans="1:12" hidden="1" x14ac:dyDescent="0.3">
      <c r="A240" t="s">
        <v>65</v>
      </c>
      <c r="B240" t="s">
        <v>56</v>
      </c>
      <c r="C240" s="4">
        <v>0.39984676499999999</v>
      </c>
      <c r="D240" s="4">
        <v>0.450333333</v>
      </c>
      <c r="E240">
        <v>10</v>
      </c>
      <c r="F240" s="4">
        <v>48.089171974522294</v>
      </c>
      <c r="G240" s="2">
        <f t="shared" si="18"/>
        <v>1816.2870221535579</v>
      </c>
      <c r="H240" s="2">
        <f t="shared" si="19"/>
        <v>561.33312082112445</v>
      </c>
      <c r="I240" s="2">
        <f t="shared" si="15"/>
        <v>140333.2802052811</v>
      </c>
      <c r="J240" s="4">
        <f t="shared" si="17"/>
        <v>89.925596141831306</v>
      </c>
      <c r="K240" s="4">
        <f t="shared" si="16"/>
        <v>22481.399035457827</v>
      </c>
      <c r="L240">
        <v>4</v>
      </c>
    </row>
    <row r="241" spans="1:12" hidden="1" x14ac:dyDescent="0.3">
      <c r="A241" t="s">
        <v>65</v>
      </c>
      <c r="B241" t="s">
        <v>38</v>
      </c>
      <c r="C241" s="4">
        <v>1082380952</v>
      </c>
      <c r="D241" s="4">
        <v>0.61247410899999999</v>
      </c>
      <c r="E241">
        <v>4.5</v>
      </c>
      <c r="F241" s="5">
        <v>11.337579617834395</v>
      </c>
      <c r="G241" s="2">
        <f t="shared" si="18"/>
        <v>100.9556388051635</v>
      </c>
      <c r="H241" s="2">
        <f t="shared" si="19"/>
        <v>20.709605670767441</v>
      </c>
      <c r="I241" s="2">
        <f t="shared" si="15"/>
        <v>5177.4014176918599</v>
      </c>
      <c r="J241" s="4">
        <f t="shared" si="17"/>
        <v>11.010216207554059</v>
      </c>
      <c r="K241" s="4">
        <f t="shared" si="16"/>
        <v>2752.5540518885146</v>
      </c>
      <c r="L241">
        <v>4</v>
      </c>
    </row>
    <row r="242" spans="1:12" hidden="1" x14ac:dyDescent="0.3">
      <c r="A242" t="s">
        <v>65</v>
      </c>
      <c r="B242" t="s">
        <v>38</v>
      </c>
      <c r="C242" s="4">
        <v>1082380952</v>
      </c>
      <c r="D242" s="4">
        <v>0.61247410899999999</v>
      </c>
      <c r="E242">
        <v>4.5</v>
      </c>
      <c r="F242" s="5">
        <v>9.936305732484076</v>
      </c>
      <c r="G242" s="2">
        <f t="shared" si="18"/>
        <v>77.542495453934436</v>
      </c>
      <c r="H242" s="2">
        <f t="shared" si="19"/>
        <v>16.007783467694491</v>
      </c>
      <c r="I242" s="2">
        <f t="shared" si="15"/>
        <v>4001.9458669236228</v>
      </c>
      <c r="J242" s="4">
        <f t="shared" si="17"/>
        <v>10.540700202847985</v>
      </c>
      <c r="K242" s="4">
        <f t="shared" si="16"/>
        <v>2635.1750507119964</v>
      </c>
      <c r="L242">
        <v>4</v>
      </c>
    </row>
    <row r="243" spans="1:12" hidden="1" x14ac:dyDescent="0.3">
      <c r="A243" t="s">
        <v>65</v>
      </c>
      <c r="B243" t="s">
        <v>57</v>
      </c>
      <c r="C243" s="4">
        <v>0.61</v>
      </c>
      <c r="D243" s="4">
        <v>0.84088888900000003</v>
      </c>
      <c r="E243">
        <v>6</v>
      </c>
      <c r="F243" s="4">
        <v>26.624203821656053</v>
      </c>
      <c r="G243" s="2">
        <f t="shared" si="18"/>
        <v>556.72809729179994</v>
      </c>
      <c r="H243" s="2">
        <f t="shared" si="19"/>
        <v>197.77689408775979</v>
      </c>
      <c r="I243" s="2">
        <f t="shared" si="15"/>
        <v>49444.223521939944</v>
      </c>
      <c r="J243" s="4">
        <f t="shared" si="17"/>
        <v>23.87151281187878</v>
      </c>
      <c r="K243" s="4">
        <f t="shared" si="16"/>
        <v>5967.8782029696949</v>
      </c>
      <c r="L243">
        <v>4</v>
      </c>
    </row>
    <row r="244" spans="1:12" hidden="1" x14ac:dyDescent="0.3">
      <c r="A244" t="s">
        <v>65</v>
      </c>
      <c r="B244" t="s">
        <v>57</v>
      </c>
      <c r="C244" s="4">
        <v>0.61</v>
      </c>
      <c r="D244" s="4">
        <v>0.84088888900000003</v>
      </c>
      <c r="E244">
        <v>8</v>
      </c>
      <c r="F244" s="4">
        <v>67.70700636942675</v>
      </c>
      <c r="G244" s="2">
        <f t="shared" si="18"/>
        <v>3600.45266459512</v>
      </c>
      <c r="H244" s="2">
        <f t="shared" si="19"/>
        <v>1619.4688155014444</v>
      </c>
      <c r="I244" s="2">
        <f t="shared" si="15"/>
        <v>404867.20387536113</v>
      </c>
      <c r="J244" s="4">
        <f t="shared" si="17"/>
        <v>137.34438392226866</v>
      </c>
      <c r="K244" s="4">
        <f t="shared" si="16"/>
        <v>34336.095980567166</v>
      </c>
      <c r="L244">
        <v>4</v>
      </c>
    </row>
    <row r="245" spans="1:12" hidden="1" x14ac:dyDescent="0.3">
      <c r="A245" t="s">
        <v>65</v>
      </c>
      <c r="B245" t="s">
        <v>57</v>
      </c>
      <c r="C245" s="4">
        <v>0.61</v>
      </c>
      <c r="D245" s="4">
        <v>0.84088888900000003</v>
      </c>
      <c r="E245">
        <v>4</v>
      </c>
      <c r="F245" s="4">
        <v>4.3949044585987265</v>
      </c>
      <c r="G245" s="2">
        <f t="shared" si="18"/>
        <v>15.170110981927266</v>
      </c>
      <c r="H245" s="2">
        <f t="shared" si="19"/>
        <v>3.9555584529794028</v>
      </c>
      <c r="I245" s="2">
        <f t="shared" si="15"/>
        <v>988.88961324485069</v>
      </c>
      <c r="J245" s="4">
        <f t="shared" si="17"/>
        <v>9.2561125928029533</v>
      </c>
      <c r="K245" s="4">
        <f t="shared" si="16"/>
        <v>2314.0281482007385</v>
      </c>
      <c r="L245">
        <v>4</v>
      </c>
    </row>
    <row r="246" spans="1:12" hidden="1" x14ac:dyDescent="0.3">
      <c r="A246" t="s">
        <v>65</v>
      </c>
      <c r="B246" t="s">
        <v>22</v>
      </c>
      <c r="C246" s="4">
        <v>0.43836446099999998</v>
      </c>
      <c r="D246" s="4">
        <v>0.58666666700000003</v>
      </c>
      <c r="E246">
        <v>6</v>
      </c>
      <c r="F246" s="4">
        <v>31.050955414012737</v>
      </c>
      <c r="G246" s="2">
        <f t="shared" si="18"/>
        <v>757.25093216732841</v>
      </c>
      <c r="H246" s="2">
        <f t="shared" si="19"/>
        <v>187.91915063190723</v>
      </c>
      <c r="I246" s="2">
        <f t="shared" si="15"/>
        <v>46979.787657976805</v>
      </c>
      <c r="J246" s="4">
        <f t="shared" si="17"/>
        <v>29.233098474583144</v>
      </c>
      <c r="K246" s="4">
        <f t="shared" si="16"/>
        <v>7308.2746186457862</v>
      </c>
      <c r="L246">
        <v>4</v>
      </c>
    </row>
    <row r="247" spans="1:12" hidden="1" x14ac:dyDescent="0.3">
      <c r="A247" t="s">
        <v>65</v>
      </c>
      <c r="B247" t="s">
        <v>58</v>
      </c>
      <c r="C247" s="4">
        <v>0.371297506</v>
      </c>
      <c r="D247" s="4">
        <v>0.35258402799999999</v>
      </c>
      <c r="E247">
        <v>5</v>
      </c>
      <c r="F247" s="4">
        <v>8.1847133757961785</v>
      </c>
      <c r="G247" s="2">
        <f t="shared" si="18"/>
        <v>52.613456219560696</v>
      </c>
      <c r="H247" s="2">
        <f t="shared" si="19"/>
        <v>7.0879542202028656</v>
      </c>
      <c r="I247" s="2">
        <f t="shared" si="15"/>
        <v>1771.9885550507163</v>
      </c>
      <c r="J247" s="4">
        <f t="shared" si="17"/>
        <v>10.158016828268895</v>
      </c>
      <c r="K247" s="4">
        <f t="shared" si="16"/>
        <v>2539.5042070672239</v>
      </c>
      <c r="L247">
        <v>4</v>
      </c>
    </row>
    <row r="248" spans="1:12" hidden="1" x14ac:dyDescent="0.3">
      <c r="A248" t="s">
        <v>65</v>
      </c>
      <c r="B248" t="s">
        <v>58</v>
      </c>
      <c r="C248" s="4">
        <v>0.371297506</v>
      </c>
      <c r="D248" s="4">
        <v>0.35258402799999999</v>
      </c>
      <c r="E248">
        <v>8</v>
      </c>
      <c r="F248" s="4">
        <v>36.433121019108277</v>
      </c>
      <c r="G248" s="2">
        <f t="shared" si="18"/>
        <v>1042.5157722140075</v>
      </c>
      <c r="H248" s="2">
        <f t="shared" si="19"/>
        <v>206.8236269937818</v>
      </c>
      <c r="I248" s="2">
        <f t="shared" si="15"/>
        <v>51705.90674844545</v>
      </c>
      <c r="J248" s="4">
        <f t="shared" si="17"/>
        <v>46.152124601403706</v>
      </c>
      <c r="K248" s="4">
        <f t="shared" si="16"/>
        <v>11538.031150350927</v>
      </c>
      <c r="L248">
        <v>4</v>
      </c>
    </row>
    <row r="249" spans="1:12" hidden="1" x14ac:dyDescent="0.3">
      <c r="A249" t="s">
        <v>65</v>
      </c>
      <c r="B249" t="s">
        <v>58</v>
      </c>
      <c r="C249" s="4">
        <v>0.371297506</v>
      </c>
      <c r="D249" s="4">
        <v>0.35258402799999999</v>
      </c>
      <c r="E249">
        <v>6.5</v>
      </c>
      <c r="F249" s="4">
        <v>28.566878980891719</v>
      </c>
      <c r="G249" s="2">
        <f t="shared" si="18"/>
        <v>640.9371889864268</v>
      </c>
      <c r="H249" s="2">
        <f t="shared" si="19"/>
        <v>105.04877873356381</v>
      </c>
      <c r="I249" s="2">
        <f t="shared" si="15"/>
        <v>26262.194683390953</v>
      </c>
      <c r="J249" s="4">
        <f t="shared" si="17"/>
        <v>27.551214574627771</v>
      </c>
      <c r="K249" s="4">
        <f t="shared" si="16"/>
        <v>6887.8036436569428</v>
      </c>
      <c r="L249">
        <v>4</v>
      </c>
    </row>
    <row r="250" spans="1:12" hidden="1" x14ac:dyDescent="0.3">
      <c r="A250" t="s">
        <v>67</v>
      </c>
      <c r="B250" t="s">
        <v>26</v>
      </c>
      <c r="C250" s="4">
        <v>0.80908761900000004</v>
      </c>
      <c r="D250" s="4">
        <v>0.87473809499999999</v>
      </c>
      <c r="E250">
        <v>7</v>
      </c>
      <c r="F250" s="4">
        <v>7.7388535031847132</v>
      </c>
      <c r="G250" s="2">
        <f t="shared" si="18"/>
        <v>47.037380979406791</v>
      </c>
      <c r="H250" s="2">
        <f t="shared" si="19"/>
        <v>21.419064165816053</v>
      </c>
      <c r="I250" s="2">
        <f t="shared" si="15"/>
        <v>5354.7660414540132</v>
      </c>
      <c r="J250" s="4">
        <f t="shared" si="17"/>
        <v>10.45300141182198</v>
      </c>
      <c r="K250" s="4">
        <f t="shared" si="16"/>
        <v>2613.2503529554947</v>
      </c>
      <c r="L250">
        <v>4</v>
      </c>
    </row>
    <row r="251" spans="1:12" hidden="1" x14ac:dyDescent="0.3">
      <c r="A251" t="s">
        <v>67</v>
      </c>
      <c r="B251" t="s">
        <v>68</v>
      </c>
      <c r="C251" s="4">
        <v>0.77800000000000002</v>
      </c>
      <c r="D251" s="4">
        <v>0.77386111099999999</v>
      </c>
      <c r="E251">
        <v>3.5</v>
      </c>
      <c r="F251" s="4">
        <v>3.6305732484076434</v>
      </c>
      <c r="G251" s="2">
        <f t="shared" si="18"/>
        <v>10.352381974434296</v>
      </c>
      <c r="H251" s="2">
        <f t="shared" si="19"/>
        <v>2.205119766556412</v>
      </c>
      <c r="I251" s="2">
        <f t="shared" si="15"/>
        <v>551.27994163910296</v>
      </c>
      <c r="J251" s="4">
        <f t="shared" si="17"/>
        <v>9.147168010872651</v>
      </c>
      <c r="K251" s="4">
        <f t="shared" si="16"/>
        <v>2286.7920027181626</v>
      </c>
      <c r="L251">
        <v>4</v>
      </c>
    </row>
    <row r="252" spans="1:12" hidden="1" x14ac:dyDescent="0.3">
      <c r="A252" t="s">
        <v>67</v>
      </c>
      <c r="B252" t="s">
        <v>60</v>
      </c>
      <c r="C252" s="4">
        <v>0.41</v>
      </c>
      <c r="D252" s="4">
        <v>0.33983503399999998</v>
      </c>
      <c r="E252">
        <v>6</v>
      </c>
      <c r="F252" s="4">
        <v>10.477707006369428</v>
      </c>
      <c r="G252" s="2">
        <f t="shared" si="18"/>
        <v>86.22285143849976</v>
      </c>
      <c r="H252" s="2">
        <f t="shared" si="19"/>
        <v>13.230252035978143</v>
      </c>
      <c r="I252" s="2">
        <f t="shared" si="15"/>
        <v>3307.5630089945357</v>
      </c>
      <c r="J252" s="4">
        <f t="shared" si="17"/>
        <v>11.291129226337784</v>
      </c>
      <c r="K252" s="4">
        <f t="shared" si="16"/>
        <v>2822.7823065844459</v>
      </c>
      <c r="L252">
        <v>4</v>
      </c>
    </row>
    <row r="253" spans="1:12" hidden="1" x14ac:dyDescent="0.3">
      <c r="A253" t="s">
        <v>67</v>
      </c>
      <c r="B253" t="s">
        <v>69</v>
      </c>
      <c r="C253" s="4">
        <v>0.31264018999999998</v>
      </c>
      <c r="D253" s="4">
        <v>0.356821212</v>
      </c>
      <c r="E253">
        <v>5</v>
      </c>
      <c r="F253" s="4">
        <v>6.4968152866242033</v>
      </c>
      <c r="G253" s="2">
        <f t="shared" si="18"/>
        <v>33.150563884892087</v>
      </c>
      <c r="H253" s="2">
        <f t="shared" si="19"/>
        <v>4.568704301936207</v>
      </c>
      <c r="I253" s="2">
        <f t="shared" si="15"/>
        <v>1142.1760754840518</v>
      </c>
      <c r="J253" s="4">
        <f t="shared" si="17"/>
        <v>9.7243506551989931</v>
      </c>
      <c r="K253" s="4">
        <f t="shared" si="16"/>
        <v>2431.0876637997485</v>
      </c>
      <c r="L253">
        <v>4</v>
      </c>
    </row>
    <row r="254" spans="1:12" hidden="1" x14ac:dyDescent="0.3">
      <c r="A254" t="s">
        <v>67</v>
      </c>
      <c r="B254" t="s">
        <v>70</v>
      </c>
      <c r="C254" s="4">
        <v>0.55560299999999996</v>
      </c>
      <c r="D254" s="4">
        <v>0.55961111100000005</v>
      </c>
      <c r="E254">
        <v>3.5</v>
      </c>
      <c r="F254" s="4">
        <v>17.802547770700635</v>
      </c>
      <c r="G254" s="2">
        <f t="shared" si="18"/>
        <v>248.91679530264716</v>
      </c>
      <c r="H254" s="2">
        <f t="shared" si="19"/>
        <v>35.801704885161797</v>
      </c>
      <c r="I254" s="2">
        <f t="shared" si="15"/>
        <v>8950.4262212904487</v>
      </c>
      <c r="J254" s="4">
        <f t="shared" si="17"/>
        <v>12.868101162318958</v>
      </c>
      <c r="K254" s="4">
        <f t="shared" si="16"/>
        <v>3217.0252905797392</v>
      </c>
      <c r="L254">
        <v>4</v>
      </c>
    </row>
    <row r="255" spans="1:12" hidden="1" x14ac:dyDescent="0.3">
      <c r="A255" t="s">
        <v>67</v>
      </c>
      <c r="B255" t="s">
        <v>61</v>
      </c>
      <c r="C255" s="4">
        <v>0.9</v>
      </c>
      <c r="D255" s="4">
        <v>0.61247410899999999</v>
      </c>
      <c r="E255">
        <v>7</v>
      </c>
      <c r="F255" s="4">
        <v>4.2356687898089174</v>
      </c>
      <c r="G255" s="2">
        <f t="shared" si="18"/>
        <v>14.090742131868904</v>
      </c>
      <c r="H255" s="2">
        <f t="shared" si="19"/>
        <v>4.6642316365258329</v>
      </c>
      <c r="I255" s="2">
        <f t="shared" si="15"/>
        <v>1166.0579091314582</v>
      </c>
      <c r="J255" s="4">
        <f t="shared" si="17"/>
        <v>9.4252518073755525</v>
      </c>
      <c r="K255" s="4">
        <f t="shared" si="16"/>
        <v>2356.3129518438882</v>
      </c>
      <c r="L255">
        <v>4</v>
      </c>
    </row>
    <row r="256" spans="1:12" hidden="1" x14ac:dyDescent="0.3">
      <c r="A256" t="s">
        <v>67</v>
      </c>
      <c r="B256" t="s">
        <v>61</v>
      </c>
      <c r="C256" s="4">
        <v>0.9</v>
      </c>
      <c r="D256" s="4">
        <v>0.61247410899999999</v>
      </c>
      <c r="E256">
        <v>6</v>
      </c>
      <c r="F256" s="4">
        <v>1.7834394904458597</v>
      </c>
      <c r="G256" s="2">
        <f t="shared" si="18"/>
        <v>2.4980817075889461</v>
      </c>
      <c r="H256" s="2">
        <f t="shared" si="19"/>
        <v>0.74155722265958568</v>
      </c>
      <c r="I256" s="2">
        <f t="shared" si="15"/>
        <v>185.38930566489643</v>
      </c>
      <c r="J256" s="4">
        <f t="shared" si="17"/>
        <v>9.0524937847377167</v>
      </c>
      <c r="K256" s="4">
        <f t="shared" si="16"/>
        <v>2263.1234461844292</v>
      </c>
      <c r="L256">
        <v>4</v>
      </c>
    </row>
    <row r="257" spans="1:12" hidden="1" x14ac:dyDescent="0.3">
      <c r="A257" t="s">
        <v>67</v>
      </c>
      <c r="B257" t="s">
        <v>66</v>
      </c>
      <c r="C257" s="4">
        <v>0.62643652800000005</v>
      </c>
      <c r="D257" s="4">
        <v>0.57808694400000005</v>
      </c>
      <c r="E257">
        <v>6</v>
      </c>
      <c r="F257" s="4">
        <v>8.8216560509554132</v>
      </c>
      <c r="G257" s="2">
        <f t="shared" si="18"/>
        <v>61.120953871681195</v>
      </c>
      <c r="H257" s="2">
        <f t="shared" si="19"/>
        <v>15.882170204843614</v>
      </c>
      <c r="I257" s="2">
        <f t="shared" si="15"/>
        <v>3970.5425512109036</v>
      </c>
      <c r="J257" s="4">
        <f t="shared" si="17"/>
        <v>10.619953925108522</v>
      </c>
      <c r="K257" s="4">
        <f t="shared" si="16"/>
        <v>2654.9884812771306</v>
      </c>
      <c r="L257">
        <v>4</v>
      </c>
    </row>
    <row r="258" spans="1:12" hidden="1" x14ac:dyDescent="0.3">
      <c r="A258" t="s">
        <v>67</v>
      </c>
      <c r="B258" t="s">
        <v>56</v>
      </c>
      <c r="C258" s="4">
        <v>0.39984676499999999</v>
      </c>
      <c r="D258" s="4">
        <v>0.450333333</v>
      </c>
      <c r="E258">
        <v>10</v>
      </c>
      <c r="F258" s="4">
        <v>7.9617834394904454</v>
      </c>
      <c r="G258" s="2">
        <f t="shared" si="18"/>
        <v>49.786386072802657</v>
      </c>
      <c r="H258" s="2">
        <f t="shared" si="19"/>
        <v>16.773997109289372</v>
      </c>
      <c r="I258" s="2">
        <f t="shared" ref="I258:I321" si="20">(H258*1000)/L258</f>
        <v>4193.499277322343</v>
      </c>
      <c r="J258" s="4">
        <f t="shared" si="17"/>
        <v>11.20434984380705</v>
      </c>
      <c r="K258" s="4">
        <f t="shared" ref="K258:K321" si="21">(J258*1000)/L258</f>
        <v>2801.0874609517623</v>
      </c>
      <c r="L258">
        <v>4</v>
      </c>
    </row>
    <row r="259" spans="1:12" hidden="1" x14ac:dyDescent="0.3">
      <c r="A259" t="s">
        <v>67</v>
      </c>
      <c r="B259" t="s">
        <v>56</v>
      </c>
      <c r="C259" s="4">
        <v>0.39984676499999999</v>
      </c>
      <c r="D259" s="4">
        <v>0.450333333</v>
      </c>
      <c r="E259">
        <v>10</v>
      </c>
      <c r="F259" s="4">
        <v>23.471337579617831</v>
      </c>
      <c r="G259" s="2">
        <f t="shared" si="18"/>
        <v>432.67874458845034</v>
      </c>
      <c r="H259" s="2">
        <f t="shared" si="19"/>
        <v>138.40577235980334</v>
      </c>
      <c r="I259" s="2">
        <f t="shared" si="20"/>
        <v>34601.443089950837</v>
      </c>
      <c r="J259" s="4">
        <f t="shared" ref="J259:J322" si="22">8.9857 + 0.0035 * F259^2 * E259</f>
        <v>28.267329072173311</v>
      </c>
      <c r="K259" s="4">
        <f t="shared" si="21"/>
        <v>7066.8322680433275</v>
      </c>
      <c r="L259">
        <v>4</v>
      </c>
    </row>
    <row r="260" spans="1:12" hidden="1" x14ac:dyDescent="0.3">
      <c r="A260" t="s">
        <v>67</v>
      </c>
      <c r="B260" t="s">
        <v>56</v>
      </c>
      <c r="C260" s="4">
        <v>0.39984676499999999</v>
      </c>
      <c r="D260" s="4">
        <v>0.450333333</v>
      </c>
      <c r="E260">
        <v>9</v>
      </c>
      <c r="F260" s="4">
        <v>20.541401273885349</v>
      </c>
      <c r="G260" s="2">
        <f t="shared" ref="G260:G323" si="23">PI()*(F260/2)^2</f>
        <v>331.39810025500361</v>
      </c>
      <c r="H260" s="2">
        <f t="shared" ref="H260:H323" si="24">0.0673 * ((D260 * F260^2 * E260)^0.976)</f>
        <v>96.262895139142799</v>
      </c>
      <c r="I260" s="2">
        <f t="shared" si="20"/>
        <v>24065.7237847857</v>
      </c>
      <c r="J260" s="4">
        <f t="shared" si="22"/>
        <v>22.277098738285527</v>
      </c>
      <c r="K260" s="4">
        <f t="shared" si="21"/>
        <v>5569.2746845713818</v>
      </c>
      <c r="L260">
        <v>4</v>
      </c>
    </row>
    <row r="261" spans="1:12" hidden="1" x14ac:dyDescent="0.3">
      <c r="A261" t="s">
        <v>67</v>
      </c>
      <c r="B261" t="s">
        <v>56</v>
      </c>
      <c r="C261" s="4">
        <v>0.39984676499999999</v>
      </c>
      <c r="D261" s="4">
        <v>0.450333333</v>
      </c>
      <c r="E261">
        <v>9</v>
      </c>
      <c r="F261" s="4">
        <v>30.796178343949045</v>
      </c>
      <c r="G261" s="2">
        <f t="shared" si="23"/>
        <v>744.87523146289561</v>
      </c>
      <c r="H261" s="2">
        <f t="shared" si="24"/>
        <v>212.20266487211924</v>
      </c>
      <c r="I261" s="2">
        <f t="shared" si="20"/>
        <v>53050.666218029808</v>
      </c>
      <c r="J261" s="4">
        <f t="shared" si="22"/>
        <v>38.860444918657954</v>
      </c>
      <c r="K261" s="4">
        <f t="shared" si="21"/>
        <v>9715.1112296644878</v>
      </c>
      <c r="L261">
        <v>4</v>
      </c>
    </row>
    <row r="262" spans="1:12" hidden="1" x14ac:dyDescent="0.3">
      <c r="A262" t="s">
        <v>67</v>
      </c>
      <c r="B262" t="s">
        <v>56</v>
      </c>
      <c r="C262" s="4">
        <v>0.39984676499999999</v>
      </c>
      <c r="D262" s="4">
        <v>0.450333333</v>
      </c>
      <c r="E262">
        <v>8</v>
      </c>
      <c r="F262" s="4">
        <v>15.063694267515922</v>
      </c>
      <c r="G262" s="2">
        <f t="shared" si="23"/>
        <v>178.21853391491305</v>
      </c>
      <c r="H262" s="2">
        <f t="shared" si="24"/>
        <v>46.838442037875318</v>
      </c>
      <c r="I262" s="2">
        <f t="shared" si="20"/>
        <v>11709.61050946883</v>
      </c>
      <c r="J262" s="4">
        <f t="shared" si="22"/>
        <v>15.339316779585378</v>
      </c>
      <c r="K262" s="4">
        <f t="shared" si="21"/>
        <v>3834.8291948963442</v>
      </c>
      <c r="L262">
        <v>4</v>
      </c>
    </row>
    <row r="263" spans="1:12" hidden="1" x14ac:dyDescent="0.3">
      <c r="A263" t="s">
        <v>67</v>
      </c>
      <c r="B263" t="s">
        <v>56</v>
      </c>
      <c r="C263" s="4">
        <v>0.39984676499999999</v>
      </c>
      <c r="D263" s="4">
        <v>0.450333333</v>
      </c>
      <c r="E263">
        <v>11</v>
      </c>
      <c r="F263" s="4">
        <v>5.4458598726114653</v>
      </c>
      <c r="G263" s="2">
        <f t="shared" si="23"/>
        <v>23.29285944247717</v>
      </c>
      <c r="H263" s="2">
        <f t="shared" si="24"/>
        <v>8.7713276676587171</v>
      </c>
      <c r="I263" s="2">
        <f t="shared" si="20"/>
        <v>2192.8319169146794</v>
      </c>
      <c r="J263" s="4">
        <f t="shared" si="22"/>
        <v>10.127509505456612</v>
      </c>
      <c r="K263" s="4">
        <f t="shared" si="21"/>
        <v>2531.877376364153</v>
      </c>
      <c r="L263">
        <v>4</v>
      </c>
    </row>
    <row r="264" spans="1:12" hidden="1" x14ac:dyDescent="0.3">
      <c r="A264" t="s">
        <v>67</v>
      </c>
      <c r="B264" t="s">
        <v>56</v>
      </c>
      <c r="C264" s="4">
        <v>0.39984676499999999</v>
      </c>
      <c r="D264" s="4">
        <v>0.450333333</v>
      </c>
      <c r="E264">
        <v>7</v>
      </c>
      <c r="F264" s="4">
        <v>16.242038216560509</v>
      </c>
      <c r="G264" s="2">
        <f t="shared" si="23"/>
        <v>207.19102428057556</v>
      </c>
      <c r="H264" s="2">
        <f t="shared" si="24"/>
        <v>47.626683213138655</v>
      </c>
      <c r="I264" s="2">
        <f t="shared" si="20"/>
        <v>11906.670803284664</v>
      </c>
      <c r="J264" s="4">
        <f t="shared" si="22"/>
        <v>15.448893232991196</v>
      </c>
      <c r="K264" s="4">
        <f t="shared" si="21"/>
        <v>3862.2233082477992</v>
      </c>
      <c r="L264">
        <v>4</v>
      </c>
    </row>
    <row r="265" spans="1:12" hidden="1" x14ac:dyDescent="0.3">
      <c r="A265" t="s">
        <v>67</v>
      </c>
      <c r="B265" t="s">
        <v>56</v>
      </c>
      <c r="C265" s="4">
        <v>0.39984676499999999</v>
      </c>
      <c r="D265" s="4">
        <v>0.450333333</v>
      </c>
      <c r="E265">
        <v>7</v>
      </c>
      <c r="F265" s="4">
        <v>48.121019108280251</v>
      </c>
      <c r="G265" s="2">
        <f t="shared" si="23"/>
        <v>1818.6934969107724</v>
      </c>
      <c r="H265" s="2">
        <f t="shared" si="24"/>
        <v>396.82368737497785</v>
      </c>
      <c r="I265" s="2">
        <f t="shared" si="20"/>
        <v>99205.921843744465</v>
      </c>
      <c r="J265" s="4">
        <f t="shared" si="22"/>
        <v>65.718695760477075</v>
      </c>
      <c r="K265" s="4">
        <f t="shared" si="21"/>
        <v>16429.673940119268</v>
      </c>
      <c r="L265">
        <v>4</v>
      </c>
    </row>
    <row r="266" spans="1:12" hidden="1" x14ac:dyDescent="0.3">
      <c r="A266" t="s">
        <v>67</v>
      </c>
      <c r="B266" t="s">
        <v>38</v>
      </c>
      <c r="C266" s="4">
        <v>1082380952</v>
      </c>
      <c r="D266" s="4">
        <v>0.61247410899999999</v>
      </c>
      <c r="E266">
        <v>5</v>
      </c>
      <c r="F266" s="4">
        <v>23.853503184713375</v>
      </c>
      <c r="G266" s="2">
        <f t="shared" si="23"/>
        <v>446.88339797165389</v>
      </c>
      <c r="H266" s="2">
        <f t="shared" si="24"/>
        <v>98.036828312963934</v>
      </c>
      <c r="I266" s="2">
        <f t="shared" si="20"/>
        <v>24509.207078240983</v>
      </c>
      <c r="J266" s="4">
        <f t="shared" si="22"/>
        <v>18.943018248204794</v>
      </c>
      <c r="K266" s="4">
        <f t="shared" si="21"/>
        <v>4735.7545620511983</v>
      </c>
      <c r="L266">
        <v>4</v>
      </c>
    </row>
    <row r="267" spans="1:12" hidden="1" x14ac:dyDescent="0.3">
      <c r="A267" t="s">
        <v>67</v>
      </c>
      <c r="B267" t="s">
        <v>38</v>
      </c>
      <c r="C267" s="4">
        <v>1082380952</v>
      </c>
      <c r="D267" s="4">
        <v>0.61247410899999999</v>
      </c>
      <c r="E267">
        <v>6</v>
      </c>
      <c r="F267" s="4">
        <v>17.802547770700635</v>
      </c>
      <c r="G267" s="2">
        <f t="shared" si="23"/>
        <v>248.91679530264716</v>
      </c>
      <c r="H267" s="2">
        <f t="shared" si="24"/>
        <v>66.165178656769328</v>
      </c>
      <c r="I267" s="2">
        <f t="shared" si="20"/>
        <v>16541.294664192334</v>
      </c>
      <c r="J267" s="4">
        <f t="shared" si="22"/>
        <v>15.641244849689642</v>
      </c>
      <c r="K267" s="4">
        <f t="shared" si="21"/>
        <v>3910.3112124224103</v>
      </c>
      <c r="L267">
        <v>4</v>
      </c>
    </row>
    <row r="268" spans="1:12" hidden="1" x14ac:dyDescent="0.3">
      <c r="A268" t="s">
        <v>67</v>
      </c>
      <c r="B268" t="s">
        <v>57</v>
      </c>
      <c r="C268" s="4">
        <v>0.61</v>
      </c>
      <c r="D268" s="4">
        <v>0.84088888900000003</v>
      </c>
      <c r="E268">
        <v>8</v>
      </c>
      <c r="F268" s="4">
        <v>34.681528662420384</v>
      </c>
      <c r="G268" s="2">
        <f t="shared" si="23"/>
        <v>944.68353212550744</v>
      </c>
      <c r="H268" s="2">
        <f t="shared" si="24"/>
        <v>438.78071050393442</v>
      </c>
      <c r="I268" s="2">
        <f t="shared" si="20"/>
        <v>109695.1776259836</v>
      </c>
      <c r="J268" s="4">
        <f t="shared" si="22"/>
        <v>42.664336050144023</v>
      </c>
      <c r="K268" s="4">
        <f t="shared" si="21"/>
        <v>10666.084012536006</v>
      </c>
      <c r="L268">
        <v>4</v>
      </c>
    </row>
    <row r="269" spans="1:12" hidden="1" x14ac:dyDescent="0.3">
      <c r="A269" t="s">
        <v>67</v>
      </c>
      <c r="B269" t="s">
        <v>22</v>
      </c>
      <c r="C269" s="4">
        <v>0.43836446099999998</v>
      </c>
      <c r="D269" s="4">
        <v>0.58666666700000003</v>
      </c>
      <c r="E269">
        <v>7</v>
      </c>
      <c r="F269" s="4">
        <v>32.484076433121025</v>
      </c>
      <c r="G269" s="2">
        <f t="shared" si="23"/>
        <v>828.76409712230259</v>
      </c>
      <c r="H269" s="2">
        <f t="shared" si="24"/>
        <v>238.54022960203525</v>
      </c>
      <c r="I269" s="2">
        <f t="shared" si="20"/>
        <v>59635.057400508813</v>
      </c>
      <c r="J269" s="4">
        <f t="shared" si="22"/>
        <v>34.838472931964795</v>
      </c>
      <c r="K269" s="4">
        <f t="shared" si="21"/>
        <v>8709.618232991199</v>
      </c>
      <c r="L269">
        <v>4</v>
      </c>
    </row>
    <row r="270" spans="1:12" hidden="1" x14ac:dyDescent="0.3">
      <c r="A270" t="s">
        <v>67</v>
      </c>
      <c r="B270" t="s">
        <v>22</v>
      </c>
      <c r="C270" s="4">
        <v>0.43836446099999998</v>
      </c>
      <c r="D270" s="4">
        <v>0.58666666700000003</v>
      </c>
      <c r="E270">
        <v>6</v>
      </c>
      <c r="F270" s="4">
        <v>22.101910828025478</v>
      </c>
      <c r="G270" s="2">
        <f t="shared" si="23"/>
        <v>383.66265348096618</v>
      </c>
      <c r="H270" s="2">
        <f t="shared" si="24"/>
        <v>96.776011067851513</v>
      </c>
      <c r="I270" s="2">
        <f t="shared" si="20"/>
        <v>24194.00276696288</v>
      </c>
      <c r="J270" s="4">
        <f t="shared" si="22"/>
        <v>19.244083707249786</v>
      </c>
      <c r="K270" s="4">
        <f t="shared" si="21"/>
        <v>4811.0209268124463</v>
      </c>
      <c r="L270">
        <v>4</v>
      </c>
    </row>
    <row r="271" spans="1:12" hidden="1" x14ac:dyDescent="0.3">
      <c r="A271" t="s">
        <v>71</v>
      </c>
      <c r="B271" t="s">
        <v>72</v>
      </c>
      <c r="C271" s="4">
        <v>0.43916666700000001</v>
      </c>
      <c r="D271" s="4">
        <v>0.51877777800000002</v>
      </c>
      <c r="E271">
        <v>6</v>
      </c>
      <c r="F271" s="4">
        <v>10</v>
      </c>
      <c r="G271" s="2">
        <f t="shared" si="23"/>
        <v>78.539816339744831</v>
      </c>
      <c r="H271" s="2">
        <f t="shared" si="24"/>
        <v>18.252085584510233</v>
      </c>
      <c r="I271" s="2">
        <f t="shared" si="20"/>
        <v>2607.4407977871765</v>
      </c>
      <c r="J271" s="4">
        <f t="shared" si="22"/>
        <v>11.085699999999999</v>
      </c>
      <c r="K271" s="4">
        <f t="shared" si="21"/>
        <v>1583.6714285714284</v>
      </c>
      <c r="L271">
        <v>7</v>
      </c>
    </row>
    <row r="272" spans="1:12" hidden="1" x14ac:dyDescent="0.3">
      <c r="A272" t="s">
        <v>71</v>
      </c>
      <c r="B272" t="s">
        <v>60</v>
      </c>
      <c r="C272" s="4">
        <v>0.41</v>
      </c>
      <c r="D272" s="4">
        <v>0.33983503399999998</v>
      </c>
      <c r="E272">
        <v>7</v>
      </c>
      <c r="F272" s="4">
        <v>8.0891719745222925</v>
      </c>
      <c r="G272" s="2">
        <f t="shared" si="23"/>
        <v>51.39229574196699</v>
      </c>
      <c r="H272" s="2">
        <f t="shared" si="24"/>
        <v>9.280624608852154</v>
      </c>
      <c r="I272" s="2">
        <f t="shared" si="20"/>
        <v>1325.8035155503078</v>
      </c>
      <c r="J272" s="4">
        <f t="shared" si="22"/>
        <v>10.588850229218224</v>
      </c>
      <c r="K272" s="4">
        <f t="shared" si="21"/>
        <v>1512.6928898883177</v>
      </c>
      <c r="L272">
        <v>7</v>
      </c>
    </row>
    <row r="273" spans="1:12" hidden="1" x14ac:dyDescent="0.3">
      <c r="A273" t="s">
        <v>71</v>
      </c>
      <c r="B273" t="s">
        <v>53</v>
      </c>
      <c r="C273" s="4">
        <v>0.63206279899999995</v>
      </c>
      <c r="D273" s="4">
        <v>0.75690909100000003</v>
      </c>
      <c r="E273">
        <v>5</v>
      </c>
      <c r="F273" s="4">
        <v>6.1783439490445851</v>
      </c>
      <c r="G273" s="2">
        <f t="shared" si="23"/>
        <v>29.980166819776009</v>
      </c>
      <c r="H273" s="2">
        <f t="shared" si="24"/>
        <v>8.6285687615675997</v>
      </c>
      <c r="I273" s="2">
        <f t="shared" si="20"/>
        <v>1232.6526802239428</v>
      </c>
      <c r="J273" s="4">
        <f t="shared" si="22"/>
        <v>9.6537088441721775</v>
      </c>
      <c r="K273" s="4">
        <f t="shared" si="21"/>
        <v>1379.1012634531683</v>
      </c>
      <c r="L273">
        <v>7</v>
      </c>
    </row>
    <row r="274" spans="1:12" hidden="1" x14ac:dyDescent="0.3">
      <c r="A274" t="s">
        <v>71</v>
      </c>
      <c r="B274" t="s">
        <v>53</v>
      </c>
      <c r="C274" s="4">
        <v>0.63206279899999995</v>
      </c>
      <c r="D274" s="4">
        <v>0.75690909100000003</v>
      </c>
      <c r="E274">
        <v>5.5</v>
      </c>
      <c r="F274" s="4">
        <v>19.076433121019104</v>
      </c>
      <c r="G274" s="2">
        <f t="shared" si="23"/>
        <v>285.81448174892262</v>
      </c>
      <c r="H274" s="2">
        <f t="shared" si="24"/>
        <v>85.523645675365358</v>
      </c>
      <c r="I274" s="2">
        <f t="shared" si="20"/>
        <v>12217.663667909337</v>
      </c>
      <c r="J274" s="4">
        <f t="shared" si="22"/>
        <v>15.990973286948757</v>
      </c>
      <c r="K274" s="4">
        <f t="shared" si="21"/>
        <v>2284.4247552783936</v>
      </c>
      <c r="L274">
        <v>7</v>
      </c>
    </row>
    <row r="275" spans="1:12" hidden="1" x14ac:dyDescent="0.3">
      <c r="A275" t="s">
        <v>71</v>
      </c>
      <c r="B275" t="s">
        <v>53</v>
      </c>
      <c r="C275" s="4">
        <v>0.63206279899999995</v>
      </c>
      <c r="D275" s="4">
        <v>0.75690909100000003</v>
      </c>
      <c r="E275">
        <v>4.5</v>
      </c>
      <c r="F275" s="4">
        <v>4.6178343949044587</v>
      </c>
      <c r="G275" s="2">
        <f t="shared" si="23"/>
        <v>16.748140274890819</v>
      </c>
      <c r="H275" s="2">
        <f t="shared" si="24"/>
        <v>4.4104288173545854</v>
      </c>
      <c r="I275" s="2">
        <f t="shared" si="20"/>
        <v>630.06125962208364</v>
      </c>
      <c r="J275" s="4">
        <f t="shared" si="22"/>
        <v>9.3215592133555116</v>
      </c>
      <c r="K275" s="4">
        <f t="shared" si="21"/>
        <v>1331.6513161936443</v>
      </c>
      <c r="L275">
        <v>7</v>
      </c>
    </row>
    <row r="276" spans="1:12" hidden="1" x14ac:dyDescent="0.3">
      <c r="A276" t="s">
        <v>71</v>
      </c>
      <c r="B276" t="s">
        <v>61</v>
      </c>
      <c r="C276" s="4">
        <v>0.9</v>
      </c>
      <c r="D276" s="4">
        <v>0.61247410899999999</v>
      </c>
      <c r="E276">
        <v>3</v>
      </c>
      <c r="F276" s="4">
        <v>2.6433121019108281</v>
      </c>
      <c r="G276" s="2">
        <f t="shared" si="23"/>
        <v>5.4876546184886017</v>
      </c>
      <c r="H276" s="2">
        <f t="shared" si="24"/>
        <v>0.81267481498658056</v>
      </c>
      <c r="I276" s="2">
        <f t="shared" si="20"/>
        <v>116.09640214094009</v>
      </c>
      <c r="J276" s="4">
        <f t="shared" si="22"/>
        <v>9.0590645381151358</v>
      </c>
      <c r="K276" s="4">
        <f t="shared" si="21"/>
        <v>1294.1520768735907</v>
      </c>
      <c r="L276">
        <v>7</v>
      </c>
    </row>
    <row r="277" spans="1:12" hidden="1" x14ac:dyDescent="0.3">
      <c r="A277" t="s">
        <v>71</v>
      </c>
      <c r="B277" t="s">
        <v>55</v>
      </c>
      <c r="C277" s="4">
        <v>0.52500000000000002</v>
      </c>
      <c r="D277" s="4">
        <v>0.52500000000000002</v>
      </c>
      <c r="E277">
        <v>6</v>
      </c>
      <c r="F277" s="4">
        <v>18.121019108280255</v>
      </c>
      <c r="G277" s="2">
        <f t="shared" si="23"/>
        <v>257.90224226106665</v>
      </c>
      <c r="H277" s="2">
        <f t="shared" si="24"/>
        <v>58.930297787845461</v>
      </c>
      <c r="I277" s="2">
        <f t="shared" si="20"/>
        <v>8418.6139696922091</v>
      </c>
      <c r="J277" s="4">
        <f t="shared" si="22"/>
        <v>15.881498003975821</v>
      </c>
      <c r="K277" s="4">
        <f t="shared" si="21"/>
        <v>2268.7854291394028</v>
      </c>
      <c r="L277">
        <v>7</v>
      </c>
    </row>
    <row r="278" spans="1:12" hidden="1" x14ac:dyDescent="0.3">
      <c r="A278" t="s">
        <v>71</v>
      </c>
      <c r="B278" t="s">
        <v>66</v>
      </c>
      <c r="C278" s="4">
        <v>0.62643652800000005</v>
      </c>
      <c r="D278" s="4">
        <v>0.57808694400000005</v>
      </c>
      <c r="E278">
        <v>6</v>
      </c>
      <c r="F278" s="4">
        <v>26.273885350318469</v>
      </c>
      <c r="G278" s="2">
        <f t="shared" si="23"/>
        <v>542.173744332821</v>
      </c>
      <c r="H278" s="2">
        <f t="shared" si="24"/>
        <v>133.6926230646547</v>
      </c>
      <c r="I278" s="2">
        <f t="shared" si="20"/>
        <v>19098.946152093529</v>
      </c>
      <c r="J278" s="4">
        <f t="shared" si="22"/>
        <v>23.482358079435272</v>
      </c>
      <c r="K278" s="4">
        <f t="shared" si="21"/>
        <v>3354.6225827764674</v>
      </c>
      <c r="L278">
        <v>7</v>
      </c>
    </row>
    <row r="279" spans="1:12" hidden="1" x14ac:dyDescent="0.3">
      <c r="A279" t="s">
        <v>71</v>
      </c>
      <c r="B279" t="s">
        <v>66</v>
      </c>
      <c r="C279" s="4">
        <v>0.62643652800000005</v>
      </c>
      <c r="D279" s="4">
        <v>0.57808694400000005</v>
      </c>
      <c r="E279">
        <v>6.5</v>
      </c>
      <c r="F279" s="4">
        <v>34.522292993630572</v>
      </c>
      <c r="G279" s="2">
        <f t="shared" si="23"/>
        <v>936.02866677061127</v>
      </c>
      <c r="H279" s="2">
        <f t="shared" si="24"/>
        <v>246.31695735435574</v>
      </c>
      <c r="I279" s="2">
        <f t="shared" si="20"/>
        <v>35188.136764907962</v>
      </c>
      <c r="J279" s="4">
        <f t="shared" si="22"/>
        <v>36.098893232991195</v>
      </c>
      <c r="K279" s="4">
        <f t="shared" si="21"/>
        <v>5156.9847475701699</v>
      </c>
      <c r="L279">
        <v>7</v>
      </c>
    </row>
    <row r="280" spans="1:12" hidden="1" x14ac:dyDescent="0.3">
      <c r="A280" t="s">
        <v>71</v>
      </c>
      <c r="B280" t="s">
        <v>66</v>
      </c>
      <c r="C280" s="4">
        <v>0.62643652800000005</v>
      </c>
      <c r="D280" s="4">
        <v>0.57808694400000005</v>
      </c>
      <c r="E280">
        <v>7</v>
      </c>
      <c r="F280" s="4">
        <v>40.636942675159233</v>
      </c>
      <c r="G280" s="2">
        <f t="shared" si="23"/>
        <v>1296.9759828875447</v>
      </c>
      <c r="H280" s="2">
        <f t="shared" si="24"/>
        <v>364.04068240149007</v>
      </c>
      <c r="I280" s="2">
        <f t="shared" si="20"/>
        <v>52005.811771641434</v>
      </c>
      <c r="J280" s="4">
        <f t="shared" si="22"/>
        <v>49.444047194612352</v>
      </c>
      <c r="K280" s="4">
        <f t="shared" si="21"/>
        <v>7063.43531351605</v>
      </c>
      <c r="L280">
        <v>7</v>
      </c>
    </row>
    <row r="281" spans="1:12" hidden="1" x14ac:dyDescent="0.3">
      <c r="A281" t="s">
        <v>71</v>
      </c>
      <c r="B281" t="s">
        <v>66</v>
      </c>
      <c r="C281" s="4">
        <v>0.62643652800000005</v>
      </c>
      <c r="D281" s="4">
        <v>0.57808694400000005</v>
      </c>
      <c r="E281">
        <v>6</v>
      </c>
      <c r="F281" s="4">
        <v>42.834394904458598</v>
      </c>
      <c r="G281" s="2">
        <f t="shared" si="23"/>
        <v>1441.0370730456295</v>
      </c>
      <c r="H281" s="2">
        <f t="shared" si="24"/>
        <v>347.1004971738102</v>
      </c>
      <c r="I281" s="2">
        <f t="shared" si="20"/>
        <v>49585.785310544314</v>
      </c>
      <c r="J281" s="4">
        <f t="shared" si="22"/>
        <v>47.516193123453284</v>
      </c>
      <c r="K281" s="4">
        <f t="shared" si="21"/>
        <v>6788.0275890647545</v>
      </c>
      <c r="L281">
        <v>7</v>
      </c>
    </row>
    <row r="282" spans="1:12" hidden="1" x14ac:dyDescent="0.3">
      <c r="A282" t="s">
        <v>71</v>
      </c>
      <c r="B282" t="s">
        <v>66</v>
      </c>
      <c r="C282" s="4">
        <v>0.62643652800000005</v>
      </c>
      <c r="D282" s="4">
        <v>0.57808694400000005</v>
      </c>
      <c r="E282">
        <v>6</v>
      </c>
      <c r="F282" s="4">
        <v>80.636942675159233</v>
      </c>
      <c r="G282" s="2">
        <f t="shared" si="23"/>
        <v>5106.9074557760587</v>
      </c>
      <c r="H282" s="2">
        <f t="shared" si="24"/>
        <v>1193.3023111059365</v>
      </c>
      <c r="I282" s="2">
        <f t="shared" si="20"/>
        <v>170471.7587294195</v>
      </c>
      <c r="J282" s="4">
        <f t="shared" si="22"/>
        <v>145.53434700393524</v>
      </c>
      <c r="K282" s="4">
        <f t="shared" si="21"/>
        <v>20790.621000562176</v>
      </c>
      <c r="L282">
        <v>7</v>
      </c>
    </row>
    <row r="283" spans="1:12" hidden="1" x14ac:dyDescent="0.3">
      <c r="A283" t="s">
        <v>71</v>
      </c>
      <c r="B283" t="s">
        <v>66</v>
      </c>
      <c r="C283" s="4">
        <v>0.62643652800000005</v>
      </c>
      <c r="D283" s="4">
        <v>0.57808694400000005</v>
      </c>
      <c r="E283">
        <v>5.5</v>
      </c>
      <c r="F283" s="4">
        <v>53.726114649681534</v>
      </c>
      <c r="G283" s="2">
        <f t="shared" si="23"/>
        <v>2267.0481821636504</v>
      </c>
      <c r="H283" s="2">
        <f t="shared" si="24"/>
        <v>496.1766727510751</v>
      </c>
      <c r="I283" s="2">
        <f t="shared" si="20"/>
        <v>70882.381821582167</v>
      </c>
      <c r="J283" s="4">
        <f t="shared" si="22"/>
        <v>64.550736360501446</v>
      </c>
      <c r="K283" s="4">
        <f t="shared" si="21"/>
        <v>9221.5337657859218</v>
      </c>
      <c r="L283">
        <v>7</v>
      </c>
    </row>
    <row r="284" spans="1:12" hidden="1" x14ac:dyDescent="0.3">
      <c r="A284" t="s">
        <v>71</v>
      </c>
      <c r="B284" t="s">
        <v>66</v>
      </c>
      <c r="C284" s="4">
        <v>0.62643652800000005</v>
      </c>
      <c r="D284" s="4">
        <v>0.57808694400000005</v>
      </c>
      <c r="E284">
        <v>6.5</v>
      </c>
      <c r="F284" s="4">
        <v>68.439490445859875</v>
      </c>
      <c r="G284" s="2">
        <f t="shared" si="23"/>
        <v>3678.7766071648539</v>
      </c>
      <c r="H284" s="2">
        <f t="shared" si="24"/>
        <v>936.79083985453963</v>
      </c>
      <c r="I284" s="2">
        <f t="shared" si="20"/>
        <v>133827.26283636279</v>
      </c>
      <c r="J284" s="4">
        <f t="shared" si="22"/>
        <v>115.54587764412349</v>
      </c>
      <c r="K284" s="4">
        <f t="shared" si="21"/>
        <v>16506.553949160498</v>
      </c>
      <c r="L284">
        <v>7</v>
      </c>
    </row>
    <row r="285" spans="1:12" hidden="1" x14ac:dyDescent="0.3">
      <c r="A285" t="s">
        <v>71</v>
      </c>
      <c r="B285" t="s">
        <v>38</v>
      </c>
      <c r="C285" s="4">
        <v>1082380952</v>
      </c>
      <c r="D285" s="4">
        <v>0.61247410899999999</v>
      </c>
      <c r="E285">
        <v>6</v>
      </c>
      <c r="F285" s="4">
        <v>4.6496815286624198</v>
      </c>
      <c r="G285" s="2">
        <f t="shared" si="23"/>
        <v>16.979945688445781</v>
      </c>
      <c r="H285" s="2">
        <f t="shared" si="24"/>
        <v>4.8139149711013225</v>
      </c>
      <c r="I285" s="2">
        <f t="shared" si="20"/>
        <v>687.70213872876036</v>
      </c>
      <c r="J285" s="4">
        <f t="shared" si="22"/>
        <v>9.4397103046776749</v>
      </c>
      <c r="K285" s="4">
        <f t="shared" si="21"/>
        <v>1348.5300435253823</v>
      </c>
      <c r="L285">
        <v>7</v>
      </c>
    </row>
    <row r="286" spans="1:12" hidden="1" x14ac:dyDescent="0.3">
      <c r="A286" t="s">
        <v>71</v>
      </c>
      <c r="B286" t="s">
        <v>73</v>
      </c>
      <c r="C286" s="4">
        <v>0.39</v>
      </c>
      <c r="D286" s="4">
        <v>0.28861111099999998</v>
      </c>
      <c r="E286">
        <v>4.5</v>
      </c>
      <c r="F286" s="4">
        <v>5.2547770700636942</v>
      </c>
      <c r="G286" s="2">
        <f t="shared" si="23"/>
        <v>21.68694977331284</v>
      </c>
      <c r="H286" s="2">
        <f t="shared" si="24"/>
        <v>2.2148177594903453</v>
      </c>
      <c r="I286" s="2">
        <f t="shared" si="20"/>
        <v>316.40253707004933</v>
      </c>
      <c r="J286" s="4">
        <f t="shared" si="22"/>
        <v>9.4205997423830574</v>
      </c>
      <c r="K286" s="4">
        <f t="shared" si="21"/>
        <v>1345.7999631975797</v>
      </c>
      <c r="L286">
        <v>7</v>
      </c>
    </row>
    <row r="287" spans="1:12" hidden="1" x14ac:dyDescent="0.3">
      <c r="A287" t="s">
        <v>71</v>
      </c>
      <c r="B287" t="s">
        <v>22</v>
      </c>
      <c r="C287" s="4">
        <v>0.43836446099999998</v>
      </c>
      <c r="D287" s="4">
        <v>0.58666666700000003</v>
      </c>
      <c r="E287">
        <v>6</v>
      </c>
      <c r="F287" s="4">
        <v>19.777070063694268</v>
      </c>
      <c r="G287" s="2">
        <f t="shared" si="23"/>
        <v>307.1947473840271</v>
      </c>
      <c r="H287" s="2">
        <f t="shared" si="24"/>
        <v>77.902040708479078</v>
      </c>
      <c r="I287" s="2">
        <f t="shared" si="20"/>
        <v>11128.862958354153</v>
      </c>
      <c r="J287" s="4">
        <f t="shared" si="22"/>
        <v>17.199482506389714</v>
      </c>
      <c r="K287" s="4">
        <f t="shared" si="21"/>
        <v>2457.068929484245</v>
      </c>
      <c r="L287">
        <v>7</v>
      </c>
    </row>
    <row r="288" spans="1:12" hidden="1" x14ac:dyDescent="0.3">
      <c r="A288" t="s">
        <v>71</v>
      </c>
      <c r="B288" t="s">
        <v>22</v>
      </c>
      <c r="C288" s="4">
        <v>0.43836446099999998</v>
      </c>
      <c r="D288" s="4">
        <v>0.58666666700000003</v>
      </c>
      <c r="E288">
        <v>5.5</v>
      </c>
      <c r="F288" s="4">
        <v>24.076433121019104</v>
      </c>
      <c r="G288" s="2">
        <f t="shared" si="23"/>
        <v>455.27539120808535</v>
      </c>
      <c r="H288" s="2">
        <f t="shared" si="24"/>
        <v>105.05747060049707</v>
      </c>
      <c r="I288" s="2">
        <f t="shared" si="20"/>
        <v>15008.210085785295</v>
      </c>
      <c r="J288" s="4">
        <f t="shared" si="22"/>
        <v>20.144436662744937</v>
      </c>
      <c r="K288" s="4">
        <f t="shared" si="21"/>
        <v>2877.7766661064197</v>
      </c>
      <c r="L288">
        <v>7</v>
      </c>
    </row>
    <row r="289" spans="1:12" hidden="1" x14ac:dyDescent="0.3">
      <c r="A289" t="s">
        <v>71</v>
      </c>
      <c r="B289" t="s">
        <v>47</v>
      </c>
      <c r="C289" s="4">
        <v>0.40238543599999999</v>
      </c>
      <c r="D289" s="4">
        <v>0.40883333300000002</v>
      </c>
      <c r="E289">
        <v>12</v>
      </c>
      <c r="F289" s="4">
        <v>17.00636942675159</v>
      </c>
      <c r="G289" s="2">
        <f t="shared" si="23"/>
        <v>227.1501873116178</v>
      </c>
      <c r="H289" s="2">
        <f t="shared" si="24"/>
        <v>80.226714562541446</v>
      </c>
      <c r="I289" s="2">
        <f t="shared" si="20"/>
        <v>11460.959223220207</v>
      </c>
      <c r="J289" s="4">
        <f t="shared" si="22"/>
        <v>21.132797245324351</v>
      </c>
      <c r="K289" s="4">
        <f t="shared" si="21"/>
        <v>3018.9710350463361</v>
      </c>
      <c r="L289">
        <v>7</v>
      </c>
    </row>
    <row r="290" spans="1:12" hidden="1" x14ac:dyDescent="0.3">
      <c r="A290" t="s">
        <v>71</v>
      </c>
      <c r="B290" t="s">
        <v>47</v>
      </c>
      <c r="C290" s="4">
        <v>0.40238543599999999</v>
      </c>
      <c r="D290" s="4">
        <v>0.40883333300000002</v>
      </c>
      <c r="E290">
        <v>12</v>
      </c>
      <c r="F290" s="4">
        <v>22.452229299363058</v>
      </c>
      <c r="G290" s="2">
        <f t="shared" si="23"/>
        <v>395.92125660535595</v>
      </c>
      <c r="H290" s="2">
        <f t="shared" si="24"/>
        <v>137.98237948728163</v>
      </c>
      <c r="I290" s="2">
        <f t="shared" si="20"/>
        <v>19711.76849818309</v>
      </c>
      <c r="J290" s="4">
        <f t="shared" si="22"/>
        <v>30.158009221469435</v>
      </c>
      <c r="K290" s="4">
        <f t="shared" si="21"/>
        <v>4308.2870316384906</v>
      </c>
      <c r="L290">
        <v>7</v>
      </c>
    </row>
    <row r="291" spans="1:12" hidden="1" x14ac:dyDescent="0.3">
      <c r="A291" t="s">
        <v>71</v>
      </c>
      <c r="B291" t="s">
        <v>62</v>
      </c>
      <c r="C291" s="4">
        <v>0.693333333</v>
      </c>
      <c r="D291" s="4">
        <v>0.64166666699999997</v>
      </c>
      <c r="E291">
        <v>6</v>
      </c>
      <c r="F291" s="4">
        <v>10.063694267515924</v>
      </c>
      <c r="G291" s="2">
        <f t="shared" si="23"/>
        <v>79.543509882972543</v>
      </c>
      <c r="H291" s="2">
        <f t="shared" si="24"/>
        <v>22.740879066864679</v>
      </c>
      <c r="I291" s="2">
        <f t="shared" si="20"/>
        <v>3248.6970095520969</v>
      </c>
      <c r="J291" s="4">
        <f t="shared" si="22"/>
        <v>11.11253678851069</v>
      </c>
      <c r="K291" s="4">
        <f t="shared" si="21"/>
        <v>1587.505255501527</v>
      </c>
      <c r="L291">
        <v>7</v>
      </c>
    </row>
    <row r="292" spans="1:12" hidden="1" x14ac:dyDescent="0.3">
      <c r="A292" t="s">
        <v>74</v>
      </c>
      <c r="B292" t="s">
        <v>75</v>
      </c>
      <c r="C292" s="4">
        <v>0.86</v>
      </c>
      <c r="D292" s="4">
        <v>0.65666666699999998</v>
      </c>
      <c r="E292">
        <v>7</v>
      </c>
      <c r="F292" s="4">
        <v>42.70700636942675</v>
      </c>
      <c r="G292" s="2">
        <f t="shared" si="23"/>
        <v>1432.4785941341702</v>
      </c>
      <c r="H292" s="2">
        <f t="shared" si="24"/>
        <v>454.2487542423458</v>
      </c>
      <c r="I292" s="2">
        <f t="shared" si="20"/>
        <v>64892.67917747797</v>
      </c>
      <c r="J292" s="4">
        <f t="shared" si="22"/>
        <v>53.670965629437298</v>
      </c>
      <c r="K292" s="4">
        <f t="shared" si="21"/>
        <v>7667.2808042053284</v>
      </c>
      <c r="L292">
        <v>7</v>
      </c>
    </row>
    <row r="293" spans="1:12" hidden="1" x14ac:dyDescent="0.3">
      <c r="A293" t="s">
        <v>74</v>
      </c>
      <c r="B293" t="s">
        <v>75</v>
      </c>
      <c r="C293" s="4">
        <v>0.86</v>
      </c>
      <c r="D293" s="4">
        <v>0.65666666699999998</v>
      </c>
      <c r="E293">
        <v>7</v>
      </c>
      <c r="F293" s="4">
        <v>10.031847133757962</v>
      </c>
      <c r="G293" s="2">
        <f t="shared" si="23"/>
        <v>79.040866529181514</v>
      </c>
      <c r="H293" s="2">
        <f t="shared" si="24"/>
        <v>26.869214574979377</v>
      </c>
      <c r="I293" s="2">
        <f t="shared" si="20"/>
        <v>3838.4592249970542</v>
      </c>
      <c r="J293" s="4">
        <f t="shared" si="22"/>
        <v>11.451329944419651</v>
      </c>
      <c r="K293" s="4">
        <f t="shared" si="21"/>
        <v>1635.9042777742359</v>
      </c>
      <c r="L293">
        <v>7</v>
      </c>
    </row>
    <row r="294" spans="1:12" hidden="1" x14ac:dyDescent="0.3">
      <c r="A294" t="s">
        <v>74</v>
      </c>
      <c r="B294" t="s">
        <v>60</v>
      </c>
      <c r="C294" s="4">
        <v>0.41</v>
      </c>
      <c r="D294" s="4">
        <v>0.33983503399999998</v>
      </c>
      <c r="E294">
        <v>6</v>
      </c>
      <c r="F294" s="4">
        <v>11.082802547770699</v>
      </c>
      <c r="G294" s="2">
        <f t="shared" si="23"/>
        <v>96.469287983371089</v>
      </c>
      <c r="H294" s="2">
        <f t="shared" si="24"/>
        <v>14.762652907610374</v>
      </c>
      <c r="I294" s="2">
        <f t="shared" si="20"/>
        <v>2108.9504153729108</v>
      </c>
      <c r="J294" s="4">
        <f t="shared" si="22"/>
        <v>11.565098758570326</v>
      </c>
      <c r="K294" s="4">
        <f t="shared" si="21"/>
        <v>1652.1569655100466</v>
      </c>
      <c r="L294">
        <v>7</v>
      </c>
    </row>
    <row r="295" spans="1:12" hidden="1" x14ac:dyDescent="0.3">
      <c r="A295" t="s">
        <v>74</v>
      </c>
      <c r="B295" t="s">
        <v>53</v>
      </c>
      <c r="C295" s="4">
        <v>0.63206279899999995</v>
      </c>
      <c r="D295" s="4">
        <v>0.75690909100000003</v>
      </c>
      <c r="E295">
        <v>6</v>
      </c>
      <c r="F295" s="4">
        <v>9.7133757961783438</v>
      </c>
      <c r="G295" s="2">
        <f t="shared" si="23"/>
        <v>74.102057030759482</v>
      </c>
      <c r="H295" s="2">
        <f t="shared" si="24"/>
        <v>24.933541561450205</v>
      </c>
      <c r="I295" s="2">
        <f t="shared" si="20"/>
        <v>3561.934508778601</v>
      </c>
      <c r="J295" s="4">
        <f t="shared" si="22"/>
        <v>10.967043056513448</v>
      </c>
      <c r="K295" s="4">
        <f t="shared" si="21"/>
        <v>1566.7204366447784</v>
      </c>
      <c r="L295">
        <v>7</v>
      </c>
    </row>
    <row r="296" spans="1:12" hidden="1" x14ac:dyDescent="0.3">
      <c r="A296" t="s">
        <v>74</v>
      </c>
      <c r="B296" t="s">
        <v>66</v>
      </c>
      <c r="C296" s="4">
        <v>0.62643652800000005</v>
      </c>
      <c r="D296" s="4">
        <v>0.57808694400000005</v>
      </c>
      <c r="E296">
        <v>7</v>
      </c>
      <c r="F296" s="4">
        <v>24.777070063694271</v>
      </c>
      <c r="G296" s="2">
        <f t="shared" si="23"/>
        <v>482.1584465230448</v>
      </c>
      <c r="H296" s="2">
        <f t="shared" si="24"/>
        <v>138.58670739076314</v>
      </c>
      <c r="I296" s="2">
        <f t="shared" si="20"/>
        <v>19798.101055823303</v>
      </c>
      <c r="J296" s="4">
        <f t="shared" si="22"/>
        <v>24.026328423059766</v>
      </c>
      <c r="K296" s="4">
        <f t="shared" si="21"/>
        <v>3432.3326318656809</v>
      </c>
      <c r="L296">
        <v>7</v>
      </c>
    </row>
    <row r="297" spans="1:12" hidden="1" x14ac:dyDescent="0.3">
      <c r="A297" t="s">
        <v>74</v>
      </c>
      <c r="B297" t="s">
        <v>66</v>
      </c>
      <c r="C297" s="4">
        <v>0.62643652800000005</v>
      </c>
      <c r="D297" s="4">
        <v>0.57808694400000005</v>
      </c>
      <c r="E297">
        <v>7.5</v>
      </c>
      <c r="F297" s="4">
        <v>37.356687898089163</v>
      </c>
      <c r="G297" s="2">
        <f t="shared" si="23"/>
        <v>1096.0405184442443</v>
      </c>
      <c r="H297" s="2">
        <f t="shared" si="24"/>
        <v>330.40242718835867</v>
      </c>
      <c r="I297" s="2">
        <f t="shared" si="20"/>
        <v>47200.346741194095</v>
      </c>
      <c r="J297" s="4">
        <f t="shared" si="22"/>
        <v>45.618155931275084</v>
      </c>
      <c r="K297" s="4">
        <f t="shared" si="21"/>
        <v>6516.8794187535832</v>
      </c>
      <c r="L297">
        <v>7</v>
      </c>
    </row>
    <row r="298" spans="1:12" hidden="1" x14ac:dyDescent="0.3">
      <c r="A298" t="s">
        <v>74</v>
      </c>
      <c r="B298" t="s">
        <v>66</v>
      </c>
      <c r="C298" s="4">
        <v>0.62643652800000005</v>
      </c>
      <c r="D298" s="4">
        <v>0.57808694400000005</v>
      </c>
      <c r="E298">
        <v>7</v>
      </c>
      <c r="F298" s="4">
        <v>38.566878980891715</v>
      </c>
      <c r="G298" s="2">
        <f t="shared" si="23"/>
        <v>1168.204491037962</v>
      </c>
      <c r="H298" s="2">
        <f t="shared" si="24"/>
        <v>328.72048635120245</v>
      </c>
      <c r="I298" s="2">
        <f t="shared" si="20"/>
        <v>46960.069478743208</v>
      </c>
      <c r="J298" s="4">
        <f t="shared" si="22"/>
        <v>45.427101781005305</v>
      </c>
      <c r="K298" s="4">
        <f t="shared" si="21"/>
        <v>6489.5859687150432</v>
      </c>
      <c r="L298">
        <v>7</v>
      </c>
    </row>
    <row r="299" spans="1:12" hidden="1" x14ac:dyDescent="0.3">
      <c r="A299" t="s">
        <v>74</v>
      </c>
      <c r="B299" t="s">
        <v>56</v>
      </c>
      <c r="C299" s="4">
        <v>0.39984676499999999</v>
      </c>
      <c r="D299" s="4">
        <v>0.450333333</v>
      </c>
      <c r="E299">
        <v>9</v>
      </c>
      <c r="F299" s="4">
        <v>26.815286624203821</v>
      </c>
      <c r="G299" s="2">
        <f t="shared" si="23"/>
        <v>564.74808665149556</v>
      </c>
      <c r="H299" s="2">
        <f t="shared" si="24"/>
        <v>161.95992192190616</v>
      </c>
      <c r="I299" s="2">
        <f t="shared" si="20"/>
        <v>23137.131703129449</v>
      </c>
      <c r="J299" s="4">
        <f t="shared" si="22"/>
        <v>31.636077297253436</v>
      </c>
      <c r="K299" s="4">
        <f t="shared" si="21"/>
        <v>4519.439613893348</v>
      </c>
      <c r="L299">
        <v>7</v>
      </c>
    </row>
    <row r="300" spans="1:12" hidden="1" x14ac:dyDescent="0.3">
      <c r="A300" t="s">
        <v>74</v>
      </c>
      <c r="B300" t="s">
        <v>38</v>
      </c>
      <c r="C300" s="4">
        <v>1082380952</v>
      </c>
      <c r="D300" s="4">
        <v>0.61247410899999999</v>
      </c>
      <c r="E300">
        <v>5</v>
      </c>
      <c r="F300" s="4">
        <v>5.1273885350318471</v>
      </c>
      <c r="G300" s="2">
        <f t="shared" si="23"/>
        <v>20.648206614289887</v>
      </c>
      <c r="H300" s="2">
        <f t="shared" si="24"/>
        <v>4.8766866876081263</v>
      </c>
      <c r="I300" s="2">
        <f t="shared" si="20"/>
        <v>696.66952680116094</v>
      </c>
      <c r="J300" s="4">
        <f t="shared" si="22"/>
        <v>9.4457769808105798</v>
      </c>
      <c r="K300" s="4">
        <f t="shared" si="21"/>
        <v>1349.3967115443686</v>
      </c>
      <c r="L300">
        <v>7</v>
      </c>
    </row>
    <row r="301" spans="1:12" hidden="1" x14ac:dyDescent="0.3">
      <c r="A301" t="s">
        <v>74</v>
      </c>
      <c r="B301" t="s">
        <v>57</v>
      </c>
      <c r="C301" s="4">
        <v>0.61</v>
      </c>
      <c r="D301" s="4">
        <v>0.84088888900000003</v>
      </c>
      <c r="E301">
        <v>6</v>
      </c>
      <c r="F301" s="4">
        <v>3.8853503184713372</v>
      </c>
      <c r="G301" s="2">
        <f t="shared" si="23"/>
        <v>11.856329124921515</v>
      </c>
      <c r="H301" s="2">
        <f t="shared" si="24"/>
        <v>4.6195884656285742</v>
      </c>
      <c r="I301" s="2">
        <f t="shared" si="20"/>
        <v>659.94120937551065</v>
      </c>
      <c r="J301" s="4">
        <f t="shared" si="22"/>
        <v>9.3027148890421518</v>
      </c>
      <c r="K301" s="4">
        <f t="shared" si="21"/>
        <v>1328.9592698631645</v>
      </c>
      <c r="L301">
        <v>7</v>
      </c>
    </row>
    <row r="302" spans="1:12" hidden="1" x14ac:dyDescent="0.3">
      <c r="A302" t="s">
        <v>74</v>
      </c>
      <c r="B302" t="s">
        <v>57</v>
      </c>
      <c r="C302" s="4">
        <v>0.61</v>
      </c>
      <c r="D302" s="4">
        <v>0.84088888900000003</v>
      </c>
      <c r="E302">
        <v>5</v>
      </c>
      <c r="F302" s="4">
        <v>12.770700636942674</v>
      </c>
      <c r="G302" s="2">
        <f t="shared" si="23"/>
        <v>128.09121067028386</v>
      </c>
      <c r="H302" s="2">
        <f t="shared" si="24"/>
        <v>39.453525586368677</v>
      </c>
      <c r="I302" s="2">
        <f t="shared" si="20"/>
        <v>5636.2179409098107</v>
      </c>
      <c r="J302" s="4">
        <f t="shared" si="22"/>
        <v>11.839788908272141</v>
      </c>
      <c r="K302" s="4">
        <f t="shared" si="21"/>
        <v>1691.3984154674488</v>
      </c>
      <c r="L302">
        <v>7</v>
      </c>
    </row>
    <row r="303" spans="1:12" hidden="1" x14ac:dyDescent="0.3">
      <c r="A303" t="s">
        <v>74</v>
      </c>
      <c r="B303" t="s">
        <v>57</v>
      </c>
      <c r="C303" s="4">
        <v>0.61</v>
      </c>
      <c r="D303" s="4">
        <v>0.84088888900000003</v>
      </c>
      <c r="E303">
        <v>8</v>
      </c>
      <c r="F303" s="4">
        <v>29.617834394904456</v>
      </c>
      <c r="G303" s="2">
        <f t="shared" si="23"/>
        <v>688.96392502987237</v>
      </c>
      <c r="H303" s="2">
        <f t="shared" si="24"/>
        <v>322.43918988988503</v>
      </c>
      <c r="I303" s="2">
        <f t="shared" si="20"/>
        <v>46062.741412840718</v>
      </c>
      <c r="J303" s="4">
        <f t="shared" si="22"/>
        <v>33.547751198831591</v>
      </c>
      <c r="K303" s="4">
        <f t="shared" si="21"/>
        <v>4792.5358855473696</v>
      </c>
      <c r="L303">
        <v>7</v>
      </c>
    </row>
    <row r="304" spans="1:12" hidden="1" x14ac:dyDescent="0.3">
      <c r="A304" t="s">
        <v>74</v>
      </c>
      <c r="B304" t="s">
        <v>22</v>
      </c>
      <c r="C304" s="4">
        <v>0.43836446099999998</v>
      </c>
      <c r="D304" s="4">
        <v>0.58666666700000003</v>
      </c>
      <c r="E304">
        <v>5</v>
      </c>
      <c r="F304" s="4">
        <v>10.668789808917197</v>
      </c>
      <c r="G304" s="2">
        <f t="shared" si="23"/>
        <v>89.396434832324445</v>
      </c>
      <c r="H304" s="2">
        <f t="shared" si="24"/>
        <v>19.545221574333535</v>
      </c>
      <c r="I304" s="2">
        <f t="shared" si="20"/>
        <v>2792.1745106190765</v>
      </c>
      <c r="J304" s="4">
        <f t="shared" si="22"/>
        <v>10.97760382976997</v>
      </c>
      <c r="K304" s="4">
        <f t="shared" si="21"/>
        <v>1568.2291185385673</v>
      </c>
      <c r="L304">
        <v>7</v>
      </c>
    </row>
    <row r="305" spans="1:12" hidden="1" x14ac:dyDescent="0.3">
      <c r="A305" t="s">
        <v>74</v>
      </c>
      <c r="B305" t="s">
        <v>22</v>
      </c>
      <c r="C305" s="4">
        <v>0.43836446099999998</v>
      </c>
      <c r="D305" s="4">
        <v>0.58666666700000003</v>
      </c>
      <c r="E305">
        <v>6.5</v>
      </c>
      <c r="F305" s="4">
        <v>16.050955414012737</v>
      </c>
      <c r="G305" s="2">
        <f t="shared" si="23"/>
        <v>202.34461831470463</v>
      </c>
      <c r="H305" s="2">
        <f t="shared" si="24"/>
        <v>56.041048720505763</v>
      </c>
      <c r="I305" s="2">
        <f t="shared" si="20"/>
        <v>8005.8641029293949</v>
      </c>
      <c r="J305" s="4">
        <f t="shared" si="22"/>
        <v>14.846854610734713</v>
      </c>
      <c r="K305" s="4">
        <f t="shared" si="21"/>
        <v>2120.9792301049592</v>
      </c>
      <c r="L305">
        <v>7</v>
      </c>
    </row>
    <row r="306" spans="1:12" hidden="1" x14ac:dyDescent="0.3">
      <c r="A306" t="s">
        <v>74</v>
      </c>
      <c r="B306" t="s">
        <v>47</v>
      </c>
      <c r="C306" s="4">
        <v>0.40238543599999999</v>
      </c>
      <c r="D306" s="4">
        <v>0.40883333300000002</v>
      </c>
      <c r="E306">
        <v>11</v>
      </c>
      <c r="F306" s="4">
        <v>28.726114649681527</v>
      </c>
      <c r="G306" s="2">
        <f t="shared" si="23"/>
        <v>648.10244567002451</v>
      </c>
      <c r="H306" s="2">
        <f t="shared" si="24"/>
        <v>205.04066396263306</v>
      </c>
      <c r="I306" s="2">
        <f t="shared" si="20"/>
        <v>29291.523423233295</v>
      </c>
      <c r="J306" s="4">
        <f t="shared" si="22"/>
        <v>40.755502020365931</v>
      </c>
      <c r="K306" s="4">
        <f t="shared" si="21"/>
        <v>5822.2145743379897</v>
      </c>
      <c r="L306">
        <v>7</v>
      </c>
    </row>
    <row r="307" spans="1:12" hidden="1" x14ac:dyDescent="0.3">
      <c r="A307" t="s">
        <v>74</v>
      </c>
      <c r="B307" t="s">
        <v>49</v>
      </c>
      <c r="C307" s="4">
        <v>0.57917600000000002</v>
      </c>
      <c r="D307" s="4">
        <v>0.60285714300000004</v>
      </c>
      <c r="E307">
        <v>8</v>
      </c>
      <c r="F307" s="4">
        <v>58.121019108280251</v>
      </c>
      <c r="G307" s="2">
        <f t="shared" si="23"/>
        <v>2653.1165138196538</v>
      </c>
      <c r="H307" s="2">
        <f t="shared" si="24"/>
        <v>868.75757335503636</v>
      </c>
      <c r="I307" s="2">
        <f t="shared" si="20"/>
        <v>124108.22476500519</v>
      </c>
      <c r="J307" s="4">
        <f t="shared" si="22"/>
        <v>103.57118014118218</v>
      </c>
      <c r="K307" s="4">
        <f t="shared" si="21"/>
        <v>14795.88287731174</v>
      </c>
      <c r="L307">
        <v>7</v>
      </c>
    </row>
    <row r="308" spans="1:12" hidden="1" x14ac:dyDescent="0.3">
      <c r="A308" t="s">
        <v>76</v>
      </c>
      <c r="B308" t="s">
        <v>26</v>
      </c>
      <c r="C308" s="4">
        <v>0.80908761900000004</v>
      </c>
      <c r="D308" s="4">
        <v>0.87473809499999999</v>
      </c>
      <c r="E308">
        <v>12</v>
      </c>
      <c r="F308" s="4">
        <v>25.668789808917193</v>
      </c>
      <c r="G308" s="2">
        <f t="shared" si="23"/>
        <v>517.48845924465957</v>
      </c>
      <c r="H308" s="2">
        <f t="shared" si="24"/>
        <v>376.46816442120826</v>
      </c>
      <c r="I308" s="2">
        <f t="shared" si="20"/>
        <v>53781.166345886893</v>
      </c>
      <c r="J308" s="4">
        <f t="shared" si="22"/>
        <v>36.658944350683591</v>
      </c>
      <c r="K308" s="4">
        <f t="shared" si="21"/>
        <v>5236.9920500976559</v>
      </c>
      <c r="L308">
        <v>7</v>
      </c>
    </row>
    <row r="309" spans="1:12" hidden="1" x14ac:dyDescent="0.3">
      <c r="A309" t="s">
        <v>76</v>
      </c>
      <c r="B309" t="s">
        <v>26</v>
      </c>
      <c r="C309" s="4">
        <v>0.80908761900000004</v>
      </c>
      <c r="D309" s="4">
        <v>0.87473809499999999</v>
      </c>
      <c r="E309">
        <v>12</v>
      </c>
      <c r="F309" s="4">
        <v>26.815286624203821</v>
      </c>
      <c r="G309" s="2">
        <f t="shared" si="23"/>
        <v>564.74808665149556</v>
      </c>
      <c r="H309" s="2">
        <f t="shared" si="24"/>
        <v>409.9882945622951</v>
      </c>
      <c r="I309" s="2">
        <f t="shared" si="20"/>
        <v>58569.756366042151</v>
      </c>
      <c r="J309" s="4">
        <f t="shared" si="22"/>
        <v>39.186203063004584</v>
      </c>
      <c r="K309" s="4">
        <f t="shared" si="21"/>
        <v>5598.0290090006547</v>
      </c>
      <c r="L309">
        <v>7</v>
      </c>
    </row>
    <row r="310" spans="1:12" hidden="1" x14ac:dyDescent="0.3">
      <c r="A310" t="s">
        <v>76</v>
      </c>
      <c r="B310" t="s">
        <v>69</v>
      </c>
      <c r="C310" s="4">
        <v>0.31264018999999998</v>
      </c>
      <c r="D310" s="4">
        <v>0.356821212</v>
      </c>
      <c r="E310">
        <v>6</v>
      </c>
      <c r="F310" s="4">
        <v>13.789808917197451</v>
      </c>
      <c r="G310" s="2">
        <f t="shared" si="23"/>
        <v>149.35039581445918</v>
      </c>
      <c r="H310" s="2">
        <f t="shared" si="24"/>
        <v>23.719210719032588</v>
      </c>
      <c r="I310" s="2">
        <f t="shared" si="20"/>
        <v>3388.4586741475127</v>
      </c>
      <c r="J310" s="4">
        <f t="shared" si="22"/>
        <v>12.979035429429185</v>
      </c>
      <c r="K310" s="4">
        <f t="shared" si="21"/>
        <v>1854.1479184898835</v>
      </c>
      <c r="L310">
        <v>7</v>
      </c>
    </row>
    <row r="311" spans="1:12" hidden="1" x14ac:dyDescent="0.3">
      <c r="A311" t="s">
        <v>76</v>
      </c>
      <c r="B311" t="s">
        <v>69</v>
      </c>
      <c r="C311" s="4">
        <v>0.31264018999999998</v>
      </c>
      <c r="D311" s="4">
        <v>0.356821212</v>
      </c>
      <c r="E311">
        <v>5</v>
      </c>
      <c r="F311" s="4">
        <v>7.7388535031847132</v>
      </c>
      <c r="G311" s="2">
        <f t="shared" si="23"/>
        <v>47.037380979406791</v>
      </c>
      <c r="H311" s="2">
        <f t="shared" si="24"/>
        <v>6.428333645612148</v>
      </c>
      <c r="I311" s="2">
        <f t="shared" si="20"/>
        <v>918.3333779445926</v>
      </c>
      <c r="J311" s="4">
        <f t="shared" si="22"/>
        <v>10.033772437015699</v>
      </c>
      <c r="K311" s="4">
        <f t="shared" si="21"/>
        <v>1433.3960624308143</v>
      </c>
      <c r="L311">
        <v>7</v>
      </c>
    </row>
    <row r="312" spans="1:12" hidden="1" x14ac:dyDescent="0.3">
      <c r="A312" t="s">
        <v>76</v>
      </c>
      <c r="B312" t="s">
        <v>69</v>
      </c>
      <c r="C312" s="4">
        <v>0.31264018999999998</v>
      </c>
      <c r="D312" s="4">
        <v>0.356821212</v>
      </c>
      <c r="E312">
        <v>4.5</v>
      </c>
      <c r="F312" s="4">
        <v>7.388535031847133</v>
      </c>
      <c r="G312" s="2">
        <f t="shared" si="23"/>
        <v>42.875239103720482</v>
      </c>
      <c r="H312" s="2">
        <f t="shared" si="24"/>
        <v>5.2986861859257255</v>
      </c>
      <c r="I312" s="2">
        <f t="shared" si="20"/>
        <v>756.95516941796075</v>
      </c>
      <c r="J312" s="4">
        <f t="shared" si="22"/>
        <v>9.8454995861901082</v>
      </c>
      <c r="K312" s="4">
        <f t="shared" si="21"/>
        <v>1406.4999408843012</v>
      </c>
      <c r="L312">
        <v>7</v>
      </c>
    </row>
    <row r="313" spans="1:12" hidden="1" x14ac:dyDescent="0.3">
      <c r="A313" t="s">
        <v>76</v>
      </c>
      <c r="B313" t="s">
        <v>55</v>
      </c>
      <c r="C313" s="4">
        <v>0.52500000000000002</v>
      </c>
      <c r="D313" s="4">
        <v>0.52500000000000002</v>
      </c>
      <c r="E313">
        <v>6</v>
      </c>
      <c r="F313" s="4">
        <v>6.5286624203821653</v>
      </c>
      <c r="G313" s="2">
        <f t="shared" si="23"/>
        <v>33.476365995352509</v>
      </c>
      <c r="H313" s="2">
        <f t="shared" si="24"/>
        <v>8.0334672671401179</v>
      </c>
      <c r="I313" s="2">
        <f t="shared" si="20"/>
        <v>1147.6381810200169</v>
      </c>
      <c r="J313" s="4">
        <f t="shared" si="22"/>
        <v>9.8807920929855158</v>
      </c>
      <c r="K313" s="4">
        <f t="shared" si="21"/>
        <v>1411.5417275693594</v>
      </c>
      <c r="L313">
        <v>7</v>
      </c>
    </row>
    <row r="314" spans="1:12" hidden="1" x14ac:dyDescent="0.3">
      <c r="A314" t="s">
        <v>76</v>
      </c>
      <c r="B314" t="s">
        <v>55</v>
      </c>
      <c r="C314" s="4">
        <v>0.52500000000000002</v>
      </c>
      <c r="D314" s="4">
        <v>0.52500000000000002</v>
      </c>
      <c r="E314">
        <v>8</v>
      </c>
      <c r="F314" s="4">
        <v>15.796178343949045</v>
      </c>
      <c r="G314" s="2">
        <f t="shared" si="23"/>
        <v>195.97196089738594</v>
      </c>
      <c r="H314" s="2">
        <f t="shared" si="24"/>
        <v>59.687024776492926</v>
      </c>
      <c r="I314" s="2">
        <f t="shared" si="20"/>
        <v>8526.7178252132744</v>
      </c>
      <c r="J314" s="4">
        <f t="shared" si="22"/>
        <v>15.972239007667653</v>
      </c>
      <c r="K314" s="4">
        <f t="shared" si="21"/>
        <v>2281.7484296668076</v>
      </c>
      <c r="L314">
        <v>7</v>
      </c>
    </row>
    <row r="315" spans="1:12" hidden="1" x14ac:dyDescent="0.3">
      <c r="A315" t="s">
        <v>76</v>
      </c>
      <c r="B315" t="s">
        <v>55</v>
      </c>
      <c r="C315" s="4">
        <v>0.52500000000000002</v>
      </c>
      <c r="D315" s="4">
        <v>0.52500000000000002</v>
      </c>
      <c r="E315">
        <v>10</v>
      </c>
      <c r="F315" s="4">
        <v>37.802547770700635</v>
      </c>
      <c r="G315" s="2">
        <f t="shared" si="23"/>
        <v>1122.359593577771</v>
      </c>
      <c r="H315" s="2">
        <f t="shared" si="24"/>
        <v>407.57888295186126</v>
      </c>
      <c r="I315" s="2">
        <f t="shared" si="20"/>
        <v>58225.554707408752</v>
      </c>
      <c r="J315" s="4">
        <f t="shared" si="22"/>
        <v>59.001841628463623</v>
      </c>
      <c r="K315" s="4">
        <f t="shared" si="21"/>
        <v>8428.8345183519468</v>
      </c>
      <c r="L315">
        <v>7</v>
      </c>
    </row>
    <row r="316" spans="1:12" hidden="1" x14ac:dyDescent="0.3">
      <c r="A316" t="s">
        <v>76</v>
      </c>
      <c r="B316" t="s">
        <v>55</v>
      </c>
      <c r="C316" s="4">
        <v>0.52500000000000002</v>
      </c>
      <c r="D316" s="4">
        <v>0.52500000000000002</v>
      </c>
      <c r="E316">
        <v>6.5</v>
      </c>
      <c r="F316" s="4">
        <v>8.7261146496815272</v>
      </c>
      <c r="G316" s="2">
        <f t="shared" si="23"/>
        <v>59.804203532827714</v>
      </c>
      <c r="H316" s="2">
        <f t="shared" si="24"/>
        <v>15.302993931128864</v>
      </c>
      <c r="I316" s="2">
        <f t="shared" si="20"/>
        <v>2186.1419901612662</v>
      </c>
      <c r="J316" s="4">
        <f t="shared" si="22"/>
        <v>10.718000499006044</v>
      </c>
      <c r="K316" s="4">
        <f t="shared" si="21"/>
        <v>1531.142928429435</v>
      </c>
      <c r="L316">
        <v>7</v>
      </c>
    </row>
    <row r="317" spans="1:12" hidden="1" x14ac:dyDescent="0.3">
      <c r="A317" t="s">
        <v>76</v>
      </c>
      <c r="B317" t="s">
        <v>55</v>
      </c>
      <c r="C317" s="4">
        <v>0.52500000000000002</v>
      </c>
      <c r="D317" s="4">
        <v>0.52500000000000002</v>
      </c>
      <c r="E317">
        <v>5</v>
      </c>
      <c r="F317" s="4">
        <v>8.7579617834394909</v>
      </c>
      <c r="G317" s="2">
        <f t="shared" si="23"/>
        <v>60.241527148091237</v>
      </c>
      <c r="H317" s="2">
        <f t="shared" si="24"/>
        <v>11.930427719329533</v>
      </c>
      <c r="I317" s="2">
        <f t="shared" si="20"/>
        <v>1704.3468170470762</v>
      </c>
      <c r="J317" s="4">
        <f t="shared" si="22"/>
        <v>10.327983155503265</v>
      </c>
      <c r="K317" s="4">
        <f t="shared" si="21"/>
        <v>1475.426165071895</v>
      </c>
      <c r="L317">
        <v>7</v>
      </c>
    </row>
    <row r="318" spans="1:12" hidden="1" x14ac:dyDescent="0.3">
      <c r="A318" t="s">
        <v>76</v>
      </c>
      <c r="B318" t="s">
        <v>56</v>
      </c>
      <c r="C318" s="4">
        <v>0.39984676499999999</v>
      </c>
      <c r="D318" s="4">
        <v>0.450333333</v>
      </c>
      <c r="E318">
        <v>7</v>
      </c>
      <c r="F318" s="4">
        <v>18.375796178343951</v>
      </c>
      <c r="G318" s="2">
        <f t="shared" si="23"/>
        <v>265.20530766131395</v>
      </c>
      <c r="H318" s="2">
        <f t="shared" si="24"/>
        <v>60.602221056554534</v>
      </c>
      <c r="I318" s="2">
        <f t="shared" si="20"/>
        <v>8657.460150936362</v>
      </c>
      <c r="J318" s="4">
        <f t="shared" si="22"/>
        <v>17.258612187106984</v>
      </c>
      <c r="K318" s="4">
        <f t="shared" si="21"/>
        <v>2465.5160267295691</v>
      </c>
      <c r="L318">
        <v>7</v>
      </c>
    </row>
    <row r="319" spans="1:12" hidden="1" x14ac:dyDescent="0.3">
      <c r="A319" t="s">
        <v>76</v>
      </c>
      <c r="B319" t="s">
        <v>56</v>
      </c>
      <c r="C319" s="4">
        <v>0.39984676499999999</v>
      </c>
      <c r="D319" s="4">
        <v>0.450333333</v>
      </c>
      <c r="E319">
        <v>7</v>
      </c>
      <c r="F319" s="4">
        <v>16.273885350318473</v>
      </c>
      <c r="G319" s="2">
        <f t="shared" si="23"/>
        <v>208.00433468346091</v>
      </c>
      <c r="H319" s="2">
        <f t="shared" si="24"/>
        <v>47.809142139369754</v>
      </c>
      <c r="I319" s="2">
        <f t="shared" si="20"/>
        <v>6829.877448481393</v>
      </c>
      <c r="J319" s="4">
        <f t="shared" si="22"/>
        <v>15.4742639376851</v>
      </c>
      <c r="K319" s="4">
        <f t="shared" si="21"/>
        <v>2210.6091339550144</v>
      </c>
      <c r="L319">
        <v>7</v>
      </c>
    </row>
    <row r="320" spans="1:12" hidden="1" x14ac:dyDescent="0.3">
      <c r="A320" t="s">
        <v>76</v>
      </c>
      <c r="B320" t="s">
        <v>22</v>
      </c>
      <c r="C320" s="4">
        <v>0.43836446099999998</v>
      </c>
      <c r="D320" s="4">
        <v>0.58666666700000003</v>
      </c>
      <c r="E320">
        <v>6</v>
      </c>
      <c r="F320" s="4">
        <v>11.273885350318473</v>
      </c>
      <c r="G320" s="2">
        <f t="shared" si="23"/>
        <v>99.824492113589457</v>
      </c>
      <c r="H320" s="2">
        <f t="shared" si="24"/>
        <v>26.006888664178685</v>
      </c>
      <c r="I320" s="2">
        <f t="shared" si="20"/>
        <v>3715.2698091683837</v>
      </c>
      <c r="J320" s="4">
        <f t="shared" si="22"/>
        <v>11.654810308734636</v>
      </c>
      <c r="K320" s="4">
        <f t="shared" si="21"/>
        <v>1664.9729012478051</v>
      </c>
      <c r="L320">
        <v>7</v>
      </c>
    </row>
    <row r="321" spans="1:12" hidden="1" x14ac:dyDescent="0.3">
      <c r="A321" t="s">
        <v>76</v>
      </c>
      <c r="B321" t="s">
        <v>22</v>
      </c>
      <c r="C321" s="4">
        <v>0.43836446099999998</v>
      </c>
      <c r="D321" s="4">
        <v>0.58666666700000003</v>
      </c>
      <c r="E321">
        <v>5.5</v>
      </c>
      <c r="F321" s="4">
        <v>10.668789808917197</v>
      </c>
      <c r="G321" s="2">
        <f t="shared" si="23"/>
        <v>89.396434832324445</v>
      </c>
      <c r="H321" s="2">
        <f t="shared" si="24"/>
        <v>21.450620469969529</v>
      </c>
      <c r="I321" s="2">
        <f t="shared" si="20"/>
        <v>3064.3743528527898</v>
      </c>
      <c r="J321" s="4">
        <f t="shared" si="22"/>
        <v>11.176794212746966</v>
      </c>
      <c r="K321" s="4">
        <f t="shared" si="21"/>
        <v>1596.6848875352807</v>
      </c>
      <c r="L321">
        <v>7</v>
      </c>
    </row>
    <row r="322" spans="1:12" hidden="1" x14ac:dyDescent="0.3">
      <c r="A322" t="s">
        <v>77</v>
      </c>
      <c r="B322" t="s">
        <v>69</v>
      </c>
      <c r="C322" s="4">
        <v>0.31264018999999998</v>
      </c>
      <c r="D322" s="4">
        <v>0.356821212</v>
      </c>
      <c r="E322">
        <v>3</v>
      </c>
      <c r="F322" s="4">
        <v>6.8471337579617835</v>
      </c>
      <c r="G322" s="2">
        <f t="shared" si="23"/>
        <v>36.822011139444854</v>
      </c>
      <c r="H322" s="2">
        <f t="shared" si="24"/>
        <v>3.0746129895454435</v>
      </c>
      <c r="I322" s="2">
        <f t="shared" ref="I322:I385" si="25">(H322*1000)/L322</f>
        <v>439.23042707792047</v>
      </c>
      <c r="J322" s="4">
        <f t="shared" si="22"/>
        <v>9.4779740273439081</v>
      </c>
      <c r="K322" s="4">
        <f t="shared" ref="K322:K385" si="26">(J322*1000)/L322</f>
        <v>1353.9962896205582</v>
      </c>
      <c r="L322">
        <v>7</v>
      </c>
    </row>
    <row r="323" spans="1:12" hidden="1" x14ac:dyDescent="0.3">
      <c r="A323" t="s">
        <v>77</v>
      </c>
      <c r="B323" t="s">
        <v>69</v>
      </c>
      <c r="C323" s="4">
        <v>0.31264018999999998</v>
      </c>
      <c r="D323" s="4">
        <v>0.356821212</v>
      </c>
      <c r="E323">
        <v>4.5</v>
      </c>
      <c r="F323" s="4">
        <v>8.4713375796178347</v>
      </c>
      <c r="G323" s="2">
        <f t="shared" si="23"/>
        <v>56.362968527475616</v>
      </c>
      <c r="H323" s="2">
        <f t="shared" si="24"/>
        <v>6.9199763059612165</v>
      </c>
      <c r="I323" s="2">
        <f t="shared" si="25"/>
        <v>988.56804370874522</v>
      </c>
      <c r="J323" s="4">
        <f t="shared" ref="J323:J386" si="27">8.9857 + 0.0035 * F323^2 * E323</f>
        <v>10.115976076108565</v>
      </c>
      <c r="K323" s="4">
        <f t="shared" si="26"/>
        <v>1445.1394394440808</v>
      </c>
      <c r="L323">
        <v>7</v>
      </c>
    </row>
    <row r="324" spans="1:12" hidden="1" x14ac:dyDescent="0.3">
      <c r="A324" t="s">
        <v>77</v>
      </c>
      <c r="B324" t="s">
        <v>69</v>
      </c>
      <c r="C324" s="4">
        <v>0.31264018999999998</v>
      </c>
      <c r="D324" s="4">
        <v>0.356821212</v>
      </c>
      <c r="E324">
        <v>4.5</v>
      </c>
      <c r="F324" s="4">
        <v>11.273885350318471</v>
      </c>
      <c r="G324" s="2">
        <f t="shared" ref="G324:G387" si="28">PI()*(F324/2)^2</f>
        <v>99.824492113589415</v>
      </c>
      <c r="H324" s="2">
        <f t="shared" ref="H324:H387" si="29">0.0673 * ((D324 * F324^2 * E324)^0.976)</f>
        <v>12.088990052027254</v>
      </c>
      <c r="I324" s="2">
        <f t="shared" si="25"/>
        <v>1726.9985788610363</v>
      </c>
      <c r="J324" s="4">
        <f t="shared" si="27"/>
        <v>10.987532731550974</v>
      </c>
      <c r="K324" s="4">
        <f t="shared" si="26"/>
        <v>1569.6475330787107</v>
      </c>
      <c r="L324">
        <v>7</v>
      </c>
    </row>
    <row r="325" spans="1:12" hidden="1" x14ac:dyDescent="0.3">
      <c r="A325" t="s">
        <v>77</v>
      </c>
      <c r="B325" t="s">
        <v>69</v>
      </c>
      <c r="C325" s="4">
        <v>0.31264018999999998</v>
      </c>
      <c r="D325" s="4">
        <v>0.356821212</v>
      </c>
      <c r="E325">
        <v>6</v>
      </c>
      <c r="F325" s="4">
        <v>14.108280254777069</v>
      </c>
      <c r="G325" s="2">
        <f t="shared" si="28"/>
        <v>156.32845568642318</v>
      </c>
      <c r="H325" s="2">
        <f t="shared" si="29"/>
        <v>24.800242831824804</v>
      </c>
      <c r="I325" s="2">
        <f t="shared" si="25"/>
        <v>3542.8918331178288</v>
      </c>
      <c r="J325" s="4">
        <f t="shared" si="27"/>
        <v>13.165615006693983</v>
      </c>
      <c r="K325" s="4">
        <f t="shared" si="26"/>
        <v>1880.802143813426</v>
      </c>
      <c r="L325">
        <v>7</v>
      </c>
    </row>
    <row r="326" spans="1:12" hidden="1" x14ac:dyDescent="0.3">
      <c r="A326" t="s">
        <v>77</v>
      </c>
      <c r="B326" t="s">
        <v>69</v>
      </c>
      <c r="C326" s="4">
        <v>0.31264018999999998</v>
      </c>
      <c r="D326" s="4">
        <v>0.356821212</v>
      </c>
      <c r="E326">
        <v>3</v>
      </c>
      <c r="F326" s="4">
        <v>7.388535031847133</v>
      </c>
      <c r="G326" s="2">
        <f t="shared" si="28"/>
        <v>42.875239103720482</v>
      </c>
      <c r="H326" s="2">
        <f t="shared" si="29"/>
        <v>3.5670001729642231</v>
      </c>
      <c r="I326" s="2">
        <f t="shared" si="25"/>
        <v>509.57145328060329</v>
      </c>
      <c r="J326" s="4">
        <f t="shared" si="27"/>
        <v>9.5588997241267393</v>
      </c>
      <c r="K326" s="4">
        <f t="shared" si="26"/>
        <v>1365.557103446677</v>
      </c>
      <c r="L326">
        <v>7</v>
      </c>
    </row>
    <row r="327" spans="1:12" hidden="1" x14ac:dyDescent="0.3">
      <c r="A327" t="s">
        <v>77</v>
      </c>
      <c r="B327" t="s">
        <v>69</v>
      </c>
      <c r="C327" s="4">
        <v>0.31264018999999998</v>
      </c>
      <c r="D327" s="4">
        <v>0.356821212</v>
      </c>
      <c r="E327">
        <v>5</v>
      </c>
      <c r="F327" s="4">
        <v>10.286624203821654</v>
      </c>
      <c r="G327" s="2">
        <f t="shared" si="28"/>
        <v>83.106621961430847</v>
      </c>
      <c r="H327" s="2">
        <f t="shared" si="29"/>
        <v>11.203617857153048</v>
      </c>
      <c r="I327" s="2">
        <f t="shared" si="25"/>
        <v>1600.5168367361498</v>
      </c>
      <c r="J327" s="4">
        <f t="shared" si="27"/>
        <v>10.837456156436366</v>
      </c>
      <c r="K327" s="4">
        <f t="shared" si="26"/>
        <v>1548.2080223480521</v>
      </c>
      <c r="L327">
        <v>7</v>
      </c>
    </row>
    <row r="328" spans="1:12" hidden="1" x14ac:dyDescent="0.3">
      <c r="A328" t="s">
        <v>77</v>
      </c>
      <c r="B328" t="s">
        <v>69</v>
      </c>
      <c r="C328" s="4">
        <v>0.31264018999999998</v>
      </c>
      <c r="D328" s="4">
        <v>0.356821212</v>
      </c>
      <c r="E328">
        <v>5</v>
      </c>
      <c r="F328" s="4">
        <v>5.8917197452229297</v>
      </c>
      <c r="G328" s="2">
        <f t="shared" si="28"/>
        <v>27.263025013466741</v>
      </c>
      <c r="H328" s="2">
        <f t="shared" si="29"/>
        <v>3.774975847709316</v>
      </c>
      <c r="I328" s="2">
        <f t="shared" si="25"/>
        <v>539.28226395847366</v>
      </c>
      <c r="J328" s="4">
        <f t="shared" si="27"/>
        <v>9.5931663272343695</v>
      </c>
      <c r="K328" s="4">
        <f t="shared" si="26"/>
        <v>1370.4523324620529</v>
      </c>
      <c r="L328">
        <v>7</v>
      </c>
    </row>
    <row r="329" spans="1:12" hidden="1" x14ac:dyDescent="0.3">
      <c r="A329" t="s">
        <v>77</v>
      </c>
      <c r="B329" t="s">
        <v>55</v>
      </c>
      <c r="C329" s="4">
        <v>0.52500000000000002</v>
      </c>
      <c r="D329" s="4">
        <v>0.52500000000000002</v>
      </c>
      <c r="E329">
        <v>7</v>
      </c>
      <c r="F329" s="4">
        <v>11.942675159235668</v>
      </c>
      <c r="G329" s="2">
        <f t="shared" si="28"/>
        <v>112.01936866380598</v>
      </c>
      <c r="H329" s="2">
        <f t="shared" si="29"/>
        <v>30.353487214092148</v>
      </c>
      <c r="I329" s="2">
        <f t="shared" si="25"/>
        <v>4336.2124591560214</v>
      </c>
      <c r="J329" s="4">
        <f t="shared" si="27"/>
        <v>12.480073503996104</v>
      </c>
      <c r="K329" s="4">
        <f t="shared" si="26"/>
        <v>1782.8676434280148</v>
      </c>
      <c r="L329">
        <v>7</v>
      </c>
    </row>
    <row r="330" spans="1:12" hidden="1" x14ac:dyDescent="0.3">
      <c r="A330" t="s">
        <v>77</v>
      </c>
      <c r="B330" t="s">
        <v>55</v>
      </c>
      <c r="C330" s="4">
        <v>0.52500000000000002</v>
      </c>
      <c r="D330" s="4">
        <v>0.52500000000000002</v>
      </c>
      <c r="E330">
        <v>8</v>
      </c>
      <c r="F330" s="4">
        <v>17.070063694267514</v>
      </c>
      <c r="G330" s="2">
        <f t="shared" si="28"/>
        <v>228.85487317075058</v>
      </c>
      <c r="H330" s="2">
        <f t="shared" si="29"/>
        <v>69.443142886670458</v>
      </c>
      <c r="I330" s="2">
        <f t="shared" si="25"/>
        <v>9920.4489838100653</v>
      </c>
      <c r="J330" s="4">
        <f t="shared" si="27"/>
        <v>17.144538086737796</v>
      </c>
      <c r="K330" s="4">
        <f t="shared" si="26"/>
        <v>2449.219726676828</v>
      </c>
      <c r="L330">
        <v>7</v>
      </c>
    </row>
    <row r="331" spans="1:12" hidden="1" x14ac:dyDescent="0.3">
      <c r="A331" t="s">
        <v>77</v>
      </c>
      <c r="B331" t="s">
        <v>55</v>
      </c>
      <c r="C331" s="4">
        <v>0.52500000000000002</v>
      </c>
      <c r="D331" s="4">
        <v>0.52500000000000002</v>
      </c>
      <c r="E331">
        <v>8</v>
      </c>
      <c r="F331" s="4">
        <v>28.025477707006367</v>
      </c>
      <c r="G331" s="2">
        <f t="shared" si="28"/>
        <v>616.87323799645401</v>
      </c>
      <c r="H331" s="2">
        <f t="shared" si="29"/>
        <v>182.78050573909977</v>
      </c>
      <c r="I331" s="2">
        <f t="shared" si="25"/>
        <v>26111.500819871395</v>
      </c>
      <c r="J331" s="4">
        <f t="shared" si="27"/>
        <v>30.9776672197655</v>
      </c>
      <c r="K331" s="4">
        <f t="shared" si="26"/>
        <v>4425.3810313950717</v>
      </c>
      <c r="L331">
        <v>7</v>
      </c>
    </row>
    <row r="332" spans="1:12" hidden="1" x14ac:dyDescent="0.3">
      <c r="A332" t="s">
        <v>77</v>
      </c>
      <c r="B332" t="s">
        <v>55</v>
      </c>
      <c r="C332" s="4">
        <v>0.52500000000000002</v>
      </c>
      <c r="D332" s="4">
        <v>0.52500000000000002</v>
      </c>
      <c r="E332">
        <v>8</v>
      </c>
      <c r="F332" s="4">
        <v>10.891719745222931</v>
      </c>
      <c r="G332" s="2">
        <f t="shared" si="28"/>
        <v>93.171437769908678</v>
      </c>
      <c r="H332" s="2">
        <f t="shared" si="29"/>
        <v>28.888078637675598</v>
      </c>
      <c r="I332" s="2">
        <f t="shared" si="25"/>
        <v>4126.8683768107994</v>
      </c>
      <c r="J332" s="4">
        <f t="shared" si="27"/>
        <v>12.307327652237413</v>
      </c>
      <c r="K332" s="4">
        <f t="shared" si="26"/>
        <v>1758.1896646053447</v>
      </c>
      <c r="L332">
        <v>7</v>
      </c>
    </row>
    <row r="333" spans="1:12" hidden="1" x14ac:dyDescent="0.3">
      <c r="A333" t="s">
        <v>77</v>
      </c>
      <c r="B333" t="s">
        <v>56</v>
      </c>
      <c r="C333" s="4">
        <v>0.39984676499999999</v>
      </c>
      <c r="D333" s="4">
        <v>0.450333333</v>
      </c>
      <c r="E333">
        <v>8</v>
      </c>
      <c r="F333" s="4">
        <v>14.490445859872612</v>
      </c>
      <c r="G333" s="2">
        <f t="shared" si="28"/>
        <v>164.91242522755155</v>
      </c>
      <c r="H333" s="2">
        <f t="shared" si="29"/>
        <v>43.422191715493206</v>
      </c>
      <c r="I333" s="2">
        <f t="shared" si="25"/>
        <v>6203.1702450704588</v>
      </c>
      <c r="J333" s="4">
        <f t="shared" si="27"/>
        <v>14.86494459410118</v>
      </c>
      <c r="K333" s="4">
        <f t="shared" si="26"/>
        <v>2123.5635134430258</v>
      </c>
      <c r="L333">
        <v>7</v>
      </c>
    </row>
    <row r="334" spans="1:12" hidden="1" x14ac:dyDescent="0.3">
      <c r="A334" t="s">
        <v>77</v>
      </c>
      <c r="B334" t="s">
        <v>56</v>
      </c>
      <c r="C334" s="4">
        <v>0.39984676499999999</v>
      </c>
      <c r="D334" s="4">
        <v>0.450333333</v>
      </c>
      <c r="E334">
        <v>11</v>
      </c>
      <c r="F334" s="4">
        <v>15.987261146496815</v>
      </c>
      <c r="G334" s="2">
        <f t="shared" si="28"/>
        <v>200.74189497424902</v>
      </c>
      <c r="H334" s="2">
        <f t="shared" si="29"/>
        <v>71.784484090948396</v>
      </c>
      <c r="I334" s="2">
        <f t="shared" si="25"/>
        <v>10254.926298706912</v>
      </c>
      <c r="J334" s="4">
        <f t="shared" si="27"/>
        <v>18.826011980202036</v>
      </c>
      <c r="K334" s="4">
        <f t="shared" si="26"/>
        <v>2689.430282886005</v>
      </c>
      <c r="L334">
        <v>7</v>
      </c>
    </row>
    <row r="335" spans="1:12" hidden="1" x14ac:dyDescent="0.3">
      <c r="A335" t="s">
        <v>77</v>
      </c>
      <c r="B335" t="s">
        <v>78</v>
      </c>
      <c r="C335" s="4">
        <v>0.43538739399999998</v>
      </c>
      <c r="D335" s="4">
        <v>0.568333333</v>
      </c>
      <c r="E335">
        <v>6.5</v>
      </c>
      <c r="F335" s="4">
        <v>10.095541401273884</v>
      </c>
      <c r="G335" s="2">
        <f t="shared" si="28"/>
        <v>80.047746401117848</v>
      </c>
      <c r="H335" s="2">
        <f t="shared" si="29"/>
        <v>21.977189877389751</v>
      </c>
      <c r="I335" s="2">
        <f t="shared" si="25"/>
        <v>3139.5985539128219</v>
      </c>
      <c r="J335" s="4">
        <f t="shared" si="27"/>
        <v>11.304379003204996</v>
      </c>
      <c r="K335" s="4">
        <f t="shared" si="26"/>
        <v>1614.9112861721424</v>
      </c>
      <c r="L335">
        <v>7</v>
      </c>
    </row>
    <row r="336" spans="1:12" hidden="1" x14ac:dyDescent="0.3">
      <c r="A336" t="s">
        <v>77</v>
      </c>
      <c r="B336" t="s">
        <v>32</v>
      </c>
      <c r="C336" s="4">
        <v>0.65716857299999998</v>
      </c>
      <c r="D336" s="4">
        <v>0.85527777800000004</v>
      </c>
      <c r="E336">
        <v>6</v>
      </c>
      <c r="F336" s="4">
        <v>6.2101910828025479</v>
      </c>
      <c r="G336" s="2">
        <f t="shared" si="28"/>
        <v>30.290037286693146</v>
      </c>
      <c r="H336" s="2">
        <f t="shared" si="29"/>
        <v>11.731895574380706</v>
      </c>
      <c r="I336" s="2">
        <f t="shared" si="25"/>
        <v>1675.9850820543866</v>
      </c>
      <c r="J336" s="4">
        <f t="shared" si="27"/>
        <v>9.7955959389833254</v>
      </c>
      <c r="K336" s="4">
        <f t="shared" si="26"/>
        <v>1399.3708484261895</v>
      </c>
      <c r="L336">
        <v>7</v>
      </c>
    </row>
    <row r="337" spans="1:12" hidden="1" x14ac:dyDescent="0.3">
      <c r="A337" t="s">
        <v>77</v>
      </c>
      <c r="B337" t="s">
        <v>32</v>
      </c>
      <c r="C337" s="4">
        <v>0.65716857299999998</v>
      </c>
      <c r="D337" s="4">
        <v>0.85527777800000004</v>
      </c>
      <c r="E337">
        <v>6</v>
      </c>
      <c r="F337" s="4">
        <v>5.7961783439490437</v>
      </c>
      <c r="G337" s="2">
        <f t="shared" si="28"/>
        <v>26.385988036408239</v>
      </c>
      <c r="H337" s="2">
        <f t="shared" si="29"/>
        <v>10.253685121407155</v>
      </c>
      <c r="I337" s="2">
        <f t="shared" si="25"/>
        <v>1464.8121602010222</v>
      </c>
      <c r="J337" s="4">
        <f t="shared" si="27"/>
        <v>9.6912093512921409</v>
      </c>
      <c r="K337" s="4">
        <f t="shared" si="26"/>
        <v>1384.45847875602</v>
      </c>
      <c r="L337">
        <v>7</v>
      </c>
    </row>
    <row r="338" spans="1:12" hidden="1" x14ac:dyDescent="0.3">
      <c r="A338" t="s">
        <v>77</v>
      </c>
      <c r="B338" t="s">
        <v>32</v>
      </c>
      <c r="C338" s="4">
        <v>0.65716857299999998</v>
      </c>
      <c r="D338" s="4">
        <v>0.85527777800000004</v>
      </c>
      <c r="E338">
        <v>8</v>
      </c>
      <c r="F338" s="4">
        <v>12.611464968152864</v>
      </c>
      <c r="G338" s="2">
        <f t="shared" si="28"/>
        <v>124.91683069428193</v>
      </c>
      <c r="H338" s="2">
        <f t="shared" si="29"/>
        <v>61.924404256079256</v>
      </c>
      <c r="I338" s="2">
        <f t="shared" si="25"/>
        <v>8846.3434651541793</v>
      </c>
      <c r="J338" s="4">
        <f t="shared" si="27"/>
        <v>13.439073362002514</v>
      </c>
      <c r="K338" s="4">
        <f t="shared" si="26"/>
        <v>1919.8676231432162</v>
      </c>
      <c r="L338">
        <v>7</v>
      </c>
    </row>
    <row r="339" spans="1:12" hidden="1" x14ac:dyDescent="0.3">
      <c r="A339" t="s">
        <v>77</v>
      </c>
      <c r="B339" t="s">
        <v>22</v>
      </c>
      <c r="C339" s="4">
        <v>0.43836446099999998</v>
      </c>
      <c r="D339" s="4">
        <v>0.58666666700000003</v>
      </c>
      <c r="E339">
        <v>6.5</v>
      </c>
      <c r="F339" s="4">
        <v>18.598726114649679</v>
      </c>
      <c r="G339" s="2">
        <f t="shared" si="28"/>
        <v>271.6791310151325</v>
      </c>
      <c r="H339" s="2">
        <f t="shared" si="29"/>
        <v>74.71361054483674</v>
      </c>
      <c r="I339" s="2">
        <f t="shared" si="25"/>
        <v>10673.372934976678</v>
      </c>
      <c r="J339" s="4">
        <f t="shared" si="27"/>
        <v>16.855211947746355</v>
      </c>
      <c r="K339" s="4">
        <f t="shared" si="26"/>
        <v>2407.8874211066222</v>
      </c>
      <c r="L339">
        <v>7</v>
      </c>
    </row>
    <row r="340" spans="1:12" hidden="1" x14ac:dyDescent="0.3">
      <c r="A340" t="s">
        <v>77</v>
      </c>
      <c r="B340" t="s">
        <v>22</v>
      </c>
      <c r="C340" s="4">
        <v>0.43836446099999998</v>
      </c>
      <c r="D340" s="4">
        <v>0.58666666700000003</v>
      </c>
      <c r="E340">
        <v>7.5</v>
      </c>
      <c r="F340" s="4">
        <v>29.840764331210195</v>
      </c>
      <c r="G340" s="2">
        <f t="shared" si="28"/>
        <v>699.37445750323991</v>
      </c>
      <c r="H340" s="2">
        <f t="shared" si="29"/>
        <v>216.19910167376128</v>
      </c>
      <c r="I340" s="2">
        <f t="shared" si="25"/>
        <v>30885.585953394468</v>
      </c>
      <c r="J340" s="4">
        <f t="shared" si="27"/>
        <v>32.360569416609202</v>
      </c>
      <c r="K340" s="4">
        <f t="shared" si="26"/>
        <v>4622.9384880870293</v>
      </c>
      <c r="L340">
        <v>7</v>
      </c>
    </row>
    <row r="341" spans="1:12" hidden="1" x14ac:dyDescent="0.3">
      <c r="A341" t="s">
        <v>77</v>
      </c>
      <c r="B341" t="s">
        <v>47</v>
      </c>
      <c r="C341" s="4">
        <v>0.40238543599999999</v>
      </c>
      <c r="D341" s="4">
        <v>0.40883333300000002</v>
      </c>
      <c r="E341">
        <v>11</v>
      </c>
      <c r="F341" s="4">
        <v>20.828025477707008</v>
      </c>
      <c r="G341" s="2">
        <f t="shared" si="28"/>
        <v>340.71094248823789</v>
      </c>
      <c r="H341" s="2">
        <f t="shared" si="29"/>
        <v>109.46734954735675</v>
      </c>
      <c r="I341" s="2">
        <f t="shared" si="25"/>
        <v>15638.192792479535</v>
      </c>
      <c r="J341" s="4">
        <f t="shared" si="27"/>
        <v>25.687255844050469</v>
      </c>
      <c r="K341" s="4">
        <f t="shared" si="26"/>
        <v>3669.6079777214954</v>
      </c>
      <c r="L341">
        <v>7</v>
      </c>
    </row>
    <row r="342" spans="1:12" hidden="1" x14ac:dyDescent="0.3">
      <c r="A342" t="s">
        <v>77</v>
      </c>
      <c r="B342" t="s">
        <v>47</v>
      </c>
      <c r="C342" s="4">
        <v>0.40238543599999999</v>
      </c>
      <c r="D342" s="4">
        <v>0.40883333300000002</v>
      </c>
      <c r="E342">
        <v>12</v>
      </c>
      <c r="F342" s="4">
        <v>21.082802547770701</v>
      </c>
      <c r="G342" s="2">
        <f t="shared" si="28"/>
        <v>349.09735964942934</v>
      </c>
      <c r="H342" s="2">
        <f t="shared" si="29"/>
        <v>122.03187074470571</v>
      </c>
      <c r="I342" s="2">
        <f t="shared" si="25"/>
        <v>17433.124392100817</v>
      </c>
      <c r="J342" s="4">
        <f t="shared" si="27"/>
        <v>27.654051657268042</v>
      </c>
      <c r="K342" s="4">
        <f t="shared" si="26"/>
        <v>3950.5788081811488</v>
      </c>
      <c r="L342">
        <v>7</v>
      </c>
    </row>
    <row r="343" spans="1:12" hidden="1" x14ac:dyDescent="0.3">
      <c r="A343" t="s">
        <v>79</v>
      </c>
      <c r="B343" t="s">
        <v>26</v>
      </c>
      <c r="C343" s="4">
        <v>0.80908761900000004</v>
      </c>
      <c r="D343" s="4">
        <v>0.87473809499999999</v>
      </c>
      <c r="E343">
        <v>14</v>
      </c>
      <c r="F343" s="4">
        <v>30.668789808917197</v>
      </c>
      <c r="G343" s="2">
        <f t="shared" si="28"/>
        <v>738.72561705518297</v>
      </c>
      <c r="H343" s="2">
        <f t="shared" si="29"/>
        <v>619.35669148292709</v>
      </c>
      <c r="I343" s="2">
        <f t="shared" si="25"/>
        <v>88479.527354703867</v>
      </c>
      <c r="J343" s="4">
        <f t="shared" si="27"/>
        <v>55.073858748833622</v>
      </c>
      <c r="K343" s="4">
        <f t="shared" si="26"/>
        <v>7867.6941069762315</v>
      </c>
      <c r="L343">
        <v>7</v>
      </c>
    </row>
    <row r="344" spans="1:12" hidden="1" x14ac:dyDescent="0.3">
      <c r="A344" t="s">
        <v>79</v>
      </c>
      <c r="B344" t="s">
        <v>26</v>
      </c>
      <c r="C344" s="4">
        <v>0.80908761900000004</v>
      </c>
      <c r="D344" s="4">
        <v>0.87473809499999999</v>
      </c>
      <c r="E344">
        <v>11</v>
      </c>
      <c r="F344" s="4">
        <v>75.859872611464965</v>
      </c>
      <c r="G344" s="2">
        <f t="shared" si="28"/>
        <v>4519.7467329878527</v>
      </c>
      <c r="H344" s="2">
        <f t="shared" si="29"/>
        <v>2867.2854402598559</v>
      </c>
      <c r="I344" s="2">
        <f t="shared" si="25"/>
        <v>409612.20575140795</v>
      </c>
      <c r="J344" s="4">
        <f t="shared" si="27"/>
        <v>230.54243049616616</v>
      </c>
      <c r="K344" s="4">
        <f t="shared" si="26"/>
        <v>32934.632928023741</v>
      </c>
      <c r="L344">
        <v>7</v>
      </c>
    </row>
    <row r="345" spans="1:12" hidden="1" x14ac:dyDescent="0.3">
      <c r="A345" t="s">
        <v>79</v>
      </c>
      <c r="B345" t="s">
        <v>69</v>
      </c>
      <c r="C345" s="4">
        <v>0.31264018999999998</v>
      </c>
      <c r="D345" s="4">
        <v>0.356821212</v>
      </c>
      <c r="E345">
        <v>5</v>
      </c>
      <c r="F345" s="4">
        <v>9.968152866242038</v>
      </c>
      <c r="G345" s="2">
        <f t="shared" si="28"/>
        <v>78.040359314662467</v>
      </c>
      <c r="H345" s="2">
        <f t="shared" si="29"/>
        <v>10.536527631470989</v>
      </c>
      <c r="I345" s="2">
        <f t="shared" si="25"/>
        <v>1505.218233067284</v>
      </c>
      <c r="J345" s="4">
        <f t="shared" si="27"/>
        <v>10.724571252383463</v>
      </c>
      <c r="K345" s="4">
        <f t="shared" si="26"/>
        <v>1532.0816074833517</v>
      </c>
      <c r="L345">
        <v>7</v>
      </c>
    </row>
    <row r="346" spans="1:12" hidden="1" x14ac:dyDescent="0.3">
      <c r="A346" t="s">
        <v>79</v>
      </c>
      <c r="B346" t="s">
        <v>55</v>
      </c>
      <c r="C346" s="4">
        <v>0.52500000000000002</v>
      </c>
      <c r="D346" s="4">
        <v>0.52500000000000002</v>
      </c>
      <c r="E346">
        <v>7</v>
      </c>
      <c r="F346" s="4">
        <v>16.719745222929937</v>
      </c>
      <c r="G346" s="2">
        <f t="shared" si="28"/>
        <v>219.55796258105977</v>
      </c>
      <c r="H346" s="2">
        <f t="shared" si="29"/>
        <v>58.539703524684612</v>
      </c>
      <c r="I346" s="2">
        <f t="shared" si="25"/>
        <v>8362.8147892406596</v>
      </c>
      <c r="J346" s="4">
        <f t="shared" si="27"/>
        <v>15.834672067832365</v>
      </c>
      <c r="K346" s="4">
        <f t="shared" si="26"/>
        <v>2262.0960096903377</v>
      </c>
      <c r="L346">
        <v>7</v>
      </c>
    </row>
    <row r="347" spans="1:12" hidden="1" x14ac:dyDescent="0.3">
      <c r="A347" t="s">
        <v>79</v>
      </c>
      <c r="B347" t="s">
        <v>55</v>
      </c>
      <c r="C347" s="4">
        <v>0.52500000000000002</v>
      </c>
      <c r="D347" s="4">
        <v>0.52500000000000002</v>
      </c>
      <c r="E347">
        <v>6.5</v>
      </c>
      <c r="F347" s="4">
        <v>8.6942675159235669</v>
      </c>
      <c r="G347" s="2">
        <f t="shared" si="28"/>
        <v>59.368473081918566</v>
      </c>
      <c r="H347" s="2">
        <f t="shared" si="29"/>
        <v>15.194163465206746</v>
      </c>
      <c r="I347" s="2">
        <f t="shared" si="25"/>
        <v>2170.594780743821</v>
      </c>
      <c r="J347" s="4">
        <f t="shared" si="27"/>
        <v>10.705379043774595</v>
      </c>
      <c r="K347" s="4">
        <f t="shared" si="26"/>
        <v>1529.3398633963709</v>
      </c>
      <c r="L347">
        <v>7</v>
      </c>
    </row>
    <row r="348" spans="1:12" hidden="1" x14ac:dyDescent="0.3">
      <c r="A348" t="s">
        <v>79</v>
      </c>
      <c r="B348" t="s">
        <v>55</v>
      </c>
      <c r="C348" s="4">
        <v>0.52500000000000002</v>
      </c>
      <c r="D348" s="4">
        <v>0.52500000000000002</v>
      </c>
      <c r="E348">
        <v>9</v>
      </c>
      <c r="F348" s="4">
        <v>46.43312101910827</v>
      </c>
      <c r="G348" s="2">
        <f t="shared" si="28"/>
        <v>1693.3457152586438</v>
      </c>
      <c r="H348" s="2">
        <f t="shared" si="29"/>
        <v>549.38809894685733</v>
      </c>
      <c r="I348" s="2">
        <f t="shared" si="25"/>
        <v>78484.014135265345</v>
      </c>
      <c r="J348" s="4">
        <f t="shared" si="27"/>
        <v>76.900793918617353</v>
      </c>
      <c r="K348" s="4">
        <f t="shared" si="26"/>
        <v>10985.827702659621</v>
      </c>
      <c r="L348">
        <v>7</v>
      </c>
    </row>
    <row r="349" spans="1:12" hidden="1" x14ac:dyDescent="0.3">
      <c r="A349" t="s">
        <v>79</v>
      </c>
      <c r="B349" t="s">
        <v>56</v>
      </c>
      <c r="C349" s="4">
        <v>0.39984676499999999</v>
      </c>
      <c r="D349" s="4">
        <v>0.450333333</v>
      </c>
      <c r="E349">
        <v>12</v>
      </c>
      <c r="F349" s="4">
        <v>41.019108280254777</v>
      </c>
      <c r="G349" s="2">
        <f t="shared" si="28"/>
        <v>1321.4852233145527</v>
      </c>
      <c r="H349" s="2">
        <f t="shared" si="29"/>
        <v>491.69334212418971</v>
      </c>
      <c r="I349" s="2">
        <f t="shared" si="25"/>
        <v>70241.906017741392</v>
      </c>
      <c r="J349" s="4">
        <f t="shared" si="27"/>
        <v>79.653524252505164</v>
      </c>
      <c r="K349" s="4">
        <f t="shared" si="26"/>
        <v>11379.074893215022</v>
      </c>
      <c r="L349">
        <v>7</v>
      </c>
    </row>
    <row r="350" spans="1:12" hidden="1" x14ac:dyDescent="0.3">
      <c r="A350" t="s">
        <v>79</v>
      </c>
      <c r="B350" t="s">
        <v>56</v>
      </c>
      <c r="C350" s="4">
        <v>0.39984676499999999</v>
      </c>
      <c r="D350" s="4">
        <v>0.450333333</v>
      </c>
      <c r="E350">
        <v>12</v>
      </c>
      <c r="F350" s="4">
        <v>23.98089171974522</v>
      </c>
      <c r="G350" s="2">
        <f t="shared" si="28"/>
        <v>451.66926369206016</v>
      </c>
      <c r="H350" s="2">
        <f t="shared" si="29"/>
        <v>172.44172419818179</v>
      </c>
      <c r="I350" s="2">
        <f t="shared" si="25"/>
        <v>24634.532028311685</v>
      </c>
      <c r="J350" s="4">
        <f t="shared" si="27"/>
        <v>33.139193042314083</v>
      </c>
      <c r="K350" s="4">
        <f t="shared" si="26"/>
        <v>4734.1704346162969</v>
      </c>
      <c r="L350">
        <v>7</v>
      </c>
    </row>
    <row r="351" spans="1:12" hidden="1" x14ac:dyDescent="0.3">
      <c r="A351" t="s">
        <v>79</v>
      </c>
      <c r="B351" t="s">
        <v>56</v>
      </c>
      <c r="C351" s="4">
        <v>0.39984676499999999</v>
      </c>
      <c r="D351" s="4">
        <v>0.450333333</v>
      </c>
      <c r="E351">
        <v>13</v>
      </c>
      <c r="F351" s="4">
        <v>41.401273885350314</v>
      </c>
      <c r="G351" s="2">
        <f t="shared" si="28"/>
        <v>1346.2238794085838</v>
      </c>
      <c r="H351" s="2">
        <f t="shared" si="29"/>
        <v>541.35705694347928</v>
      </c>
      <c r="I351" s="2">
        <f t="shared" si="25"/>
        <v>77336.722420497026</v>
      </c>
      <c r="J351" s="4">
        <f t="shared" si="27"/>
        <v>86.975679309505438</v>
      </c>
      <c r="K351" s="4">
        <f t="shared" si="26"/>
        <v>12425.097044215061</v>
      </c>
      <c r="L351">
        <v>7</v>
      </c>
    </row>
    <row r="352" spans="1:12" hidden="1" x14ac:dyDescent="0.3">
      <c r="A352" t="s">
        <v>79</v>
      </c>
      <c r="B352" t="s">
        <v>56</v>
      </c>
      <c r="C352" s="4">
        <v>0.39984676499999999</v>
      </c>
      <c r="D352" s="4">
        <v>0.450333333</v>
      </c>
      <c r="E352">
        <v>12</v>
      </c>
      <c r="F352" s="4">
        <v>38.471337579617831</v>
      </c>
      <c r="G352" s="2">
        <f t="shared" si="28"/>
        <v>1162.4236941782769</v>
      </c>
      <c r="H352" s="2">
        <f t="shared" si="29"/>
        <v>433.84362356922162</v>
      </c>
      <c r="I352" s="2">
        <f t="shared" si="25"/>
        <v>61977.660509888803</v>
      </c>
      <c r="J352" s="4">
        <f t="shared" si="27"/>
        <v>71.147540236926446</v>
      </c>
      <c r="K352" s="4">
        <f t="shared" si="26"/>
        <v>10163.934319560922</v>
      </c>
      <c r="L352">
        <v>7</v>
      </c>
    </row>
    <row r="353" spans="1:12" hidden="1" x14ac:dyDescent="0.3">
      <c r="A353" t="s">
        <v>79</v>
      </c>
      <c r="B353" t="s">
        <v>56</v>
      </c>
      <c r="C353" s="4">
        <v>0.39984676499999999</v>
      </c>
      <c r="D353" s="4">
        <v>0.450333333</v>
      </c>
      <c r="E353">
        <v>12</v>
      </c>
      <c r="F353" s="4">
        <v>18.885350318471335</v>
      </c>
      <c r="G353" s="2">
        <f t="shared" si="28"/>
        <v>280.11732601783973</v>
      </c>
      <c r="H353" s="2">
        <f t="shared" si="29"/>
        <v>108.17859198084813</v>
      </c>
      <c r="I353" s="2">
        <f t="shared" si="25"/>
        <v>15454.08456869259</v>
      </c>
      <c r="J353" s="4">
        <f t="shared" si="27"/>
        <v>23.965271179358183</v>
      </c>
      <c r="K353" s="4">
        <f t="shared" si="26"/>
        <v>3423.6101684797404</v>
      </c>
      <c r="L353">
        <v>7</v>
      </c>
    </row>
    <row r="354" spans="1:12" hidden="1" x14ac:dyDescent="0.3">
      <c r="A354" t="s">
        <v>79</v>
      </c>
      <c r="B354" t="s">
        <v>56</v>
      </c>
      <c r="C354" s="4">
        <v>0.39984676499999999</v>
      </c>
      <c r="D354" s="4">
        <v>0.450333333</v>
      </c>
      <c r="E354">
        <v>10</v>
      </c>
      <c r="F354" s="4">
        <v>19.554140127388536</v>
      </c>
      <c r="G354" s="2">
        <f t="shared" si="28"/>
        <v>300.308294462437</v>
      </c>
      <c r="H354" s="2">
        <f t="shared" si="29"/>
        <v>96.908601749874705</v>
      </c>
      <c r="I354" s="2">
        <f t="shared" si="25"/>
        <v>13844.085964267815</v>
      </c>
      <c r="J354" s="4">
        <f t="shared" si="27"/>
        <v>22.368453864254128</v>
      </c>
      <c r="K354" s="4">
        <f t="shared" si="26"/>
        <v>3195.4934091791615</v>
      </c>
      <c r="L354">
        <v>7</v>
      </c>
    </row>
    <row r="355" spans="1:12" hidden="1" x14ac:dyDescent="0.3">
      <c r="A355" t="s">
        <v>79</v>
      </c>
      <c r="B355" t="s">
        <v>80</v>
      </c>
      <c r="C355" s="4">
        <v>0.54</v>
      </c>
      <c r="D355" s="4">
        <v>0.61247410899999999</v>
      </c>
      <c r="E355">
        <v>6</v>
      </c>
      <c r="F355" s="4">
        <v>7.1019108280254777</v>
      </c>
      <c r="G355" s="2">
        <f t="shared" si="28"/>
        <v>39.613235088230461</v>
      </c>
      <c r="H355" s="2">
        <f t="shared" si="29"/>
        <v>11.004561280164936</v>
      </c>
      <c r="I355" s="2">
        <f t="shared" si="25"/>
        <v>1572.080182880705</v>
      </c>
      <c r="J355" s="4">
        <f t="shared" si="27"/>
        <v>10.044879885593735</v>
      </c>
      <c r="K355" s="4">
        <f t="shared" si="26"/>
        <v>1434.9828407991049</v>
      </c>
      <c r="L355">
        <v>7</v>
      </c>
    </row>
    <row r="356" spans="1:12" hidden="1" x14ac:dyDescent="0.3">
      <c r="A356" t="s">
        <v>79</v>
      </c>
      <c r="B356" t="s">
        <v>22</v>
      </c>
      <c r="C356" s="4">
        <v>0.43836446099999998</v>
      </c>
      <c r="D356" s="4">
        <v>0.58666666700000003</v>
      </c>
      <c r="E356">
        <v>6</v>
      </c>
      <c r="F356" s="4">
        <v>17.261146496815286</v>
      </c>
      <c r="G356" s="2">
        <f t="shared" si="28"/>
        <v>234.00716669265282</v>
      </c>
      <c r="H356" s="2">
        <f t="shared" si="29"/>
        <v>59.731117270844578</v>
      </c>
      <c r="I356" s="2">
        <f t="shared" si="25"/>
        <v>8533.0167529777973</v>
      </c>
      <c r="J356" s="4">
        <f t="shared" si="27"/>
        <v>15.242590746074891</v>
      </c>
      <c r="K356" s="4">
        <f t="shared" si="26"/>
        <v>2177.5129637249843</v>
      </c>
      <c r="L356">
        <v>7</v>
      </c>
    </row>
    <row r="357" spans="1:12" hidden="1" x14ac:dyDescent="0.3">
      <c r="A357" t="s">
        <v>79</v>
      </c>
      <c r="B357" t="s">
        <v>47</v>
      </c>
      <c r="C357" s="4">
        <v>0.40238543599999999</v>
      </c>
      <c r="D357" s="4">
        <v>0.40883333300000002</v>
      </c>
      <c r="E357">
        <v>11</v>
      </c>
      <c r="F357" s="4">
        <v>15.445859872611464</v>
      </c>
      <c r="G357" s="2">
        <f t="shared" si="28"/>
        <v>187.37604262360011</v>
      </c>
      <c r="H357" s="2">
        <f t="shared" si="29"/>
        <v>61.072361315582846</v>
      </c>
      <c r="I357" s="2">
        <f t="shared" si="25"/>
        <v>8724.6230450832627</v>
      </c>
      <c r="J357" s="4">
        <f t="shared" si="27"/>
        <v>18.170821607367436</v>
      </c>
      <c r="K357" s="4">
        <f t="shared" si="26"/>
        <v>2595.8316581953482</v>
      </c>
      <c r="L357">
        <v>7</v>
      </c>
    </row>
    <row r="358" spans="1:12" hidden="1" x14ac:dyDescent="0.3">
      <c r="A358" t="s">
        <v>79</v>
      </c>
      <c r="B358" t="s">
        <v>47</v>
      </c>
      <c r="C358" s="4">
        <v>0.40238543599999999</v>
      </c>
      <c r="D358" s="4">
        <v>0.40883333300000002</v>
      </c>
      <c r="E358">
        <v>8</v>
      </c>
      <c r="F358" s="4">
        <v>15.19108280254777</v>
      </c>
      <c r="G358" s="2">
        <f t="shared" si="28"/>
        <v>181.24554618813946</v>
      </c>
      <c r="H358" s="2">
        <f t="shared" si="29"/>
        <v>43.327265529516296</v>
      </c>
      <c r="I358" s="2">
        <f t="shared" si="25"/>
        <v>6189.6093613594712</v>
      </c>
      <c r="J358" s="4">
        <f t="shared" si="27"/>
        <v>15.447231907988153</v>
      </c>
      <c r="K358" s="4">
        <f t="shared" si="26"/>
        <v>2206.7474154268789</v>
      </c>
      <c r="L358">
        <v>7</v>
      </c>
    </row>
    <row r="359" spans="1:12" hidden="1" x14ac:dyDescent="0.3">
      <c r="A359" t="s">
        <v>79</v>
      </c>
      <c r="B359" t="s">
        <v>47</v>
      </c>
      <c r="C359" s="4">
        <v>0.40238543599999999</v>
      </c>
      <c r="D359" s="4">
        <v>0.40883333300000002</v>
      </c>
      <c r="E359">
        <v>8</v>
      </c>
      <c r="F359" s="4">
        <v>16.433121019108281</v>
      </c>
      <c r="G359" s="2">
        <f t="shared" si="28"/>
        <v>212.09478416320235</v>
      </c>
      <c r="H359" s="2">
        <f t="shared" si="29"/>
        <v>50.51095996515626</v>
      </c>
      <c r="I359" s="2">
        <f t="shared" si="25"/>
        <v>7215.8514235937519</v>
      </c>
      <c r="J359" s="4">
        <f t="shared" si="27"/>
        <v>16.547029060002433</v>
      </c>
      <c r="K359" s="4">
        <f t="shared" si="26"/>
        <v>2363.8612942860623</v>
      </c>
      <c r="L359">
        <v>7</v>
      </c>
    </row>
    <row r="360" spans="1:12" hidden="1" x14ac:dyDescent="0.3">
      <c r="A360" t="s">
        <v>79</v>
      </c>
      <c r="B360" t="s">
        <v>62</v>
      </c>
      <c r="C360" s="4">
        <v>0.693333333</v>
      </c>
      <c r="D360" s="4">
        <v>0.64166666699999997</v>
      </c>
      <c r="E360">
        <v>5</v>
      </c>
      <c r="F360" s="4">
        <v>5.8280254777070066</v>
      </c>
      <c r="G360" s="2">
        <f t="shared" si="28"/>
        <v>26.676740531073417</v>
      </c>
      <c r="H360" s="2">
        <f t="shared" si="29"/>
        <v>6.5530230325623595</v>
      </c>
      <c r="I360" s="2">
        <f t="shared" si="25"/>
        <v>936.14614750890848</v>
      </c>
      <c r="J360" s="4">
        <f t="shared" si="27"/>
        <v>9.5801029169540346</v>
      </c>
      <c r="K360" s="4">
        <f t="shared" si="26"/>
        <v>1368.5861309934335</v>
      </c>
      <c r="L360">
        <v>7</v>
      </c>
    </row>
    <row r="361" spans="1:12" hidden="1" x14ac:dyDescent="0.3">
      <c r="A361" t="s">
        <v>79</v>
      </c>
      <c r="B361" t="s">
        <v>62</v>
      </c>
      <c r="C361" s="4">
        <v>0.693333333</v>
      </c>
      <c r="D361" s="4">
        <v>0.64166666699999997</v>
      </c>
      <c r="E361">
        <v>7</v>
      </c>
      <c r="F361" s="4">
        <v>17.00636942675159</v>
      </c>
      <c r="G361" s="2">
        <f t="shared" si="28"/>
        <v>227.1501873116178</v>
      </c>
      <c r="H361" s="2">
        <f t="shared" si="29"/>
        <v>73.606923095541589</v>
      </c>
      <c r="I361" s="2">
        <f t="shared" si="25"/>
        <v>10515.274727934511</v>
      </c>
      <c r="J361" s="4">
        <f t="shared" si="27"/>
        <v>16.071506726439203</v>
      </c>
      <c r="K361" s="4">
        <f t="shared" si="26"/>
        <v>2295.9295323484575</v>
      </c>
      <c r="L361">
        <v>7</v>
      </c>
    </row>
    <row r="362" spans="1:12" hidden="1" x14ac:dyDescent="0.3">
      <c r="A362" t="s">
        <v>81</v>
      </c>
      <c r="B362" t="s">
        <v>69</v>
      </c>
      <c r="C362" s="4">
        <v>0.31264018999999998</v>
      </c>
      <c r="D362" s="4">
        <v>0.356821212</v>
      </c>
      <c r="E362">
        <v>2.7</v>
      </c>
      <c r="F362" s="3">
        <v>2.3885350320000001</v>
      </c>
      <c r="G362" s="2">
        <f t="shared" si="28"/>
        <v>4.4807747471257793</v>
      </c>
      <c r="H362" s="2">
        <f t="shared" si="29"/>
        <v>0.35508380030736086</v>
      </c>
      <c r="I362" s="2">
        <f t="shared" si="25"/>
        <v>59.180633384560146</v>
      </c>
      <c r="J362" s="4">
        <f t="shared" si="27"/>
        <v>9.0396131912114122</v>
      </c>
      <c r="K362" s="4">
        <f t="shared" si="26"/>
        <v>1506.6021985352354</v>
      </c>
      <c r="L362">
        <v>6</v>
      </c>
    </row>
    <row r="363" spans="1:12" hidden="1" x14ac:dyDescent="0.3">
      <c r="A363" t="s">
        <v>81</v>
      </c>
      <c r="B363" t="s">
        <v>15</v>
      </c>
      <c r="C363" s="4">
        <v>0.47982689899999997</v>
      </c>
      <c r="D363" s="4">
        <v>0.51</v>
      </c>
      <c r="E363">
        <v>6</v>
      </c>
      <c r="F363" s="3">
        <v>8.6624203820000005</v>
      </c>
      <c r="G363" s="2">
        <f t="shared" si="28"/>
        <v>58.93433579311035</v>
      </c>
      <c r="H363" s="2">
        <f t="shared" si="29"/>
        <v>13.562851419139609</v>
      </c>
      <c r="I363" s="2">
        <f t="shared" si="25"/>
        <v>2260.475236523268</v>
      </c>
      <c r="J363" s="4">
        <f t="shared" si="27"/>
        <v>10.561488064364269</v>
      </c>
      <c r="K363" s="4">
        <f t="shared" si="26"/>
        <v>1760.2480107273784</v>
      </c>
      <c r="L363">
        <v>6</v>
      </c>
    </row>
    <row r="364" spans="1:12" hidden="1" x14ac:dyDescent="0.3">
      <c r="A364" t="s">
        <v>81</v>
      </c>
      <c r="B364" t="s">
        <v>15</v>
      </c>
      <c r="C364" s="4">
        <v>0.47982689899999997</v>
      </c>
      <c r="D364" s="4">
        <v>0.51</v>
      </c>
      <c r="E364">
        <v>6</v>
      </c>
      <c r="F364" s="3">
        <v>7.1019108280000003</v>
      </c>
      <c r="G364" s="2">
        <f t="shared" si="28"/>
        <v>39.613235087946244</v>
      </c>
      <c r="H364" s="2">
        <f t="shared" si="29"/>
        <v>9.2037242006687592</v>
      </c>
      <c r="I364" s="2">
        <f t="shared" si="25"/>
        <v>1533.9540334447931</v>
      </c>
      <c r="J364" s="4">
        <f t="shared" si="27"/>
        <v>10.044879885586136</v>
      </c>
      <c r="K364" s="4">
        <f t="shared" si="26"/>
        <v>1674.1466475976893</v>
      </c>
      <c r="L364">
        <v>6</v>
      </c>
    </row>
    <row r="365" spans="1:12" hidden="1" x14ac:dyDescent="0.3">
      <c r="A365" t="s">
        <v>81</v>
      </c>
      <c r="B365" t="s">
        <v>66</v>
      </c>
      <c r="C365" s="4">
        <v>0.62643652800000005</v>
      </c>
      <c r="D365" s="4">
        <v>0.57808694400000005</v>
      </c>
      <c r="E365">
        <v>6</v>
      </c>
      <c r="F365" s="3">
        <v>43.184713379999998</v>
      </c>
      <c r="G365" s="2">
        <f t="shared" si="28"/>
        <v>1464.7043263965377</v>
      </c>
      <c r="H365" s="2">
        <f t="shared" si="29"/>
        <v>352.66328677133208</v>
      </c>
      <c r="I365" s="2">
        <f t="shared" si="25"/>
        <v>58777.214461888681</v>
      </c>
      <c r="J365" s="4">
        <f t="shared" si="27"/>
        <v>48.149008863967772</v>
      </c>
      <c r="K365" s="4">
        <f t="shared" si="26"/>
        <v>8024.8348106612948</v>
      </c>
      <c r="L365">
        <v>6</v>
      </c>
    </row>
    <row r="366" spans="1:12" hidden="1" x14ac:dyDescent="0.3">
      <c r="A366" t="s">
        <v>81</v>
      </c>
      <c r="B366" t="s">
        <v>66</v>
      </c>
      <c r="C366" s="4">
        <v>0.62643652800000005</v>
      </c>
      <c r="D366" s="4">
        <v>0.57808694400000005</v>
      </c>
      <c r="E366">
        <v>7</v>
      </c>
      <c r="F366" s="3">
        <v>35.414012739999997</v>
      </c>
      <c r="G366" s="2">
        <f t="shared" si="28"/>
        <v>985.00891174390063</v>
      </c>
      <c r="H366" s="2">
        <f t="shared" si="29"/>
        <v>278.30816517745774</v>
      </c>
      <c r="I366" s="2">
        <f t="shared" si="25"/>
        <v>46384.694196242956</v>
      </c>
      <c r="J366" s="4">
        <f t="shared" si="27"/>
        <v>39.712431309547611</v>
      </c>
      <c r="K366" s="4">
        <f t="shared" si="26"/>
        <v>6618.7385515912683</v>
      </c>
      <c r="L366">
        <v>6</v>
      </c>
    </row>
    <row r="367" spans="1:12" hidden="1" x14ac:dyDescent="0.3">
      <c r="A367" t="s">
        <v>81</v>
      </c>
      <c r="B367" t="s">
        <v>66</v>
      </c>
      <c r="C367" s="4">
        <v>0.62643652800000005</v>
      </c>
      <c r="D367" s="4">
        <v>0.57808694400000005</v>
      </c>
      <c r="E367">
        <v>6</v>
      </c>
      <c r="F367" s="3">
        <v>27.866242039999999</v>
      </c>
      <c r="G367" s="2">
        <f t="shared" si="28"/>
        <v>609.88322946989774</v>
      </c>
      <c r="H367" s="2">
        <f t="shared" si="29"/>
        <v>149.96470455962128</v>
      </c>
      <c r="I367" s="2">
        <f t="shared" si="25"/>
        <v>24994.117426603549</v>
      </c>
      <c r="J367" s="4">
        <f t="shared" si="27"/>
        <v>25.292776354069133</v>
      </c>
      <c r="K367" s="4">
        <f t="shared" si="26"/>
        <v>4215.4627256781887</v>
      </c>
      <c r="L367">
        <v>6</v>
      </c>
    </row>
    <row r="368" spans="1:12" hidden="1" x14ac:dyDescent="0.3">
      <c r="A368" t="s">
        <v>81</v>
      </c>
      <c r="B368" t="s">
        <v>66</v>
      </c>
      <c r="C368" s="4">
        <v>0.62643652800000005</v>
      </c>
      <c r="D368" s="4">
        <v>0.57808694400000005</v>
      </c>
      <c r="E368">
        <v>6</v>
      </c>
      <c r="F368" s="3">
        <v>38.270700640000001</v>
      </c>
      <c r="G368" s="2">
        <f t="shared" si="28"/>
        <v>1150.3306927064905</v>
      </c>
      <c r="H368" s="2">
        <f t="shared" si="29"/>
        <v>278.58084295980143</v>
      </c>
      <c r="I368" s="2">
        <f t="shared" si="25"/>
        <v>46430.140493300241</v>
      </c>
      <c r="J368" s="4">
        <f t="shared" si="27"/>
        <v>39.743277077006425</v>
      </c>
      <c r="K368" s="4">
        <f t="shared" si="26"/>
        <v>6623.8795128344036</v>
      </c>
      <c r="L368">
        <v>6</v>
      </c>
    </row>
    <row r="369" spans="1:12" hidden="1" x14ac:dyDescent="0.3">
      <c r="A369" t="s">
        <v>81</v>
      </c>
      <c r="B369" t="s">
        <v>56</v>
      </c>
      <c r="C369" s="4">
        <v>0.39984676499999999</v>
      </c>
      <c r="D369" s="4">
        <v>0.450333333</v>
      </c>
      <c r="E369">
        <v>11</v>
      </c>
      <c r="F369" s="3">
        <v>38.72611465</v>
      </c>
      <c r="G369" s="2">
        <f t="shared" si="28"/>
        <v>1177.8710157772305</v>
      </c>
      <c r="H369" s="2">
        <f t="shared" si="29"/>
        <v>403.68932561045892</v>
      </c>
      <c r="I369" s="2">
        <f t="shared" si="25"/>
        <v>67281.554268409818</v>
      </c>
      <c r="J369" s="4">
        <f t="shared" si="27"/>
        <v>66.724610301570365</v>
      </c>
      <c r="K369" s="4">
        <f t="shared" si="26"/>
        <v>11120.768383595061</v>
      </c>
      <c r="L369">
        <v>6</v>
      </c>
    </row>
    <row r="370" spans="1:12" hidden="1" x14ac:dyDescent="0.3">
      <c r="A370" t="s">
        <v>81</v>
      </c>
      <c r="B370" t="s">
        <v>47</v>
      </c>
      <c r="C370" s="4">
        <v>0.40238543599999999</v>
      </c>
      <c r="D370" s="4">
        <v>0.40883333300000002</v>
      </c>
      <c r="E370">
        <v>6</v>
      </c>
      <c r="F370" s="3">
        <v>15.95541401</v>
      </c>
      <c r="G370" s="2">
        <f t="shared" si="28"/>
        <v>199.94292298190959</v>
      </c>
      <c r="H370" s="2">
        <f t="shared" si="29"/>
        <v>36.011104232459161</v>
      </c>
      <c r="I370" s="2">
        <f t="shared" si="25"/>
        <v>6001.85070540986</v>
      </c>
      <c r="J370" s="4">
        <f t="shared" si="27"/>
        <v>14.33177996084059</v>
      </c>
      <c r="K370" s="4">
        <f t="shared" si="26"/>
        <v>2388.6299934734316</v>
      </c>
      <c r="L370">
        <v>6</v>
      </c>
    </row>
    <row r="371" spans="1:12" hidden="1" x14ac:dyDescent="0.3">
      <c r="A371" t="s">
        <v>81</v>
      </c>
      <c r="B371" t="s">
        <v>47</v>
      </c>
      <c r="C371" s="4">
        <v>0.40238543599999999</v>
      </c>
      <c r="D371" s="4">
        <v>0.40883333300000002</v>
      </c>
      <c r="E371">
        <v>8</v>
      </c>
      <c r="F371" s="3">
        <v>14.076433120000001</v>
      </c>
      <c r="G371" s="2">
        <f t="shared" si="28"/>
        <v>155.62348043709864</v>
      </c>
      <c r="H371" s="2">
        <f t="shared" si="29"/>
        <v>37.338569423258868</v>
      </c>
      <c r="I371" s="2">
        <f t="shared" si="25"/>
        <v>6223.0949038764775</v>
      </c>
      <c r="J371" s="4">
        <f t="shared" si="27"/>
        <v>14.533787142691324</v>
      </c>
      <c r="K371" s="4">
        <f t="shared" si="26"/>
        <v>2422.2978571152207</v>
      </c>
      <c r="L371">
        <v>6</v>
      </c>
    </row>
    <row r="372" spans="1:12" hidden="1" x14ac:dyDescent="0.3">
      <c r="A372" t="s">
        <v>81</v>
      </c>
      <c r="B372" t="s">
        <v>47</v>
      </c>
      <c r="C372" s="4">
        <v>0.40238543599999999</v>
      </c>
      <c r="D372" s="4">
        <v>0.40883333300000002</v>
      </c>
      <c r="E372">
        <v>7</v>
      </c>
      <c r="F372" s="3">
        <v>12.61146497</v>
      </c>
      <c r="G372" s="2">
        <f t="shared" si="28"/>
        <v>124.91683073087377</v>
      </c>
      <c r="H372" s="2">
        <f t="shared" si="29"/>
        <v>26.448087170142614</v>
      </c>
      <c r="I372" s="2">
        <f t="shared" si="25"/>
        <v>4408.0145283571028</v>
      </c>
      <c r="J372" s="4">
        <f t="shared" si="27"/>
        <v>12.882401692893659</v>
      </c>
      <c r="K372" s="4">
        <f t="shared" si="26"/>
        <v>2147.0669488156095</v>
      </c>
      <c r="L372">
        <v>6</v>
      </c>
    </row>
    <row r="373" spans="1:12" hidden="1" x14ac:dyDescent="0.3">
      <c r="A373" t="s">
        <v>81</v>
      </c>
      <c r="B373" t="s">
        <v>47</v>
      </c>
      <c r="C373" s="4">
        <v>0.40238543599999999</v>
      </c>
      <c r="D373" s="4">
        <v>0.40883333300000002</v>
      </c>
      <c r="E373">
        <v>7</v>
      </c>
      <c r="F373" s="3">
        <v>11.33757962</v>
      </c>
      <c r="G373" s="2">
        <f t="shared" si="28"/>
        <v>100.95563884373082</v>
      </c>
      <c r="H373" s="2">
        <f t="shared" si="29"/>
        <v>21.484421332831829</v>
      </c>
      <c r="I373" s="2">
        <f t="shared" si="25"/>
        <v>3580.7368888053047</v>
      </c>
      <c r="J373" s="4">
        <f t="shared" si="27"/>
        <v>12.134947435176063</v>
      </c>
      <c r="K373" s="4">
        <f t="shared" si="26"/>
        <v>2022.4912391960104</v>
      </c>
      <c r="L373">
        <v>6</v>
      </c>
    </row>
    <row r="374" spans="1:12" hidden="1" x14ac:dyDescent="0.3">
      <c r="A374" t="s">
        <v>81</v>
      </c>
      <c r="B374" t="s">
        <v>47</v>
      </c>
      <c r="C374" s="4">
        <v>0.40238543599999999</v>
      </c>
      <c r="D374" s="4">
        <v>0.40883333300000002</v>
      </c>
      <c r="E374">
        <v>7</v>
      </c>
      <c r="F374" s="3">
        <v>13.853503180000001</v>
      </c>
      <c r="G374" s="2">
        <f t="shared" si="28"/>
        <v>150.73326237144946</v>
      </c>
      <c r="H374" s="2">
        <f t="shared" si="29"/>
        <v>31.770517857283473</v>
      </c>
      <c r="I374" s="2">
        <f t="shared" si="25"/>
        <v>5295.0863095472459</v>
      </c>
      <c r="J374" s="4">
        <f t="shared" si="27"/>
        <v>13.687728983777617</v>
      </c>
      <c r="K374" s="4">
        <f t="shared" si="26"/>
        <v>2281.2881639629363</v>
      </c>
      <c r="L374">
        <v>6</v>
      </c>
    </row>
    <row r="375" spans="1:12" hidden="1" x14ac:dyDescent="0.3">
      <c r="A375" t="s">
        <v>81</v>
      </c>
      <c r="B375" t="s">
        <v>47</v>
      </c>
      <c r="C375" s="4">
        <v>0.40238543599999999</v>
      </c>
      <c r="D375" s="4">
        <v>0.40883333300000002</v>
      </c>
      <c r="E375">
        <v>7</v>
      </c>
      <c r="F375" s="3">
        <v>14.10828025</v>
      </c>
      <c r="G375" s="2">
        <f t="shared" si="28"/>
        <v>156.32845558055743</v>
      </c>
      <c r="H375" s="2">
        <f t="shared" si="29"/>
        <v>32.921024189513865</v>
      </c>
      <c r="I375" s="2">
        <f t="shared" si="25"/>
        <v>5486.837364918978</v>
      </c>
      <c r="J375" s="4">
        <f t="shared" si="27"/>
        <v>13.862267504507232</v>
      </c>
      <c r="K375" s="4">
        <f t="shared" si="26"/>
        <v>2310.3779174178721</v>
      </c>
      <c r="L375">
        <v>6</v>
      </c>
    </row>
    <row r="376" spans="1:12" hidden="1" x14ac:dyDescent="0.3">
      <c r="A376" t="s">
        <v>81</v>
      </c>
      <c r="B376" t="s">
        <v>47</v>
      </c>
      <c r="C376" s="4">
        <v>0.40238543599999999</v>
      </c>
      <c r="D376" s="4">
        <v>0.40883333300000002</v>
      </c>
      <c r="E376">
        <v>8</v>
      </c>
      <c r="F376" s="3">
        <v>12.229299360000001</v>
      </c>
      <c r="G376" s="2">
        <f t="shared" si="28"/>
        <v>117.46082145728865</v>
      </c>
      <c r="H376" s="2">
        <f t="shared" si="29"/>
        <v>28.373176167205518</v>
      </c>
      <c r="I376" s="2">
        <f t="shared" si="25"/>
        <v>4728.862694534253</v>
      </c>
      <c r="J376" s="4">
        <f t="shared" si="27"/>
        <v>13.1732613594219</v>
      </c>
      <c r="K376" s="4">
        <f t="shared" si="26"/>
        <v>2195.54355990365</v>
      </c>
      <c r="L376">
        <v>6</v>
      </c>
    </row>
    <row r="377" spans="1:12" hidden="1" x14ac:dyDescent="0.3">
      <c r="A377" t="s">
        <v>81</v>
      </c>
      <c r="B377" t="s">
        <v>47</v>
      </c>
      <c r="C377" s="4">
        <v>0.40238543599999999</v>
      </c>
      <c r="D377" s="4">
        <v>0.40883333300000002</v>
      </c>
      <c r="E377">
        <v>8</v>
      </c>
      <c r="F377" s="3">
        <v>13.15286624</v>
      </c>
      <c r="G377" s="2">
        <f t="shared" si="28"/>
        <v>135.87222533471953</v>
      </c>
      <c r="H377" s="2">
        <f t="shared" si="29"/>
        <v>32.706035629090614</v>
      </c>
      <c r="I377" s="2">
        <f t="shared" si="25"/>
        <v>5451.0059381817691</v>
      </c>
      <c r="J377" s="4">
        <f t="shared" si="27"/>
        <v>13.829640929165288</v>
      </c>
      <c r="K377" s="4">
        <f t="shared" si="26"/>
        <v>2304.9401548608816</v>
      </c>
      <c r="L377">
        <v>6</v>
      </c>
    </row>
    <row r="378" spans="1:12" hidden="1" x14ac:dyDescent="0.3">
      <c r="A378" t="s">
        <v>81</v>
      </c>
      <c r="B378" t="s">
        <v>47</v>
      </c>
      <c r="C378" s="4">
        <v>0.40238543599999999</v>
      </c>
      <c r="D378" s="4">
        <v>0.40883333300000002</v>
      </c>
      <c r="E378">
        <v>8</v>
      </c>
      <c r="F378" s="3">
        <v>14.076433120000001</v>
      </c>
      <c r="G378" s="2">
        <f t="shared" si="28"/>
        <v>155.62348043709864</v>
      </c>
      <c r="H378" s="2">
        <f t="shared" si="29"/>
        <v>37.338569423258868</v>
      </c>
      <c r="I378" s="2">
        <f t="shared" si="25"/>
        <v>6223.0949038764775</v>
      </c>
      <c r="J378" s="4">
        <f t="shared" si="27"/>
        <v>14.533787142691324</v>
      </c>
      <c r="K378" s="4">
        <f t="shared" si="26"/>
        <v>2422.2978571152207</v>
      </c>
      <c r="L378">
        <v>6</v>
      </c>
    </row>
    <row r="379" spans="1:12" hidden="1" x14ac:dyDescent="0.3">
      <c r="A379" t="s">
        <v>81</v>
      </c>
      <c r="B379" t="s">
        <v>82</v>
      </c>
      <c r="C379" s="4">
        <v>0.46679999999999999</v>
      </c>
      <c r="D379" s="4">
        <v>0.81159999999999999</v>
      </c>
      <c r="E379">
        <v>8</v>
      </c>
      <c r="F379" s="3">
        <v>17.006369429999999</v>
      </c>
      <c r="G379" s="2">
        <f t="shared" si="28"/>
        <v>227.15018739839431</v>
      </c>
      <c r="H379" s="2">
        <f t="shared" si="29"/>
        <v>105.4635975523872</v>
      </c>
      <c r="I379" s="2">
        <f t="shared" si="25"/>
        <v>17577.266258731201</v>
      </c>
      <c r="J379" s="4">
        <f t="shared" si="27"/>
        <v>17.083764833309878</v>
      </c>
      <c r="K379" s="4">
        <f t="shared" si="26"/>
        <v>2847.2941388849795</v>
      </c>
      <c r="L379">
        <v>6</v>
      </c>
    </row>
    <row r="380" spans="1:12" hidden="1" x14ac:dyDescent="0.3">
      <c r="A380" t="s">
        <v>81</v>
      </c>
      <c r="B380" t="s">
        <v>82</v>
      </c>
      <c r="C380" s="4">
        <v>0.46679999999999999</v>
      </c>
      <c r="D380" s="4">
        <v>0.81159999999999999</v>
      </c>
      <c r="E380">
        <v>5</v>
      </c>
      <c r="F380" s="3">
        <v>14.58598726</v>
      </c>
      <c r="G380" s="2">
        <f t="shared" si="28"/>
        <v>167.09426378453796</v>
      </c>
      <c r="H380" s="2">
        <f t="shared" si="29"/>
        <v>49.400387759586074</v>
      </c>
      <c r="I380" s="2">
        <f t="shared" si="25"/>
        <v>8233.3979599310132</v>
      </c>
      <c r="J380" s="4">
        <f t="shared" si="27"/>
        <v>12.70884292610544</v>
      </c>
      <c r="K380" s="4">
        <f t="shared" si="26"/>
        <v>2118.1404876842403</v>
      </c>
      <c r="L380">
        <v>6</v>
      </c>
    </row>
    <row r="381" spans="1:12" hidden="1" x14ac:dyDescent="0.3">
      <c r="A381" t="s">
        <v>81</v>
      </c>
      <c r="B381" t="s">
        <v>82</v>
      </c>
      <c r="C381" s="4">
        <v>0.46679999999999999</v>
      </c>
      <c r="D381" s="4">
        <v>0.81159999999999999</v>
      </c>
      <c r="E381">
        <v>6</v>
      </c>
      <c r="F381" s="3">
        <v>4.9681528659999996</v>
      </c>
      <c r="G381" s="2">
        <f t="shared" si="28"/>
        <v>19.385623861594752</v>
      </c>
      <c r="H381" s="2">
        <f t="shared" si="29"/>
        <v>7.2107602660856314</v>
      </c>
      <c r="I381" s="2">
        <f t="shared" si="25"/>
        <v>1201.7933776809384</v>
      </c>
      <c r="J381" s="4">
        <f t="shared" si="27"/>
        <v>9.5040334008988232</v>
      </c>
      <c r="K381" s="4">
        <f t="shared" si="26"/>
        <v>1584.0055668164705</v>
      </c>
      <c r="L381">
        <v>6</v>
      </c>
    </row>
    <row r="382" spans="1:12" hidden="1" x14ac:dyDescent="0.3">
      <c r="A382" t="s">
        <v>83</v>
      </c>
      <c r="B382" t="s">
        <v>15</v>
      </c>
      <c r="C382" s="4">
        <v>0.47982689899999997</v>
      </c>
      <c r="D382" s="4">
        <v>0.51</v>
      </c>
      <c r="E382">
        <v>8</v>
      </c>
      <c r="F382" s="1">
        <v>10.350318471337578</v>
      </c>
      <c r="G382" s="2">
        <f t="shared" si="28"/>
        <v>84.138992463036487</v>
      </c>
      <c r="H382" s="2">
        <f t="shared" si="29"/>
        <v>25.421959996716282</v>
      </c>
      <c r="I382" s="2">
        <f t="shared" si="25"/>
        <v>4236.9933327860472</v>
      </c>
      <c r="J382" s="4">
        <f t="shared" si="27"/>
        <v>11.985314588827132</v>
      </c>
      <c r="K382" s="4">
        <f t="shared" si="26"/>
        <v>1997.5524314711886</v>
      </c>
      <c r="L382">
        <v>6</v>
      </c>
    </row>
    <row r="383" spans="1:12" hidden="1" x14ac:dyDescent="0.3">
      <c r="A383" t="s">
        <v>83</v>
      </c>
      <c r="B383" t="s">
        <v>15</v>
      </c>
      <c r="C383" s="4">
        <v>0.47982689899999997</v>
      </c>
      <c r="D383" s="4">
        <v>0.51</v>
      </c>
      <c r="E383">
        <v>8</v>
      </c>
      <c r="F383" s="1">
        <v>6.5605095541401273</v>
      </c>
      <c r="G383" s="2">
        <f t="shared" si="28"/>
        <v>33.803761270167257</v>
      </c>
      <c r="H383" s="2">
        <f t="shared" si="29"/>
        <v>10.439543890715761</v>
      </c>
      <c r="I383" s="2">
        <f t="shared" si="25"/>
        <v>1739.92398178596</v>
      </c>
      <c r="J383" s="4">
        <f t="shared" si="27"/>
        <v>10.190827997078989</v>
      </c>
      <c r="K383" s="4">
        <f t="shared" si="26"/>
        <v>1698.4713328464979</v>
      </c>
      <c r="L383">
        <v>6</v>
      </c>
    </row>
    <row r="384" spans="1:12" hidden="1" x14ac:dyDescent="0.3">
      <c r="A384" t="s">
        <v>83</v>
      </c>
      <c r="B384" t="s">
        <v>15</v>
      </c>
      <c r="C384" s="4">
        <v>0.47982689899999997</v>
      </c>
      <c r="D384" s="4">
        <v>0.51</v>
      </c>
      <c r="E384">
        <v>9</v>
      </c>
      <c r="F384" s="1">
        <v>10.414012738853504</v>
      </c>
      <c r="G384" s="2">
        <f t="shared" si="28"/>
        <v>85.177735622059473</v>
      </c>
      <c r="H384" s="2">
        <f t="shared" si="29"/>
        <v>28.86255579431289</v>
      </c>
      <c r="I384" s="2">
        <f t="shared" si="25"/>
        <v>4810.425965718815</v>
      </c>
      <c r="J384" s="4">
        <f t="shared" si="27"/>
        <v>12.401927331737596</v>
      </c>
      <c r="K384" s="4">
        <f t="shared" si="26"/>
        <v>2066.9878886229326</v>
      </c>
      <c r="L384">
        <v>6</v>
      </c>
    </row>
    <row r="385" spans="1:12" hidden="1" x14ac:dyDescent="0.3">
      <c r="A385" t="s">
        <v>83</v>
      </c>
      <c r="B385" t="s">
        <v>66</v>
      </c>
      <c r="C385" s="4">
        <v>0.62643652800000005</v>
      </c>
      <c r="D385" s="4">
        <v>0.57808694400000005</v>
      </c>
      <c r="E385">
        <v>5</v>
      </c>
      <c r="F385" s="1">
        <v>27.802547770700635</v>
      </c>
      <c r="G385" s="2">
        <f t="shared" si="28"/>
        <v>607.09837810046429</v>
      </c>
      <c r="H385" s="2">
        <f t="shared" si="29"/>
        <v>124.95920233962403</v>
      </c>
      <c r="I385" s="2">
        <f t="shared" si="25"/>
        <v>20826.53372327067</v>
      </c>
      <c r="J385" s="4">
        <f t="shared" si="27"/>
        <v>22.512879094486589</v>
      </c>
      <c r="K385" s="4">
        <f t="shared" si="26"/>
        <v>3752.1465157477651</v>
      </c>
      <c r="L385">
        <v>6</v>
      </c>
    </row>
    <row r="386" spans="1:12" hidden="1" x14ac:dyDescent="0.3">
      <c r="A386" t="s">
        <v>83</v>
      </c>
      <c r="B386" t="s">
        <v>66</v>
      </c>
      <c r="C386" s="4">
        <v>0.62643652800000005</v>
      </c>
      <c r="D386" s="4">
        <v>0.57808694400000005</v>
      </c>
      <c r="E386">
        <v>7</v>
      </c>
      <c r="F386" s="1">
        <v>61.942675159235669</v>
      </c>
      <c r="G386" s="2">
        <f t="shared" si="28"/>
        <v>3013.4902907690289</v>
      </c>
      <c r="H386" s="2">
        <f t="shared" si="29"/>
        <v>828.8968202676333</v>
      </c>
      <c r="I386" s="2">
        <f t="shared" ref="I386:I449" si="30">(H386*1000)/L386</f>
        <v>138149.47004460555</v>
      </c>
      <c r="J386" s="4">
        <f t="shared" si="27"/>
        <v>102.9896276441235</v>
      </c>
      <c r="K386" s="4">
        <f t="shared" ref="K386:K449" si="31">(J386*1000)/L386</f>
        <v>17164.93794068725</v>
      </c>
      <c r="L386">
        <v>6</v>
      </c>
    </row>
    <row r="387" spans="1:12" hidden="1" x14ac:dyDescent="0.3">
      <c r="A387" t="s">
        <v>83</v>
      </c>
      <c r="B387" t="s">
        <v>66</v>
      </c>
      <c r="C387" s="4">
        <v>0.62643652800000005</v>
      </c>
      <c r="D387" s="4">
        <v>0.57808694400000005</v>
      </c>
      <c r="E387">
        <v>7</v>
      </c>
      <c r="F387" s="1">
        <v>59.203821656050955</v>
      </c>
      <c r="G387" s="2">
        <f t="shared" si="28"/>
        <v>2752.8932110026135</v>
      </c>
      <c r="H387" s="2">
        <f t="shared" si="29"/>
        <v>758.86194083768464</v>
      </c>
      <c r="I387" s="2">
        <f t="shared" si="30"/>
        <v>126476.99013961411</v>
      </c>
      <c r="J387" s="4">
        <f t="shared" ref="J387:J450" si="32">8.9857 + 0.0035 * F387^2 * E387</f>
        <v>94.860466217696441</v>
      </c>
      <c r="K387" s="4">
        <f t="shared" si="31"/>
        <v>15810.077702949406</v>
      </c>
      <c r="L387">
        <v>6</v>
      </c>
    </row>
    <row r="388" spans="1:12" hidden="1" x14ac:dyDescent="0.3">
      <c r="A388" t="s">
        <v>83</v>
      </c>
      <c r="B388" t="s">
        <v>66</v>
      </c>
      <c r="C388" s="4">
        <v>0.62643652800000005</v>
      </c>
      <c r="D388" s="4">
        <v>0.57808694400000005</v>
      </c>
      <c r="E388">
        <v>7</v>
      </c>
      <c r="F388" s="1">
        <v>64.363057324840767</v>
      </c>
      <c r="G388" s="2">
        <f t="shared" ref="G388:G451" si="33">PI()*(F388/2)^2</f>
        <v>3253.5929042813473</v>
      </c>
      <c r="H388" s="2">
        <f t="shared" ref="H388:H451" si="34">0.0673 * ((D388 * F388^2 * E388)^0.976)</f>
        <v>893.29488529400498</v>
      </c>
      <c r="I388" s="2">
        <f t="shared" si="30"/>
        <v>148882.48088233417</v>
      </c>
      <c r="J388" s="4">
        <f t="shared" si="32"/>
        <v>110.47947713091808</v>
      </c>
      <c r="K388" s="4">
        <f t="shared" si="31"/>
        <v>18413.246188486348</v>
      </c>
      <c r="L388">
        <v>6</v>
      </c>
    </row>
    <row r="389" spans="1:12" hidden="1" x14ac:dyDescent="0.3">
      <c r="A389" t="s">
        <v>83</v>
      </c>
      <c r="B389" t="s">
        <v>66</v>
      </c>
      <c r="C389" s="4">
        <v>0.62643652800000005</v>
      </c>
      <c r="D389" s="4">
        <v>0.57808694400000005</v>
      </c>
      <c r="E389">
        <v>7</v>
      </c>
      <c r="F389" s="1">
        <v>34.617834394904456</v>
      </c>
      <c r="G389" s="2">
        <f t="shared" si="33"/>
        <v>941.21680649048585</v>
      </c>
      <c r="H389" s="2">
        <f t="shared" si="34"/>
        <v>266.22539093782513</v>
      </c>
      <c r="I389" s="2">
        <f t="shared" si="30"/>
        <v>44370.898489637526</v>
      </c>
      <c r="J389" s="4">
        <f t="shared" si="32"/>
        <v>38.346364225729239</v>
      </c>
      <c r="K389" s="4">
        <f t="shared" si="31"/>
        <v>6391.0607042882066</v>
      </c>
      <c r="L389">
        <v>6</v>
      </c>
    </row>
    <row r="390" spans="1:12" hidden="1" x14ac:dyDescent="0.3">
      <c r="A390" t="s">
        <v>83</v>
      </c>
      <c r="B390" t="s">
        <v>66</v>
      </c>
      <c r="C390" s="4">
        <v>0.62643652800000005</v>
      </c>
      <c r="D390" s="4">
        <v>0.57808694400000005</v>
      </c>
      <c r="E390">
        <v>7</v>
      </c>
      <c r="F390" s="1">
        <v>58.535031847133759</v>
      </c>
      <c r="G390" s="2">
        <f t="shared" si="33"/>
        <v>2691.0489605140669</v>
      </c>
      <c r="H390" s="2">
        <f t="shared" si="34"/>
        <v>742.21859928524566</v>
      </c>
      <c r="I390" s="2">
        <f t="shared" si="30"/>
        <v>123703.09988087427</v>
      </c>
      <c r="J390" s="4">
        <f t="shared" si="32"/>
        <v>92.931273856951591</v>
      </c>
      <c r="K390" s="4">
        <f t="shared" si="31"/>
        <v>15488.545642825266</v>
      </c>
      <c r="L390">
        <v>6</v>
      </c>
    </row>
    <row r="391" spans="1:12" hidden="1" x14ac:dyDescent="0.3">
      <c r="A391" t="s">
        <v>84</v>
      </c>
      <c r="B391" t="s">
        <v>69</v>
      </c>
      <c r="C391" s="4">
        <v>0.31264018999999998</v>
      </c>
      <c r="D391" s="4">
        <v>0.356821212</v>
      </c>
      <c r="E391">
        <v>5</v>
      </c>
      <c r="F391" s="1">
        <v>9.7133757961783438</v>
      </c>
      <c r="G391" s="2">
        <f t="shared" si="33"/>
        <v>74.102057030759482</v>
      </c>
      <c r="H391" s="2">
        <f t="shared" si="34"/>
        <v>10.017243941741139</v>
      </c>
      <c r="I391" s="2">
        <f t="shared" si="30"/>
        <v>1669.5406569568565</v>
      </c>
      <c r="J391" s="4">
        <f t="shared" si="32"/>
        <v>10.636819213761207</v>
      </c>
      <c r="K391" s="4">
        <f t="shared" si="31"/>
        <v>1772.8032022935347</v>
      </c>
      <c r="L391">
        <v>6</v>
      </c>
    </row>
    <row r="392" spans="1:12" hidden="1" x14ac:dyDescent="0.3">
      <c r="A392" t="s">
        <v>84</v>
      </c>
      <c r="B392" t="s">
        <v>85</v>
      </c>
      <c r="C392" s="4">
        <v>0.6</v>
      </c>
      <c r="D392" s="4">
        <v>0.66674999999999995</v>
      </c>
      <c r="E392">
        <v>8</v>
      </c>
      <c r="F392" s="1">
        <v>10.031847133757962</v>
      </c>
      <c r="G392" s="2">
        <f t="shared" si="33"/>
        <v>79.040866529181514</v>
      </c>
      <c r="H392" s="2">
        <f t="shared" si="34"/>
        <v>31.068074024936699</v>
      </c>
      <c r="I392" s="2">
        <f t="shared" si="30"/>
        <v>5178.0123374894501</v>
      </c>
      <c r="J392" s="4">
        <f t="shared" si="32"/>
        <v>11.80356279362246</v>
      </c>
      <c r="K392" s="4">
        <f t="shared" si="31"/>
        <v>1967.2604656037431</v>
      </c>
      <c r="L392">
        <v>6</v>
      </c>
    </row>
    <row r="393" spans="1:12" hidden="1" x14ac:dyDescent="0.3">
      <c r="A393" t="s">
        <v>84</v>
      </c>
      <c r="B393" t="s">
        <v>15</v>
      </c>
      <c r="C393" s="4">
        <v>0.47982689899999997</v>
      </c>
      <c r="D393" s="4">
        <v>0.51</v>
      </c>
      <c r="E393">
        <v>5</v>
      </c>
      <c r="F393" s="1">
        <v>4.0127388535031843</v>
      </c>
      <c r="G393" s="2">
        <f t="shared" si="33"/>
        <v>12.64653864466904</v>
      </c>
      <c r="H393" s="2">
        <f t="shared" si="34"/>
        <v>2.5276382067380969</v>
      </c>
      <c r="I393" s="2">
        <f t="shared" si="30"/>
        <v>421.27303445634948</v>
      </c>
      <c r="J393" s="4">
        <f t="shared" si="32"/>
        <v>9.2674862793622452</v>
      </c>
      <c r="K393" s="4">
        <f t="shared" si="31"/>
        <v>1544.5810465603743</v>
      </c>
      <c r="L393">
        <v>6</v>
      </c>
    </row>
    <row r="394" spans="1:12" hidden="1" x14ac:dyDescent="0.3">
      <c r="A394" t="s">
        <v>84</v>
      </c>
      <c r="B394" t="s">
        <v>15</v>
      </c>
      <c r="C394" s="4">
        <v>0.47982689899999997</v>
      </c>
      <c r="D394" s="4">
        <v>0.51</v>
      </c>
      <c r="E394">
        <v>4</v>
      </c>
      <c r="F394" s="1">
        <v>2.6751592356687897</v>
      </c>
      <c r="G394" s="2">
        <f t="shared" si="33"/>
        <v>5.6206838420751293</v>
      </c>
      <c r="H394" s="2">
        <f t="shared" si="34"/>
        <v>0.92129900257995967</v>
      </c>
      <c r="I394" s="2">
        <f t="shared" si="30"/>
        <v>153.5498337633266</v>
      </c>
      <c r="J394" s="4">
        <f t="shared" si="32"/>
        <v>9.0858906771065762</v>
      </c>
      <c r="K394" s="4">
        <f t="shared" si="31"/>
        <v>1514.315112851096</v>
      </c>
      <c r="L394">
        <v>6</v>
      </c>
    </row>
    <row r="395" spans="1:12" hidden="1" x14ac:dyDescent="0.3">
      <c r="A395" t="s">
        <v>84</v>
      </c>
      <c r="B395" t="s">
        <v>66</v>
      </c>
      <c r="C395" s="4">
        <v>0.62643652800000005</v>
      </c>
      <c r="D395" s="4">
        <v>0.57808694400000005</v>
      </c>
      <c r="E395">
        <v>6</v>
      </c>
      <c r="F395" s="1">
        <v>41.910828025477706</v>
      </c>
      <c r="G395" s="2">
        <f t="shared" si="33"/>
        <v>1379.5656230159957</v>
      </c>
      <c r="H395" s="2">
        <f t="shared" si="34"/>
        <v>332.64180805887514</v>
      </c>
      <c r="I395" s="2">
        <f t="shared" si="30"/>
        <v>55440.30134314586</v>
      </c>
      <c r="J395" s="4">
        <f t="shared" si="32"/>
        <v>45.872567621404521</v>
      </c>
      <c r="K395" s="4">
        <f t="shared" si="31"/>
        <v>7645.4279369007536</v>
      </c>
      <c r="L395">
        <v>6</v>
      </c>
    </row>
    <row r="396" spans="1:12" hidden="1" x14ac:dyDescent="0.3">
      <c r="A396" t="s">
        <v>84</v>
      </c>
      <c r="B396" t="s">
        <v>66</v>
      </c>
      <c r="C396" s="4">
        <v>0.62643652800000005</v>
      </c>
      <c r="D396" s="4">
        <v>0.57808694400000005</v>
      </c>
      <c r="E396">
        <v>6</v>
      </c>
      <c r="F396" s="1">
        <v>45.859872611464965</v>
      </c>
      <c r="G396" s="2">
        <f t="shared" si="33"/>
        <v>1651.7928025690176</v>
      </c>
      <c r="H396" s="2">
        <f t="shared" si="34"/>
        <v>396.56366651622477</v>
      </c>
      <c r="I396" s="2">
        <f t="shared" si="30"/>
        <v>66093.944419370804</v>
      </c>
      <c r="J396" s="4">
        <f t="shared" si="32"/>
        <v>53.151386234735689</v>
      </c>
      <c r="K396" s="4">
        <f t="shared" si="31"/>
        <v>8858.5643724559486</v>
      </c>
      <c r="L396">
        <v>6</v>
      </c>
    </row>
    <row r="397" spans="1:12" hidden="1" x14ac:dyDescent="0.3">
      <c r="A397" t="s">
        <v>84</v>
      </c>
      <c r="B397" t="s">
        <v>66</v>
      </c>
      <c r="C397" s="4">
        <v>0.62643652800000005</v>
      </c>
      <c r="D397" s="4">
        <v>0.57808694400000005</v>
      </c>
      <c r="E397">
        <v>6</v>
      </c>
      <c r="F397" s="1">
        <v>58.152866242038222</v>
      </c>
      <c r="G397" s="2">
        <f t="shared" si="33"/>
        <v>2656.0248353484835</v>
      </c>
      <c r="H397" s="2">
        <f t="shared" si="34"/>
        <v>630.43286613538851</v>
      </c>
      <c r="I397" s="2">
        <f t="shared" si="30"/>
        <v>105072.14435589808</v>
      </c>
      <c r="J397" s="4">
        <f t="shared" si="32"/>
        <v>80.002572895452161</v>
      </c>
      <c r="K397" s="4">
        <f t="shared" si="31"/>
        <v>13333.762149242028</v>
      </c>
      <c r="L397">
        <v>6</v>
      </c>
    </row>
    <row r="398" spans="1:12" hidden="1" x14ac:dyDescent="0.3">
      <c r="A398" t="s">
        <v>84</v>
      </c>
      <c r="B398" t="s">
        <v>66</v>
      </c>
      <c r="C398" s="4">
        <v>0.62643652800000005</v>
      </c>
      <c r="D398" s="4">
        <v>0.57808694400000005</v>
      </c>
      <c r="E398">
        <v>7</v>
      </c>
      <c r="F398" s="1">
        <v>52.133757961783431</v>
      </c>
      <c r="G398" s="2">
        <f t="shared" si="33"/>
        <v>2134.6562243188523</v>
      </c>
      <c r="H398" s="2">
        <f t="shared" si="34"/>
        <v>592.04187531820583</v>
      </c>
      <c r="I398" s="2">
        <f t="shared" si="30"/>
        <v>98673.645886367638</v>
      </c>
      <c r="J398" s="4">
        <f t="shared" si="32"/>
        <v>75.57495362083651</v>
      </c>
      <c r="K398" s="4">
        <f t="shared" si="31"/>
        <v>12595.825603472753</v>
      </c>
      <c r="L398">
        <v>6</v>
      </c>
    </row>
    <row r="399" spans="1:12" hidden="1" x14ac:dyDescent="0.3">
      <c r="A399" t="s">
        <v>84</v>
      </c>
      <c r="B399" t="s">
        <v>66</v>
      </c>
      <c r="C399" s="4">
        <v>0.62643652800000005</v>
      </c>
      <c r="D399" s="4">
        <v>0.57808694400000005</v>
      </c>
      <c r="E399">
        <v>7</v>
      </c>
      <c r="F399" s="1">
        <v>68.184713375796179</v>
      </c>
      <c r="G399" s="2">
        <f t="shared" si="33"/>
        <v>3651.4379068445564</v>
      </c>
      <c r="H399" s="2">
        <f t="shared" si="34"/>
        <v>999.75397130367901</v>
      </c>
      <c r="I399" s="2">
        <f t="shared" si="30"/>
        <v>166625.66188394651</v>
      </c>
      <c r="J399" s="4">
        <f t="shared" si="32"/>
        <v>122.8900008844172</v>
      </c>
      <c r="K399" s="4">
        <f t="shared" si="31"/>
        <v>20481.666814069536</v>
      </c>
      <c r="L399">
        <v>6</v>
      </c>
    </row>
    <row r="400" spans="1:12" hidden="1" x14ac:dyDescent="0.3">
      <c r="A400" t="s">
        <v>84</v>
      </c>
      <c r="B400" t="s">
        <v>66</v>
      </c>
      <c r="C400" s="4">
        <v>0.62643652800000005</v>
      </c>
      <c r="D400" s="4">
        <v>0.57808694400000005</v>
      </c>
      <c r="E400">
        <v>6</v>
      </c>
      <c r="F400" s="1">
        <v>48.089171974522294</v>
      </c>
      <c r="G400" s="2">
        <f t="shared" si="33"/>
        <v>1816.2870221535579</v>
      </c>
      <c r="H400" s="2">
        <f t="shared" si="34"/>
        <v>435.06318793683613</v>
      </c>
      <c r="I400" s="2">
        <f t="shared" si="30"/>
        <v>72510.531322806026</v>
      </c>
      <c r="J400" s="4">
        <f t="shared" si="32"/>
        <v>57.549637685098794</v>
      </c>
      <c r="K400" s="4">
        <f t="shared" si="31"/>
        <v>9591.6062808497991</v>
      </c>
      <c r="L400">
        <v>6</v>
      </c>
    </row>
    <row r="401" spans="1:12" hidden="1" x14ac:dyDescent="0.3">
      <c r="A401" t="s">
        <v>84</v>
      </c>
      <c r="B401" t="s">
        <v>66</v>
      </c>
      <c r="C401" s="4">
        <v>0.62643652800000005</v>
      </c>
      <c r="D401" s="4">
        <v>0.57808694400000005</v>
      </c>
      <c r="E401">
        <v>6</v>
      </c>
      <c r="F401" s="1">
        <v>52.738853503184707</v>
      </c>
      <c r="G401" s="2">
        <f t="shared" si="33"/>
        <v>2184.4959813975256</v>
      </c>
      <c r="H401" s="2">
        <f t="shared" si="34"/>
        <v>520.94887638091745</v>
      </c>
      <c r="I401" s="2">
        <f t="shared" si="30"/>
        <v>86824.812730152902</v>
      </c>
      <c r="J401" s="4">
        <f t="shared" si="32"/>
        <v>67.394820045437939</v>
      </c>
      <c r="K401" s="4">
        <f t="shared" si="31"/>
        <v>11232.470007572991</v>
      </c>
      <c r="L401">
        <v>6</v>
      </c>
    </row>
    <row r="402" spans="1:12" hidden="1" x14ac:dyDescent="0.3">
      <c r="A402" t="s">
        <v>84</v>
      </c>
      <c r="B402" t="s">
        <v>66</v>
      </c>
      <c r="C402" s="4">
        <v>0.62643652800000005</v>
      </c>
      <c r="D402" s="4">
        <v>0.57808694400000005</v>
      </c>
      <c r="E402">
        <v>6.5</v>
      </c>
      <c r="F402" s="1">
        <v>38.726114649681527</v>
      </c>
      <c r="G402" s="2">
        <f t="shared" si="33"/>
        <v>1177.8710157578575</v>
      </c>
      <c r="H402" s="2">
        <f t="shared" si="34"/>
        <v>308.25312686477821</v>
      </c>
      <c r="I402" s="2">
        <f t="shared" si="30"/>
        <v>51375.521144129707</v>
      </c>
      <c r="J402" s="4">
        <f t="shared" si="32"/>
        <v>43.104146995821331</v>
      </c>
      <c r="K402" s="4">
        <f t="shared" si="31"/>
        <v>7184.0244993035558</v>
      </c>
      <c r="L402">
        <v>6</v>
      </c>
    </row>
    <row r="403" spans="1:12" hidden="1" x14ac:dyDescent="0.3">
      <c r="A403" t="s">
        <v>84</v>
      </c>
      <c r="B403" t="s">
        <v>66</v>
      </c>
      <c r="C403" s="4">
        <v>0.62643652800000005</v>
      </c>
      <c r="D403" s="4">
        <v>0.57808694400000005</v>
      </c>
      <c r="E403">
        <v>5</v>
      </c>
      <c r="F403" s="1">
        <v>45.859872611464965</v>
      </c>
      <c r="G403" s="2">
        <f t="shared" si="33"/>
        <v>1651.7928025690176</v>
      </c>
      <c r="H403" s="2">
        <f t="shared" si="34"/>
        <v>331.91893255315193</v>
      </c>
      <c r="I403" s="2">
        <f t="shared" si="30"/>
        <v>55319.822092191986</v>
      </c>
      <c r="J403" s="4">
        <f t="shared" si="32"/>
        <v>45.790438528946403</v>
      </c>
      <c r="K403" s="4">
        <f t="shared" si="31"/>
        <v>7631.7397548244007</v>
      </c>
      <c r="L403">
        <v>6</v>
      </c>
    </row>
    <row r="404" spans="1:12" hidden="1" x14ac:dyDescent="0.3">
      <c r="A404" t="s">
        <v>84</v>
      </c>
      <c r="B404" t="s">
        <v>56</v>
      </c>
      <c r="C404" s="4">
        <v>0.39984676499999999</v>
      </c>
      <c r="D404" s="4">
        <v>0.450333333</v>
      </c>
      <c r="E404">
        <v>10</v>
      </c>
      <c r="F404" s="1">
        <v>15.35031847133758</v>
      </c>
      <c r="G404" s="2">
        <f t="shared" si="33"/>
        <v>185.06515772764493</v>
      </c>
      <c r="H404" s="2">
        <f t="shared" si="34"/>
        <v>60.417880457086518</v>
      </c>
      <c r="I404" s="2">
        <f t="shared" si="30"/>
        <v>10069.646742847754</v>
      </c>
      <c r="J404" s="4">
        <f t="shared" si="32"/>
        <v>17.232829701002068</v>
      </c>
      <c r="K404" s="4">
        <f t="shared" si="31"/>
        <v>2872.1382835003446</v>
      </c>
      <c r="L404">
        <v>6</v>
      </c>
    </row>
    <row r="405" spans="1:12" hidden="1" x14ac:dyDescent="0.3">
      <c r="A405" t="s">
        <v>84</v>
      </c>
      <c r="B405" t="s">
        <v>56</v>
      </c>
      <c r="C405" s="4">
        <v>0.39984676499999999</v>
      </c>
      <c r="D405" s="4">
        <v>0.450333333</v>
      </c>
      <c r="E405">
        <v>10</v>
      </c>
      <c r="F405" s="1">
        <v>50.222929936305725</v>
      </c>
      <c r="G405" s="2">
        <f t="shared" si="33"/>
        <v>1981.0433172743847</v>
      </c>
      <c r="H405" s="2">
        <f t="shared" si="34"/>
        <v>610.97738067478883</v>
      </c>
      <c r="I405" s="2">
        <f t="shared" si="30"/>
        <v>101829.56344579814</v>
      </c>
      <c r="J405" s="4">
        <f t="shared" si="32"/>
        <v>97.267694198547574</v>
      </c>
      <c r="K405" s="4">
        <f t="shared" si="31"/>
        <v>16211.282366424595</v>
      </c>
      <c r="L405">
        <v>6</v>
      </c>
    </row>
    <row r="406" spans="1:12" hidden="1" x14ac:dyDescent="0.3">
      <c r="A406" t="s">
        <v>84</v>
      </c>
      <c r="B406" t="s">
        <v>56</v>
      </c>
      <c r="C406" s="4">
        <v>0.39984676499999999</v>
      </c>
      <c r="D406" s="4">
        <v>0.450333333</v>
      </c>
      <c r="E406">
        <v>12</v>
      </c>
      <c r="F406" s="1">
        <v>24.044585987261147</v>
      </c>
      <c r="G406" s="2">
        <f t="shared" si="33"/>
        <v>454.07175553838948</v>
      </c>
      <c r="H406" s="2">
        <f t="shared" si="34"/>
        <v>173.33689495737727</v>
      </c>
      <c r="I406" s="2">
        <f t="shared" si="30"/>
        <v>28889.482492896208</v>
      </c>
      <c r="J406" s="4">
        <f t="shared" si="32"/>
        <v>33.267668842549398</v>
      </c>
      <c r="K406" s="4">
        <f t="shared" si="31"/>
        <v>5544.6114737582329</v>
      </c>
      <c r="L406">
        <v>6</v>
      </c>
    </row>
    <row r="407" spans="1:12" hidden="1" x14ac:dyDescent="0.3">
      <c r="A407" t="s">
        <v>84</v>
      </c>
      <c r="B407" t="s">
        <v>78</v>
      </c>
      <c r="C407" s="4">
        <v>0.43538739399999998</v>
      </c>
      <c r="D407" s="4">
        <v>0.568333333</v>
      </c>
      <c r="E407">
        <v>5</v>
      </c>
      <c r="F407" s="1">
        <v>14.840764331210188</v>
      </c>
      <c r="G407" s="2">
        <f t="shared" si="33"/>
        <v>172.98259926440852</v>
      </c>
      <c r="H407" s="2">
        <f t="shared" si="34"/>
        <v>36.089850088210476</v>
      </c>
      <c r="I407" s="2">
        <f t="shared" si="30"/>
        <v>6014.9750147017467</v>
      </c>
      <c r="J407" s="4">
        <f t="shared" si="32"/>
        <v>12.84004500385411</v>
      </c>
      <c r="K407" s="4">
        <f t="shared" si="31"/>
        <v>2140.0075006423517</v>
      </c>
      <c r="L407">
        <v>6</v>
      </c>
    </row>
    <row r="408" spans="1:12" hidden="1" x14ac:dyDescent="0.3">
      <c r="A408" t="s">
        <v>84</v>
      </c>
      <c r="B408" t="s">
        <v>22</v>
      </c>
      <c r="C408" s="4">
        <v>0.43836446099999998</v>
      </c>
      <c r="D408" s="4">
        <v>0.58666666700000003</v>
      </c>
      <c r="E408">
        <v>7</v>
      </c>
      <c r="F408" s="1">
        <v>10.085987261146498</v>
      </c>
      <c r="G408" s="2">
        <f t="shared" si="33"/>
        <v>79.896308163417089</v>
      </c>
      <c r="H408" s="2">
        <f t="shared" si="34"/>
        <v>24.324230901202633</v>
      </c>
      <c r="I408" s="2">
        <f t="shared" si="30"/>
        <v>4054.0384835337718</v>
      </c>
      <c r="J408" s="4">
        <f t="shared" si="32"/>
        <v>11.47801490628423</v>
      </c>
      <c r="K408" s="4">
        <f t="shared" si="31"/>
        <v>1913.002484380705</v>
      </c>
      <c r="L408">
        <v>6</v>
      </c>
    </row>
    <row r="409" spans="1:12" hidden="1" x14ac:dyDescent="0.3">
      <c r="A409" t="s">
        <v>84</v>
      </c>
      <c r="B409" t="s">
        <v>22</v>
      </c>
      <c r="C409" s="4">
        <v>0.43836446099999998</v>
      </c>
      <c r="D409" s="4">
        <v>0.58666666700000003</v>
      </c>
      <c r="E409">
        <v>4</v>
      </c>
      <c r="F409" s="1">
        <v>5.6050955414012744</v>
      </c>
      <c r="G409" s="2">
        <f t="shared" si="33"/>
        <v>24.674929519858171</v>
      </c>
      <c r="H409" s="2">
        <f t="shared" si="34"/>
        <v>4.4751715666800909</v>
      </c>
      <c r="I409" s="2">
        <f t="shared" si="30"/>
        <v>745.86192778001521</v>
      </c>
      <c r="J409" s="4">
        <f t="shared" si="32"/>
        <v>9.4255393443953093</v>
      </c>
      <c r="K409" s="4">
        <f t="shared" si="31"/>
        <v>1570.9232240658848</v>
      </c>
      <c r="L409">
        <v>6</v>
      </c>
    </row>
    <row r="410" spans="1:12" hidden="1" x14ac:dyDescent="0.3">
      <c r="A410" t="s">
        <v>84</v>
      </c>
      <c r="B410" t="s">
        <v>47</v>
      </c>
      <c r="C410" s="4">
        <v>0.40238543599999999</v>
      </c>
      <c r="D410" s="4">
        <v>0.40883333300000002</v>
      </c>
      <c r="E410">
        <v>9</v>
      </c>
      <c r="F410" s="1">
        <v>10.031847133757962</v>
      </c>
      <c r="G410" s="2">
        <f t="shared" si="33"/>
        <v>79.040866529181514</v>
      </c>
      <c r="H410" s="2">
        <f t="shared" si="34"/>
        <v>21.62322501710204</v>
      </c>
      <c r="I410" s="2">
        <f t="shared" si="30"/>
        <v>3603.870836183673</v>
      </c>
      <c r="J410" s="4">
        <f t="shared" si="32"/>
        <v>12.155795642825266</v>
      </c>
      <c r="K410" s="4">
        <f t="shared" si="31"/>
        <v>2025.9659404708775</v>
      </c>
      <c r="L410">
        <v>6</v>
      </c>
    </row>
    <row r="411" spans="1:12" hidden="1" x14ac:dyDescent="0.3">
      <c r="A411" t="s">
        <v>84</v>
      </c>
      <c r="B411" t="s">
        <v>47</v>
      </c>
      <c r="C411" s="4">
        <v>0.40238543599999999</v>
      </c>
      <c r="D411" s="4">
        <v>0.40883333300000002</v>
      </c>
      <c r="E411">
        <v>8</v>
      </c>
      <c r="F411" s="1">
        <v>4.9044585987261149</v>
      </c>
      <c r="G411" s="2">
        <f t="shared" si="33"/>
        <v>18.891742913641409</v>
      </c>
      <c r="H411" s="2">
        <f t="shared" si="34"/>
        <v>4.767973707772156</v>
      </c>
      <c r="I411" s="2">
        <f t="shared" si="30"/>
        <v>794.66228462869265</v>
      </c>
      <c r="J411" s="4">
        <f t="shared" si="32"/>
        <v>9.6592039961053189</v>
      </c>
      <c r="K411" s="4">
        <f t="shared" si="31"/>
        <v>1609.8673326842199</v>
      </c>
      <c r="L411">
        <v>6</v>
      </c>
    </row>
    <row r="412" spans="1:12" hidden="1" x14ac:dyDescent="0.3">
      <c r="A412" t="s">
        <v>84</v>
      </c>
      <c r="B412" t="s">
        <v>47</v>
      </c>
      <c r="C412" s="4">
        <v>0.40238543599999999</v>
      </c>
      <c r="D412" s="4">
        <v>0.40883333300000002</v>
      </c>
      <c r="E412">
        <v>8.5</v>
      </c>
      <c r="F412" s="1">
        <v>10.859872611464969</v>
      </c>
      <c r="G412" s="2">
        <f t="shared" si="33"/>
        <v>92.627372142905088</v>
      </c>
      <c r="H412" s="2">
        <f t="shared" si="34"/>
        <v>23.874099349573637</v>
      </c>
      <c r="I412" s="2">
        <f t="shared" si="30"/>
        <v>3979.0165582622726</v>
      </c>
      <c r="J412" s="4">
        <f t="shared" si="32"/>
        <v>12.494320785833096</v>
      </c>
      <c r="K412" s="4">
        <f t="shared" si="31"/>
        <v>2082.3867976388497</v>
      </c>
      <c r="L412">
        <v>6</v>
      </c>
    </row>
    <row r="413" spans="1:12" hidden="1" x14ac:dyDescent="0.3">
      <c r="A413" t="s">
        <v>84</v>
      </c>
      <c r="B413" t="s">
        <v>47</v>
      </c>
      <c r="C413" s="4">
        <v>0.40238543599999999</v>
      </c>
      <c r="D413" s="4">
        <v>0.40883333300000002</v>
      </c>
      <c r="E413">
        <v>8</v>
      </c>
      <c r="F413" s="1">
        <v>16.305732484076433</v>
      </c>
      <c r="G413" s="2">
        <f t="shared" si="33"/>
        <v>208.81923825070052</v>
      </c>
      <c r="H413" s="2">
        <f t="shared" si="34"/>
        <v>49.749459717905232</v>
      </c>
      <c r="I413" s="2">
        <f t="shared" si="30"/>
        <v>8291.5766196508721</v>
      </c>
      <c r="J413" s="4">
        <f t="shared" si="32"/>
        <v>16.430253531583432</v>
      </c>
      <c r="K413" s="4">
        <f t="shared" si="31"/>
        <v>2738.3755885972387</v>
      </c>
      <c r="L413">
        <v>6</v>
      </c>
    </row>
    <row r="414" spans="1:12" hidden="1" x14ac:dyDescent="0.3">
      <c r="A414" t="s">
        <v>84</v>
      </c>
      <c r="B414" t="s">
        <v>47</v>
      </c>
      <c r="C414" s="4">
        <v>0.40238543599999999</v>
      </c>
      <c r="D414" s="4">
        <v>0.40883333300000002</v>
      </c>
      <c r="E414">
        <v>8</v>
      </c>
      <c r="F414" s="1">
        <v>11.146496815286623</v>
      </c>
      <c r="G414" s="2">
        <f t="shared" si="33"/>
        <v>97.581316702693215</v>
      </c>
      <c r="H414" s="2">
        <f t="shared" si="34"/>
        <v>23.6763214334803</v>
      </c>
      <c r="I414" s="2">
        <f t="shared" si="30"/>
        <v>3946.0535722467171</v>
      </c>
      <c r="J414" s="4">
        <f t="shared" si="32"/>
        <v>12.464542955089454</v>
      </c>
      <c r="K414" s="4">
        <f t="shared" si="31"/>
        <v>2077.4238258482424</v>
      </c>
      <c r="L414">
        <v>6</v>
      </c>
    </row>
    <row r="415" spans="1:12" hidden="1" x14ac:dyDescent="0.3">
      <c r="A415" t="s">
        <v>86</v>
      </c>
      <c r="B415" t="s">
        <v>69</v>
      </c>
      <c r="C415" s="4">
        <v>0.31264018999999998</v>
      </c>
      <c r="D415" s="4">
        <v>0.356821212</v>
      </c>
      <c r="E415">
        <v>6</v>
      </c>
      <c r="F415" s="1">
        <v>12.898089171974522</v>
      </c>
      <c r="G415" s="2">
        <f t="shared" si="33"/>
        <v>130.65939160946331</v>
      </c>
      <c r="H415" s="2">
        <f t="shared" si="34"/>
        <v>20.817475632398985</v>
      </c>
      <c r="I415" s="2">
        <f t="shared" si="30"/>
        <v>3469.5792720664977</v>
      </c>
      <c r="J415" s="4">
        <f t="shared" si="32"/>
        <v>12.479274790052335</v>
      </c>
      <c r="K415" s="4">
        <f t="shared" si="31"/>
        <v>2079.8791316753891</v>
      </c>
      <c r="L415">
        <v>6</v>
      </c>
    </row>
    <row r="416" spans="1:12" hidden="1" x14ac:dyDescent="0.3">
      <c r="A416" t="s">
        <v>86</v>
      </c>
      <c r="B416" t="s">
        <v>69</v>
      </c>
      <c r="C416" s="4">
        <v>0.31264018999999998</v>
      </c>
      <c r="D416" s="4">
        <v>0.356821212</v>
      </c>
      <c r="E416">
        <v>4.5</v>
      </c>
      <c r="F416" s="1">
        <v>5.8917197452229297</v>
      </c>
      <c r="G416" s="2">
        <f t="shared" si="33"/>
        <v>27.263025013466741</v>
      </c>
      <c r="H416" s="2">
        <f t="shared" si="34"/>
        <v>3.4060801754594729</v>
      </c>
      <c r="I416" s="2">
        <f t="shared" si="30"/>
        <v>567.68002924324549</v>
      </c>
      <c r="J416" s="4">
        <f t="shared" si="32"/>
        <v>9.5324196945109332</v>
      </c>
      <c r="K416" s="4">
        <f t="shared" si="31"/>
        <v>1588.736615751822</v>
      </c>
      <c r="L416">
        <v>6</v>
      </c>
    </row>
    <row r="417" spans="1:12" hidden="1" x14ac:dyDescent="0.3">
      <c r="A417" t="s">
        <v>86</v>
      </c>
      <c r="B417" t="s">
        <v>69</v>
      </c>
      <c r="C417" s="4">
        <v>0.31264018999999998</v>
      </c>
      <c r="D417" s="4">
        <v>0.356821212</v>
      </c>
      <c r="E417">
        <v>6</v>
      </c>
      <c r="F417" s="1">
        <v>13.821656050955413</v>
      </c>
      <c r="G417" s="2">
        <f t="shared" si="33"/>
        <v>150.04103256206108</v>
      </c>
      <c r="H417" s="2">
        <f t="shared" si="34"/>
        <v>23.826256435556235</v>
      </c>
      <c r="I417" s="2">
        <f t="shared" si="30"/>
        <v>3971.0427392593724</v>
      </c>
      <c r="J417" s="4">
        <f t="shared" si="32"/>
        <v>12.997501695809159</v>
      </c>
      <c r="K417" s="4">
        <f t="shared" si="31"/>
        <v>2166.25028263486</v>
      </c>
      <c r="L417">
        <v>6</v>
      </c>
    </row>
    <row r="418" spans="1:12" hidden="1" x14ac:dyDescent="0.3">
      <c r="A418" t="s">
        <v>86</v>
      </c>
      <c r="B418" t="s">
        <v>85</v>
      </c>
      <c r="C418" s="4">
        <v>0.6</v>
      </c>
      <c r="D418" s="4">
        <v>0.66674999999999995</v>
      </c>
      <c r="E418">
        <v>6</v>
      </c>
      <c r="F418" s="1">
        <v>9.7770700636942678</v>
      </c>
      <c r="G418" s="2">
        <f t="shared" si="33"/>
        <v>75.077073615609251</v>
      </c>
      <c r="H418" s="2">
        <f t="shared" si="34"/>
        <v>22.313414458151563</v>
      </c>
      <c r="I418" s="2">
        <f t="shared" si="30"/>
        <v>3718.902409691927</v>
      </c>
      <c r="J418" s="4">
        <f t="shared" si="32"/>
        <v>10.993113079638119</v>
      </c>
      <c r="K418" s="4">
        <f t="shared" si="31"/>
        <v>1832.1855132730198</v>
      </c>
      <c r="L418">
        <v>6</v>
      </c>
    </row>
    <row r="419" spans="1:12" hidden="1" x14ac:dyDescent="0.3">
      <c r="A419" t="s">
        <v>86</v>
      </c>
      <c r="B419" t="s">
        <v>85</v>
      </c>
      <c r="C419" s="4">
        <v>0.6</v>
      </c>
      <c r="D419" s="4">
        <v>0.66674999999999995</v>
      </c>
      <c r="E419">
        <v>5</v>
      </c>
      <c r="F419" s="1">
        <v>23.662420382165603</v>
      </c>
      <c r="G419" s="2">
        <f t="shared" si="33"/>
        <v>439.75239432167416</v>
      </c>
      <c r="H419" s="2">
        <f t="shared" si="34"/>
        <v>104.84825133036051</v>
      </c>
      <c r="I419" s="2">
        <f t="shared" si="30"/>
        <v>17474.708555060086</v>
      </c>
      <c r="J419" s="4">
        <f t="shared" si="32"/>
        <v>18.784127420990707</v>
      </c>
      <c r="K419" s="4">
        <f t="shared" si="31"/>
        <v>3130.6879034984509</v>
      </c>
      <c r="L419">
        <v>6</v>
      </c>
    </row>
    <row r="420" spans="1:12" hidden="1" x14ac:dyDescent="0.3">
      <c r="A420" t="s">
        <v>86</v>
      </c>
      <c r="B420" t="s">
        <v>87</v>
      </c>
      <c r="C420" s="4">
        <v>0.59</v>
      </c>
      <c r="D420" s="4">
        <v>0.59</v>
      </c>
      <c r="E420">
        <v>6</v>
      </c>
      <c r="F420" s="1">
        <v>12.738853503184712</v>
      </c>
      <c r="G420" s="2">
        <f t="shared" si="33"/>
        <v>127.4531483463748</v>
      </c>
      <c r="H420" s="2">
        <f t="shared" si="34"/>
        <v>33.193777456567091</v>
      </c>
      <c r="I420" s="2">
        <f t="shared" si="30"/>
        <v>5532.2962427611819</v>
      </c>
      <c r="J420" s="4">
        <f t="shared" si="32"/>
        <v>12.393546160087629</v>
      </c>
      <c r="K420" s="4">
        <f t="shared" si="31"/>
        <v>2065.5910266812716</v>
      </c>
      <c r="L420">
        <v>6</v>
      </c>
    </row>
    <row r="421" spans="1:12" hidden="1" x14ac:dyDescent="0.3">
      <c r="A421" t="s">
        <v>86</v>
      </c>
      <c r="B421" t="s">
        <v>15</v>
      </c>
      <c r="C421" s="4">
        <v>0.47982689899999997</v>
      </c>
      <c r="D421" s="4">
        <v>0.51</v>
      </c>
      <c r="E421">
        <v>6</v>
      </c>
      <c r="F421" s="1">
        <v>11.337579617834395</v>
      </c>
      <c r="G421" s="2">
        <f t="shared" si="33"/>
        <v>100.9556388051635</v>
      </c>
      <c r="H421" s="2">
        <f t="shared" si="34"/>
        <v>22.935219426047357</v>
      </c>
      <c r="I421" s="2">
        <f t="shared" si="30"/>
        <v>3822.5365710078931</v>
      </c>
      <c r="J421" s="4">
        <f t="shared" si="32"/>
        <v>11.685054943405412</v>
      </c>
      <c r="K421" s="4">
        <f t="shared" si="31"/>
        <v>1947.5091572342353</v>
      </c>
      <c r="L421">
        <v>6</v>
      </c>
    </row>
    <row r="422" spans="1:12" hidden="1" x14ac:dyDescent="0.3">
      <c r="A422" t="s">
        <v>86</v>
      </c>
      <c r="B422" t="s">
        <v>15</v>
      </c>
      <c r="C422" s="4">
        <v>0.47982689899999997</v>
      </c>
      <c r="D422" s="4">
        <v>0.51</v>
      </c>
      <c r="E422">
        <v>8</v>
      </c>
      <c r="F422" s="1">
        <v>15.254777070063692</v>
      </c>
      <c r="G422" s="2">
        <f t="shared" si="33"/>
        <v>182.76861131087861</v>
      </c>
      <c r="H422" s="2">
        <f t="shared" si="34"/>
        <v>54.203537700377417</v>
      </c>
      <c r="I422" s="2">
        <f t="shared" si="30"/>
        <v>9033.9229500629026</v>
      </c>
      <c r="J422" s="4">
        <f t="shared" si="32"/>
        <v>15.501530256805548</v>
      </c>
      <c r="K422" s="4">
        <f t="shared" si="31"/>
        <v>2583.5883761342579</v>
      </c>
      <c r="L422">
        <v>6</v>
      </c>
    </row>
    <row r="423" spans="1:12" hidden="1" x14ac:dyDescent="0.3">
      <c r="A423" t="s">
        <v>86</v>
      </c>
      <c r="B423" t="s">
        <v>55</v>
      </c>
      <c r="C423" s="4">
        <v>0.52500000000000002</v>
      </c>
      <c r="D423" s="4">
        <v>0.52500000000000002</v>
      </c>
      <c r="E423">
        <v>8</v>
      </c>
      <c r="F423" s="1">
        <v>18.089171974522291</v>
      </c>
      <c r="G423" s="2">
        <f t="shared" si="33"/>
        <v>256.99652832563015</v>
      </c>
      <c r="H423" s="2">
        <f t="shared" si="34"/>
        <v>77.765621984808689</v>
      </c>
      <c r="I423" s="2">
        <f t="shared" si="30"/>
        <v>12960.936997468116</v>
      </c>
      <c r="J423" s="4">
        <f t="shared" si="32"/>
        <v>18.147807996267595</v>
      </c>
      <c r="K423" s="4">
        <f t="shared" si="31"/>
        <v>3024.6346660445993</v>
      </c>
      <c r="L423">
        <v>6</v>
      </c>
    </row>
    <row r="424" spans="1:12" hidden="1" x14ac:dyDescent="0.3">
      <c r="A424" t="s">
        <v>86</v>
      </c>
      <c r="B424" t="s">
        <v>55</v>
      </c>
      <c r="C424" s="4">
        <v>0.52500000000000002</v>
      </c>
      <c r="D424" s="4">
        <v>0.52500000000000002</v>
      </c>
      <c r="E424">
        <v>8</v>
      </c>
      <c r="F424" s="1">
        <v>16.337579617834393</v>
      </c>
      <c r="G424" s="2">
        <f t="shared" si="33"/>
        <v>209.63573498229442</v>
      </c>
      <c r="H424" s="2">
        <f t="shared" si="34"/>
        <v>63.745391877776719</v>
      </c>
      <c r="I424" s="2">
        <f t="shared" si="30"/>
        <v>10624.231979629452</v>
      </c>
      <c r="J424" s="4">
        <f t="shared" si="32"/>
        <v>16.459362217534178</v>
      </c>
      <c r="K424" s="4">
        <f t="shared" si="31"/>
        <v>2743.227036255696</v>
      </c>
      <c r="L424">
        <v>6</v>
      </c>
    </row>
    <row r="425" spans="1:12" hidden="1" x14ac:dyDescent="0.3">
      <c r="A425" t="s">
        <v>86</v>
      </c>
      <c r="B425" t="s">
        <v>38</v>
      </c>
      <c r="C425" s="4">
        <v>1082380952</v>
      </c>
      <c r="D425" s="4">
        <v>0.61247410899999999</v>
      </c>
      <c r="E425">
        <v>6</v>
      </c>
      <c r="F425" s="1">
        <v>20.764331210191077</v>
      </c>
      <c r="G425" s="2">
        <f t="shared" si="33"/>
        <v>338.63026984148308</v>
      </c>
      <c r="H425" s="2">
        <f t="shared" si="34"/>
        <v>89.349668875618292</v>
      </c>
      <c r="I425" s="2">
        <f t="shared" si="30"/>
        <v>14891.611479269714</v>
      </c>
      <c r="J425" s="4">
        <f t="shared" si="32"/>
        <v>18.04000646273682</v>
      </c>
      <c r="K425" s="4">
        <f t="shared" si="31"/>
        <v>3006.66774378947</v>
      </c>
      <c r="L425">
        <v>6</v>
      </c>
    </row>
    <row r="426" spans="1:12" hidden="1" x14ac:dyDescent="0.3">
      <c r="A426" t="s">
        <v>86</v>
      </c>
      <c r="B426" t="s">
        <v>78</v>
      </c>
      <c r="C426" s="4">
        <v>0.43538739399999998</v>
      </c>
      <c r="D426" s="4">
        <v>0.568333333</v>
      </c>
      <c r="E426">
        <v>7</v>
      </c>
      <c r="F426" s="1">
        <v>23.853503184713375</v>
      </c>
      <c r="G426" s="2">
        <f t="shared" si="33"/>
        <v>446.88339797165389</v>
      </c>
      <c r="H426" s="2">
        <f t="shared" si="34"/>
        <v>126.56255675925294</v>
      </c>
      <c r="I426" s="2">
        <f t="shared" si="30"/>
        <v>21093.759459875491</v>
      </c>
      <c r="J426" s="4">
        <f t="shared" si="32"/>
        <v>22.925945547486712</v>
      </c>
      <c r="K426" s="4">
        <f t="shared" si="31"/>
        <v>3820.9909245811191</v>
      </c>
      <c r="L426">
        <v>6</v>
      </c>
    </row>
    <row r="427" spans="1:12" hidden="1" x14ac:dyDescent="0.3">
      <c r="A427" t="s">
        <v>86</v>
      </c>
      <c r="B427" t="s">
        <v>78</v>
      </c>
      <c r="C427" s="4">
        <v>0.43538739399999998</v>
      </c>
      <c r="D427" s="4">
        <v>0.568333333</v>
      </c>
      <c r="E427">
        <v>8</v>
      </c>
      <c r="F427" s="1">
        <v>29.267515923566879</v>
      </c>
      <c r="G427" s="2">
        <f t="shared" si="33"/>
        <v>672.76224012851674</v>
      </c>
      <c r="H427" s="2">
        <f t="shared" si="34"/>
        <v>214.93579593726162</v>
      </c>
      <c r="I427" s="2">
        <f t="shared" si="30"/>
        <v>35822.632656210269</v>
      </c>
      <c r="J427" s="4">
        <f t="shared" si="32"/>
        <v>32.970149673414745</v>
      </c>
      <c r="K427" s="4">
        <f t="shared" si="31"/>
        <v>5495.0249455691237</v>
      </c>
      <c r="L427">
        <v>6</v>
      </c>
    </row>
    <row r="428" spans="1:12" hidden="1" x14ac:dyDescent="0.3">
      <c r="A428" t="s">
        <v>86</v>
      </c>
      <c r="B428" t="s">
        <v>73</v>
      </c>
      <c r="C428" s="4">
        <v>0.39</v>
      </c>
      <c r="D428" s="4">
        <v>0.28861111099999998</v>
      </c>
      <c r="E428">
        <v>4</v>
      </c>
      <c r="F428" s="1">
        <v>6.5286624203821653</v>
      </c>
      <c r="G428" s="2">
        <f t="shared" si="33"/>
        <v>33.476365995352509</v>
      </c>
      <c r="H428" s="2">
        <f t="shared" si="34"/>
        <v>3.0159769149157314</v>
      </c>
      <c r="I428" s="2">
        <f t="shared" si="30"/>
        <v>502.66281915262192</v>
      </c>
      <c r="J428" s="4">
        <f t="shared" si="32"/>
        <v>9.5824280619903437</v>
      </c>
      <c r="K428" s="4">
        <f t="shared" si="31"/>
        <v>1597.0713436650574</v>
      </c>
      <c r="L428">
        <v>6</v>
      </c>
    </row>
    <row r="429" spans="1:12" hidden="1" x14ac:dyDescent="0.3">
      <c r="A429" t="s">
        <v>86</v>
      </c>
      <c r="B429" t="s">
        <v>73</v>
      </c>
      <c r="C429" s="4">
        <v>0.39</v>
      </c>
      <c r="D429" s="4">
        <v>0.28861111099999998</v>
      </c>
      <c r="E429">
        <v>5.5</v>
      </c>
      <c r="F429" s="1">
        <v>14.585987261146496</v>
      </c>
      <c r="G429" s="2">
        <f t="shared" si="33"/>
        <v>167.09426381080601</v>
      </c>
      <c r="H429" s="2">
        <f t="shared" si="34"/>
        <v>19.764112746266424</v>
      </c>
      <c r="I429" s="2">
        <f t="shared" si="30"/>
        <v>3294.0187910444038</v>
      </c>
      <c r="J429" s="4">
        <f t="shared" si="32"/>
        <v>13.08115721935981</v>
      </c>
      <c r="K429" s="4">
        <f t="shared" si="31"/>
        <v>2180.1928698933016</v>
      </c>
      <c r="L429">
        <v>6</v>
      </c>
    </row>
    <row r="430" spans="1:12" hidden="1" x14ac:dyDescent="0.3">
      <c r="A430" t="s">
        <v>86</v>
      </c>
      <c r="B430" t="s">
        <v>62</v>
      </c>
      <c r="C430" s="4">
        <v>0.693333333</v>
      </c>
      <c r="D430" s="4">
        <v>0.64166666699999997</v>
      </c>
      <c r="E430">
        <v>7</v>
      </c>
      <c r="F430" s="1">
        <v>18.757961783439491</v>
      </c>
      <c r="G430" s="2">
        <f t="shared" si="33"/>
        <v>276.35108548420442</v>
      </c>
      <c r="H430" s="2">
        <f t="shared" si="34"/>
        <v>89.129852026871191</v>
      </c>
      <c r="I430" s="2">
        <f t="shared" si="30"/>
        <v>14854.975337811864</v>
      </c>
      <c r="J430" s="4">
        <f t="shared" si="32"/>
        <v>17.606297691589923</v>
      </c>
      <c r="K430" s="4">
        <f t="shared" si="31"/>
        <v>2934.3829485983206</v>
      </c>
      <c r="L430">
        <v>6</v>
      </c>
    </row>
    <row r="431" spans="1:12" hidden="1" x14ac:dyDescent="0.3">
      <c r="A431" t="s">
        <v>86</v>
      </c>
      <c r="B431" t="s">
        <v>62</v>
      </c>
      <c r="C431" s="4">
        <v>0.693333333</v>
      </c>
      <c r="D431" s="4">
        <v>0.64166666699999997</v>
      </c>
      <c r="E431">
        <v>6</v>
      </c>
      <c r="F431" s="1">
        <v>13.789808917197451</v>
      </c>
      <c r="G431" s="2">
        <f t="shared" si="33"/>
        <v>149.35039581445918</v>
      </c>
      <c r="H431" s="2">
        <f t="shared" si="34"/>
        <v>42.057401560213215</v>
      </c>
      <c r="I431" s="2">
        <f t="shared" si="30"/>
        <v>7009.5669267022022</v>
      </c>
      <c r="J431" s="4">
        <f t="shared" si="32"/>
        <v>12.979035429429185</v>
      </c>
      <c r="K431" s="4">
        <f t="shared" si="31"/>
        <v>2163.1725715715306</v>
      </c>
      <c r="L431">
        <v>6</v>
      </c>
    </row>
    <row r="432" spans="1:12" hidden="1" x14ac:dyDescent="0.3">
      <c r="A432" t="s">
        <v>86</v>
      </c>
      <c r="B432" t="s">
        <v>62</v>
      </c>
      <c r="C432" s="4">
        <v>0.693333333</v>
      </c>
      <c r="D432" s="4">
        <v>0.64166666699999997</v>
      </c>
      <c r="E432">
        <v>8</v>
      </c>
      <c r="F432" s="1">
        <v>23.917197452229296</v>
      </c>
      <c r="G432" s="2">
        <f t="shared" si="33"/>
        <v>449.27314450314827</v>
      </c>
      <c r="H432" s="2">
        <f t="shared" si="34"/>
        <v>163.15764471342811</v>
      </c>
      <c r="I432" s="2">
        <f t="shared" si="30"/>
        <v>27192.940785571351</v>
      </c>
      <c r="J432" s="4">
        <f t="shared" si="32"/>
        <v>25.002605351129858</v>
      </c>
      <c r="K432" s="4">
        <f t="shared" si="31"/>
        <v>4167.1008918549769</v>
      </c>
      <c r="L432">
        <v>6</v>
      </c>
    </row>
    <row r="433" spans="1:12" hidden="1" x14ac:dyDescent="0.3">
      <c r="A433" t="s">
        <v>86</v>
      </c>
      <c r="B433" t="s">
        <v>88</v>
      </c>
      <c r="C433" s="4">
        <v>0.77</v>
      </c>
      <c r="D433" s="4">
        <v>0.77</v>
      </c>
      <c r="E433">
        <v>3</v>
      </c>
      <c r="F433" s="1">
        <v>4.2675159235668794</v>
      </c>
      <c r="G433" s="2">
        <f t="shared" si="33"/>
        <v>14.303429573171918</v>
      </c>
      <c r="H433" s="2">
        <f t="shared" si="34"/>
        <v>2.5882263240525862</v>
      </c>
      <c r="I433" s="2">
        <f t="shared" si="30"/>
        <v>431.37105400876436</v>
      </c>
      <c r="J433" s="4">
        <f t="shared" si="32"/>
        <v>9.176922767657917</v>
      </c>
      <c r="K433" s="4">
        <f t="shared" si="31"/>
        <v>1529.4871279429863</v>
      </c>
      <c r="L433">
        <v>6</v>
      </c>
    </row>
    <row r="434" spans="1:12" hidden="1" x14ac:dyDescent="0.3">
      <c r="A434" t="s">
        <v>86</v>
      </c>
      <c r="B434" t="s">
        <v>88</v>
      </c>
      <c r="C434" s="4">
        <v>0.77</v>
      </c>
      <c r="D434" s="4">
        <v>0.77</v>
      </c>
      <c r="E434">
        <v>3.5</v>
      </c>
      <c r="F434" s="1">
        <v>3.6624203821656049</v>
      </c>
      <c r="G434" s="2">
        <f t="shared" si="33"/>
        <v>10.534799293005044</v>
      </c>
      <c r="H434" s="2">
        <f t="shared" si="34"/>
        <v>2.2321117550252167</v>
      </c>
      <c r="I434" s="2">
        <f t="shared" si="30"/>
        <v>372.01862583753609</v>
      </c>
      <c r="J434" s="4">
        <f t="shared" si="32"/>
        <v>9.1500132074323499</v>
      </c>
      <c r="K434" s="4">
        <f t="shared" si="31"/>
        <v>1525.0022012387251</v>
      </c>
      <c r="L434">
        <v>6</v>
      </c>
    </row>
    <row r="435" spans="1:12" hidden="1" x14ac:dyDescent="0.3">
      <c r="A435" t="s">
        <v>89</v>
      </c>
      <c r="B435" t="s">
        <v>26</v>
      </c>
      <c r="C435" s="4">
        <v>0.80908761900000004</v>
      </c>
      <c r="D435" s="4">
        <v>0.87473809499999999</v>
      </c>
      <c r="E435">
        <v>11</v>
      </c>
      <c r="F435" s="1">
        <v>27.261146496815282</v>
      </c>
      <c r="G435" s="2">
        <f t="shared" si="33"/>
        <v>583.68443816705803</v>
      </c>
      <c r="H435" s="2">
        <f t="shared" si="34"/>
        <v>388.92817712393003</v>
      </c>
      <c r="I435" s="2">
        <f t="shared" si="30"/>
        <v>64821.362853988336</v>
      </c>
      <c r="J435" s="4">
        <f t="shared" si="32"/>
        <v>37.597749170351733</v>
      </c>
      <c r="K435" s="4">
        <f t="shared" si="31"/>
        <v>6266.2915283919547</v>
      </c>
      <c r="L435">
        <v>6</v>
      </c>
    </row>
    <row r="436" spans="1:12" hidden="1" x14ac:dyDescent="0.3">
      <c r="A436" t="s">
        <v>89</v>
      </c>
      <c r="B436" t="s">
        <v>26</v>
      </c>
      <c r="C436" s="4">
        <v>0.80908761900000004</v>
      </c>
      <c r="D436" s="4">
        <v>0.87473809499999999</v>
      </c>
      <c r="E436">
        <v>5</v>
      </c>
      <c r="F436" s="1">
        <v>5.5732484076433115</v>
      </c>
      <c r="G436" s="2">
        <f t="shared" si="33"/>
        <v>24.395329175673304</v>
      </c>
      <c r="H436" s="2">
        <f t="shared" si="34"/>
        <v>8.1261784287459289</v>
      </c>
      <c r="I436" s="2">
        <f t="shared" si="30"/>
        <v>1354.3630714576548</v>
      </c>
      <c r="J436" s="4">
        <f t="shared" si="32"/>
        <v>9.5292692117327267</v>
      </c>
      <c r="K436" s="4">
        <f t="shared" si="31"/>
        <v>1588.2115352887877</v>
      </c>
      <c r="L436">
        <v>6</v>
      </c>
    </row>
    <row r="437" spans="1:12" hidden="1" x14ac:dyDescent="0.3">
      <c r="A437" t="s">
        <v>89</v>
      </c>
      <c r="B437" t="s">
        <v>26</v>
      </c>
      <c r="C437" s="4">
        <v>0.80908761900000004</v>
      </c>
      <c r="D437" s="4">
        <v>0.87473809499999999</v>
      </c>
      <c r="E437">
        <v>8</v>
      </c>
      <c r="F437" s="1">
        <v>31.210191082802545</v>
      </c>
      <c r="G437" s="2">
        <f t="shared" si="33"/>
        <v>765.03752294911476</v>
      </c>
      <c r="H437" s="2">
        <f t="shared" si="34"/>
        <v>371.16796500554665</v>
      </c>
      <c r="I437" s="2">
        <f t="shared" si="30"/>
        <v>61861.327500924439</v>
      </c>
      <c r="J437" s="4">
        <f t="shared" si="32"/>
        <v>36.259828767901332</v>
      </c>
      <c r="K437" s="4">
        <f t="shared" si="31"/>
        <v>6043.304794650222</v>
      </c>
      <c r="L437">
        <v>6</v>
      </c>
    </row>
    <row r="438" spans="1:12" hidden="1" x14ac:dyDescent="0.3">
      <c r="A438" t="s">
        <v>89</v>
      </c>
      <c r="B438" t="s">
        <v>26</v>
      </c>
      <c r="C438" s="4">
        <v>0.80908761900000004</v>
      </c>
      <c r="D438" s="4">
        <v>0.87473809499999999</v>
      </c>
      <c r="E438">
        <v>7</v>
      </c>
      <c r="F438" s="1">
        <v>16.019108280254777</v>
      </c>
      <c r="G438" s="2">
        <f t="shared" si="33"/>
        <v>201.54246006229965</v>
      </c>
      <c r="H438" s="2">
        <f t="shared" si="34"/>
        <v>88.625307007193143</v>
      </c>
      <c r="I438" s="2">
        <f t="shared" si="30"/>
        <v>14770.884501198858</v>
      </c>
      <c r="J438" s="4">
        <f t="shared" si="32"/>
        <v>15.272689837315914</v>
      </c>
      <c r="K438" s="4">
        <f t="shared" si="31"/>
        <v>2545.448306219319</v>
      </c>
      <c r="L438">
        <v>6</v>
      </c>
    </row>
    <row r="439" spans="1:12" hidden="1" x14ac:dyDescent="0.3">
      <c r="A439" t="s">
        <v>89</v>
      </c>
      <c r="B439" t="s">
        <v>90</v>
      </c>
      <c r="C439" s="4">
        <v>0.37226847299999999</v>
      </c>
      <c r="D439" s="4">
        <v>0.42234285700000002</v>
      </c>
      <c r="E439">
        <v>3</v>
      </c>
      <c r="F439" s="1">
        <v>3.9171974522292996</v>
      </c>
      <c r="G439" s="2">
        <f t="shared" si="33"/>
        <v>12.051491758326906</v>
      </c>
      <c r="H439" s="2">
        <f t="shared" si="34"/>
        <v>1.218492058669159</v>
      </c>
      <c r="I439" s="2">
        <f t="shared" si="30"/>
        <v>203.08200977819317</v>
      </c>
      <c r="J439" s="4">
        <f t="shared" si="32"/>
        <v>9.1468165767373932</v>
      </c>
      <c r="K439" s="4">
        <f t="shared" si="31"/>
        <v>1524.4694294562323</v>
      </c>
      <c r="L439">
        <v>6</v>
      </c>
    </row>
    <row r="440" spans="1:12" hidden="1" x14ac:dyDescent="0.3">
      <c r="A440" t="s">
        <v>89</v>
      </c>
      <c r="B440" t="s">
        <v>85</v>
      </c>
      <c r="C440" s="4">
        <v>0.6</v>
      </c>
      <c r="D440" s="4">
        <v>0.66674999999999995</v>
      </c>
      <c r="E440">
        <v>6.5</v>
      </c>
      <c r="F440" s="1">
        <v>4.6178343949044587</v>
      </c>
      <c r="G440" s="2">
        <f t="shared" si="33"/>
        <v>16.748140274890819</v>
      </c>
      <c r="H440" s="2">
        <f t="shared" si="34"/>
        <v>5.5794331623388533</v>
      </c>
      <c r="I440" s="2">
        <f t="shared" si="30"/>
        <v>929.90552705647553</v>
      </c>
      <c r="J440" s="4">
        <f t="shared" si="32"/>
        <v>9.4708299748468487</v>
      </c>
      <c r="K440" s="4">
        <f t="shared" si="31"/>
        <v>1578.4716624744749</v>
      </c>
      <c r="L440">
        <v>6</v>
      </c>
    </row>
    <row r="441" spans="1:12" hidden="1" x14ac:dyDescent="0.3">
      <c r="A441" t="s">
        <v>89</v>
      </c>
      <c r="B441" t="s">
        <v>85</v>
      </c>
      <c r="C441" s="4">
        <v>0.6</v>
      </c>
      <c r="D441" s="4">
        <v>0.66674999999999995</v>
      </c>
      <c r="E441">
        <v>6</v>
      </c>
      <c r="F441" s="1">
        <v>6.2101910828025479</v>
      </c>
      <c r="G441" s="2">
        <f t="shared" si="33"/>
        <v>30.290037286693146</v>
      </c>
      <c r="H441" s="2">
        <f t="shared" si="34"/>
        <v>9.2006706473116253</v>
      </c>
      <c r="I441" s="2">
        <f t="shared" si="30"/>
        <v>1533.4451078852708</v>
      </c>
      <c r="J441" s="4">
        <f t="shared" si="32"/>
        <v>9.7955959389833254</v>
      </c>
      <c r="K441" s="4">
        <f t="shared" si="31"/>
        <v>1632.5993231638877</v>
      </c>
      <c r="L441">
        <v>6</v>
      </c>
    </row>
    <row r="442" spans="1:12" hidden="1" x14ac:dyDescent="0.3">
      <c r="A442" t="s">
        <v>89</v>
      </c>
      <c r="B442" t="s">
        <v>61</v>
      </c>
      <c r="C442" s="4">
        <v>0.9</v>
      </c>
      <c r="D442" s="4">
        <v>0.61247410899999999</v>
      </c>
      <c r="E442">
        <v>4</v>
      </c>
      <c r="F442" s="1">
        <v>2.6114649681528661</v>
      </c>
      <c r="G442" s="2">
        <f t="shared" si="33"/>
        <v>5.3562185592564013</v>
      </c>
      <c r="H442" s="2">
        <f t="shared" si="34"/>
        <v>1.0509479600190543</v>
      </c>
      <c r="I442" s="2">
        <f t="shared" si="30"/>
        <v>175.15799333650907</v>
      </c>
      <c r="J442" s="4">
        <f t="shared" si="32"/>
        <v>9.0811764899184553</v>
      </c>
      <c r="K442" s="4">
        <f t="shared" si="31"/>
        <v>1513.5294149864092</v>
      </c>
      <c r="L442">
        <v>6</v>
      </c>
    </row>
    <row r="443" spans="1:12" hidden="1" x14ac:dyDescent="0.3">
      <c r="A443" t="s">
        <v>89</v>
      </c>
      <c r="B443" t="s">
        <v>66</v>
      </c>
      <c r="C443" s="4">
        <v>0.62643652800000005</v>
      </c>
      <c r="D443" s="4">
        <v>0.57808694400000005</v>
      </c>
      <c r="E443">
        <v>8</v>
      </c>
      <c r="F443" s="1">
        <v>82.738853503184714</v>
      </c>
      <c r="G443" s="2">
        <f t="shared" si="33"/>
        <v>5376.6142493205307</v>
      </c>
      <c r="H443" s="2">
        <f t="shared" si="34"/>
        <v>1661.5184113324447</v>
      </c>
      <c r="I443" s="2">
        <f t="shared" si="30"/>
        <v>276919.73522207414</v>
      </c>
      <c r="J443" s="4">
        <f t="shared" si="32"/>
        <v>200.66580061260092</v>
      </c>
      <c r="K443" s="4">
        <f t="shared" si="31"/>
        <v>33444.300102100155</v>
      </c>
      <c r="L443">
        <v>6</v>
      </c>
    </row>
    <row r="444" spans="1:12" hidden="1" x14ac:dyDescent="0.3">
      <c r="A444" t="s">
        <v>89</v>
      </c>
      <c r="B444" t="s">
        <v>66</v>
      </c>
      <c r="C444" s="4">
        <v>0.62643652800000005</v>
      </c>
      <c r="D444" s="4">
        <v>0.57808694400000005</v>
      </c>
      <c r="E444">
        <v>7</v>
      </c>
      <c r="F444" s="1">
        <v>69.522292993630572</v>
      </c>
      <c r="G444" s="2">
        <f t="shared" si="33"/>
        <v>3796.1036028751091</v>
      </c>
      <c r="H444" s="2">
        <f t="shared" si="34"/>
        <v>1038.3942999518572</v>
      </c>
      <c r="I444" s="2">
        <f t="shared" si="30"/>
        <v>173065.71665864286</v>
      </c>
      <c r="J444" s="4">
        <f t="shared" si="32"/>
        <v>127.40275596575927</v>
      </c>
      <c r="K444" s="4">
        <f t="shared" si="31"/>
        <v>21233.792660959876</v>
      </c>
      <c r="L444">
        <v>6</v>
      </c>
    </row>
    <row r="445" spans="1:12" hidden="1" x14ac:dyDescent="0.3">
      <c r="A445" t="s">
        <v>89</v>
      </c>
      <c r="B445" t="s">
        <v>73</v>
      </c>
      <c r="C445" s="4">
        <v>0.39</v>
      </c>
      <c r="D445" s="4">
        <v>0.28861111099999998</v>
      </c>
      <c r="E445">
        <v>4</v>
      </c>
      <c r="F445" s="1">
        <v>11.019108280254777</v>
      </c>
      <c r="G445" s="2">
        <f t="shared" si="33"/>
        <v>95.363631921466293</v>
      </c>
      <c r="H445" s="2">
        <f t="shared" si="34"/>
        <v>8.3783986600297169</v>
      </c>
      <c r="I445" s="2">
        <f t="shared" si="30"/>
        <v>1396.3997766716195</v>
      </c>
      <c r="J445" s="4">
        <f t="shared" si="32"/>
        <v>10.685590462087712</v>
      </c>
      <c r="K445" s="4">
        <f t="shared" si="31"/>
        <v>1780.9317436812853</v>
      </c>
      <c r="L445">
        <v>6</v>
      </c>
    </row>
    <row r="446" spans="1:12" hidden="1" x14ac:dyDescent="0.3">
      <c r="A446" t="s">
        <v>89</v>
      </c>
      <c r="B446" t="s">
        <v>73</v>
      </c>
      <c r="C446" s="4">
        <v>0.39</v>
      </c>
      <c r="D446" s="4">
        <v>0.28861111099999998</v>
      </c>
      <c r="E446">
        <v>4</v>
      </c>
      <c r="F446" s="1">
        <v>8.6942675159235669</v>
      </c>
      <c r="G446" s="2">
        <f t="shared" si="33"/>
        <v>59.368473081918566</v>
      </c>
      <c r="H446" s="2">
        <f t="shared" si="34"/>
        <v>5.2756255543509862</v>
      </c>
      <c r="I446" s="2">
        <f t="shared" si="30"/>
        <v>879.27092572516437</v>
      </c>
      <c r="J446" s="4">
        <f t="shared" si="32"/>
        <v>10.043964026938212</v>
      </c>
      <c r="K446" s="4">
        <f t="shared" si="31"/>
        <v>1673.9940044897021</v>
      </c>
      <c r="L446">
        <v>6</v>
      </c>
    </row>
    <row r="447" spans="1:12" hidden="1" x14ac:dyDescent="0.3">
      <c r="A447" t="s">
        <v>89</v>
      </c>
      <c r="B447" t="s">
        <v>62</v>
      </c>
      <c r="C447" s="4">
        <v>0.693333333</v>
      </c>
      <c r="D447" s="4">
        <v>0.64166666699999997</v>
      </c>
      <c r="E447">
        <v>7</v>
      </c>
      <c r="F447" s="1">
        <v>27.452229299363058</v>
      </c>
      <c r="G447" s="2">
        <f t="shared" si="33"/>
        <v>591.89560724927344</v>
      </c>
      <c r="H447" s="2">
        <f t="shared" si="34"/>
        <v>187.44260573306298</v>
      </c>
      <c r="I447" s="2">
        <f t="shared" si="30"/>
        <v>31240.43428884383</v>
      </c>
      <c r="J447" s="4">
        <f t="shared" si="32"/>
        <v>27.449509890867787</v>
      </c>
      <c r="K447" s="4">
        <f t="shared" si="31"/>
        <v>4574.9183151446314</v>
      </c>
      <c r="L447">
        <v>6</v>
      </c>
    </row>
    <row r="448" spans="1:12" hidden="1" x14ac:dyDescent="0.3">
      <c r="A448" t="s">
        <v>89</v>
      </c>
      <c r="B448" t="s">
        <v>62</v>
      </c>
      <c r="C448" s="4">
        <v>0.693333333</v>
      </c>
      <c r="D448" s="4">
        <v>0.64166666699999997</v>
      </c>
      <c r="E448">
        <v>7</v>
      </c>
      <c r="F448" s="1">
        <v>11.878980891719744</v>
      </c>
      <c r="G448" s="2">
        <f t="shared" si="33"/>
        <v>110.82768172676738</v>
      </c>
      <c r="H448" s="2">
        <f t="shared" si="34"/>
        <v>36.537074419754461</v>
      </c>
      <c r="I448" s="2">
        <f t="shared" si="30"/>
        <v>6089.5124032924105</v>
      </c>
      <c r="J448" s="4">
        <f t="shared" si="32"/>
        <v>12.442899582133148</v>
      </c>
      <c r="K448" s="4">
        <f t="shared" si="31"/>
        <v>2073.8165970221912</v>
      </c>
      <c r="L448">
        <v>6</v>
      </c>
    </row>
    <row r="449" spans="1:12" hidden="1" x14ac:dyDescent="0.3">
      <c r="A449" t="s">
        <v>89</v>
      </c>
      <c r="B449" t="s">
        <v>62</v>
      </c>
      <c r="C449" s="4">
        <v>0.693333333</v>
      </c>
      <c r="D449" s="4">
        <v>0.64166666699999997</v>
      </c>
      <c r="E449">
        <v>7</v>
      </c>
      <c r="F449" s="1">
        <v>11.592356687898087</v>
      </c>
      <c r="G449" s="2">
        <f t="shared" si="33"/>
        <v>105.54395214563296</v>
      </c>
      <c r="H449" s="2">
        <f t="shared" si="34"/>
        <v>34.835979873693304</v>
      </c>
      <c r="I449" s="2">
        <f t="shared" si="30"/>
        <v>5805.9966456155498</v>
      </c>
      <c r="J449" s="4">
        <f t="shared" si="32"/>
        <v>12.27807697269666</v>
      </c>
      <c r="K449" s="4">
        <f t="shared" si="31"/>
        <v>2046.3461621161098</v>
      </c>
      <c r="L449">
        <v>6</v>
      </c>
    </row>
    <row r="450" spans="1:12" hidden="1" x14ac:dyDescent="0.3">
      <c r="A450" t="s">
        <v>89</v>
      </c>
      <c r="B450" t="s">
        <v>62</v>
      </c>
      <c r="C450" s="4">
        <v>0.693333333</v>
      </c>
      <c r="D450" s="4">
        <v>0.64166666699999997</v>
      </c>
      <c r="E450">
        <v>8</v>
      </c>
      <c r="F450" s="1">
        <v>24.012738853503187</v>
      </c>
      <c r="G450" s="2">
        <f t="shared" si="33"/>
        <v>452.86971303304773</v>
      </c>
      <c r="H450" s="2">
        <f t="shared" si="34"/>
        <v>164.43230224755089</v>
      </c>
      <c r="I450" s="2">
        <f t="shared" ref="I450:I513" si="35">(H450*1000)/L450</f>
        <v>27405.38370792515</v>
      </c>
      <c r="J450" s="4">
        <f t="shared" si="32"/>
        <v>25.130825562903162</v>
      </c>
      <c r="K450" s="4">
        <f t="shared" ref="K450:K513" si="36">(J450*1000)/L450</f>
        <v>4188.4709271505271</v>
      </c>
      <c r="L450">
        <v>6</v>
      </c>
    </row>
    <row r="451" spans="1:12" hidden="1" x14ac:dyDescent="0.3">
      <c r="A451" t="s">
        <v>89</v>
      </c>
      <c r="B451" t="s">
        <v>62</v>
      </c>
      <c r="C451" s="4">
        <v>0.693333333</v>
      </c>
      <c r="D451" s="4">
        <v>0.64166666699999997</v>
      </c>
      <c r="E451">
        <v>6</v>
      </c>
      <c r="F451" s="1">
        <v>6.7515923566878975</v>
      </c>
      <c r="G451" s="2">
        <f t="shared" si="33"/>
        <v>35.801589370496679</v>
      </c>
      <c r="H451" s="2">
        <f t="shared" si="34"/>
        <v>10.433395341209913</v>
      </c>
      <c r="I451" s="2">
        <f t="shared" si="35"/>
        <v>1738.8992235349854</v>
      </c>
      <c r="J451" s="4">
        <f t="shared" ref="J451:J514" si="37">8.9857 + 0.0035 * F451^2 * E451</f>
        <v>9.9429639863686141</v>
      </c>
      <c r="K451" s="4">
        <f t="shared" si="36"/>
        <v>1657.1606643947689</v>
      </c>
      <c r="L451">
        <v>6</v>
      </c>
    </row>
    <row r="452" spans="1:12" hidden="1" x14ac:dyDescent="0.3">
      <c r="A452" t="s">
        <v>89</v>
      </c>
      <c r="B452" t="s">
        <v>62</v>
      </c>
      <c r="C452" s="4">
        <v>0.693333333</v>
      </c>
      <c r="D452" s="4">
        <v>0.64166666699999997</v>
      </c>
      <c r="E452">
        <v>8</v>
      </c>
      <c r="F452" s="1">
        <v>24.7452229299363</v>
      </c>
      <c r="G452" s="2">
        <f t="shared" ref="G452:G515" si="38">PI()*(F452/2)^2</f>
        <v>480.91976123755313</v>
      </c>
      <c r="H452" s="2">
        <f t="shared" ref="H452:H515" si="39">0.0673 * ((D452 * F452^2 * E452)^0.976)</f>
        <v>174.36531513314338</v>
      </c>
      <c r="I452" s="2">
        <f t="shared" si="35"/>
        <v>29060.885855523898</v>
      </c>
      <c r="J452" s="4">
        <f t="shared" si="37"/>
        <v>26.130829619862865</v>
      </c>
      <c r="K452" s="4">
        <f t="shared" si="36"/>
        <v>4355.1382699771448</v>
      </c>
      <c r="L452">
        <v>6</v>
      </c>
    </row>
    <row r="453" spans="1:12" hidden="1" x14ac:dyDescent="0.3">
      <c r="A453" t="s">
        <v>89</v>
      </c>
      <c r="B453" t="s">
        <v>62</v>
      </c>
      <c r="C453" s="4">
        <v>0.693333333</v>
      </c>
      <c r="D453" s="4">
        <v>0.64166666699999997</v>
      </c>
      <c r="E453">
        <v>7</v>
      </c>
      <c r="F453" s="1">
        <v>25.03184713375796</v>
      </c>
      <c r="G453" s="2">
        <f t="shared" si="38"/>
        <v>492.12528272373112</v>
      </c>
      <c r="H453" s="2">
        <f t="shared" si="39"/>
        <v>156.53913870426913</v>
      </c>
      <c r="I453" s="2">
        <f t="shared" si="35"/>
        <v>26089.856450711522</v>
      </c>
      <c r="J453" s="4">
        <f t="shared" si="37"/>
        <v>24.337237587731749</v>
      </c>
      <c r="K453" s="4">
        <f t="shared" si="36"/>
        <v>4056.2062646219583</v>
      </c>
      <c r="L453">
        <v>6</v>
      </c>
    </row>
    <row r="454" spans="1:12" hidden="1" x14ac:dyDescent="0.3">
      <c r="A454" t="s">
        <v>89</v>
      </c>
      <c r="B454" t="s">
        <v>62</v>
      </c>
      <c r="C454" s="4">
        <v>0.693333333</v>
      </c>
      <c r="D454" s="4">
        <v>0.64166666699999997</v>
      </c>
      <c r="E454">
        <v>8</v>
      </c>
      <c r="F454" s="1">
        <v>28.885350318471332</v>
      </c>
      <c r="G454" s="2">
        <f t="shared" si="38"/>
        <v>655.30753146248037</v>
      </c>
      <c r="H454" s="2">
        <f t="shared" si="39"/>
        <v>235.83469372672954</v>
      </c>
      <c r="I454" s="2">
        <f t="shared" si="35"/>
        <v>39305.782287788257</v>
      </c>
      <c r="J454" s="4">
        <f t="shared" si="37"/>
        <v>32.347876964582731</v>
      </c>
      <c r="K454" s="4">
        <f t="shared" si="36"/>
        <v>5391.3128274304554</v>
      </c>
      <c r="L454">
        <v>6</v>
      </c>
    </row>
    <row r="455" spans="1:12" hidden="1" x14ac:dyDescent="0.3">
      <c r="A455" t="s">
        <v>89</v>
      </c>
      <c r="B455" t="s">
        <v>62</v>
      </c>
      <c r="C455" s="4">
        <v>0.693333333</v>
      </c>
      <c r="D455" s="4">
        <v>0.64166666699999997</v>
      </c>
      <c r="E455">
        <v>7</v>
      </c>
      <c r="F455" s="1">
        <v>14.61783439490446</v>
      </c>
      <c r="G455" s="2">
        <f t="shared" si="38"/>
        <v>167.82472966726624</v>
      </c>
      <c r="H455" s="2">
        <f t="shared" si="39"/>
        <v>54.779301760064257</v>
      </c>
      <c r="I455" s="2">
        <f t="shared" si="35"/>
        <v>9129.883626677376</v>
      </c>
      <c r="J455" s="4">
        <f t="shared" si="37"/>
        <v>14.220886518722869</v>
      </c>
      <c r="K455" s="4">
        <f t="shared" si="36"/>
        <v>2370.1477531204782</v>
      </c>
      <c r="L455">
        <v>6</v>
      </c>
    </row>
    <row r="456" spans="1:12" hidden="1" x14ac:dyDescent="0.3">
      <c r="A456" t="s">
        <v>91</v>
      </c>
      <c r="B456" t="s">
        <v>75</v>
      </c>
      <c r="C456" s="4">
        <v>0.86</v>
      </c>
      <c r="D456" s="4">
        <v>0.65666666699999998</v>
      </c>
      <c r="E456">
        <v>5</v>
      </c>
      <c r="F456" s="4">
        <v>4.6178343949044587</v>
      </c>
      <c r="G456" s="2">
        <f t="shared" si="38"/>
        <v>16.748140274890819</v>
      </c>
      <c r="H456" s="2">
        <f t="shared" si="39"/>
        <v>4.255221269559466</v>
      </c>
      <c r="I456" s="2">
        <f t="shared" si="35"/>
        <v>607.88875279420949</v>
      </c>
      <c r="J456" s="4">
        <f t="shared" si="37"/>
        <v>9.3588769037283459</v>
      </c>
      <c r="K456" s="4">
        <f t="shared" si="36"/>
        <v>1336.982414818335</v>
      </c>
      <c r="L456">
        <v>7</v>
      </c>
    </row>
    <row r="457" spans="1:12" hidden="1" x14ac:dyDescent="0.3">
      <c r="A457" t="s">
        <v>91</v>
      </c>
      <c r="B457" t="s">
        <v>51</v>
      </c>
      <c r="C457" s="4">
        <v>0.40257753800000001</v>
      </c>
      <c r="D457" s="4">
        <v>0.40843333300000001</v>
      </c>
      <c r="E457">
        <v>4</v>
      </c>
      <c r="F457" s="4">
        <v>10.477707006369426</v>
      </c>
      <c r="G457" s="2">
        <f t="shared" si="38"/>
        <v>86.222851438499731</v>
      </c>
      <c r="H457" s="2">
        <f t="shared" si="39"/>
        <v>10.657113857411916</v>
      </c>
      <c r="I457" s="2">
        <f t="shared" si="35"/>
        <v>1522.4448367731309</v>
      </c>
      <c r="J457" s="4">
        <f t="shared" si="37"/>
        <v>10.522652817558521</v>
      </c>
      <c r="K457" s="4">
        <f t="shared" si="36"/>
        <v>1503.2361167940744</v>
      </c>
      <c r="L457">
        <v>7</v>
      </c>
    </row>
    <row r="458" spans="1:12" hidden="1" x14ac:dyDescent="0.3">
      <c r="A458" t="s">
        <v>91</v>
      </c>
      <c r="B458" t="s">
        <v>92</v>
      </c>
      <c r="C458" s="4">
        <v>0.80803492399999999</v>
      </c>
      <c r="D458" s="4">
        <v>0.87275320499999998</v>
      </c>
      <c r="E458">
        <v>7</v>
      </c>
      <c r="F458" s="4">
        <v>14.076433121019109</v>
      </c>
      <c r="G458" s="2">
        <f t="shared" si="38"/>
        <v>155.62348045963233</v>
      </c>
      <c r="H458" s="2">
        <f t="shared" si="39"/>
        <v>68.706591745873354</v>
      </c>
      <c r="I458" s="2">
        <f t="shared" si="35"/>
        <v>9815.2273922676231</v>
      </c>
      <c r="J458" s="4">
        <f t="shared" si="37"/>
        <v>13.840276250557832</v>
      </c>
      <c r="K458" s="4">
        <f t="shared" si="36"/>
        <v>1977.1823215082618</v>
      </c>
      <c r="L458">
        <v>7</v>
      </c>
    </row>
    <row r="459" spans="1:12" hidden="1" x14ac:dyDescent="0.3">
      <c r="A459" t="s">
        <v>91</v>
      </c>
      <c r="B459" t="s">
        <v>92</v>
      </c>
      <c r="C459" s="4">
        <v>0.80803492399999999</v>
      </c>
      <c r="D459" s="4">
        <v>0.87275320499999998</v>
      </c>
      <c r="E459">
        <v>7</v>
      </c>
      <c r="F459" s="4">
        <v>28.726114649681524</v>
      </c>
      <c r="G459" s="2">
        <f t="shared" si="38"/>
        <v>648.10244567002451</v>
      </c>
      <c r="H459" s="2">
        <f t="shared" si="39"/>
        <v>276.50137606960055</v>
      </c>
      <c r="I459" s="2">
        <f t="shared" si="35"/>
        <v>39500.196581371514</v>
      </c>
      <c r="J459" s="4">
        <f t="shared" si="37"/>
        <v>29.202846740232864</v>
      </c>
      <c r="K459" s="4">
        <f t="shared" si="36"/>
        <v>4171.8352486046952</v>
      </c>
      <c r="L459">
        <v>7</v>
      </c>
    </row>
    <row r="460" spans="1:12" hidden="1" x14ac:dyDescent="0.3">
      <c r="A460" t="s">
        <v>91</v>
      </c>
      <c r="B460" t="s">
        <v>60</v>
      </c>
      <c r="C460" s="4">
        <v>0.41</v>
      </c>
      <c r="D460" s="4">
        <v>0.33983503399999998</v>
      </c>
      <c r="E460">
        <v>9</v>
      </c>
      <c r="F460" s="4">
        <v>20.127388535031844</v>
      </c>
      <c r="G460" s="2">
        <f t="shared" si="38"/>
        <v>318.17403953189</v>
      </c>
      <c r="H460" s="2">
        <f t="shared" si="39"/>
        <v>70.285628132429068</v>
      </c>
      <c r="I460" s="2">
        <f t="shared" si="35"/>
        <v>10040.804018918438</v>
      </c>
      <c r="J460" s="4">
        <f t="shared" si="37"/>
        <v>21.746720731064137</v>
      </c>
      <c r="K460" s="4">
        <f t="shared" si="36"/>
        <v>3106.6743901520199</v>
      </c>
      <c r="L460">
        <v>7</v>
      </c>
    </row>
    <row r="461" spans="1:12" hidden="1" x14ac:dyDescent="0.3">
      <c r="A461" t="s">
        <v>91</v>
      </c>
      <c r="B461" t="s">
        <v>60</v>
      </c>
      <c r="C461" s="4">
        <v>0.41</v>
      </c>
      <c r="D461" s="4">
        <v>0.33983503399999998</v>
      </c>
      <c r="E461">
        <v>9</v>
      </c>
      <c r="F461" s="4">
        <v>8.4076433121019107</v>
      </c>
      <c r="G461" s="2">
        <f t="shared" si="38"/>
        <v>55.518591419680874</v>
      </c>
      <c r="H461" s="2">
        <f t="shared" si="39"/>
        <v>12.789031552981468</v>
      </c>
      <c r="I461" s="2">
        <f t="shared" si="35"/>
        <v>1827.0045075687813</v>
      </c>
      <c r="J461" s="4">
        <f t="shared" si="37"/>
        <v>11.212386681001258</v>
      </c>
      <c r="K461" s="4">
        <f t="shared" si="36"/>
        <v>1601.7695258573224</v>
      </c>
      <c r="L461">
        <v>7</v>
      </c>
    </row>
    <row r="462" spans="1:12" hidden="1" x14ac:dyDescent="0.3">
      <c r="A462" t="s">
        <v>91</v>
      </c>
      <c r="B462" t="s">
        <v>60</v>
      </c>
      <c r="C462" s="4">
        <v>0.41</v>
      </c>
      <c r="D462" s="4">
        <v>0.33983503399999998</v>
      </c>
      <c r="E462">
        <v>7</v>
      </c>
      <c r="F462" s="4">
        <v>7.1019108280254777</v>
      </c>
      <c r="G462" s="2">
        <f t="shared" si="38"/>
        <v>39.613235088230461</v>
      </c>
      <c r="H462" s="2">
        <f t="shared" si="39"/>
        <v>7.1983487553967018</v>
      </c>
      <c r="I462" s="2">
        <f t="shared" si="35"/>
        <v>1028.335536485243</v>
      </c>
      <c r="J462" s="4">
        <f t="shared" si="37"/>
        <v>10.221409866526026</v>
      </c>
      <c r="K462" s="4">
        <f t="shared" si="36"/>
        <v>1460.201409503718</v>
      </c>
      <c r="L462">
        <v>7</v>
      </c>
    </row>
    <row r="463" spans="1:12" hidden="1" x14ac:dyDescent="0.3">
      <c r="A463" t="s">
        <v>91</v>
      </c>
      <c r="B463" t="s">
        <v>90</v>
      </c>
      <c r="C463" s="4">
        <v>0.37226847299999999</v>
      </c>
      <c r="D463" s="4">
        <v>0.42234285700000002</v>
      </c>
      <c r="E463">
        <v>6</v>
      </c>
      <c r="F463" s="4">
        <v>6.2101910828025479</v>
      </c>
      <c r="G463" s="2">
        <f t="shared" si="38"/>
        <v>30.290037286693146</v>
      </c>
      <c r="H463" s="2">
        <f t="shared" si="39"/>
        <v>5.8922445408497444</v>
      </c>
      <c r="I463" s="2">
        <f t="shared" si="35"/>
        <v>841.749220121392</v>
      </c>
      <c r="J463" s="4">
        <f t="shared" si="37"/>
        <v>9.7955959389833254</v>
      </c>
      <c r="K463" s="4">
        <f t="shared" si="36"/>
        <v>1399.3708484261895</v>
      </c>
      <c r="L463">
        <v>7</v>
      </c>
    </row>
    <row r="464" spans="1:12" hidden="1" x14ac:dyDescent="0.3">
      <c r="A464" t="s">
        <v>91</v>
      </c>
      <c r="B464" t="s">
        <v>90</v>
      </c>
      <c r="C464" s="4">
        <v>0.37226847299999999</v>
      </c>
      <c r="D464" s="4">
        <v>0.42234285700000002</v>
      </c>
      <c r="E464">
        <v>3.5</v>
      </c>
      <c r="F464" s="4">
        <v>11.815286624203821</v>
      </c>
      <c r="G464" s="2">
        <f t="shared" si="38"/>
        <v>109.64236744714611</v>
      </c>
      <c r="H464" s="2">
        <f t="shared" si="39"/>
        <v>12.220412444814965</v>
      </c>
      <c r="I464" s="2">
        <f t="shared" si="35"/>
        <v>1745.7732064021379</v>
      </c>
      <c r="J464" s="4">
        <f t="shared" si="37"/>
        <v>10.695812225648099</v>
      </c>
      <c r="K464" s="4">
        <f t="shared" si="36"/>
        <v>1527.9731750925857</v>
      </c>
      <c r="L464">
        <v>7</v>
      </c>
    </row>
    <row r="465" spans="1:12" hidden="1" x14ac:dyDescent="0.3">
      <c r="A465" t="s">
        <v>91</v>
      </c>
      <c r="B465" t="s">
        <v>55</v>
      </c>
      <c r="C465" s="4">
        <v>0.52500000000000002</v>
      </c>
      <c r="D465" s="4">
        <v>0.52500000000000002</v>
      </c>
      <c r="E465">
        <v>7</v>
      </c>
      <c r="F465" s="4">
        <v>15.668789808917198</v>
      </c>
      <c r="G465" s="2">
        <f t="shared" si="38"/>
        <v>192.82386813323049</v>
      </c>
      <c r="H465" s="2">
        <f t="shared" si="39"/>
        <v>51.572173964266021</v>
      </c>
      <c r="I465" s="2">
        <f t="shared" si="35"/>
        <v>7367.4534234665743</v>
      </c>
      <c r="J465" s="4">
        <f t="shared" si="37"/>
        <v>15.000718864862673</v>
      </c>
      <c r="K465" s="4">
        <f t="shared" si="36"/>
        <v>2142.9598378375244</v>
      </c>
      <c r="L465">
        <v>7</v>
      </c>
    </row>
    <row r="466" spans="1:12" hidden="1" x14ac:dyDescent="0.3">
      <c r="A466" t="s">
        <v>91</v>
      </c>
      <c r="B466" t="s">
        <v>55</v>
      </c>
      <c r="C466" s="4">
        <v>0.52500000000000002</v>
      </c>
      <c r="D466" s="4">
        <v>0.52500000000000002</v>
      </c>
      <c r="E466">
        <v>7</v>
      </c>
      <c r="F466" s="4">
        <v>12.643312101910828</v>
      </c>
      <c r="G466" s="2">
        <f t="shared" si="38"/>
        <v>125.54852036077369</v>
      </c>
      <c r="H466" s="2">
        <f t="shared" si="39"/>
        <v>33.926466350297083</v>
      </c>
      <c r="I466" s="2">
        <f t="shared" si="35"/>
        <v>4846.6380500424402</v>
      </c>
      <c r="J466" s="4">
        <f t="shared" si="37"/>
        <v>12.902106852204957</v>
      </c>
      <c r="K466" s="4">
        <f t="shared" si="36"/>
        <v>1843.1581217435653</v>
      </c>
      <c r="L466">
        <v>7</v>
      </c>
    </row>
    <row r="467" spans="1:12" hidden="1" x14ac:dyDescent="0.3">
      <c r="A467" t="s">
        <v>91</v>
      </c>
      <c r="B467" t="s">
        <v>93</v>
      </c>
      <c r="C467" s="4">
        <v>0.85449533600000005</v>
      </c>
      <c r="D467" s="4">
        <v>0.81482857099999995</v>
      </c>
      <c r="E467">
        <v>5</v>
      </c>
      <c r="F467" s="4">
        <v>9.4904458598726116</v>
      </c>
      <c r="G467" s="2">
        <f t="shared" si="38"/>
        <v>70.739683660946696</v>
      </c>
      <c r="H467" s="2">
        <f t="shared" si="39"/>
        <v>21.432553749575355</v>
      </c>
      <c r="I467" s="2">
        <f t="shared" si="35"/>
        <v>3061.7933927964796</v>
      </c>
      <c r="J467" s="4">
        <f t="shared" si="37"/>
        <v>10.56189984583553</v>
      </c>
      <c r="K467" s="4">
        <f t="shared" si="36"/>
        <v>1508.8428351193616</v>
      </c>
      <c r="L467">
        <v>7</v>
      </c>
    </row>
    <row r="468" spans="1:12" hidden="1" x14ac:dyDescent="0.3">
      <c r="A468" t="s">
        <v>91</v>
      </c>
      <c r="B468" t="s">
        <v>78</v>
      </c>
      <c r="C468" s="4">
        <v>0.43538739399999998</v>
      </c>
      <c r="D468" s="4">
        <v>0.568333333</v>
      </c>
      <c r="E468">
        <v>8</v>
      </c>
      <c r="F468" s="4">
        <v>20.318471337579616</v>
      </c>
      <c r="G468" s="2">
        <f t="shared" si="38"/>
        <v>324.24399572188617</v>
      </c>
      <c r="H468" s="2">
        <f t="shared" si="39"/>
        <v>105.42092841766319</v>
      </c>
      <c r="I468" s="2">
        <f t="shared" si="35"/>
        <v>15060.132631094742</v>
      </c>
      <c r="J468" s="4">
        <f t="shared" si="37"/>
        <v>20.545227769889244</v>
      </c>
      <c r="K468" s="4">
        <f t="shared" si="36"/>
        <v>2935.0325385556062</v>
      </c>
      <c r="L468">
        <v>7</v>
      </c>
    </row>
    <row r="469" spans="1:12" hidden="1" x14ac:dyDescent="0.3">
      <c r="A469" t="s">
        <v>91</v>
      </c>
      <c r="B469" t="s">
        <v>47</v>
      </c>
      <c r="C469" s="4">
        <v>0.40238543599999999</v>
      </c>
      <c r="D469" s="4">
        <v>0.40883333300000002</v>
      </c>
      <c r="E469">
        <v>9</v>
      </c>
      <c r="F469" s="4">
        <v>18.312101910828027</v>
      </c>
      <c r="G469" s="2">
        <f t="shared" si="38"/>
        <v>263.3699823251261</v>
      </c>
      <c r="H469" s="2">
        <f t="shared" si="39"/>
        <v>69.998687926319477</v>
      </c>
      <c r="I469" s="2">
        <f t="shared" si="35"/>
        <v>9999.8125609027811</v>
      </c>
      <c r="J469" s="4">
        <f t="shared" si="37"/>
        <v>19.54869190636537</v>
      </c>
      <c r="K469" s="4">
        <f t="shared" si="36"/>
        <v>2792.6702723379099</v>
      </c>
      <c r="L469">
        <v>7</v>
      </c>
    </row>
    <row r="470" spans="1:12" hidden="1" x14ac:dyDescent="0.3">
      <c r="A470" t="s">
        <v>91</v>
      </c>
      <c r="B470" t="s">
        <v>47</v>
      </c>
      <c r="C470" s="4">
        <v>0.40238543599999999</v>
      </c>
      <c r="D470" s="4">
        <v>0.40883333300000002</v>
      </c>
      <c r="E470">
        <v>9</v>
      </c>
      <c r="F470" s="4">
        <v>18.312101910828027</v>
      </c>
      <c r="G470" s="2">
        <f t="shared" si="38"/>
        <v>263.3699823251261</v>
      </c>
      <c r="H470" s="2">
        <f t="shared" si="39"/>
        <v>69.998687926319477</v>
      </c>
      <c r="I470" s="2">
        <f t="shared" si="35"/>
        <v>9999.8125609027811</v>
      </c>
      <c r="J470" s="4">
        <f t="shared" si="37"/>
        <v>19.54869190636537</v>
      </c>
      <c r="K470" s="4">
        <f t="shared" si="36"/>
        <v>2792.6702723379099</v>
      </c>
      <c r="L470">
        <v>7</v>
      </c>
    </row>
    <row r="471" spans="1:12" hidden="1" x14ac:dyDescent="0.3">
      <c r="A471" t="s">
        <v>91</v>
      </c>
      <c r="B471" t="s">
        <v>47</v>
      </c>
      <c r="C471" s="4">
        <v>0.40238543599999999</v>
      </c>
      <c r="D471" s="4">
        <v>0.40883333300000002</v>
      </c>
      <c r="E471">
        <v>8</v>
      </c>
      <c r="F471" s="4">
        <v>17.35668789808917</v>
      </c>
      <c r="G471" s="2">
        <f t="shared" si="38"/>
        <v>236.60482117238735</v>
      </c>
      <c r="H471" s="2">
        <f t="shared" si="39"/>
        <v>56.200396200713875</v>
      </c>
      <c r="I471" s="2">
        <f t="shared" si="35"/>
        <v>8028.6280286734109</v>
      </c>
      <c r="J471" s="4">
        <f t="shared" si="37"/>
        <v>17.420829214166901</v>
      </c>
      <c r="K471" s="4">
        <f t="shared" si="36"/>
        <v>2488.6898877381286</v>
      </c>
      <c r="L471">
        <v>7</v>
      </c>
    </row>
    <row r="472" spans="1:12" hidden="1" x14ac:dyDescent="0.3">
      <c r="A472" t="s">
        <v>91</v>
      </c>
      <c r="B472" t="s">
        <v>47</v>
      </c>
      <c r="C472" s="4">
        <v>0.40238543599999999</v>
      </c>
      <c r="D472" s="4">
        <v>0.40883333300000002</v>
      </c>
      <c r="E472">
        <v>7</v>
      </c>
      <c r="F472" s="4">
        <v>17.00636942675159</v>
      </c>
      <c r="G472" s="2">
        <f t="shared" si="38"/>
        <v>227.1501873116178</v>
      </c>
      <c r="H472" s="2">
        <f t="shared" si="39"/>
        <v>47.408236241501427</v>
      </c>
      <c r="I472" s="2">
        <f t="shared" si="35"/>
        <v>6772.6051773573472</v>
      </c>
      <c r="J472" s="4">
        <f t="shared" si="37"/>
        <v>16.071506726439203</v>
      </c>
      <c r="K472" s="4">
        <f t="shared" si="36"/>
        <v>2295.9295323484575</v>
      </c>
      <c r="L472">
        <v>7</v>
      </c>
    </row>
    <row r="473" spans="1:12" hidden="1" x14ac:dyDescent="0.3">
      <c r="A473" t="s">
        <v>91</v>
      </c>
      <c r="B473" t="s">
        <v>94</v>
      </c>
      <c r="C473" s="4">
        <v>0.28577490700000002</v>
      </c>
      <c r="D473" s="4">
        <v>0.3422</v>
      </c>
      <c r="E473">
        <v>5</v>
      </c>
      <c r="F473" s="4">
        <v>29.968152866242036</v>
      </c>
      <c r="G473" s="2">
        <f t="shared" si="38"/>
        <v>705.35838281810197</v>
      </c>
      <c r="H473" s="2">
        <f t="shared" si="39"/>
        <v>86.717619092726352</v>
      </c>
      <c r="I473" s="2">
        <f t="shared" si="35"/>
        <v>12388.231298960907</v>
      </c>
      <c r="J473" s="4">
        <f t="shared" si="37"/>
        <v>24.702278258752891</v>
      </c>
      <c r="K473" s="4">
        <f t="shared" si="36"/>
        <v>3528.8968941075555</v>
      </c>
      <c r="L473">
        <v>7</v>
      </c>
    </row>
    <row r="474" spans="1:12" hidden="1" x14ac:dyDescent="0.3">
      <c r="A474" t="s">
        <v>91</v>
      </c>
      <c r="B474" t="s">
        <v>94</v>
      </c>
      <c r="C474" s="4">
        <v>0.28577490700000002</v>
      </c>
      <c r="D474" s="4">
        <v>0.3422</v>
      </c>
      <c r="E474">
        <v>6.5</v>
      </c>
      <c r="F474" s="4">
        <v>20.859872611464969</v>
      </c>
      <c r="G474" s="2">
        <f t="shared" si="38"/>
        <v>341.75366855814667</v>
      </c>
      <c r="H474" s="2">
        <f t="shared" si="39"/>
        <v>55.229629512847218</v>
      </c>
      <c r="I474" s="2">
        <f t="shared" si="35"/>
        <v>7889.9470732638883</v>
      </c>
      <c r="J474" s="4">
        <f t="shared" si="37"/>
        <v>18.88500499208893</v>
      </c>
      <c r="K474" s="4">
        <f t="shared" si="36"/>
        <v>2697.8578560127039</v>
      </c>
      <c r="L474">
        <v>7</v>
      </c>
    </row>
    <row r="475" spans="1:12" hidden="1" x14ac:dyDescent="0.3">
      <c r="A475" t="s">
        <v>95</v>
      </c>
      <c r="B475" t="s">
        <v>51</v>
      </c>
      <c r="C475" s="4">
        <v>0.40257753800000001</v>
      </c>
      <c r="D475" s="4">
        <v>0.40843333300000001</v>
      </c>
      <c r="E475">
        <v>3.5</v>
      </c>
      <c r="F475" s="4">
        <v>12.579617834394904</v>
      </c>
      <c r="G475" s="2">
        <f t="shared" si="38"/>
        <v>124.28673419214456</v>
      </c>
      <c r="H475" s="2">
        <f t="shared" si="39"/>
        <v>13.366897053088312</v>
      </c>
      <c r="I475" s="2">
        <f t="shared" si="35"/>
        <v>1909.556721869759</v>
      </c>
      <c r="J475" s="4">
        <f t="shared" si="37"/>
        <v>10.924223114527972</v>
      </c>
      <c r="K475" s="4">
        <f t="shared" si="36"/>
        <v>1560.6033020754246</v>
      </c>
      <c r="L475">
        <v>7</v>
      </c>
    </row>
    <row r="476" spans="1:12" hidden="1" x14ac:dyDescent="0.3">
      <c r="A476" t="s">
        <v>95</v>
      </c>
      <c r="B476" t="s">
        <v>51</v>
      </c>
      <c r="C476" s="4">
        <v>0.40257753800000001</v>
      </c>
      <c r="D476" s="4">
        <v>0.40843333300000001</v>
      </c>
      <c r="E476">
        <v>7</v>
      </c>
      <c r="F476" s="4">
        <v>11.942675159235668</v>
      </c>
      <c r="G476" s="2">
        <f t="shared" si="38"/>
        <v>112.01936866380598</v>
      </c>
      <c r="H476" s="2">
        <f t="shared" si="39"/>
        <v>23.756769447158185</v>
      </c>
      <c r="I476" s="2">
        <f t="shared" si="35"/>
        <v>3393.8242067368838</v>
      </c>
      <c r="J476" s="4">
        <f t="shared" si="37"/>
        <v>12.480073503996104</v>
      </c>
      <c r="K476" s="4">
        <f t="shared" si="36"/>
        <v>1782.8676434280148</v>
      </c>
      <c r="L476">
        <v>7</v>
      </c>
    </row>
    <row r="477" spans="1:12" hidden="1" x14ac:dyDescent="0.3">
      <c r="A477" t="s">
        <v>95</v>
      </c>
      <c r="B477" t="s">
        <v>92</v>
      </c>
      <c r="C477" s="4">
        <v>0.80803492399999999</v>
      </c>
      <c r="D477" s="4">
        <v>0.87275320499999998</v>
      </c>
      <c r="E477">
        <v>7</v>
      </c>
      <c r="F477" s="4">
        <v>6.5286624203821653</v>
      </c>
      <c r="G477" s="2">
        <f t="shared" si="38"/>
        <v>33.476365995352509</v>
      </c>
      <c r="H477" s="2">
        <f t="shared" si="39"/>
        <v>15.334784333807633</v>
      </c>
      <c r="I477" s="2">
        <f t="shared" si="35"/>
        <v>2190.6834762582334</v>
      </c>
      <c r="J477" s="4">
        <f t="shared" si="37"/>
        <v>10.029974108483103</v>
      </c>
      <c r="K477" s="4">
        <f t="shared" si="36"/>
        <v>1432.8534440690146</v>
      </c>
      <c r="L477">
        <v>7</v>
      </c>
    </row>
    <row r="478" spans="1:12" hidden="1" x14ac:dyDescent="0.3">
      <c r="A478" t="s">
        <v>95</v>
      </c>
      <c r="B478" t="s">
        <v>92</v>
      </c>
      <c r="C478" s="4">
        <v>0.80803492399999999</v>
      </c>
      <c r="D478" s="4">
        <v>0.87275320499999998</v>
      </c>
      <c r="E478">
        <v>8</v>
      </c>
      <c r="F478" s="4">
        <v>23.789808917197448</v>
      </c>
      <c r="G478" s="2">
        <f t="shared" si="38"/>
        <v>444.50002409757656</v>
      </c>
      <c r="H478" s="2">
        <f t="shared" si="39"/>
        <v>217.99979776651935</v>
      </c>
      <c r="I478" s="2">
        <f t="shared" si="35"/>
        <v>31142.828252359908</v>
      </c>
      <c r="J478" s="4">
        <f t="shared" si="37"/>
        <v>24.83244023286948</v>
      </c>
      <c r="K478" s="4">
        <f t="shared" si="36"/>
        <v>3547.4914618384973</v>
      </c>
      <c r="L478">
        <v>7</v>
      </c>
    </row>
    <row r="479" spans="1:12" hidden="1" x14ac:dyDescent="0.3">
      <c r="A479" t="s">
        <v>95</v>
      </c>
      <c r="B479" t="s">
        <v>92</v>
      </c>
      <c r="C479" s="4">
        <v>0.80803492399999999</v>
      </c>
      <c r="D479" s="4">
        <v>0.87275320499999998</v>
      </c>
      <c r="E479">
        <v>8.5</v>
      </c>
      <c r="F479" s="4">
        <v>15.764331210191083</v>
      </c>
      <c r="G479" s="2">
        <f t="shared" si="38"/>
        <v>195.18254795981557</v>
      </c>
      <c r="H479" s="2">
        <f t="shared" si="39"/>
        <v>103.58590590263773</v>
      </c>
      <c r="I479" s="2">
        <f t="shared" si="35"/>
        <v>14797.986557519676</v>
      </c>
      <c r="J479" s="4">
        <f t="shared" si="37"/>
        <v>16.378995620511986</v>
      </c>
      <c r="K479" s="4">
        <f t="shared" si="36"/>
        <v>2339.8565172159983</v>
      </c>
      <c r="L479">
        <v>7</v>
      </c>
    </row>
    <row r="480" spans="1:12" hidden="1" x14ac:dyDescent="0.3">
      <c r="A480" t="s">
        <v>95</v>
      </c>
      <c r="B480" t="s">
        <v>92</v>
      </c>
      <c r="C480" s="4">
        <v>0.80803492399999999</v>
      </c>
      <c r="D480" s="4">
        <v>0.87275320499999998</v>
      </c>
      <c r="E480">
        <v>8</v>
      </c>
      <c r="F480" s="4">
        <v>11.210191082802549</v>
      </c>
      <c r="G480" s="2">
        <f t="shared" si="38"/>
        <v>98.699718079432685</v>
      </c>
      <c r="H480" s="2">
        <f t="shared" si="39"/>
        <v>50.186343532392542</v>
      </c>
      <c r="I480" s="2">
        <f t="shared" si="35"/>
        <v>7169.4776474846494</v>
      </c>
      <c r="J480" s="4">
        <f t="shared" si="37"/>
        <v>12.504414755162482</v>
      </c>
      <c r="K480" s="4">
        <f t="shared" si="36"/>
        <v>1786.3449650232119</v>
      </c>
      <c r="L480">
        <v>7</v>
      </c>
    </row>
    <row r="481" spans="1:12" hidden="1" x14ac:dyDescent="0.3">
      <c r="A481" t="s">
        <v>95</v>
      </c>
      <c r="B481" t="s">
        <v>60</v>
      </c>
      <c r="C481" s="4">
        <v>0.41</v>
      </c>
      <c r="D481" s="4">
        <v>0.33983503399999998</v>
      </c>
      <c r="E481">
        <v>7</v>
      </c>
      <c r="F481" s="4">
        <v>6.4968152866242033</v>
      </c>
      <c r="G481" s="2">
        <f t="shared" si="38"/>
        <v>33.150563884892087</v>
      </c>
      <c r="H481" s="2">
        <f t="shared" si="39"/>
        <v>6.0497841292181711</v>
      </c>
      <c r="I481" s="2">
        <f t="shared" si="35"/>
        <v>864.25487560259592</v>
      </c>
      <c r="J481" s="4">
        <f t="shared" si="37"/>
        <v>10.019810917278591</v>
      </c>
      <c r="K481" s="4">
        <f t="shared" si="36"/>
        <v>1431.4015596112272</v>
      </c>
      <c r="L481">
        <v>7</v>
      </c>
    </row>
    <row r="482" spans="1:12" hidden="1" x14ac:dyDescent="0.3">
      <c r="A482" t="s">
        <v>95</v>
      </c>
      <c r="B482" t="s">
        <v>60</v>
      </c>
      <c r="C482" s="4">
        <v>0.41</v>
      </c>
      <c r="D482" s="4">
        <v>0.33983503399999998</v>
      </c>
      <c r="E482">
        <v>5</v>
      </c>
      <c r="F482" s="4">
        <v>6.4649681528662422</v>
      </c>
      <c r="G482" s="2">
        <f t="shared" si="38"/>
        <v>32.826354938786004</v>
      </c>
      <c r="H482" s="2">
        <f t="shared" si="39"/>
        <v>4.3147247372954656</v>
      </c>
      <c r="I482" s="2">
        <f t="shared" si="35"/>
        <v>616.38924818506644</v>
      </c>
      <c r="J482" s="4">
        <f t="shared" si="37"/>
        <v>9.7171267313075571</v>
      </c>
      <c r="K482" s="4">
        <f t="shared" si="36"/>
        <v>1388.1609616153653</v>
      </c>
      <c r="L482">
        <v>7</v>
      </c>
    </row>
    <row r="483" spans="1:12" hidden="1" x14ac:dyDescent="0.3">
      <c r="A483" t="s">
        <v>95</v>
      </c>
      <c r="B483" t="s">
        <v>69</v>
      </c>
      <c r="C483" s="4">
        <v>0.31264018999999998</v>
      </c>
      <c r="D483" s="4">
        <v>0.356821212</v>
      </c>
      <c r="E483">
        <v>3.5</v>
      </c>
      <c r="F483" s="4">
        <v>5.8917197452229297</v>
      </c>
      <c r="G483" s="2">
        <f t="shared" si="38"/>
        <v>27.263025013466741</v>
      </c>
      <c r="H483" s="2">
        <f t="shared" si="39"/>
        <v>2.6652003670840854</v>
      </c>
      <c r="I483" s="2">
        <f t="shared" si="35"/>
        <v>380.74290958344079</v>
      </c>
      <c r="J483" s="4">
        <f t="shared" si="37"/>
        <v>9.4109264290640589</v>
      </c>
      <c r="K483" s="4">
        <f t="shared" si="36"/>
        <v>1344.4180612948655</v>
      </c>
      <c r="L483">
        <v>7</v>
      </c>
    </row>
    <row r="484" spans="1:12" hidden="1" x14ac:dyDescent="0.3">
      <c r="A484" t="s">
        <v>95</v>
      </c>
      <c r="B484" t="s">
        <v>85</v>
      </c>
      <c r="C484" s="4">
        <v>0.6</v>
      </c>
      <c r="D484" s="4">
        <v>0.66674999999999995</v>
      </c>
      <c r="E484">
        <v>4.5</v>
      </c>
      <c r="F484" s="4">
        <v>5.2229299363057322</v>
      </c>
      <c r="G484" s="2">
        <f t="shared" si="38"/>
        <v>21.424874237025605</v>
      </c>
      <c r="H484" s="2">
        <f t="shared" si="39"/>
        <v>4.9557216796564791</v>
      </c>
      <c r="I484" s="2">
        <f t="shared" si="35"/>
        <v>707.9602399509256</v>
      </c>
      <c r="J484" s="4">
        <f t="shared" si="37"/>
        <v>9.4153442046330476</v>
      </c>
      <c r="K484" s="4">
        <f t="shared" si="36"/>
        <v>1345.0491720904354</v>
      </c>
      <c r="L484">
        <v>7</v>
      </c>
    </row>
    <row r="485" spans="1:12" hidden="1" x14ac:dyDescent="0.3">
      <c r="A485" t="s">
        <v>95</v>
      </c>
      <c r="B485" t="s">
        <v>96</v>
      </c>
      <c r="C485" s="4">
        <v>0.60413333300000005</v>
      </c>
      <c r="D485" s="4">
        <v>0.60831666699999998</v>
      </c>
      <c r="E485">
        <v>8</v>
      </c>
      <c r="F485" s="4">
        <v>13.757961783439491</v>
      </c>
      <c r="G485" s="2">
        <f t="shared" si="38"/>
        <v>148.66135223121162</v>
      </c>
      <c r="H485" s="2">
        <f t="shared" si="39"/>
        <v>52.625846515587817</v>
      </c>
      <c r="I485" s="2">
        <f t="shared" si="35"/>
        <v>7517.9780736554021</v>
      </c>
      <c r="J485" s="4">
        <f t="shared" si="37"/>
        <v>14.285582348168283</v>
      </c>
      <c r="K485" s="4">
        <f t="shared" si="36"/>
        <v>2040.7974783097548</v>
      </c>
      <c r="L485">
        <v>7</v>
      </c>
    </row>
    <row r="486" spans="1:12" hidden="1" x14ac:dyDescent="0.3">
      <c r="A486" t="s">
        <v>95</v>
      </c>
      <c r="B486" t="s">
        <v>55</v>
      </c>
      <c r="C486" s="4">
        <v>0.52500000000000002</v>
      </c>
      <c r="D486" s="4">
        <v>0.52500000000000002</v>
      </c>
      <c r="E486">
        <v>3.5</v>
      </c>
      <c r="F486" s="4">
        <v>2.9617834394904459</v>
      </c>
      <c r="G486" s="2">
        <f t="shared" si="38"/>
        <v>6.8896392502987247</v>
      </c>
      <c r="H486" s="2">
        <f t="shared" si="39"/>
        <v>1.0147825677595714</v>
      </c>
      <c r="I486" s="2">
        <f t="shared" si="35"/>
        <v>144.96893825136735</v>
      </c>
      <c r="J486" s="4">
        <f t="shared" si="37"/>
        <v>9.0931589739948873</v>
      </c>
      <c r="K486" s="4">
        <f t="shared" si="36"/>
        <v>1299.0227105706981</v>
      </c>
      <c r="L486">
        <v>7</v>
      </c>
    </row>
    <row r="487" spans="1:12" hidden="1" x14ac:dyDescent="0.3">
      <c r="A487" t="s">
        <v>95</v>
      </c>
      <c r="B487" t="s">
        <v>56</v>
      </c>
      <c r="C487" s="4">
        <v>0.39984676499999999</v>
      </c>
      <c r="D487" s="4">
        <v>0.450333333</v>
      </c>
      <c r="E487">
        <v>8</v>
      </c>
      <c r="F487" s="4">
        <v>28.025477707006367</v>
      </c>
      <c r="G487" s="2">
        <f t="shared" si="38"/>
        <v>616.87323799645401</v>
      </c>
      <c r="H487" s="2">
        <f t="shared" si="39"/>
        <v>157.36337820685355</v>
      </c>
      <c r="I487" s="2">
        <f t="shared" si="35"/>
        <v>22480.482600979078</v>
      </c>
      <c r="J487" s="4">
        <f t="shared" si="37"/>
        <v>30.9776672197655</v>
      </c>
      <c r="K487" s="4">
        <f t="shared" si="36"/>
        <v>4425.3810313950717</v>
      </c>
      <c r="L487">
        <v>7</v>
      </c>
    </row>
    <row r="488" spans="1:12" hidden="1" x14ac:dyDescent="0.3">
      <c r="A488" t="s">
        <v>95</v>
      </c>
      <c r="B488" t="s">
        <v>47</v>
      </c>
      <c r="C488" s="4">
        <v>0.40238543599999999</v>
      </c>
      <c r="D488" s="4">
        <v>0.40883333300000002</v>
      </c>
      <c r="E488">
        <v>6</v>
      </c>
      <c r="F488" s="4">
        <v>19.872611464968152</v>
      </c>
      <c r="G488" s="2">
        <f t="shared" si="38"/>
        <v>310.16998181573774</v>
      </c>
      <c r="H488" s="2">
        <f t="shared" si="39"/>
        <v>55.278152153802338</v>
      </c>
      <c r="I488" s="2">
        <f t="shared" si="35"/>
        <v>7896.8788791146198</v>
      </c>
      <c r="J488" s="4">
        <f t="shared" si="37"/>
        <v>17.279034415189258</v>
      </c>
      <c r="K488" s="4">
        <f t="shared" si="36"/>
        <v>2468.4334878841796</v>
      </c>
      <c r="L488">
        <v>7</v>
      </c>
    </row>
    <row r="489" spans="1:12" hidden="1" x14ac:dyDescent="0.3">
      <c r="A489" t="s">
        <v>95</v>
      </c>
      <c r="B489" t="s">
        <v>49</v>
      </c>
      <c r="C489" s="4">
        <v>0.57917600000000002</v>
      </c>
      <c r="D489" s="4">
        <v>0.60285714300000004</v>
      </c>
      <c r="E489">
        <v>9</v>
      </c>
      <c r="F489" s="4">
        <v>42.611464968152866</v>
      </c>
      <c r="G489" s="2">
        <f t="shared" si="38"/>
        <v>1426.0764631762966</v>
      </c>
      <c r="H489" s="2">
        <f t="shared" si="39"/>
        <v>531.71716313894319</v>
      </c>
      <c r="I489" s="2">
        <f t="shared" si="35"/>
        <v>75959.594734134735</v>
      </c>
      <c r="J489" s="4">
        <f t="shared" si="37"/>
        <v>66.181413822061742</v>
      </c>
      <c r="K489" s="4">
        <f t="shared" si="36"/>
        <v>9454.4876888659637</v>
      </c>
      <c r="L489">
        <v>7</v>
      </c>
    </row>
    <row r="490" spans="1:12" hidden="1" x14ac:dyDescent="0.3">
      <c r="A490" t="s">
        <v>95</v>
      </c>
      <c r="B490" t="s">
        <v>49</v>
      </c>
      <c r="C490" s="4">
        <v>0.57917600000000002</v>
      </c>
      <c r="D490" s="4">
        <v>0.60285714300000004</v>
      </c>
      <c r="E490">
        <v>8</v>
      </c>
      <c r="F490" s="4">
        <v>48.312101910828027</v>
      </c>
      <c r="G490" s="2">
        <f t="shared" si="38"/>
        <v>1833.1658019055037</v>
      </c>
      <c r="H490" s="2">
        <f t="shared" si="39"/>
        <v>605.61599572582588</v>
      </c>
      <c r="I490" s="2">
        <f t="shared" si="35"/>
        <v>86516.570817975124</v>
      </c>
      <c r="J490" s="4">
        <f t="shared" si="37"/>
        <v>74.339357349182521</v>
      </c>
      <c r="K490" s="4">
        <f t="shared" si="36"/>
        <v>10619.90819274036</v>
      </c>
      <c r="L490">
        <v>7</v>
      </c>
    </row>
    <row r="491" spans="1:12" hidden="1" x14ac:dyDescent="0.3">
      <c r="A491" t="s">
        <v>95</v>
      </c>
      <c r="B491" t="s">
        <v>94</v>
      </c>
      <c r="C491" s="4">
        <v>0.28577490700000002</v>
      </c>
      <c r="D491" s="4">
        <v>0.3422</v>
      </c>
      <c r="E491">
        <v>7</v>
      </c>
      <c r="F491" s="4">
        <v>9.6178343949044578</v>
      </c>
      <c r="G491" s="2">
        <f t="shared" si="38"/>
        <v>72.651480886142309</v>
      </c>
      <c r="H491" s="2">
        <f t="shared" si="39"/>
        <v>13.09950593473658</v>
      </c>
      <c r="I491" s="2">
        <f t="shared" si="35"/>
        <v>1871.3579906766543</v>
      </c>
      <c r="J491" s="4">
        <f t="shared" si="37"/>
        <v>11.252017091971275</v>
      </c>
      <c r="K491" s="4">
        <f t="shared" si="36"/>
        <v>1607.4310131387535</v>
      </c>
      <c r="L491">
        <v>7</v>
      </c>
    </row>
    <row r="492" spans="1:12" hidden="1" x14ac:dyDescent="0.3">
      <c r="A492" t="s">
        <v>97</v>
      </c>
      <c r="B492" t="s">
        <v>15</v>
      </c>
      <c r="C492" s="4">
        <v>0.47982689899999997</v>
      </c>
      <c r="D492" s="4">
        <v>0.51</v>
      </c>
      <c r="E492">
        <v>2</v>
      </c>
      <c r="F492" s="4">
        <v>2.9617834394904459</v>
      </c>
      <c r="G492" s="2">
        <f t="shared" si="38"/>
        <v>6.8896392502987247</v>
      </c>
      <c r="H492" s="2">
        <f t="shared" si="39"/>
        <v>0.57132190339228528</v>
      </c>
      <c r="I492" s="2">
        <f t="shared" si="35"/>
        <v>81.617414770326477</v>
      </c>
      <c r="J492" s="4">
        <f t="shared" si="37"/>
        <v>9.047105127997078</v>
      </c>
      <c r="K492" s="4">
        <f t="shared" si="36"/>
        <v>1292.4435897138683</v>
      </c>
      <c r="L492">
        <v>7</v>
      </c>
    </row>
    <row r="493" spans="1:12" hidden="1" x14ac:dyDescent="0.3">
      <c r="A493" t="s">
        <v>97</v>
      </c>
      <c r="B493" t="s">
        <v>15</v>
      </c>
      <c r="C493" s="4">
        <v>0.47982689899999997</v>
      </c>
      <c r="D493" s="4">
        <v>0.51</v>
      </c>
      <c r="E493">
        <v>6</v>
      </c>
      <c r="F493" s="4">
        <v>5.1910828025477711</v>
      </c>
      <c r="G493" s="2">
        <f t="shared" si="38"/>
        <v>21.164391865092711</v>
      </c>
      <c r="H493" s="2">
        <f t="shared" si="39"/>
        <v>4.991863568451822</v>
      </c>
      <c r="I493" s="2">
        <f t="shared" si="35"/>
        <v>713.1233669216889</v>
      </c>
      <c r="J493" s="4">
        <f t="shared" si="37"/>
        <v>9.5515941539210516</v>
      </c>
      <c r="K493" s="4">
        <f t="shared" si="36"/>
        <v>1364.5134505601502</v>
      </c>
      <c r="L493">
        <v>7</v>
      </c>
    </row>
    <row r="494" spans="1:12" hidden="1" x14ac:dyDescent="0.3">
      <c r="A494" t="s">
        <v>97</v>
      </c>
      <c r="B494" t="s">
        <v>15</v>
      </c>
      <c r="C494" s="4">
        <v>0.47982689899999997</v>
      </c>
      <c r="D494" s="4">
        <v>0.51</v>
      </c>
      <c r="E494">
        <v>3</v>
      </c>
      <c r="F494" s="4">
        <v>5.4140127388535033</v>
      </c>
      <c r="G494" s="2">
        <f t="shared" si="38"/>
        <v>23.021224920063954</v>
      </c>
      <c r="H494" s="2">
        <f t="shared" si="39"/>
        <v>2.7548853033951417</v>
      </c>
      <c r="I494" s="2">
        <f t="shared" si="35"/>
        <v>393.55504334216312</v>
      </c>
      <c r="J494" s="4">
        <f t="shared" si="37"/>
        <v>9.2934711063329143</v>
      </c>
      <c r="K494" s="4">
        <f t="shared" si="36"/>
        <v>1327.6387294761305</v>
      </c>
      <c r="L494">
        <v>7</v>
      </c>
    </row>
    <row r="495" spans="1:12" hidden="1" x14ac:dyDescent="0.3">
      <c r="A495" t="s">
        <v>97</v>
      </c>
      <c r="B495" t="s">
        <v>15</v>
      </c>
      <c r="C495" s="4">
        <v>0.47982689899999997</v>
      </c>
      <c r="D495" s="4">
        <v>0.51</v>
      </c>
      <c r="E495">
        <v>5</v>
      </c>
      <c r="F495" s="4">
        <v>3.6942675159235665</v>
      </c>
      <c r="G495" s="2">
        <f t="shared" si="38"/>
        <v>10.71880977593012</v>
      </c>
      <c r="H495" s="2">
        <f t="shared" si="39"/>
        <v>2.1508672271791673</v>
      </c>
      <c r="I495" s="2">
        <f t="shared" si="35"/>
        <v>307.26674673988106</v>
      </c>
      <c r="J495" s="4">
        <f t="shared" si="37"/>
        <v>9.2245332183861404</v>
      </c>
      <c r="K495" s="4">
        <f t="shared" si="36"/>
        <v>1317.7904597694487</v>
      </c>
      <c r="L495">
        <v>7</v>
      </c>
    </row>
    <row r="496" spans="1:12" hidden="1" x14ac:dyDescent="0.3">
      <c r="A496" t="s">
        <v>97</v>
      </c>
      <c r="B496" t="s">
        <v>15</v>
      </c>
      <c r="C496" s="4">
        <v>0.47982689899999997</v>
      </c>
      <c r="D496" s="4">
        <v>0.51</v>
      </c>
      <c r="E496">
        <v>3</v>
      </c>
      <c r="F496" s="4">
        <v>6.3057324840764331</v>
      </c>
      <c r="G496" s="2">
        <f t="shared" si="38"/>
        <v>31.229207673570492</v>
      </c>
      <c r="H496" s="2">
        <f t="shared" si="39"/>
        <v>3.709861351547179</v>
      </c>
      <c r="I496" s="2">
        <f t="shared" si="35"/>
        <v>529.98019307816844</v>
      </c>
      <c r="J496" s="4">
        <f t="shared" si="37"/>
        <v>9.4032037526877357</v>
      </c>
      <c r="K496" s="4">
        <f t="shared" si="36"/>
        <v>1343.3148218125336</v>
      </c>
      <c r="L496">
        <v>7</v>
      </c>
    </row>
    <row r="497" spans="1:12" hidden="1" x14ac:dyDescent="0.3">
      <c r="A497" t="s">
        <v>97</v>
      </c>
      <c r="B497" t="s">
        <v>55</v>
      </c>
      <c r="C497" s="4">
        <v>0.52500000000000002</v>
      </c>
      <c r="D497" s="4">
        <v>0.52500000000000002</v>
      </c>
      <c r="E497">
        <v>7.5</v>
      </c>
      <c r="F497" s="4">
        <v>10.636942675159235</v>
      </c>
      <c r="G497" s="2">
        <f t="shared" si="38"/>
        <v>88.863521355801183</v>
      </c>
      <c r="H497" s="2">
        <f t="shared" si="39"/>
        <v>25.899821299348609</v>
      </c>
      <c r="I497" s="2">
        <f t="shared" si="35"/>
        <v>3699.9744713355153</v>
      </c>
      <c r="J497" s="4">
        <f t="shared" si="37"/>
        <v>11.955744423708872</v>
      </c>
      <c r="K497" s="4">
        <f t="shared" si="36"/>
        <v>1707.9634891012672</v>
      </c>
      <c r="L497">
        <v>7</v>
      </c>
    </row>
    <row r="498" spans="1:12" hidden="1" x14ac:dyDescent="0.3">
      <c r="A498" t="s">
        <v>97</v>
      </c>
      <c r="B498" t="s">
        <v>49</v>
      </c>
      <c r="C498" s="4">
        <v>0.57917600000000002</v>
      </c>
      <c r="D498" s="4">
        <v>0.60285714300000004</v>
      </c>
      <c r="E498">
        <v>7</v>
      </c>
      <c r="F498" s="4">
        <v>13.439490445859873</v>
      </c>
      <c r="G498" s="2">
        <f t="shared" si="38"/>
        <v>141.85854043822386</v>
      </c>
      <c r="H498" s="2">
        <f t="shared" si="39"/>
        <v>43.744478927804856</v>
      </c>
      <c r="I498" s="2">
        <f t="shared" si="35"/>
        <v>6249.2112754006939</v>
      </c>
      <c r="J498" s="4">
        <f t="shared" si="37"/>
        <v>13.410887634386789</v>
      </c>
      <c r="K498" s="4">
        <f t="shared" si="36"/>
        <v>1915.841090626684</v>
      </c>
      <c r="L498">
        <v>7</v>
      </c>
    </row>
    <row r="499" spans="1:12" hidden="1" x14ac:dyDescent="0.3">
      <c r="A499" t="s">
        <v>97</v>
      </c>
      <c r="B499" t="s">
        <v>49</v>
      </c>
      <c r="C499" s="4">
        <v>0.57917600000000002</v>
      </c>
      <c r="D499" s="4">
        <v>0.60285714300000004</v>
      </c>
      <c r="E499">
        <v>5.5</v>
      </c>
      <c r="F499" s="4">
        <v>9.0127388535031852</v>
      </c>
      <c r="G499" s="2">
        <f t="shared" si="38"/>
        <v>63.797469986955093</v>
      </c>
      <c r="H499" s="2">
        <f t="shared" si="39"/>
        <v>15.848156947580271</v>
      </c>
      <c r="I499" s="2">
        <f t="shared" si="35"/>
        <v>2264.022421082896</v>
      </c>
      <c r="J499" s="4">
        <f t="shared" si="37"/>
        <v>10.549367136597834</v>
      </c>
      <c r="K499" s="4">
        <f t="shared" si="36"/>
        <v>1507.0524480854049</v>
      </c>
      <c r="L499">
        <v>7</v>
      </c>
    </row>
    <row r="500" spans="1:12" hidden="1" x14ac:dyDescent="0.3">
      <c r="A500" t="s">
        <v>97</v>
      </c>
      <c r="B500" t="s">
        <v>49</v>
      </c>
      <c r="C500" s="4">
        <v>0.57917600000000002</v>
      </c>
      <c r="D500" s="4">
        <v>0.60285714300000004</v>
      </c>
      <c r="E500">
        <v>7</v>
      </c>
      <c r="F500" s="4">
        <v>13.789808917197451</v>
      </c>
      <c r="G500" s="2">
        <f t="shared" si="38"/>
        <v>149.35039581445918</v>
      </c>
      <c r="H500" s="2">
        <f t="shared" si="39"/>
        <v>45.997869535317172</v>
      </c>
      <c r="I500" s="2">
        <f t="shared" si="35"/>
        <v>6571.1242193310245</v>
      </c>
      <c r="J500" s="4">
        <f t="shared" si="37"/>
        <v>13.644591334334049</v>
      </c>
      <c r="K500" s="4">
        <f t="shared" si="36"/>
        <v>1949.2273334762926</v>
      </c>
      <c r="L500">
        <v>7</v>
      </c>
    </row>
    <row r="501" spans="1:12" hidden="1" x14ac:dyDescent="0.3">
      <c r="A501" t="s">
        <v>97</v>
      </c>
      <c r="B501" t="s">
        <v>49</v>
      </c>
      <c r="C501" s="4">
        <v>0.57917600000000002</v>
      </c>
      <c r="D501" s="4">
        <v>0.60285714300000004</v>
      </c>
      <c r="E501">
        <v>6.5</v>
      </c>
      <c r="F501" s="4">
        <v>10.286624203821654</v>
      </c>
      <c r="G501" s="2">
        <f t="shared" si="38"/>
        <v>83.106621961430847</v>
      </c>
      <c r="H501" s="2">
        <f t="shared" si="39"/>
        <v>24.14706860739776</v>
      </c>
      <c r="I501" s="2">
        <f t="shared" si="35"/>
        <v>3449.5812296282515</v>
      </c>
      <c r="J501" s="4">
        <f t="shared" si="37"/>
        <v>11.392983003367275</v>
      </c>
      <c r="K501" s="4">
        <f t="shared" si="36"/>
        <v>1627.5690004810392</v>
      </c>
      <c r="L501">
        <v>7</v>
      </c>
    </row>
    <row r="502" spans="1:12" hidden="1" x14ac:dyDescent="0.3">
      <c r="A502" t="s">
        <v>97</v>
      </c>
      <c r="B502" t="s">
        <v>88</v>
      </c>
      <c r="C502" s="4">
        <v>0.77</v>
      </c>
      <c r="D502" s="4">
        <v>0.77</v>
      </c>
      <c r="E502">
        <v>6</v>
      </c>
      <c r="F502" s="4">
        <v>8.7579617834394909</v>
      </c>
      <c r="G502" s="2">
        <f t="shared" si="38"/>
        <v>60.241527148091237</v>
      </c>
      <c r="H502" s="2">
        <f t="shared" si="39"/>
        <v>20.714591711108412</v>
      </c>
      <c r="I502" s="2">
        <f t="shared" si="35"/>
        <v>2959.2273873012018</v>
      </c>
      <c r="J502" s="4">
        <f t="shared" si="37"/>
        <v>10.596439786603918</v>
      </c>
      <c r="K502" s="4">
        <f t="shared" si="36"/>
        <v>1513.7771123719883</v>
      </c>
      <c r="L502">
        <v>7</v>
      </c>
    </row>
    <row r="503" spans="1:12" hidden="1" x14ac:dyDescent="0.3">
      <c r="A503" t="s">
        <v>97</v>
      </c>
      <c r="B503" t="s">
        <v>88</v>
      </c>
      <c r="C503" s="4">
        <v>0.77</v>
      </c>
      <c r="D503" s="4">
        <v>0.77</v>
      </c>
      <c r="E503">
        <v>5.5</v>
      </c>
      <c r="F503" s="4">
        <v>9.6178343949044578</v>
      </c>
      <c r="G503" s="2">
        <f t="shared" si="38"/>
        <v>72.651480886142309</v>
      </c>
      <c r="H503" s="2">
        <f t="shared" si="39"/>
        <v>22.844984964112285</v>
      </c>
      <c r="I503" s="2">
        <f t="shared" si="35"/>
        <v>3263.5692805874692</v>
      </c>
      <c r="J503" s="4">
        <f t="shared" si="37"/>
        <v>10.766377715120289</v>
      </c>
      <c r="K503" s="4">
        <f t="shared" si="36"/>
        <v>1538.0539593028984</v>
      </c>
      <c r="L503">
        <v>7</v>
      </c>
    </row>
    <row r="504" spans="1:12" hidden="1" x14ac:dyDescent="0.3">
      <c r="A504" t="s">
        <v>97</v>
      </c>
      <c r="B504" t="s">
        <v>88</v>
      </c>
      <c r="C504" s="4">
        <v>0.77</v>
      </c>
      <c r="D504" s="4">
        <v>0.77</v>
      </c>
      <c r="E504">
        <v>7</v>
      </c>
      <c r="F504" s="4">
        <v>10.828025477707007</v>
      </c>
      <c r="G504" s="2">
        <f t="shared" si="38"/>
        <v>92.084899680255816</v>
      </c>
      <c r="H504" s="2">
        <f t="shared" si="39"/>
        <v>36.43223981940433</v>
      </c>
      <c r="I504" s="2">
        <f t="shared" si="35"/>
        <v>5204.6056884863328</v>
      </c>
      <c r="J504" s="4">
        <f t="shared" si="37"/>
        <v>11.858230325773865</v>
      </c>
      <c r="K504" s="4">
        <f t="shared" si="36"/>
        <v>1694.0329036819808</v>
      </c>
      <c r="L504">
        <v>7</v>
      </c>
    </row>
    <row r="505" spans="1:12" hidden="1" x14ac:dyDescent="0.3">
      <c r="A505" t="s">
        <v>98</v>
      </c>
      <c r="B505" t="s">
        <v>92</v>
      </c>
      <c r="C505" s="4">
        <v>0.80803492399999999</v>
      </c>
      <c r="D505" s="4">
        <v>0.87275320499999998</v>
      </c>
      <c r="E505">
        <v>8</v>
      </c>
      <c r="F505" s="1">
        <v>11.656050955414013</v>
      </c>
      <c r="G505" s="2">
        <f t="shared" si="38"/>
        <v>106.70696212429367</v>
      </c>
      <c r="H505" s="2">
        <f t="shared" si="39"/>
        <v>54.15634605250213</v>
      </c>
      <c r="I505" s="2">
        <f t="shared" si="35"/>
        <v>7736.6208646431614</v>
      </c>
      <c r="J505" s="4">
        <f t="shared" si="37"/>
        <v>12.789878668505821</v>
      </c>
      <c r="K505" s="4">
        <f t="shared" si="36"/>
        <v>1827.1255240722603</v>
      </c>
      <c r="L505">
        <v>7</v>
      </c>
    </row>
    <row r="506" spans="1:12" hidden="1" x14ac:dyDescent="0.3">
      <c r="A506" t="s">
        <v>98</v>
      </c>
      <c r="B506" t="s">
        <v>99</v>
      </c>
      <c r="C506" s="4">
        <v>0.60064078700000001</v>
      </c>
      <c r="D506" s="4">
        <v>0.66733333299999997</v>
      </c>
      <c r="E506">
        <v>6.8</v>
      </c>
      <c r="F506" s="1">
        <v>3.5987261146496814</v>
      </c>
      <c r="G506" s="2">
        <f t="shared" si="38"/>
        <v>10.171557820217876</v>
      </c>
      <c r="H506" s="2">
        <f t="shared" si="39"/>
        <v>3.5867805185081227</v>
      </c>
      <c r="I506" s="2">
        <f t="shared" si="35"/>
        <v>512.39721692973183</v>
      </c>
      <c r="J506" s="4">
        <f t="shared" si="37"/>
        <v>9.2939297456286258</v>
      </c>
      <c r="K506" s="4">
        <f t="shared" si="36"/>
        <v>1327.704249375518</v>
      </c>
      <c r="L506">
        <v>7</v>
      </c>
    </row>
    <row r="507" spans="1:12" hidden="1" x14ac:dyDescent="0.3">
      <c r="A507" t="s">
        <v>98</v>
      </c>
      <c r="B507" t="s">
        <v>55</v>
      </c>
      <c r="C507" s="4">
        <v>0.52500000000000002</v>
      </c>
      <c r="D507" s="4">
        <v>0.52500000000000002</v>
      </c>
      <c r="E507">
        <v>7</v>
      </c>
      <c r="F507" s="1">
        <v>7.4203821656050959</v>
      </c>
      <c r="G507" s="2">
        <f t="shared" si="38"/>
        <v>43.245649816102144</v>
      </c>
      <c r="H507" s="2">
        <f t="shared" si="39"/>
        <v>11.988871800097517</v>
      </c>
      <c r="I507" s="2">
        <f t="shared" si="35"/>
        <v>1712.6959714425025</v>
      </c>
      <c r="J507" s="4">
        <f t="shared" si="37"/>
        <v>10.334720751348939</v>
      </c>
      <c r="K507" s="4">
        <f t="shared" si="36"/>
        <v>1476.3886787641343</v>
      </c>
      <c r="L507">
        <v>7</v>
      </c>
    </row>
    <row r="508" spans="1:12" hidden="1" x14ac:dyDescent="0.3">
      <c r="A508" t="s">
        <v>98</v>
      </c>
      <c r="B508" t="s">
        <v>55</v>
      </c>
      <c r="C508" s="4">
        <v>0.52500000000000002</v>
      </c>
      <c r="D508" s="4">
        <v>0.52500000000000002</v>
      </c>
      <c r="E508">
        <v>3.2</v>
      </c>
      <c r="F508" s="1">
        <v>6.2738853503184719</v>
      </c>
      <c r="G508" s="2">
        <f t="shared" si="38"/>
        <v>30.914557713590387</v>
      </c>
      <c r="H508" s="2">
        <f t="shared" si="39"/>
        <v>4.0244665646658033</v>
      </c>
      <c r="I508" s="2">
        <f t="shared" si="35"/>
        <v>574.92379495225759</v>
      </c>
      <c r="J508" s="4">
        <f t="shared" si="37"/>
        <v>9.4265503387561367</v>
      </c>
      <c r="K508" s="4">
        <f t="shared" si="36"/>
        <v>1346.6500483937339</v>
      </c>
      <c r="L508">
        <v>7</v>
      </c>
    </row>
    <row r="509" spans="1:12" hidden="1" x14ac:dyDescent="0.3">
      <c r="A509" t="s">
        <v>98</v>
      </c>
      <c r="B509" t="s">
        <v>55</v>
      </c>
      <c r="C509" s="4">
        <v>0.52500000000000002</v>
      </c>
      <c r="D509" s="4">
        <v>0.52500000000000002</v>
      </c>
      <c r="E509">
        <v>6</v>
      </c>
      <c r="F509" s="1">
        <v>8.4713375796178347</v>
      </c>
      <c r="G509" s="2">
        <f t="shared" si="38"/>
        <v>56.362968527475616</v>
      </c>
      <c r="H509" s="2">
        <f t="shared" si="39"/>
        <v>13.357600376132917</v>
      </c>
      <c r="I509" s="2">
        <f t="shared" si="35"/>
        <v>1908.228625161845</v>
      </c>
      <c r="J509" s="4">
        <f t="shared" si="37"/>
        <v>10.492734768144752</v>
      </c>
      <c r="K509" s="4">
        <f t="shared" si="36"/>
        <v>1498.9621097349645</v>
      </c>
      <c r="L509">
        <v>7</v>
      </c>
    </row>
    <row r="510" spans="1:12" hidden="1" x14ac:dyDescent="0.3">
      <c r="A510" t="s">
        <v>98</v>
      </c>
      <c r="B510" t="s">
        <v>41</v>
      </c>
      <c r="C510" s="4">
        <v>0.56193137999999998</v>
      </c>
      <c r="D510" s="4">
        <v>0.57808694400000005</v>
      </c>
      <c r="E510">
        <v>3.5</v>
      </c>
      <c r="F510" s="1">
        <v>8.9171974522292992</v>
      </c>
      <c r="G510" s="2">
        <f t="shared" si="38"/>
        <v>62.452042689723655</v>
      </c>
      <c r="H510" s="2">
        <f t="shared" si="39"/>
        <v>9.5846576428635615</v>
      </c>
      <c r="I510" s="2">
        <f t="shared" si="35"/>
        <v>1369.236806123366</v>
      </c>
      <c r="J510" s="4">
        <f t="shared" si="37"/>
        <v>9.9597760274250469</v>
      </c>
      <c r="K510" s="4">
        <f t="shared" si="36"/>
        <v>1422.8251467750067</v>
      </c>
      <c r="L510">
        <v>7</v>
      </c>
    </row>
    <row r="511" spans="1:12" hidden="1" x14ac:dyDescent="0.3">
      <c r="A511" t="s">
        <v>98</v>
      </c>
      <c r="B511" t="s">
        <v>41</v>
      </c>
      <c r="C511" s="4">
        <v>0.56193137999999998</v>
      </c>
      <c r="D511" s="4">
        <v>0.57808694400000005</v>
      </c>
      <c r="E511">
        <v>6</v>
      </c>
      <c r="F511" s="1">
        <v>28.757961783439487</v>
      </c>
      <c r="G511" s="2">
        <f t="shared" si="38"/>
        <v>649.54027649980708</v>
      </c>
      <c r="H511" s="2">
        <f t="shared" si="39"/>
        <v>159.47471156090029</v>
      </c>
      <c r="I511" s="2">
        <f t="shared" si="35"/>
        <v>22782.101651557186</v>
      </c>
      <c r="J511" s="4">
        <f t="shared" si="37"/>
        <v>26.353127684693092</v>
      </c>
      <c r="K511" s="4">
        <f t="shared" si="36"/>
        <v>3764.7325263847274</v>
      </c>
      <c r="L511">
        <v>7</v>
      </c>
    </row>
    <row r="512" spans="1:12" hidden="1" x14ac:dyDescent="0.3">
      <c r="A512" t="s">
        <v>98</v>
      </c>
      <c r="B512" t="s">
        <v>41</v>
      </c>
      <c r="C512" s="4">
        <v>0.56193137999999998</v>
      </c>
      <c r="D512" s="4">
        <v>0.57808694400000005</v>
      </c>
      <c r="E512">
        <v>5</v>
      </c>
      <c r="F512" s="1">
        <v>18.121019108280255</v>
      </c>
      <c r="G512" s="2">
        <f t="shared" si="38"/>
        <v>257.90224226106665</v>
      </c>
      <c r="H512" s="2">
        <f t="shared" si="39"/>
        <v>54.186061374582977</v>
      </c>
      <c r="I512" s="2">
        <f t="shared" si="35"/>
        <v>7740.8659106547111</v>
      </c>
      <c r="J512" s="4">
        <f t="shared" si="37"/>
        <v>14.732198336646517</v>
      </c>
      <c r="K512" s="4">
        <f t="shared" si="36"/>
        <v>2104.599762378074</v>
      </c>
      <c r="L512">
        <v>7</v>
      </c>
    </row>
    <row r="513" spans="1:12" hidden="1" x14ac:dyDescent="0.3">
      <c r="A513" t="s">
        <v>98</v>
      </c>
      <c r="B513" t="s">
        <v>41</v>
      </c>
      <c r="C513" s="4">
        <v>0.56193137999999998</v>
      </c>
      <c r="D513" s="4">
        <v>0.57808694400000005</v>
      </c>
      <c r="E513">
        <v>6</v>
      </c>
      <c r="F513" s="1">
        <v>19.554140127388536</v>
      </c>
      <c r="G513" s="2">
        <f t="shared" si="38"/>
        <v>300.308294462437</v>
      </c>
      <c r="H513" s="2">
        <f t="shared" si="39"/>
        <v>75.109348890953768</v>
      </c>
      <c r="I513" s="2">
        <f t="shared" si="35"/>
        <v>10729.906984421967</v>
      </c>
      <c r="J513" s="4">
        <f t="shared" si="37"/>
        <v>17.015352318552477</v>
      </c>
      <c r="K513" s="4">
        <f t="shared" si="36"/>
        <v>2430.7646169360678</v>
      </c>
      <c r="L513">
        <v>7</v>
      </c>
    </row>
    <row r="514" spans="1:12" hidden="1" x14ac:dyDescent="0.3">
      <c r="A514" t="s">
        <v>98</v>
      </c>
      <c r="B514" t="s">
        <v>56</v>
      </c>
      <c r="C514" s="4">
        <v>0.39984676499999999</v>
      </c>
      <c r="D514" s="4">
        <v>0.450333333</v>
      </c>
      <c r="E514">
        <v>8</v>
      </c>
      <c r="F514" s="1">
        <v>14.426751592356686</v>
      </c>
      <c r="G514" s="2">
        <f t="shared" si="38"/>
        <v>163.46583199382016</v>
      </c>
      <c r="H514" s="2">
        <f t="shared" si="39"/>
        <v>43.050399357276426</v>
      </c>
      <c r="I514" s="2">
        <f t="shared" ref="I514:I577" si="40">(H514*1000)/L514</f>
        <v>6150.0570510394891</v>
      </c>
      <c r="J514" s="4">
        <f t="shared" si="37"/>
        <v>14.813372522211854</v>
      </c>
      <c r="K514" s="4">
        <f t="shared" ref="K514:K577" si="41">(J514*1000)/L514</f>
        <v>2116.1960746016935</v>
      </c>
      <c r="L514">
        <v>7</v>
      </c>
    </row>
    <row r="515" spans="1:12" hidden="1" x14ac:dyDescent="0.3">
      <c r="A515" t="s">
        <v>98</v>
      </c>
      <c r="B515" t="s">
        <v>56</v>
      </c>
      <c r="C515" s="4">
        <v>0.39984676499999999</v>
      </c>
      <c r="D515" s="4">
        <v>0.450333333</v>
      </c>
      <c r="E515">
        <v>7</v>
      </c>
      <c r="F515" s="1">
        <v>27.452229299363054</v>
      </c>
      <c r="G515" s="2">
        <f t="shared" si="38"/>
        <v>591.89560724927321</v>
      </c>
      <c r="H515" s="2">
        <f t="shared" si="39"/>
        <v>132.67330162488199</v>
      </c>
      <c r="I515" s="2">
        <f t="shared" si="40"/>
        <v>18953.328803554567</v>
      </c>
      <c r="J515" s="4">
        <f t="shared" ref="J515:J578" si="42">8.9857 + 0.0035 * F515^2 * E515</f>
        <v>27.44950989086778</v>
      </c>
      <c r="K515" s="4">
        <f t="shared" si="41"/>
        <v>3921.3585558382542</v>
      </c>
      <c r="L515">
        <v>7</v>
      </c>
    </row>
    <row r="516" spans="1:12" hidden="1" x14ac:dyDescent="0.3">
      <c r="A516" t="s">
        <v>98</v>
      </c>
      <c r="B516" t="s">
        <v>56</v>
      </c>
      <c r="C516" s="4">
        <v>0.39984676499999999</v>
      </c>
      <c r="D516" s="4">
        <v>0.450333333</v>
      </c>
      <c r="E516">
        <v>7.5</v>
      </c>
      <c r="F516" s="1">
        <v>20.859872611464969</v>
      </c>
      <c r="G516" s="2">
        <f t="shared" ref="G516:G579" si="43">PI()*(F516/2)^2</f>
        <v>341.75366855814667</v>
      </c>
      <c r="H516" s="2">
        <f t="shared" ref="H516:H579" si="44">0.0673 * ((D516 * F516^2 * E516)^0.976)</f>
        <v>83.027216344309196</v>
      </c>
      <c r="I516" s="2">
        <f t="shared" si="40"/>
        <v>11861.030906329886</v>
      </c>
      <c r="J516" s="4">
        <f t="shared" si="42"/>
        <v>20.407974990871843</v>
      </c>
      <c r="K516" s="4">
        <f t="shared" si="41"/>
        <v>2915.4249986959776</v>
      </c>
      <c r="L516">
        <v>7</v>
      </c>
    </row>
    <row r="517" spans="1:12" hidden="1" x14ac:dyDescent="0.3">
      <c r="A517" t="s">
        <v>98</v>
      </c>
      <c r="B517" t="s">
        <v>49</v>
      </c>
      <c r="C517" s="4">
        <v>0.57917600000000002</v>
      </c>
      <c r="D517" s="4">
        <v>0.60285714300000004</v>
      </c>
      <c r="E517">
        <v>5</v>
      </c>
      <c r="F517" s="1">
        <v>10.095541401273884</v>
      </c>
      <c r="G517" s="2">
        <f t="shared" si="43"/>
        <v>80.047746401117848</v>
      </c>
      <c r="H517" s="2">
        <f t="shared" si="44"/>
        <v>18.020218825252794</v>
      </c>
      <c r="I517" s="2">
        <f t="shared" si="40"/>
        <v>2574.316975036113</v>
      </c>
      <c r="J517" s="4">
        <f t="shared" si="42"/>
        <v>10.769299233234612</v>
      </c>
      <c r="K517" s="4">
        <f t="shared" si="41"/>
        <v>1538.4713190335162</v>
      </c>
      <c r="L517">
        <v>7</v>
      </c>
    </row>
    <row r="518" spans="1:12" hidden="1" x14ac:dyDescent="0.3">
      <c r="A518" t="s">
        <v>98</v>
      </c>
      <c r="B518" t="s">
        <v>49</v>
      </c>
      <c r="C518" s="4">
        <v>0.57917600000000002</v>
      </c>
      <c r="D518" s="4">
        <v>0.60285714300000004</v>
      </c>
      <c r="E518">
        <v>7</v>
      </c>
      <c r="F518" s="1">
        <v>16.878980891719745</v>
      </c>
      <c r="G518" s="2">
        <f t="shared" si="43"/>
        <v>223.75993356560429</v>
      </c>
      <c r="H518" s="2">
        <f t="shared" si="44"/>
        <v>68.249557647187842</v>
      </c>
      <c r="I518" s="2">
        <f t="shared" si="40"/>
        <v>9749.9368067411215</v>
      </c>
      <c r="J518" s="4">
        <f t="shared" si="42"/>
        <v>15.965749900604486</v>
      </c>
      <c r="K518" s="4">
        <f t="shared" si="41"/>
        <v>2280.8214143720693</v>
      </c>
      <c r="L518">
        <v>7</v>
      </c>
    </row>
    <row r="519" spans="1:12" hidden="1" x14ac:dyDescent="0.3">
      <c r="A519" t="s">
        <v>98</v>
      </c>
      <c r="B519" t="s">
        <v>49</v>
      </c>
      <c r="C519" s="4">
        <v>0.57917600000000002</v>
      </c>
      <c r="D519" s="4">
        <v>0.60285714300000004</v>
      </c>
      <c r="E519">
        <v>7</v>
      </c>
      <c r="F519" s="1">
        <v>11.242038216560509</v>
      </c>
      <c r="G519" s="2">
        <f t="shared" si="43"/>
        <v>99.261308514333876</v>
      </c>
      <c r="H519" s="2">
        <f t="shared" si="44"/>
        <v>30.87234140930153</v>
      </c>
      <c r="I519" s="2">
        <f t="shared" si="40"/>
        <v>4410.3344870430756</v>
      </c>
      <c r="J519" s="4">
        <f t="shared" si="42"/>
        <v>12.082093869933871</v>
      </c>
      <c r="K519" s="4">
        <f t="shared" si="41"/>
        <v>1726.0134099905531</v>
      </c>
      <c r="L519">
        <v>7</v>
      </c>
    </row>
    <row r="520" spans="1:12" hidden="1" x14ac:dyDescent="0.3">
      <c r="A520" t="s">
        <v>100</v>
      </c>
      <c r="B520" t="s">
        <v>85</v>
      </c>
      <c r="C520" s="4">
        <v>0.6</v>
      </c>
      <c r="D520" s="4">
        <v>0.66674999999999995</v>
      </c>
      <c r="E520">
        <v>7</v>
      </c>
      <c r="F520" s="1">
        <v>15.891719745222929</v>
      </c>
      <c r="G520" s="2">
        <f t="shared" si="43"/>
        <v>198.34975869622295</v>
      </c>
      <c r="H520" s="2">
        <f t="shared" si="44"/>
        <v>66.942858811652002</v>
      </c>
      <c r="I520" s="2">
        <f t="shared" si="40"/>
        <v>9563.2655445217133</v>
      </c>
      <c r="J520" s="4">
        <f t="shared" si="42"/>
        <v>15.173095533287354</v>
      </c>
      <c r="K520" s="4">
        <f t="shared" si="41"/>
        <v>2167.5850761839079</v>
      </c>
      <c r="L520">
        <v>7</v>
      </c>
    </row>
    <row r="521" spans="1:12" hidden="1" x14ac:dyDescent="0.3">
      <c r="A521" t="s">
        <v>100</v>
      </c>
      <c r="B521" t="s">
        <v>55</v>
      </c>
      <c r="C521" s="4">
        <v>0.52500000000000002</v>
      </c>
      <c r="D521" s="4">
        <v>0.52500000000000002</v>
      </c>
      <c r="E521">
        <v>7</v>
      </c>
      <c r="F521" s="1">
        <v>22.579617834394906</v>
      </c>
      <c r="G521" s="2">
        <f t="shared" si="43"/>
        <v>400.42672539940037</v>
      </c>
      <c r="H521" s="2">
        <f t="shared" si="44"/>
        <v>105.23519483020033</v>
      </c>
      <c r="I521" s="2">
        <f t="shared" si="40"/>
        <v>15033.59926145719</v>
      </c>
      <c r="J521" s="4">
        <f t="shared" si="42"/>
        <v>21.476758967909451</v>
      </c>
      <c r="K521" s="4">
        <f t="shared" si="41"/>
        <v>3068.1084239870643</v>
      </c>
      <c r="L521">
        <v>7</v>
      </c>
    </row>
    <row r="522" spans="1:12" hidden="1" x14ac:dyDescent="0.3">
      <c r="A522" t="s">
        <v>100</v>
      </c>
      <c r="B522" t="s">
        <v>55</v>
      </c>
      <c r="C522" s="4">
        <v>0.52500000000000002</v>
      </c>
      <c r="D522" s="4">
        <v>0.52500000000000002</v>
      </c>
      <c r="E522">
        <v>8</v>
      </c>
      <c r="F522" s="1">
        <v>13.789808917197451</v>
      </c>
      <c r="G522" s="2">
        <f t="shared" si="43"/>
        <v>149.35039581445918</v>
      </c>
      <c r="H522" s="2">
        <f t="shared" si="44"/>
        <v>45.785090008067051</v>
      </c>
      <c r="I522" s="2">
        <f t="shared" si="40"/>
        <v>6540.7271440095792</v>
      </c>
      <c r="J522" s="4">
        <f t="shared" si="42"/>
        <v>14.310147239238914</v>
      </c>
      <c r="K522" s="4">
        <f t="shared" si="41"/>
        <v>2044.306748462702</v>
      </c>
      <c r="L522">
        <v>7</v>
      </c>
    </row>
    <row r="523" spans="1:12" hidden="1" x14ac:dyDescent="0.3">
      <c r="A523" t="s">
        <v>100</v>
      </c>
      <c r="B523" t="s">
        <v>41</v>
      </c>
      <c r="C523" s="4">
        <v>0.56193137999999998</v>
      </c>
      <c r="D523" s="4">
        <v>0.57808694400000005</v>
      </c>
      <c r="E523">
        <v>8</v>
      </c>
      <c r="F523" s="1">
        <v>13.917197452229299</v>
      </c>
      <c r="G523" s="2">
        <f t="shared" si="43"/>
        <v>152.12250179099283</v>
      </c>
      <c r="H523" s="2">
        <f t="shared" si="44"/>
        <v>51.209355333781005</v>
      </c>
      <c r="I523" s="2">
        <f t="shared" si="40"/>
        <v>7315.6221905401444</v>
      </c>
      <c r="J523" s="4">
        <f t="shared" si="42"/>
        <v>14.408974777881454</v>
      </c>
      <c r="K523" s="4">
        <f t="shared" si="41"/>
        <v>2058.4249682687791</v>
      </c>
      <c r="L523">
        <v>7</v>
      </c>
    </row>
    <row r="524" spans="1:12" hidden="1" x14ac:dyDescent="0.3">
      <c r="A524" t="s">
        <v>100</v>
      </c>
      <c r="B524" t="s">
        <v>41</v>
      </c>
      <c r="C524" s="4">
        <v>0.56193137999999998</v>
      </c>
      <c r="D524" s="4">
        <v>0.57808694400000005</v>
      </c>
      <c r="E524">
        <v>3.5</v>
      </c>
      <c r="F524" s="1">
        <v>6.401273885350319</v>
      </c>
      <c r="G524" s="2">
        <f t="shared" si="43"/>
        <v>32.182716539636814</v>
      </c>
      <c r="H524" s="2">
        <f t="shared" si="44"/>
        <v>5.0183717725486581</v>
      </c>
      <c r="I524" s="2">
        <f t="shared" si="40"/>
        <v>716.91025322123676</v>
      </c>
      <c r="J524" s="4">
        <f t="shared" si="42"/>
        <v>9.4876597651020322</v>
      </c>
      <c r="K524" s="4">
        <f t="shared" si="41"/>
        <v>1355.3799664431476</v>
      </c>
      <c r="L524">
        <v>7</v>
      </c>
    </row>
    <row r="525" spans="1:12" hidden="1" x14ac:dyDescent="0.3">
      <c r="A525" t="s">
        <v>100</v>
      </c>
      <c r="B525" t="s">
        <v>56</v>
      </c>
      <c r="C525" s="4">
        <v>0.39984676499999999</v>
      </c>
      <c r="D525" s="4">
        <v>0.450333333</v>
      </c>
      <c r="E525">
        <v>15</v>
      </c>
      <c r="F525" s="1">
        <v>37.420382165605091</v>
      </c>
      <c r="G525" s="2">
        <f t="shared" si="43"/>
        <v>1099.7812683482107</v>
      </c>
      <c r="H525" s="2">
        <f t="shared" si="44"/>
        <v>511.01853356662838</v>
      </c>
      <c r="I525" s="2">
        <f t="shared" si="40"/>
        <v>73002.647652375483</v>
      </c>
      <c r="J525" s="4">
        <f t="shared" si="42"/>
        <v>82.50066257454661</v>
      </c>
      <c r="K525" s="4">
        <f t="shared" si="41"/>
        <v>11785.808939220946</v>
      </c>
      <c r="L525">
        <v>7</v>
      </c>
    </row>
    <row r="526" spans="1:12" hidden="1" x14ac:dyDescent="0.3">
      <c r="A526" t="s">
        <v>100</v>
      </c>
      <c r="B526" t="s">
        <v>56</v>
      </c>
      <c r="C526" s="4">
        <v>0.39984676499999999</v>
      </c>
      <c r="D526" s="4">
        <v>0.450333333</v>
      </c>
      <c r="E526">
        <v>12</v>
      </c>
      <c r="F526" s="1">
        <v>36.337579617834393</v>
      </c>
      <c r="G526" s="2">
        <f t="shared" si="43"/>
        <v>1037.0552013895424</v>
      </c>
      <c r="H526" s="2">
        <f t="shared" si="44"/>
        <v>388.11474363594721</v>
      </c>
      <c r="I526" s="2">
        <f t="shared" si="40"/>
        <v>55444.963376563894</v>
      </c>
      <c r="J526" s="4">
        <f t="shared" si="42"/>
        <v>64.443327084263046</v>
      </c>
      <c r="K526" s="4">
        <f t="shared" si="41"/>
        <v>9206.18958346615</v>
      </c>
      <c r="L526">
        <v>7</v>
      </c>
    </row>
    <row r="527" spans="1:12" hidden="1" x14ac:dyDescent="0.3">
      <c r="A527" t="s">
        <v>100</v>
      </c>
      <c r="B527" t="s">
        <v>56</v>
      </c>
      <c r="C527" s="4">
        <v>0.39984676499999999</v>
      </c>
      <c r="D527" s="4">
        <v>0.450333333</v>
      </c>
      <c r="E527">
        <v>10</v>
      </c>
      <c r="F527" s="1">
        <v>16.433121019108281</v>
      </c>
      <c r="G527" s="2">
        <f t="shared" si="43"/>
        <v>212.09478416320235</v>
      </c>
      <c r="H527" s="2">
        <f t="shared" si="44"/>
        <v>69.016015805219212</v>
      </c>
      <c r="I527" s="2">
        <f t="shared" si="40"/>
        <v>9859.4308293170307</v>
      </c>
      <c r="J527" s="4">
        <f t="shared" si="42"/>
        <v>18.437361325003042</v>
      </c>
      <c r="K527" s="4">
        <f t="shared" si="41"/>
        <v>2633.9087607147203</v>
      </c>
      <c r="L527">
        <v>7</v>
      </c>
    </row>
    <row r="528" spans="1:12" hidden="1" x14ac:dyDescent="0.3">
      <c r="A528" t="s">
        <v>100</v>
      </c>
      <c r="B528" t="s">
        <v>56</v>
      </c>
      <c r="C528" s="4">
        <v>0.39984676499999999</v>
      </c>
      <c r="D528" s="4">
        <v>0.450333333</v>
      </c>
      <c r="E528">
        <v>11</v>
      </c>
      <c r="F528" s="1">
        <v>21.464968152866241</v>
      </c>
      <c r="G528" s="2">
        <f t="shared" si="43"/>
        <v>361.86816511373604</v>
      </c>
      <c r="H528" s="2">
        <f t="shared" si="44"/>
        <v>127.58541942495653</v>
      </c>
      <c r="I528" s="2">
        <f t="shared" si="40"/>
        <v>18226.488489279505</v>
      </c>
      <c r="J528" s="4">
        <f t="shared" si="42"/>
        <v>26.724377025437136</v>
      </c>
      <c r="K528" s="4">
        <f t="shared" si="41"/>
        <v>3817.7681464910193</v>
      </c>
      <c r="L528">
        <v>7</v>
      </c>
    </row>
    <row r="529" spans="1:12" hidden="1" x14ac:dyDescent="0.3">
      <c r="A529" t="s">
        <v>100</v>
      </c>
      <c r="B529" t="s">
        <v>78</v>
      </c>
      <c r="C529" s="4">
        <v>0.43538739399999998</v>
      </c>
      <c r="D529" s="4">
        <v>0.568333333</v>
      </c>
      <c r="E529">
        <v>7.5</v>
      </c>
      <c r="F529" s="1">
        <v>10.382165605095542</v>
      </c>
      <c r="G529" s="2">
        <f t="shared" si="43"/>
        <v>84.657567460370842</v>
      </c>
      <c r="H529" s="2">
        <f t="shared" si="44"/>
        <v>26.690800112160559</v>
      </c>
      <c r="I529" s="2">
        <f t="shared" si="40"/>
        <v>3812.9714445943655</v>
      </c>
      <c r="J529" s="4">
        <f t="shared" si="42"/>
        <v>11.815170769605258</v>
      </c>
      <c r="K529" s="4">
        <f t="shared" si="41"/>
        <v>1687.8815385150369</v>
      </c>
      <c r="L529">
        <v>7</v>
      </c>
    </row>
    <row r="530" spans="1:12" hidden="1" x14ac:dyDescent="0.3">
      <c r="A530" t="s">
        <v>100</v>
      </c>
      <c r="B530" t="s">
        <v>49</v>
      </c>
      <c r="C530" s="4">
        <v>0.57917600000000002</v>
      </c>
      <c r="D530" s="4">
        <v>0.60285714300000004</v>
      </c>
      <c r="E530">
        <v>10</v>
      </c>
      <c r="F530" s="1">
        <v>46.146496815286625</v>
      </c>
      <c r="G530" s="2">
        <f t="shared" si="43"/>
        <v>1672.5047357574811</v>
      </c>
      <c r="H530" s="2">
        <f t="shared" si="44"/>
        <v>688.49873208127281</v>
      </c>
      <c r="I530" s="2">
        <f t="shared" si="40"/>
        <v>98356.961725896108</v>
      </c>
      <c r="J530" s="4">
        <f t="shared" si="42"/>
        <v>83.518170891314057</v>
      </c>
      <c r="K530" s="4">
        <f t="shared" si="41"/>
        <v>11931.167270187723</v>
      </c>
      <c r="L530">
        <v>7</v>
      </c>
    </row>
    <row r="531" spans="1:12" hidden="1" x14ac:dyDescent="0.3">
      <c r="A531" t="s">
        <v>100</v>
      </c>
      <c r="B531" t="s">
        <v>49</v>
      </c>
      <c r="C531" s="4">
        <v>0.57917600000000002</v>
      </c>
      <c r="D531" s="4">
        <v>0.60285714300000004</v>
      </c>
      <c r="E531">
        <v>6</v>
      </c>
      <c r="F531" s="1">
        <v>11.305732484076433</v>
      </c>
      <c r="G531" s="2">
        <f t="shared" si="43"/>
        <v>100.3892688771993</v>
      </c>
      <c r="H531" s="2">
        <f t="shared" si="44"/>
        <v>26.854620651453484</v>
      </c>
      <c r="I531" s="2">
        <f t="shared" si="40"/>
        <v>3836.374378779069</v>
      </c>
      <c r="J531" s="4">
        <f t="shared" si="42"/>
        <v>11.669911327031523</v>
      </c>
      <c r="K531" s="4">
        <f t="shared" si="41"/>
        <v>1667.1301895759318</v>
      </c>
      <c r="L531">
        <v>7</v>
      </c>
    </row>
    <row r="532" spans="1:12" hidden="1" x14ac:dyDescent="0.3">
      <c r="A532" t="s">
        <v>100</v>
      </c>
      <c r="B532" t="s">
        <v>49</v>
      </c>
      <c r="C532" s="4">
        <v>0.57917600000000002</v>
      </c>
      <c r="D532" s="4">
        <v>0.60285714300000004</v>
      </c>
      <c r="E532">
        <v>6</v>
      </c>
      <c r="F532" s="1">
        <v>24.363057324840764</v>
      </c>
      <c r="G532" s="2">
        <f t="shared" si="43"/>
        <v>466.17980463129504</v>
      </c>
      <c r="H532" s="2">
        <f t="shared" si="44"/>
        <v>120.19333845093855</v>
      </c>
      <c r="I532" s="2">
        <f t="shared" si="40"/>
        <v>17170.476921562651</v>
      </c>
      <c r="J532" s="4">
        <f t="shared" si="42"/>
        <v>21.450429806483022</v>
      </c>
      <c r="K532" s="4">
        <f t="shared" si="41"/>
        <v>3064.3471152118605</v>
      </c>
      <c r="L532">
        <v>7</v>
      </c>
    </row>
    <row r="533" spans="1:12" hidden="1" x14ac:dyDescent="0.3">
      <c r="A533" t="s">
        <v>100</v>
      </c>
      <c r="B533" t="s">
        <v>49</v>
      </c>
      <c r="C533" s="4">
        <v>0.57917600000000002</v>
      </c>
      <c r="D533" s="4">
        <v>0.60285714300000004</v>
      </c>
      <c r="E533">
        <v>8.4</v>
      </c>
      <c r="F533" s="1">
        <v>11.942675159235668</v>
      </c>
      <c r="G533" s="2">
        <f t="shared" si="43"/>
        <v>112.01936866380598</v>
      </c>
      <c r="H533" s="2">
        <f t="shared" si="44"/>
        <v>41.505272942932528</v>
      </c>
      <c r="I533" s="2">
        <f t="shared" si="40"/>
        <v>5929.3247061332177</v>
      </c>
      <c r="J533" s="4">
        <f t="shared" si="42"/>
        <v>13.178948204795326</v>
      </c>
      <c r="K533" s="4">
        <f t="shared" si="41"/>
        <v>1882.7068863993322</v>
      </c>
      <c r="L533">
        <v>7</v>
      </c>
    </row>
    <row r="534" spans="1:12" hidden="1" x14ac:dyDescent="0.3">
      <c r="A534" t="s">
        <v>101</v>
      </c>
      <c r="B534" t="s">
        <v>51</v>
      </c>
      <c r="C534" s="4">
        <v>0.40257753800000001</v>
      </c>
      <c r="D534" s="4">
        <v>0.40843333300000001</v>
      </c>
      <c r="E534">
        <v>5</v>
      </c>
      <c r="F534" s="1">
        <v>5.5095541401273884</v>
      </c>
      <c r="G534" s="2">
        <f t="shared" si="43"/>
        <v>23.840907980366573</v>
      </c>
      <c r="H534" s="2">
        <f t="shared" si="44"/>
        <v>3.7785343866451409</v>
      </c>
      <c r="I534" s="2">
        <f t="shared" si="40"/>
        <v>755.7068773290282</v>
      </c>
      <c r="J534" s="4">
        <f t="shared" si="42"/>
        <v>9.5169157694024094</v>
      </c>
      <c r="K534" s="4">
        <f t="shared" si="41"/>
        <v>1903.3831538804818</v>
      </c>
      <c r="L534">
        <v>5</v>
      </c>
    </row>
    <row r="535" spans="1:12" hidden="1" x14ac:dyDescent="0.3">
      <c r="A535" t="s">
        <v>101</v>
      </c>
      <c r="B535" t="s">
        <v>92</v>
      </c>
      <c r="C535" s="4">
        <v>0.80803492399999999</v>
      </c>
      <c r="D535" s="4">
        <v>0.87275320499999998</v>
      </c>
      <c r="E535">
        <v>7</v>
      </c>
      <c r="F535" s="1">
        <v>23.343949044585987</v>
      </c>
      <c r="G535" s="2">
        <f t="shared" si="43"/>
        <v>427.99484138672113</v>
      </c>
      <c r="H535" s="2">
        <f t="shared" si="44"/>
        <v>184.42385432663761</v>
      </c>
      <c r="I535" s="2">
        <f t="shared" si="40"/>
        <v>36884.770865327519</v>
      </c>
      <c r="J535" s="4">
        <f t="shared" si="42"/>
        <v>22.336728946407561</v>
      </c>
      <c r="K535" s="4">
        <f t="shared" si="41"/>
        <v>4467.3457892815122</v>
      </c>
      <c r="L535">
        <v>5</v>
      </c>
    </row>
    <row r="536" spans="1:12" hidden="1" x14ac:dyDescent="0.3">
      <c r="A536" t="s">
        <v>101</v>
      </c>
      <c r="B536" t="s">
        <v>85</v>
      </c>
      <c r="C536" s="4">
        <v>0.6</v>
      </c>
      <c r="D536" s="4">
        <v>0.66674999999999995</v>
      </c>
      <c r="E536">
        <v>5</v>
      </c>
      <c r="F536" s="1">
        <v>4.2993630573248405</v>
      </c>
      <c r="G536" s="2">
        <f t="shared" si="43"/>
        <v>14.517710178829255</v>
      </c>
      <c r="H536" s="2">
        <f t="shared" si="44"/>
        <v>3.7566656457024745</v>
      </c>
      <c r="I536" s="2">
        <f t="shared" si="40"/>
        <v>751.33312914049498</v>
      </c>
      <c r="J536" s="4">
        <f t="shared" si="42"/>
        <v>9.3091791472270682</v>
      </c>
      <c r="K536" s="4">
        <f t="shared" si="41"/>
        <v>1861.8358294454138</v>
      </c>
      <c r="L536">
        <v>5</v>
      </c>
    </row>
    <row r="537" spans="1:12" hidden="1" x14ac:dyDescent="0.3">
      <c r="A537" t="s">
        <v>101</v>
      </c>
      <c r="B537" t="s">
        <v>54</v>
      </c>
      <c r="C537" s="4">
        <v>0.53</v>
      </c>
      <c r="D537" s="4">
        <v>0.54764999999999997</v>
      </c>
      <c r="E537">
        <v>5</v>
      </c>
      <c r="F537" s="1">
        <v>5.4777070063694264</v>
      </c>
      <c r="G537" s="2">
        <f t="shared" si="43"/>
        <v>23.566087129244703</v>
      </c>
      <c r="H537" s="2">
        <f t="shared" si="44"/>
        <v>4.974319328888809</v>
      </c>
      <c r="I537" s="2">
        <f t="shared" si="40"/>
        <v>994.8638657777617</v>
      </c>
      <c r="J537" s="4">
        <f t="shared" si="42"/>
        <v>9.5107922958335021</v>
      </c>
      <c r="K537" s="4">
        <f t="shared" si="41"/>
        <v>1902.1584591667004</v>
      </c>
      <c r="L537">
        <v>5</v>
      </c>
    </row>
    <row r="538" spans="1:12" hidden="1" x14ac:dyDescent="0.3">
      <c r="A538" t="s">
        <v>101</v>
      </c>
      <c r="B538" t="s">
        <v>55</v>
      </c>
      <c r="C538" s="4">
        <v>0.52500000000000002</v>
      </c>
      <c r="D538" s="4">
        <v>0.52500000000000002</v>
      </c>
      <c r="E538">
        <v>7</v>
      </c>
      <c r="F538" s="1">
        <v>12.898089171974522</v>
      </c>
      <c r="G538" s="2">
        <f t="shared" si="43"/>
        <v>130.65939160946331</v>
      </c>
      <c r="H538" s="2">
        <f t="shared" si="44"/>
        <v>35.273760649954497</v>
      </c>
      <c r="I538" s="2">
        <f t="shared" si="40"/>
        <v>7054.7521299909004</v>
      </c>
      <c r="J538" s="4">
        <f t="shared" si="42"/>
        <v>13.061537255061058</v>
      </c>
      <c r="K538" s="4">
        <f t="shared" si="41"/>
        <v>2612.3074510122115</v>
      </c>
      <c r="L538">
        <v>5</v>
      </c>
    </row>
    <row r="539" spans="1:12" hidden="1" x14ac:dyDescent="0.3">
      <c r="A539" t="s">
        <v>101</v>
      </c>
      <c r="B539" t="s">
        <v>41</v>
      </c>
      <c r="C539" s="4">
        <v>0.56193137999999998</v>
      </c>
      <c r="D539" s="4">
        <v>0.57808694400000005</v>
      </c>
      <c r="E539">
        <v>7</v>
      </c>
      <c r="F539" s="1">
        <v>38.757961783439491</v>
      </c>
      <c r="G539" s="2">
        <f t="shared" si="43"/>
        <v>1179.8091001948997</v>
      </c>
      <c r="H539" s="2">
        <f t="shared" si="44"/>
        <v>331.90715301144991</v>
      </c>
      <c r="I539" s="2">
        <f t="shared" si="40"/>
        <v>66381.430602289984</v>
      </c>
      <c r="J539" s="4">
        <f t="shared" si="42"/>
        <v>45.789100239360629</v>
      </c>
      <c r="K539" s="4">
        <f t="shared" si="41"/>
        <v>9157.8200478721246</v>
      </c>
      <c r="L539">
        <v>5</v>
      </c>
    </row>
    <row r="540" spans="1:12" hidden="1" x14ac:dyDescent="0.3">
      <c r="A540" t="s">
        <v>101</v>
      </c>
      <c r="B540" t="s">
        <v>56</v>
      </c>
      <c r="C540" s="4">
        <v>0.39984676499999999</v>
      </c>
      <c r="D540" s="4">
        <v>0.450333333</v>
      </c>
      <c r="E540">
        <v>9</v>
      </c>
      <c r="F540" s="1">
        <v>42.29299363057325</v>
      </c>
      <c r="G540" s="2">
        <f t="shared" si="43"/>
        <v>1404.839582333082</v>
      </c>
      <c r="H540" s="2">
        <f t="shared" si="44"/>
        <v>394.16766856600788</v>
      </c>
      <c r="I540" s="2">
        <f t="shared" si="40"/>
        <v>78833.53371320157</v>
      </c>
      <c r="J540" s="4">
        <f t="shared" si="42"/>
        <v>65.329665272424847</v>
      </c>
      <c r="K540" s="4">
        <f t="shared" si="41"/>
        <v>13065.933054484969</v>
      </c>
      <c r="L540">
        <v>5</v>
      </c>
    </row>
    <row r="541" spans="1:12" hidden="1" x14ac:dyDescent="0.3">
      <c r="A541" t="s">
        <v>101</v>
      </c>
      <c r="B541" t="s">
        <v>80</v>
      </c>
      <c r="C541" s="4">
        <v>0.54</v>
      </c>
      <c r="D541" s="4">
        <v>0.61247410899999999</v>
      </c>
      <c r="E541">
        <v>8</v>
      </c>
      <c r="F541" s="1">
        <v>22.356687898089174</v>
      </c>
      <c r="G541" s="2">
        <f t="shared" si="43"/>
        <v>392.55888323554319</v>
      </c>
      <c r="H541" s="2">
        <f t="shared" si="44"/>
        <v>136.66958960623845</v>
      </c>
      <c r="I541" s="2">
        <f t="shared" si="40"/>
        <v>27333.917921247688</v>
      </c>
      <c r="J541" s="4">
        <f t="shared" si="42"/>
        <v>22.980701825631876</v>
      </c>
      <c r="K541" s="4">
        <f t="shared" si="41"/>
        <v>4596.1403651263754</v>
      </c>
      <c r="L541">
        <v>5</v>
      </c>
    </row>
    <row r="542" spans="1:12" hidden="1" x14ac:dyDescent="0.3">
      <c r="A542" t="s">
        <v>101</v>
      </c>
      <c r="B542" t="s">
        <v>80</v>
      </c>
      <c r="C542" s="4">
        <v>0.54</v>
      </c>
      <c r="D542" s="4">
        <v>0.61247410899999999</v>
      </c>
      <c r="E542">
        <v>7</v>
      </c>
      <c r="F542" s="1">
        <v>16.464968152866241</v>
      </c>
      <c r="G542" s="2">
        <f t="shared" si="43"/>
        <v>212.91765355221364</v>
      </c>
      <c r="H542" s="2">
        <f t="shared" si="44"/>
        <v>66.032120992827004</v>
      </c>
      <c r="I542" s="2">
        <f t="shared" si="40"/>
        <v>13206.424198565399</v>
      </c>
      <c r="J542" s="4">
        <f t="shared" si="42"/>
        <v>15.62753181873504</v>
      </c>
      <c r="K542" s="4">
        <f t="shared" si="41"/>
        <v>3125.506363747008</v>
      </c>
      <c r="L542">
        <v>5</v>
      </c>
    </row>
    <row r="543" spans="1:12" hidden="1" x14ac:dyDescent="0.3">
      <c r="A543" t="s">
        <v>101</v>
      </c>
      <c r="B543" t="s">
        <v>80</v>
      </c>
      <c r="C543" s="4">
        <v>0.54</v>
      </c>
      <c r="D543" s="4">
        <v>0.61247410899999999</v>
      </c>
      <c r="E543">
        <v>7</v>
      </c>
      <c r="F543" s="1">
        <v>11.656050955414013</v>
      </c>
      <c r="G543" s="2">
        <f t="shared" si="43"/>
        <v>106.70696212429367</v>
      </c>
      <c r="H543" s="2">
        <f t="shared" si="44"/>
        <v>33.646259169637048</v>
      </c>
      <c r="I543" s="2">
        <f t="shared" si="40"/>
        <v>6729.2518339274102</v>
      </c>
      <c r="J543" s="4">
        <f t="shared" si="42"/>
        <v>12.314356334942595</v>
      </c>
      <c r="K543" s="4">
        <f t="shared" si="41"/>
        <v>2462.871266988519</v>
      </c>
      <c r="L543">
        <v>5</v>
      </c>
    </row>
    <row r="544" spans="1:12" hidden="1" x14ac:dyDescent="0.3">
      <c r="A544" t="s">
        <v>101</v>
      </c>
      <c r="B544" t="s">
        <v>22</v>
      </c>
      <c r="C544" s="4">
        <v>0.43836446099999998</v>
      </c>
      <c r="D544" s="4">
        <v>0.58666666700000003</v>
      </c>
      <c r="E544">
        <v>6</v>
      </c>
      <c r="F544" s="1">
        <v>7.5796178343949041</v>
      </c>
      <c r="G544" s="2">
        <f t="shared" si="43"/>
        <v>45.121600843325346</v>
      </c>
      <c r="H544" s="2">
        <f t="shared" si="44"/>
        <v>11.981529218003569</v>
      </c>
      <c r="I544" s="2">
        <f t="shared" si="40"/>
        <v>2396.3058436007136</v>
      </c>
      <c r="J544" s="4">
        <f t="shared" si="42"/>
        <v>10.192162736825022</v>
      </c>
      <c r="K544" s="4">
        <f t="shared" si="41"/>
        <v>2038.4325473650047</v>
      </c>
      <c r="L544">
        <v>5</v>
      </c>
    </row>
    <row r="545" spans="1:12" hidden="1" x14ac:dyDescent="0.3">
      <c r="A545" t="s">
        <v>101</v>
      </c>
      <c r="B545" t="s">
        <v>82</v>
      </c>
      <c r="C545" s="4">
        <v>0.46679999999999999</v>
      </c>
      <c r="D545" s="4">
        <v>0.81159999999999999</v>
      </c>
      <c r="E545">
        <v>7.5</v>
      </c>
      <c r="F545" s="1">
        <v>19.713375796178344</v>
      </c>
      <c r="G545" s="2">
        <f t="shared" si="43"/>
        <v>305.21922358465827</v>
      </c>
      <c r="H545" s="2">
        <f t="shared" si="44"/>
        <v>132.11926853038074</v>
      </c>
      <c r="I545" s="2">
        <f t="shared" si="40"/>
        <v>26423.853706076148</v>
      </c>
      <c r="J545" s="4">
        <f t="shared" si="42"/>
        <v>19.186901113635443</v>
      </c>
      <c r="K545" s="4">
        <f t="shared" si="41"/>
        <v>3837.3802227270885</v>
      </c>
      <c r="L545">
        <v>5</v>
      </c>
    </row>
    <row r="546" spans="1:12" hidden="1" x14ac:dyDescent="0.3">
      <c r="A546" t="s">
        <v>101</v>
      </c>
      <c r="B546" t="s">
        <v>88</v>
      </c>
      <c r="C546" s="4">
        <v>0.77</v>
      </c>
      <c r="D546" s="4">
        <v>0.77</v>
      </c>
      <c r="E546">
        <v>3.5</v>
      </c>
      <c r="F546" s="1">
        <v>4.8726114649681529</v>
      </c>
      <c r="G546" s="2">
        <f t="shared" si="43"/>
        <v>18.647192185251804</v>
      </c>
      <c r="H546" s="2">
        <f t="shared" si="44"/>
        <v>3.897188597375723</v>
      </c>
      <c r="I546" s="2">
        <f t="shared" si="40"/>
        <v>779.4377194751446</v>
      </c>
      <c r="J546" s="4">
        <f t="shared" si="42"/>
        <v>9.2765436954846034</v>
      </c>
      <c r="K546" s="4">
        <f t="shared" si="41"/>
        <v>1855.3087390969206</v>
      </c>
      <c r="L546">
        <v>5</v>
      </c>
    </row>
    <row r="547" spans="1:12" hidden="1" x14ac:dyDescent="0.3">
      <c r="A547" t="s">
        <v>102</v>
      </c>
      <c r="B547" t="s">
        <v>92</v>
      </c>
      <c r="C547" s="4">
        <v>0.80803492399999999</v>
      </c>
      <c r="D547" s="4">
        <v>0.87275320499999998</v>
      </c>
      <c r="E547">
        <v>9</v>
      </c>
      <c r="F547" s="1">
        <v>25.159235668789808</v>
      </c>
      <c r="G547" s="2">
        <f t="shared" si="43"/>
        <v>497.14693676857826</v>
      </c>
      <c r="H547" s="2">
        <f t="shared" si="44"/>
        <v>272.7892300970268</v>
      </c>
      <c r="I547" s="2">
        <f t="shared" si="40"/>
        <v>54557.846019405362</v>
      </c>
      <c r="J547" s="4">
        <f t="shared" si="42"/>
        <v>28.924794892287714</v>
      </c>
      <c r="K547" s="4">
        <f t="shared" si="41"/>
        <v>5784.9589784575428</v>
      </c>
      <c r="L547">
        <v>5</v>
      </c>
    </row>
    <row r="548" spans="1:12" hidden="1" x14ac:dyDescent="0.3">
      <c r="A548" t="s">
        <v>102</v>
      </c>
      <c r="B548" t="s">
        <v>92</v>
      </c>
      <c r="C548" s="4">
        <v>0.80803492399999999</v>
      </c>
      <c r="D548" s="4">
        <v>0.87275320499999998</v>
      </c>
      <c r="E548">
        <v>8</v>
      </c>
      <c r="F548" s="1">
        <v>27.133757961783438</v>
      </c>
      <c r="G548" s="2">
        <f t="shared" si="43"/>
        <v>578.24218873266784</v>
      </c>
      <c r="H548" s="2">
        <f t="shared" si="44"/>
        <v>281.80738174598628</v>
      </c>
      <c r="I548" s="2">
        <f t="shared" si="40"/>
        <v>56361.476349197255</v>
      </c>
      <c r="J548" s="4">
        <f t="shared" si="42"/>
        <v>29.600442991602087</v>
      </c>
      <c r="K548" s="4">
        <f t="shared" si="41"/>
        <v>5920.0885983204171</v>
      </c>
      <c r="L548">
        <v>5</v>
      </c>
    </row>
    <row r="549" spans="1:12" hidden="1" x14ac:dyDescent="0.3">
      <c r="A549" t="s">
        <v>102</v>
      </c>
      <c r="B549" t="s">
        <v>60</v>
      </c>
      <c r="C549" s="4">
        <v>0.41</v>
      </c>
      <c r="D549" s="4">
        <v>0.33983503399999998</v>
      </c>
      <c r="E549">
        <v>8</v>
      </c>
      <c r="F549" s="1">
        <v>8.1210191082802545</v>
      </c>
      <c r="G549" s="2">
        <f t="shared" si="43"/>
        <v>51.79775607014389</v>
      </c>
      <c r="H549" s="2">
        <f t="shared" si="44"/>
        <v>10.653893813786668</v>
      </c>
      <c r="I549" s="2">
        <f t="shared" si="40"/>
        <v>2130.7787627573334</v>
      </c>
      <c r="J549" s="4">
        <f t="shared" si="42"/>
        <v>10.832326637997484</v>
      </c>
      <c r="K549" s="4">
        <f t="shared" si="41"/>
        <v>2166.465327599497</v>
      </c>
      <c r="L549">
        <v>5</v>
      </c>
    </row>
    <row r="550" spans="1:12" hidden="1" x14ac:dyDescent="0.3">
      <c r="A550" t="s">
        <v>102</v>
      </c>
      <c r="B550" t="s">
        <v>55</v>
      </c>
      <c r="C550" s="4">
        <v>0.52500000000000002</v>
      </c>
      <c r="D550" s="4">
        <v>0.52500000000000002</v>
      </c>
      <c r="E550">
        <v>8</v>
      </c>
      <c r="F550" s="1">
        <v>21.369426751592353</v>
      </c>
      <c r="G550" s="2">
        <f t="shared" si="43"/>
        <v>358.65395602887583</v>
      </c>
      <c r="H550" s="2">
        <f t="shared" si="44"/>
        <v>107.66190448115111</v>
      </c>
      <c r="I550" s="2">
        <f t="shared" si="40"/>
        <v>21532.380896230221</v>
      </c>
      <c r="J550" s="4">
        <f t="shared" si="42"/>
        <v>21.771967191366784</v>
      </c>
      <c r="K550" s="4">
        <f t="shared" si="41"/>
        <v>4354.3934382733569</v>
      </c>
      <c r="L550">
        <v>5</v>
      </c>
    </row>
    <row r="551" spans="1:12" hidden="1" x14ac:dyDescent="0.3">
      <c r="A551" t="s">
        <v>102</v>
      </c>
      <c r="B551" t="s">
        <v>41</v>
      </c>
      <c r="C551" s="4">
        <v>0.56193137999999998</v>
      </c>
      <c r="D551" s="4">
        <v>0.57808694400000005</v>
      </c>
      <c r="E551">
        <v>6</v>
      </c>
      <c r="F551" s="1">
        <v>42.834394904458598</v>
      </c>
      <c r="G551" s="2">
        <f t="shared" si="43"/>
        <v>1441.0370730456295</v>
      </c>
      <c r="H551" s="2">
        <f t="shared" si="44"/>
        <v>347.1004971738102</v>
      </c>
      <c r="I551" s="2">
        <f t="shared" si="40"/>
        <v>69420.099434762044</v>
      </c>
      <c r="J551" s="4">
        <f t="shared" si="42"/>
        <v>47.516193123453284</v>
      </c>
      <c r="K551" s="4">
        <f t="shared" si="41"/>
        <v>9503.2386246906572</v>
      </c>
      <c r="L551">
        <v>5</v>
      </c>
    </row>
    <row r="552" spans="1:12" hidden="1" x14ac:dyDescent="0.3">
      <c r="A552" t="s">
        <v>102</v>
      </c>
      <c r="B552" t="s">
        <v>41</v>
      </c>
      <c r="C552" s="4">
        <v>0.56193137999999998</v>
      </c>
      <c r="D552" s="4">
        <v>0.57808694400000005</v>
      </c>
      <c r="E552">
        <v>6.5</v>
      </c>
      <c r="F552" s="1">
        <v>50.541401273885342</v>
      </c>
      <c r="G552" s="2">
        <f t="shared" si="43"/>
        <v>2006.2471773598797</v>
      </c>
      <c r="H552" s="2">
        <f t="shared" si="44"/>
        <v>518.37412278982595</v>
      </c>
      <c r="I552" s="2">
        <f t="shared" si="40"/>
        <v>103674.82455796518</v>
      </c>
      <c r="J552" s="4">
        <f t="shared" si="42"/>
        <v>67.099056272059684</v>
      </c>
      <c r="K552" s="4">
        <f t="shared" si="41"/>
        <v>13419.811254411936</v>
      </c>
      <c r="L552">
        <v>5</v>
      </c>
    </row>
    <row r="553" spans="1:12" hidden="1" x14ac:dyDescent="0.3">
      <c r="A553" t="s">
        <v>102</v>
      </c>
      <c r="B553" t="s">
        <v>41</v>
      </c>
      <c r="C553" s="4">
        <v>0.56193137999999998</v>
      </c>
      <c r="D553" s="4">
        <v>0.57808694400000005</v>
      </c>
      <c r="E553">
        <v>6.5</v>
      </c>
      <c r="F553" s="1">
        <v>62.229299363057322</v>
      </c>
      <c r="G553" s="2">
        <f t="shared" si="43"/>
        <v>3041.4431559479203</v>
      </c>
      <c r="H553" s="2">
        <f t="shared" si="44"/>
        <v>778.03994115585135</v>
      </c>
      <c r="I553" s="2">
        <f t="shared" si="40"/>
        <v>155607.98823117028</v>
      </c>
      <c r="J553" s="4">
        <f t="shared" si="42"/>
        <v>97.084749657186904</v>
      </c>
      <c r="K553" s="4">
        <f t="shared" si="41"/>
        <v>19416.949931437379</v>
      </c>
      <c r="L553">
        <v>5</v>
      </c>
    </row>
    <row r="554" spans="1:12" hidden="1" x14ac:dyDescent="0.3">
      <c r="A554" t="s">
        <v>102</v>
      </c>
      <c r="B554" t="s">
        <v>41</v>
      </c>
      <c r="C554" s="4">
        <v>0.56193137999999998</v>
      </c>
      <c r="D554" s="4">
        <v>0.57808694400000005</v>
      </c>
      <c r="E554">
        <v>7</v>
      </c>
      <c r="F554" s="1">
        <v>42.834394904458598</v>
      </c>
      <c r="G554" s="2">
        <f t="shared" si="43"/>
        <v>1441.0370730456295</v>
      </c>
      <c r="H554" s="2">
        <f t="shared" si="44"/>
        <v>403.45518616052715</v>
      </c>
      <c r="I554" s="2">
        <f t="shared" si="40"/>
        <v>80691.037232105431</v>
      </c>
      <c r="J554" s="4">
        <f t="shared" si="42"/>
        <v>53.937941977362165</v>
      </c>
      <c r="K554" s="4">
        <f t="shared" si="41"/>
        <v>10787.588395472432</v>
      </c>
      <c r="L554">
        <v>5</v>
      </c>
    </row>
    <row r="555" spans="1:12" hidden="1" x14ac:dyDescent="0.3">
      <c r="A555" t="s">
        <v>102</v>
      </c>
      <c r="B555" t="s">
        <v>41</v>
      </c>
      <c r="C555" s="4">
        <v>0.56193137999999998</v>
      </c>
      <c r="D555" s="4">
        <v>0.57808694400000005</v>
      </c>
      <c r="E555">
        <v>6</v>
      </c>
      <c r="F555" s="1">
        <v>28.152866242038218</v>
      </c>
      <c r="G555" s="2">
        <f t="shared" si="43"/>
        <v>622.49392183852933</v>
      </c>
      <c r="H555" s="2">
        <f t="shared" si="44"/>
        <v>152.99039221587407</v>
      </c>
      <c r="I555" s="2">
        <f t="shared" si="40"/>
        <v>30598.078443174814</v>
      </c>
      <c r="J555" s="4">
        <f t="shared" si="42"/>
        <v>25.629961430483995</v>
      </c>
      <c r="K555" s="4">
        <f t="shared" si="41"/>
        <v>5125.992286096799</v>
      </c>
      <c r="L555">
        <v>5</v>
      </c>
    </row>
    <row r="556" spans="1:12" hidden="1" x14ac:dyDescent="0.3">
      <c r="A556" t="s">
        <v>102</v>
      </c>
      <c r="B556" t="s">
        <v>56</v>
      </c>
      <c r="C556" s="4">
        <v>0.39984676499999999</v>
      </c>
      <c r="D556" s="4">
        <v>0.450333333</v>
      </c>
      <c r="E556">
        <v>9</v>
      </c>
      <c r="F556" s="1">
        <v>20.445859872611464</v>
      </c>
      <c r="G556" s="2">
        <f t="shared" si="43"/>
        <v>328.3224964689702</v>
      </c>
      <c r="H556" s="2">
        <f t="shared" si="44"/>
        <v>95.390852687955942</v>
      </c>
      <c r="I556" s="2">
        <f t="shared" si="40"/>
        <v>19078.170537591188</v>
      </c>
      <c r="J556" s="4">
        <f t="shared" si="42"/>
        <v>22.153745356809605</v>
      </c>
      <c r="K556" s="4">
        <f t="shared" si="41"/>
        <v>4430.7490713619209</v>
      </c>
      <c r="L556">
        <v>5</v>
      </c>
    </row>
    <row r="557" spans="1:12" hidden="1" x14ac:dyDescent="0.3">
      <c r="A557" t="s">
        <v>102</v>
      </c>
      <c r="B557" t="s">
        <v>56</v>
      </c>
      <c r="C557" s="4">
        <v>0.39984676499999999</v>
      </c>
      <c r="D557" s="4">
        <v>0.450333333</v>
      </c>
      <c r="E557">
        <v>9</v>
      </c>
      <c r="F557" s="1">
        <v>30.668789808917197</v>
      </c>
      <c r="G557" s="2">
        <f t="shared" si="43"/>
        <v>738.72561705518297</v>
      </c>
      <c r="H557" s="2">
        <f t="shared" si="44"/>
        <v>210.49261747088269</v>
      </c>
      <c r="I557" s="2">
        <f t="shared" si="40"/>
        <v>42098.523494176537</v>
      </c>
      <c r="J557" s="4">
        <f t="shared" si="42"/>
        <v>38.613802052821619</v>
      </c>
      <c r="K557" s="4">
        <f t="shared" si="41"/>
        <v>7722.760410564324</v>
      </c>
      <c r="L557">
        <v>5</v>
      </c>
    </row>
    <row r="558" spans="1:12" hidden="1" x14ac:dyDescent="0.3">
      <c r="A558" t="s">
        <v>102</v>
      </c>
      <c r="B558" t="s">
        <v>22</v>
      </c>
      <c r="C558" s="4">
        <v>0.43836446099999998</v>
      </c>
      <c r="D558" s="4">
        <v>0.58666666700000003</v>
      </c>
      <c r="E558">
        <v>5</v>
      </c>
      <c r="F558" s="1">
        <v>7.2292993630573257</v>
      </c>
      <c r="G558" s="2">
        <f t="shared" si="43"/>
        <v>41.047083007127192</v>
      </c>
      <c r="H558" s="2">
        <f t="shared" si="44"/>
        <v>9.143566084648894</v>
      </c>
      <c r="I558" s="2">
        <f t="shared" si="40"/>
        <v>1828.7132169297788</v>
      </c>
      <c r="J558" s="4">
        <f t="shared" si="42"/>
        <v>9.9002984624122679</v>
      </c>
      <c r="K558" s="4">
        <f t="shared" si="41"/>
        <v>1980.0596924824536</v>
      </c>
      <c r="L558">
        <v>5</v>
      </c>
    </row>
    <row r="559" spans="1:12" hidden="1" x14ac:dyDescent="0.3">
      <c r="A559" t="s">
        <v>102</v>
      </c>
      <c r="B559" t="s">
        <v>22</v>
      </c>
      <c r="C559" s="4">
        <v>0.43836446099999998</v>
      </c>
      <c r="D559" s="4">
        <v>0.58666666700000003</v>
      </c>
      <c r="E559">
        <v>3</v>
      </c>
      <c r="F559" s="1">
        <v>6.401273885350319</v>
      </c>
      <c r="G559" s="2">
        <f t="shared" si="43"/>
        <v>32.182716539636814</v>
      </c>
      <c r="H559" s="2">
        <f t="shared" si="44"/>
        <v>4.3799329209467111</v>
      </c>
      <c r="I559" s="2">
        <f t="shared" si="40"/>
        <v>875.98658418934224</v>
      </c>
      <c r="J559" s="4">
        <f t="shared" si="42"/>
        <v>9.4159512272303125</v>
      </c>
      <c r="K559" s="4">
        <f t="shared" si="41"/>
        <v>1883.1902454460626</v>
      </c>
      <c r="L559">
        <v>5</v>
      </c>
    </row>
    <row r="560" spans="1:12" hidden="1" x14ac:dyDescent="0.3">
      <c r="A560" t="s">
        <v>102</v>
      </c>
      <c r="B560" t="s">
        <v>22</v>
      </c>
      <c r="C560" s="4">
        <v>0.43836446099999998</v>
      </c>
      <c r="D560" s="4">
        <v>0.58666666700000003</v>
      </c>
      <c r="E560">
        <v>6.5</v>
      </c>
      <c r="F560" s="1">
        <v>2.9617834394904459</v>
      </c>
      <c r="G560" s="2">
        <f t="shared" si="43"/>
        <v>6.8896392502987247</v>
      </c>
      <c r="H560" s="2">
        <f t="shared" si="44"/>
        <v>2.0693815001634972</v>
      </c>
      <c r="I560" s="2">
        <f t="shared" si="40"/>
        <v>413.87630003269942</v>
      </c>
      <c r="J560" s="4">
        <f t="shared" si="42"/>
        <v>9.1852666659905058</v>
      </c>
      <c r="K560" s="4">
        <f t="shared" si="41"/>
        <v>1837.0533331981012</v>
      </c>
      <c r="L560">
        <v>5</v>
      </c>
    </row>
    <row r="561" spans="1:12" hidden="1" x14ac:dyDescent="0.3">
      <c r="A561" t="s">
        <v>102</v>
      </c>
      <c r="B561" t="s">
        <v>49</v>
      </c>
      <c r="C561" s="4">
        <v>0.57917600000000002</v>
      </c>
      <c r="D561" s="4">
        <v>0.60285714300000004</v>
      </c>
      <c r="E561">
        <v>8</v>
      </c>
      <c r="F561" s="1">
        <v>43.121019108280258</v>
      </c>
      <c r="G561" s="2">
        <f t="shared" si="43"/>
        <v>1460.3868507111408</v>
      </c>
      <c r="H561" s="2">
        <f t="shared" si="44"/>
        <v>485.10205733005182</v>
      </c>
      <c r="I561" s="2">
        <f t="shared" si="40"/>
        <v>97020.411466010366</v>
      </c>
      <c r="J561" s="4">
        <f t="shared" si="42"/>
        <v>61.049524090226789</v>
      </c>
      <c r="K561" s="4">
        <f t="shared" si="41"/>
        <v>12209.904818045357</v>
      </c>
      <c r="L561">
        <v>5</v>
      </c>
    </row>
    <row r="562" spans="1:12" hidden="1" x14ac:dyDescent="0.3">
      <c r="A562" t="s">
        <v>102</v>
      </c>
      <c r="B562" t="s">
        <v>88</v>
      </c>
      <c r="C562" s="4">
        <v>0.77</v>
      </c>
      <c r="D562" s="4">
        <v>0.77</v>
      </c>
      <c r="E562">
        <v>6</v>
      </c>
      <c r="F562" s="1">
        <v>5.2547770700636942</v>
      </c>
      <c r="G562" s="2">
        <f t="shared" si="43"/>
        <v>21.68694977331284</v>
      </c>
      <c r="H562" s="2">
        <f t="shared" si="44"/>
        <v>7.6423622309832684</v>
      </c>
      <c r="I562" s="2">
        <f t="shared" si="40"/>
        <v>1528.4724461966537</v>
      </c>
      <c r="J562" s="4">
        <f t="shared" si="42"/>
        <v>9.5655663231774106</v>
      </c>
      <c r="K562" s="4">
        <f t="shared" si="41"/>
        <v>1913.1132646354822</v>
      </c>
      <c r="L562">
        <v>5</v>
      </c>
    </row>
    <row r="563" spans="1:12" hidden="1" x14ac:dyDescent="0.3">
      <c r="A563" t="s">
        <v>102</v>
      </c>
      <c r="B563" t="s">
        <v>88</v>
      </c>
      <c r="C563" s="4">
        <v>0.77</v>
      </c>
      <c r="D563" s="4">
        <v>0.77</v>
      </c>
      <c r="E563">
        <v>3.8</v>
      </c>
      <c r="F563" s="1">
        <v>4.6178343949044587</v>
      </c>
      <c r="G563" s="2">
        <f t="shared" si="43"/>
        <v>16.748140274890819</v>
      </c>
      <c r="H563" s="2">
        <f t="shared" si="44"/>
        <v>3.8026159859632505</v>
      </c>
      <c r="I563" s="2">
        <f t="shared" si="40"/>
        <v>760.52319719265006</v>
      </c>
      <c r="J563" s="4">
        <f t="shared" si="42"/>
        <v>9.2693144468335422</v>
      </c>
      <c r="K563" s="4">
        <f t="shared" si="41"/>
        <v>1853.8628893667087</v>
      </c>
      <c r="L563">
        <v>5</v>
      </c>
    </row>
    <row r="564" spans="1:12" hidden="1" x14ac:dyDescent="0.3">
      <c r="A564" t="s">
        <v>102</v>
      </c>
      <c r="B564" t="s">
        <v>88</v>
      </c>
      <c r="C564" s="4">
        <v>0.77</v>
      </c>
      <c r="D564" s="4">
        <v>0.77</v>
      </c>
      <c r="E564">
        <v>5.5</v>
      </c>
      <c r="F564" s="1">
        <v>10.859872611464969</v>
      </c>
      <c r="G564" s="2">
        <f t="shared" si="43"/>
        <v>92.627372142905088</v>
      </c>
      <c r="H564" s="2">
        <f t="shared" si="44"/>
        <v>28.9570203740249</v>
      </c>
      <c r="I564" s="2">
        <f t="shared" si="40"/>
        <v>5791.4040748049802</v>
      </c>
      <c r="J564" s="4">
        <f t="shared" si="42"/>
        <v>11.255984037892004</v>
      </c>
      <c r="K564" s="4">
        <f t="shared" si="41"/>
        <v>2251.1968075784007</v>
      </c>
      <c r="L564">
        <v>5</v>
      </c>
    </row>
    <row r="565" spans="1:12" hidden="1" x14ac:dyDescent="0.3">
      <c r="A565" t="s">
        <v>103</v>
      </c>
      <c r="B565" t="s">
        <v>75</v>
      </c>
      <c r="C565" s="4">
        <v>0.86</v>
      </c>
      <c r="D565" s="4">
        <v>0.65666666699999998</v>
      </c>
      <c r="E565">
        <v>5</v>
      </c>
      <c r="F565" s="1">
        <v>12.547770700636942</v>
      </c>
      <c r="G565" s="2">
        <f t="shared" si="43"/>
        <v>123.65823085436149</v>
      </c>
      <c r="H565" s="2">
        <f t="shared" si="44"/>
        <v>29.94611118817684</v>
      </c>
      <c r="I565" s="2">
        <f t="shared" si="40"/>
        <v>5989.2222376353684</v>
      </c>
      <c r="J565" s="4">
        <f t="shared" si="42"/>
        <v>11.741014617225851</v>
      </c>
      <c r="K565" s="4">
        <f t="shared" si="41"/>
        <v>2348.2029234451702</v>
      </c>
      <c r="L565">
        <v>5</v>
      </c>
    </row>
    <row r="566" spans="1:12" hidden="1" x14ac:dyDescent="0.3">
      <c r="A566" t="s">
        <v>103</v>
      </c>
      <c r="B566" t="s">
        <v>26</v>
      </c>
      <c r="C566" s="4">
        <v>0.80908761900000004</v>
      </c>
      <c r="D566" s="4">
        <v>0.87473809499999999</v>
      </c>
      <c r="E566">
        <v>7</v>
      </c>
      <c r="F566" s="1">
        <v>42.547770700636939</v>
      </c>
      <c r="G566" s="2">
        <f t="shared" si="43"/>
        <v>1421.8163416928189</v>
      </c>
      <c r="H566" s="2">
        <f t="shared" si="44"/>
        <v>596.58351977458847</v>
      </c>
      <c r="I566" s="2">
        <f t="shared" si="40"/>
        <v>119316.7039549177</v>
      </c>
      <c r="J566" s="4">
        <f t="shared" si="42"/>
        <v>53.338363394052493</v>
      </c>
      <c r="K566" s="4">
        <f t="shared" si="41"/>
        <v>10667.672678810499</v>
      </c>
      <c r="L566">
        <v>5</v>
      </c>
    </row>
    <row r="567" spans="1:12" hidden="1" x14ac:dyDescent="0.3">
      <c r="A567" t="s">
        <v>103</v>
      </c>
      <c r="B567" t="s">
        <v>26</v>
      </c>
      <c r="C567" s="4">
        <v>0.80908761900000004</v>
      </c>
      <c r="D567" s="4">
        <v>0.87473809499999999</v>
      </c>
      <c r="E567">
        <v>8</v>
      </c>
      <c r="F567" s="1">
        <v>30.031847133757964</v>
      </c>
      <c r="G567" s="2">
        <f t="shared" si="43"/>
        <v>708.35990446165931</v>
      </c>
      <c r="H567" s="2">
        <f t="shared" si="44"/>
        <v>344.30553965396814</v>
      </c>
      <c r="I567" s="2">
        <f t="shared" si="40"/>
        <v>68861.107930793631</v>
      </c>
      <c r="J567" s="4">
        <f t="shared" si="42"/>
        <v>34.239231583431383</v>
      </c>
      <c r="K567" s="4">
        <f t="shared" si="41"/>
        <v>6847.8463166862766</v>
      </c>
      <c r="L567">
        <v>5</v>
      </c>
    </row>
    <row r="568" spans="1:12" hidden="1" x14ac:dyDescent="0.3">
      <c r="A568" t="s">
        <v>103</v>
      </c>
      <c r="B568" t="s">
        <v>26</v>
      </c>
      <c r="C568" s="4">
        <v>0.80908761900000004</v>
      </c>
      <c r="D568" s="4">
        <v>0.87473809499999999</v>
      </c>
      <c r="E568">
        <v>4.5</v>
      </c>
      <c r="F568" s="1">
        <v>12.006369426751593</v>
      </c>
      <c r="G568" s="2">
        <f t="shared" si="43"/>
        <v>113.21742825826193</v>
      </c>
      <c r="H568" s="2">
        <f t="shared" si="44"/>
        <v>32.797073098309212</v>
      </c>
      <c r="I568" s="2">
        <f t="shared" si="40"/>
        <v>6559.4146196618431</v>
      </c>
      <c r="J568" s="4">
        <f t="shared" si="42"/>
        <v>11.256108282283257</v>
      </c>
      <c r="K568" s="4">
        <f t="shared" si="41"/>
        <v>2251.2216564566515</v>
      </c>
      <c r="L568">
        <v>5</v>
      </c>
    </row>
    <row r="569" spans="1:12" hidden="1" x14ac:dyDescent="0.3">
      <c r="A569" t="s">
        <v>103</v>
      </c>
      <c r="B569" t="s">
        <v>68</v>
      </c>
      <c r="C569" s="4">
        <v>0.77800000000000002</v>
      </c>
      <c r="D569" s="4">
        <v>0.77386111099999999</v>
      </c>
      <c r="E569">
        <v>6</v>
      </c>
      <c r="F569" s="1">
        <v>8.8216560509554132</v>
      </c>
      <c r="G569" s="2">
        <f t="shared" si="43"/>
        <v>61.120953871681195</v>
      </c>
      <c r="H569" s="2">
        <f t="shared" si="44"/>
        <v>21.112498452774012</v>
      </c>
      <c r="I569" s="2">
        <f t="shared" si="40"/>
        <v>4222.4996905548023</v>
      </c>
      <c r="J569" s="4">
        <f t="shared" si="42"/>
        <v>10.619953925108522</v>
      </c>
      <c r="K569" s="4">
        <f t="shared" si="41"/>
        <v>2123.9907850217046</v>
      </c>
      <c r="L569">
        <v>5</v>
      </c>
    </row>
    <row r="570" spans="1:12" hidden="1" x14ac:dyDescent="0.3">
      <c r="A570" t="s">
        <v>103</v>
      </c>
      <c r="B570" t="s">
        <v>92</v>
      </c>
      <c r="C570" s="4">
        <v>0.80803492399999999</v>
      </c>
      <c r="D570" s="4">
        <v>0.87275320499999998</v>
      </c>
      <c r="E570">
        <v>5</v>
      </c>
      <c r="F570" s="1">
        <v>8.4713375796178347</v>
      </c>
      <c r="G570" s="2">
        <f t="shared" si="43"/>
        <v>56.362968527475616</v>
      </c>
      <c r="H570" s="2">
        <f t="shared" si="44"/>
        <v>18.360399538851457</v>
      </c>
      <c r="I570" s="2">
        <f t="shared" si="40"/>
        <v>3672.0799077702914</v>
      </c>
      <c r="J570" s="4">
        <f t="shared" si="42"/>
        <v>10.241562306787294</v>
      </c>
      <c r="K570" s="4">
        <f t="shared" si="41"/>
        <v>2048.3124613574591</v>
      </c>
      <c r="L570">
        <v>5</v>
      </c>
    </row>
    <row r="571" spans="1:12" hidden="1" x14ac:dyDescent="0.3">
      <c r="A571" t="s">
        <v>103</v>
      </c>
      <c r="B571" t="s">
        <v>60</v>
      </c>
      <c r="C571" s="4">
        <v>0.41</v>
      </c>
      <c r="D571" s="4">
        <v>0.33983503399999998</v>
      </c>
      <c r="E571">
        <v>8</v>
      </c>
      <c r="F571" s="1">
        <v>7.7388535031847132</v>
      </c>
      <c r="G571" s="2">
        <f t="shared" si="43"/>
        <v>47.037380979406791</v>
      </c>
      <c r="H571" s="2">
        <f t="shared" si="44"/>
        <v>9.6971782284364458</v>
      </c>
      <c r="I571" s="2">
        <f t="shared" si="40"/>
        <v>1939.435645687289</v>
      </c>
      <c r="J571" s="4">
        <f t="shared" si="42"/>
        <v>10.66261589922512</v>
      </c>
      <c r="K571" s="4">
        <f t="shared" si="41"/>
        <v>2132.5231798450241</v>
      </c>
      <c r="L571">
        <v>5</v>
      </c>
    </row>
    <row r="572" spans="1:12" hidden="1" x14ac:dyDescent="0.3">
      <c r="A572" t="s">
        <v>103</v>
      </c>
      <c r="B572" t="s">
        <v>54</v>
      </c>
      <c r="C572" s="4">
        <v>0.53</v>
      </c>
      <c r="D572" s="4">
        <v>0.54764999999999997</v>
      </c>
      <c r="E572">
        <v>5</v>
      </c>
      <c r="F572" s="1">
        <v>8.0573248407643305</v>
      </c>
      <c r="G572" s="2">
        <f t="shared" si="43"/>
        <v>50.988428578144408</v>
      </c>
      <c r="H572" s="2">
        <f t="shared" si="44"/>
        <v>10.565094611314061</v>
      </c>
      <c r="I572" s="2">
        <f t="shared" si="40"/>
        <v>2113.0189222628123</v>
      </c>
      <c r="J572" s="4">
        <f t="shared" si="42"/>
        <v>10.121808462817963</v>
      </c>
      <c r="K572" s="4">
        <f t="shared" si="41"/>
        <v>2024.3616925635929</v>
      </c>
      <c r="L572">
        <v>5</v>
      </c>
    </row>
    <row r="573" spans="1:12" hidden="1" x14ac:dyDescent="0.3">
      <c r="A573" t="s">
        <v>103</v>
      </c>
      <c r="B573" t="s">
        <v>55</v>
      </c>
      <c r="C573" s="4">
        <v>0.52500000000000002</v>
      </c>
      <c r="D573" s="4">
        <v>0.52500000000000002</v>
      </c>
      <c r="E573">
        <v>6.5</v>
      </c>
      <c r="F573" s="1">
        <v>24.458598726114648</v>
      </c>
      <c r="G573" s="2">
        <f t="shared" si="43"/>
        <v>469.84328606407604</v>
      </c>
      <c r="H573" s="2">
        <f t="shared" si="44"/>
        <v>114.42275728321081</v>
      </c>
      <c r="I573" s="2">
        <f t="shared" si="40"/>
        <v>22884.551456642163</v>
      </c>
      <c r="J573" s="4">
        <f t="shared" si="42"/>
        <v>22.595274424925957</v>
      </c>
      <c r="K573" s="4">
        <f t="shared" si="41"/>
        <v>4519.0548849851912</v>
      </c>
      <c r="L573">
        <v>5</v>
      </c>
    </row>
    <row r="574" spans="1:12" hidden="1" x14ac:dyDescent="0.3">
      <c r="A574" t="s">
        <v>103</v>
      </c>
      <c r="B574" t="s">
        <v>56</v>
      </c>
      <c r="C574" s="4">
        <v>0.39984676499999999</v>
      </c>
      <c r="D574" s="4">
        <v>0.450333333</v>
      </c>
      <c r="E574">
        <v>11</v>
      </c>
      <c r="F574" s="1">
        <v>21.656050955414013</v>
      </c>
      <c r="G574" s="2">
        <f t="shared" si="43"/>
        <v>368.33959872102326</v>
      </c>
      <c r="H574" s="2">
        <f t="shared" si="44"/>
        <v>129.81184580417002</v>
      </c>
      <c r="I574" s="2">
        <f t="shared" si="40"/>
        <v>25962.369160834005</v>
      </c>
      <c r="J574" s="4">
        <f t="shared" si="42"/>
        <v>27.0416049048643</v>
      </c>
      <c r="K574" s="4">
        <f t="shared" si="41"/>
        <v>5408.3209809728596</v>
      </c>
      <c r="L574">
        <v>5</v>
      </c>
    </row>
    <row r="575" spans="1:12" hidden="1" x14ac:dyDescent="0.3">
      <c r="A575" t="s">
        <v>103</v>
      </c>
      <c r="B575" t="s">
        <v>56</v>
      </c>
      <c r="C575" s="4">
        <v>0.39984676499999999</v>
      </c>
      <c r="D575" s="4">
        <v>0.450333333</v>
      </c>
      <c r="E575">
        <v>11</v>
      </c>
      <c r="F575" s="1">
        <v>28.949044585987263</v>
      </c>
      <c r="G575" s="2">
        <f t="shared" si="43"/>
        <v>658.20071792994338</v>
      </c>
      <c r="H575" s="2">
        <f t="shared" si="44"/>
        <v>228.75659718339375</v>
      </c>
      <c r="I575" s="2">
        <f t="shared" si="40"/>
        <v>45751.31943667875</v>
      </c>
      <c r="J575" s="4">
        <f t="shared" si="42"/>
        <v>41.250516523996922</v>
      </c>
      <c r="K575" s="4">
        <f t="shared" si="41"/>
        <v>8250.1033047993842</v>
      </c>
      <c r="L575">
        <v>5</v>
      </c>
    </row>
    <row r="576" spans="1:12" hidden="1" x14ac:dyDescent="0.3">
      <c r="A576" t="s">
        <v>103</v>
      </c>
      <c r="B576" t="s">
        <v>56</v>
      </c>
      <c r="C576" s="4">
        <v>0.39984676499999999</v>
      </c>
      <c r="D576" s="4">
        <v>0.450333333</v>
      </c>
      <c r="E576">
        <v>7</v>
      </c>
      <c r="F576" s="1">
        <v>40.955414012738856</v>
      </c>
      <c r="G576" s="2">
        <f t="shared" si="43"/>
        <v>1317.3844182665084</v>
      </c>
      <c r="H576" s="2">
        <f t="shared" si="44"/>
        <v>289.67547291214697</v>
      </c>
      <c r="I576" s="2">
        <f t="shared" si="40"/>
        <v>57935.094582429403</v>
      </c>
      <c r="J576" s="4">
        <f t="shared" si="42"/>
        <v>50.080675455393738</v>
      </c>
      <c r="K576" s="4">
        <f t="shared" si="41"/>
        <v>10016.135091078748</v>
      </c>
      <c r="L576">
        <v>5</v>
      </c>
    </row>
    <row r="577" spans="1:12" hidden="1" x14ac:dyDescent="0.3">
      <c r="A577" t="s">
        <v>103</v>
      </c>
      <c r="B577" t="s">
        <v>39</v>
      </c>
      <c r="C577" s="4">
        <v>0.590536375</v>
      </c>
      <c r="D577" s="4">
        <v>0.61247410899999999</v>
      </c>
      <c r="E577">
        <v>6</v>
      </c>
      <c r="F577" s="1">
        <v>26.146496815286621</v>
      </c>
      <c r="G577" s="2">
        <f t="shared" si="43"/>
        <v>536.92904727836765</v>
      </c>
      <c r="H577" s="2">
        <f t="shared" si="44"/>
        <v>140.11333914984692</v>
      </c>
      <c r="I577" s="2">
        <f t="shared" si="40"/>
        <v>28022.667829969385</v>
      </c>
      <c r="J577" s="4">
        <f t="shared" si="42"/>
        <v>23.342125209947664</v>
      </c>
      <c r="K577" s="4">
        <f t="shared" si="41"/>
        <v>4668.4250419895325</v>
      </c>
      <c r="L577">
        <v>5</v>
      </c>
    </row>
    <row r="578" spans="1:12" hidden="1" x14ac:dyDescent="0.3">
      <c r="A578" t="s">
        <v>103</v>
      </c>
      <c r="B578" t="s">
        <v>49</v>
      </c>
      <c r="C578" s="4">
        <v>0.57917600000000002</v>
      </c>
      <c r="D578" s="4">
        <v>0.60285714300000004</v>
      </c>
      <c r="E578">
        <v>4</v>
      </c>
      <c r="F578" s="1">
        <v>5.5732484076433115</v>
      </c>
      <c r="G578" s="2">
        <f t="shared" si="43"/>
        <v>24.395329175673304</v>
      </c>
      <c r="H578" s="2">
        <f t="shared" si="44"/>
        <v>4.5448387478529257</v>
      </c>
      <c r="I578" s="2">
        <f t="shared" ref="I578:I641" si="45">(H578*1000)/L578</f>
        <v>908.96774957058517</v>
      </c>
      <c r="J578" s="4">
        <f t="shared" si="42"/>
        <v>9.4205553693861823</v>
      </c>
      <c r="K578" s="4">
        <f t="shared" ref="K578:K641" si="46">(J578*1000)/L578</f>
        <v>1884.1110738772363</v>
      </c>
      <c r="L578">
        <v>5</v>
      </c>
    </row>
    <row r="579" spans="1:12" hidden="1" x14ac:dyDescent="0.3">
      <c r="A579" t="s">
        <v>103</v>
      </c>
      <c r="B579" t="s">
        <v>88</v>
      </c>
      <c r="C579" s="4">
        <v>0.77</v>
      </c>
      <c r="D579" s="4">
        <v>0.77</v>
      </c>
      <c r="E579">
        <v>3.5</v>
      </c>
      <c r="F579" s="1">
        <v>5.4777070063694264</v>
      </c>
      <c r="G579" s="2">
        <f t="shared" si="43"/>
        <v>23.566087129244703</v>
      </c>
      <c r="H579" s="2">
        <f t="shared" si="44"/>
        <v>4.8976221748508264</v>
      </c>
      <c r="I579" s="2">
        <f t="shared" si="45"/>
        <v>979.5244349701652</v>
      </c>
      <c r="J579" s="4">
        <f t="shared" ref="J579:J642" si="47">8.9857 + 0.0035 * F579^2 * E579</f>
        <v>9.3532646070834513</v>
      </c>
      <c r="K579" s="4">
        <f t="shared" si="46"/>
        <v>1870.6529214166901</v>
      </c>
      <c r="L579">
        <v>5</v>
      </c>
    </row>
    <row r="580" spans="1:12" hidden="1" x14ac:dyDescent="0.3">
      <c r="A580" t="s">
        <v>104</v>
      </c>
      <c r="B580" t="s">
        <v>75</v>
      </c>
      <c r="C580" s="4">
        <v>0.86</v>
      </c>
      <c r="D580" s="4">
        <v>0.65666666699999998</v>
      </c>
      <c r="E580">
        <v>6.5</v>
      </c>
      <c r="F580" s="1">
        <v>24.394904458598724</v>
      </c>
      <c r="G580" s="2">
        <f t="shared" ref="G580:G643" si="48">PI()*(F580/2)^2</f>
        <v>467.39937194453432</v>
      </c>
      <c r="H580" s="2">
        <f t="shared" ref="H580:H643" si="49">0.0673 * ((D580 * F580^2 * E580)^0.976)</f>
        <v>141.62994220683498</v>
      </c>
      <c r="I580" s="2">
        <f t="shared" si="45"/>
        <v>28325.988441367001</v>
      </c>
      <c r="J580" s="4">
        <f t="shared" si="47"/>
        <v>22.524483520629637</v>
      </c>
      <c r="K580" s="4">
        <f t="shared" si="46"/>
        <v>4504.8967041259275</v>
      </c>
      <c r="L580">
        <v>5</v>
      </c>
    </row>
    <row r="581" spans="1:12" hidden="1" x14ac:dyDescent="0.3">
      <c r="A581" t="s">
        <v>104</v>
      </c>
      <c r="B581" t="s">
        <v>75</v>
      </c>
      <c r="C581" s="4">
        <v>0.86</v>
      </c>
      <c r="D581" s="4">
        <v>0.65666666699999998</v>
      </c>
      <c r="E581">
        <v>7</v>
      </c>
      <c r="F581" s="1">
        <v>11.687898089171975</v>
      </c>
      <c r="G581" s="2">
        <f t="shared" si="48"/>
        <v>107.29085686015551</v>
      </c>
      <c r="H581" s="2">
        <f t="shared" si="49"/>
        <v>36.206031756514591</v>
      </c>
      <c r="I581" s="2">
        <f t="shared" si="45"/>
        <v>7241.2063513029179</v>
      </c>
      <c r="J581" s="4">
        <f t="shared" si="47"/>
        <v>12.332570562700312</v>
      </c>
      <c r="K581" s="4">
        <f t="shared" si="46"/>
        <v>2466.5141125400623</v>
      </c>
      <c r="L581">
        <v>5</v>
      </c>
    </row>
    <row r="582" spans="1:12" hidden="1" x14ac:dyDescent="0.3">
      <c r="A582" t="s">
        <v>104</v>
      </c>
      <c r="B582" t="s">
        <v>26</v>
      </c>
      <c r="C582" s="4">
        <v>0.80908761900000004</v>
      </c>
      <c r="D582" s="4">
        <v>0.87473809499999999</v>
      </c>
      <c r="E582">
        <v>4.5</v>
      </c>
      <c r="F582" s="1">
        <v>18.02547770700637</v>
      </c>
      <c r="G582" s="2">
        <f t="shared" si="48"/>
        <v>255.18987994782037</v>
      </c>
      <c r="H582" s="2">
        <f t="shared" si="49"/>
        <v>72.496066945019692</v>
      </c>
      <c r="I582" s="2">
        <f t="shared" si="45"/>
        <v>14499.213389003937</v>
      </c>
      <c r="J582" s="4">
        <f t="shared" si="47"/>
        <v>14.103156083411092</v>
      </c>
      <c r="K582" s="4">
        <f t="shared" si="46"/>
        <v>2820.6312166822181</v>
      </c>
      <c r="L582">
        <v>5</v>
      </c>
    </row>
    <row r="583" spans="1:12" hidden="1" x14ac:dyDescent="0.3">
      <c r="A583" t="s">
        <v>104</v>
      </c>
      <c r="B583" t="s">
        <v>26</v>
      </c>
      <c r="C583" s="4">
        <v>0.80908761900000004</v>
      </c>
      <c r="D583" s="4">
        <v>0.87473809499999999</v>
      </c>
      <c r="E583">
        <v>8</v>
      </c>
      <c r="F583" s="1">
        <v>14.840764331210192</v>
      </c>
      <c r="G583" s="2">
        <f t="shared" si="48"/>
        <v>172.98259926440858</v>
      </c>
      <c r="H583" s="2">
        <f t="shared" si="49"/>
        <v>86.973409494316442</v>
      </c>
      <c r="I583" s="2">
        <f t="shared" si="45"/>
        <v>17394.681898863288</v>
      </c>
      <c r="J583" s="4">
        <f t="shared" si="47"/>
        <v>15.15265200616658</v>
      </c>
      <c r="K583" s="4">
        <f t="shared" si="46"/>
        <v>3030.5304012333158</v>
      </c>
      <c r="L583">
        <v>5</v>
      </c>
    </row>
    <row r="584" spans="1:12" hidden="1" x14ac:dyDescent="0.3">
      <c r="A584" t="s">
        <v>104</v>
      </c>
      <c r="B584" t="s">
        <v>26</v>
      </c>
      <c r="C584" s="4">
        <v>0.80908761900000004</v>
      </c>
      <c r="D584" s="4">
        <v>0.87473809499999999</v>
      </c>
      <c r="E584">
        <v>7</v>
      </c>
      <c r="F584" s="1">
        <v>17.929936305732483</v>
      </c>
      <c r="G584" s="2">
        <f t="shared" si="48"/>
        <v>252.49185611376296</v>
      </c>
      <c r="H584" s="2">
        <f t="shared" si="49"/>
        <v>110.43060018826704</v>
      </c>
      <c r="I584" s="2">
        <f t="shared" si="45"/>
        <v>22086.120037653407</v>
      </c>
      <c r="J584" s="4">
        <f t="shared" si="47"/>
        <v>16.862024090226782</v>
      </c>
      <c r="K584" s="4">
        <f t="shared" si="46"/>
        <v>3372.4048180453565</v>
      </c>
      <c r="L584">
        <v>5</v>
      </c>
    </row>
    <row r="585" spans="1:12" hidden="1" x14ac:dyDescent="0.3">
      <c r="A585" t="s">
        <v>104</v>
      </c>
      <c r="B585" t="s">
        <v>26</v>
      </c>
      <c r="C585" s="4">
        <v>0.80908761900000004</v>
      </c>
      <c r="D585" s="4">
        <v>0.87473809499999999</v>
      </c>
      <c r="E585">
        <v>8</v>
      </c>
      <c r="F585" s="1">
        <v>17.101910828025478</v>
      </c>
      <c r="G585" s="2">
        <f t="shared" si="48"/>
        <v>229.70960584684852</v>
      </c>
      <c r="H585" s="2">
        <f t="shared" si="49"/>
        <v>114.71150871212161</v>
      </c>
      <c r="I585" s="2">
        <f t="shared" si="45"/>
        <v>22942.301742424323</v>
      </c>
      <c r="J585" s="4">
        <f t="shared" si="47"/>
        <v>17.175009911152582</v>
      </c>
      <c r="K585" s="4">
        <f t="shared" si="46"/>
        <v>3435.0019822305162</v>
      </c>
      <c r="L585">
        <v>5</v>
      </c>
    </row>
    <row r="586" spans="1:12" hidden="1" x14ac:dyDescent="0.3">
      <c r="A586" t="s">
        <v>104</v>
      </c>
      <c r="B586" t="s">
        <v>92</v>
      </c>
      <c r="C586" s="4">
        <v>0.80803492399999999</v>
      </c>
      <c r="D586" s="4">
        <v>0.87275320499999998</v>
      </c>
      <c r="E586">
        <v>9</v>
      </c>
      <c r="F586" s="1">
        <v>15.477707006369426</v>
      </c>
      <c r="G586" s="2">
        <f t="shared" si="48"/>
        <v>188.14952391762716</v>
      </c>
      <c r="H586" s="2">
        <f t="shared" si="49"/>
        <v>105.67521387948651</v>
      </c>
      <c r="I586" s="2">
        <f t="shared" si="45"/>
        <v>21135.042775897302</v>
      </c>
      <c r="J586" s="4">
        <f t="shared" si="47"/>
        <v>16.531821546513044</v>
      </c>
      <c r="K586" s="4">
        <f t="shared" si="46"/>
        <v>3306.3643093026089</v>
      </c>
      <c r="L586">
        <v>5</v>
      </c>
    </row>
    <row r="587" spans="1:12" hidden="1" x14ac:dyDescent="0.3">
      <c r="A587" t="s">
        <v>104</v>
      </c>
      <c r="B587" t="s">
        <v>85</v>
      </c>
      <c r="C587" s="4">
        <v>0.6</v>
      </c>
      <c r="D587" s="4">
        <v>0.66674999999999995</v>
      </c>
      <c r="E587">
        <v>5.5</v>
      </c>
      <c r="F587" s="1">
        <v>5.5414012738853495</v>
      </c>
      <c r="G587" s="2">
        <f t="shared" si="48"/>
        <v>24.117321995842772</v>
      </c>
      <c r="H587" s="2">
        <f t="shared" si="49"/>
        <v>6.7661624488402738</v>
      </c>
      <c r="I587" s="2">
        <f t="shared" si="45"/>
        <v>1353.2324897680548</v>
      </c>
      <c r="J587" s="4">
        <f t="shared" si="47"/>
        <v>9.5768122155056989</v>
      </c>
      <c r="K587" s="4">
        <f t="shared" si="46"/>
        <v>1915.3624431011399</v>
      </c>
      <c r="L587">
        <v>5</v>
      </c>
    </row>
    <row r="588" spans="1:12" hidden="1" x14ac:dyDescent="0.3">
      <c r="A588" t="s">
        <v>104</v>
      </c>
      <c r="B588" t="s">
        <v>15</v>
      </c>
      <c r="C588" s="4">
        <v>0.47982689899999997</v>
      </c>
      <c r="D588" s="4">
        <v>0.51</v>
      </c>
      <c r="E588">
        <v>3</v>
      </c>
      <c r="F588" s="1">
        <v>7.9617834394904454</v>
      </c>
      <c r="G588" s="2">
        <f t="shared" si="48"/>
        <v>49.786386072802657</v>
      </c>
      <c r="H588" s="2">
        <f t="shared" si="49"/>
        <v>5.8485219553870094</v>
      </c>
      <c r="I588" s="2">
        <f t="shared" si="45"/>
        <v>1169.7043910774019</v>
      </c>
      <c r="J588" s="4">
        <f t="shared" si="47"/>
        <v>9.6512949531421146</v>
      </c>
      <c r="K588" s="4">
        <f t="shared" si="46"/>
        <v>1930.2589906284229</v>
      </c>
      <c r="L588">
        <v>5</v>
      </c>
    </row>
    <row r="589" spans="1:12" hidden="1" x14ac:dyDescent="0.3">
      <c r="A589" t="s">
        <v>104</v>
      </c>
      <c r="B589" t="s">
        <v>15</v>
      </c>
      <c r="C589" s="4">
        <v>0.47982689899999997</v>
      </c>
      <c r="D589" s="4">
        <v>0.51</v>
      </c>
      <c r="E589">
        <v>5</v>
      </c>
      <c r="F589" s="1">
        <v>6.4649681528662422</v>
      </c>
      <c r="G589" s="2">
        <f t="shared" si="48"/>
        <v>32.826354938786004</v>
      </c>
      <c r="H589" s="2">
        <f t="shared" si="49"/>
        <v>6.4124482503266629</v>
      </c>
      <c r="I589" s="2">
        <f t="shared" si="45"/>
        <v>1282.4896500653326</v>
      </c>
      <c r="J589" s="4">
        <f t="shared" si="47"/>
        <v>9.7171267313075571</v>
      </c>
      <c r="K589" s="4">
        <f t="shared" si="46"/>
        <v>1943.4253462615113</v>
      </c>
      <c r="L589">
        <v>5</v>
      </c>
    </row>
    <row r="590" spans="1:12" hidden="1" x14ac:dyDescent="0.3">
      <c r="A590" t="s">
        <v>104</v>
      </c>
      <c r="B590" t="s">
        <v>54</v>
      </c>
      <c r="C590" s="4">
        <v>0.53</v>
      </c>
      <c r="D590" s="4">
        <v>0.54764999999999997</v>
      </c>
      <c r="E590">
        <v>5.5</v>
      </c>
      <c r="F590" s="1">
        <v>6.1464968152866239</v>
      </c>
      <c r="G590" s="2">
        <f t="shared" si="48"/>
        <v>29.67188951721322</v>
      </c>
      <c r="H590" s="2">
        <f t="shared" si="49"/>
        <v>6.8357986361061354</v>
      </c>
      <c r="I590" s="2">
        <f t="shared" si="45"/>
        <v>1367.1597272212271</v>
      </c>
      <c r="J590" s="4">
        <f t="shared" si="47"/>
        <v>9.7129538946813252</v>
      </c>
      <c r="K590" s="4">
        <f t="shared" si="46"/>
        <v>1942.590778936265</v>
      </c>
      <c r="L590">
        <v>5</v>
      </c>
    </row>
    <row r="591" spans="1:12" hidden="1" x14ac:dyDescent="0.3">
      <c r="A591" t="s">
        <v>104</v>
      </c>
      <c r="B591" t="s">
        <v>54</v>
      </c>
      <c r="C591" s="4">
        <v>0.53</v>
      </c>
      <c r="D591" s="4">
        <v>0.54764999999999997</v>
      </c>
      <c r="E591">
        <v>4.5</v>
      </c>
      <c r="F591" s="1">
        <v>8.2165605095541405</v>
      </c>
      <c r="G591" s="2">
        <f t="shared" si="48"/>
        <v>53.023696040800587</v>
      </c>
      <c r="H591" s="2">
        <f t="shared" si="49"/>
        <v>9.9038599063271544</v>
      </c>
      <c r="I591" s="2">
        <f t="shared" si="45"/>
        <v>1980.7719812654309</v>
      </c>
      <c r="J591" s="4">
        <f t="shared" si="47"/>
        <v>10.049011899062842</v>
      </c>
      <c r="K591" s="4">
        <f t="shared" si="46"/>
        <v>2009.8023798125682</v>
      </c>
      <c r="L591">
        <v>5</v>
      </c>
    </row>
    <row r="592" spans="1:12" hidden="1" x14ac:dyDescent="0.3">
      <c r="A592" t="s">
        <v>104</v>
      </c>
      <c r="B592" t="s">
        <v>56</v>
      </c>
      <c r="C592" s="4">
        <v>0.39984676499999999</v>
      </c>
      <c r="D592" s="4">
        <v>0.450333333</v>
      </c>
      <c r="E592">
        <v>8</v>
      </c>
      <c r="F592" s="1">
        <v>14.745222929936304</v>
      </c>
      <c r="G592" s="2">
        <f t="shared" si="48"/>
        <v>170.76252473665011</v>
      </c>
      <c r="H592" s="2">
        <f t="shared" si="49"/>
        <v>44.924948578259993</v>
      </c>
      <c r="I592" s="2">
        <f t="shared" si="45"/>
        <v>8984.9897156519983</v>
      </c>
      <c r="J592" s="4">
        <f t="shared" si="47"/>
        <v>15.073504779098542</v>
      </c>
      <c r="K592" s="4">
        <f t="shared" si="46"/>
        <v>3014.7009558197087</v>
      </c>
      <c r="L592">
        <v>5</v>
      </c>
    </row>
    <row r="593" spans="1:12" hidden="1" x14ac:dyDescent="0.3">
      <c r="A593" t="s">
        <v>104</v>
      </c>
      <c r="B593" t="s">
        <v>22</v>
      </c>
      <c r="C593" s="4">
        <v>0.43836446099999998</v>
      </c>
      <c r="D593" s="4">
        <v>0.58666666700000003</v>
      </c>
      <c r="E593">
        <v>5</v>
      </c>
      <c r="F593" s="1">
        <v>10.445859872611464</v>
      </c>
      <c r="G593" s="2">
        <f t="shared" si="48"/>
        <v>85.699496948102421</v>
      </c>
      <c r="H593" s="2">
        <f t="shared" si="49"/>
        <v>18.755941856893966</v>
      </c>
      <c r="I593" s="2">
        <f t="shared" si="45"/>
        <v>3751.1883713787929</v>
      </c>
      <c r="J593" s="4">
        <f t="shared" si="47"/>
        <v>10.895229798369101</v>
      </c>
      <c r="K593" s="4">
        <f t="shared" si="46"/>
        <v>2179.0459596738201</v>
      </c>
      <c r="L593">
        <v>5</v>
      </c>
    </row>
    <row r="594" spans="1:12" hidden="1" x14ac:dyDescent="0.3">
      <c r="A594" t="s">
        <v>104</v>
      </c>
      <c r="B594" t="s">
        <v>49</v>
      </c>
      <c r="C594" s="4">
        <v>0.57917600000000002</v>
      </c>
      <c r="D594" s="4">
        <v>0.60285714300000004</v>
      </c>
      <c r="E594">
        <v>6</v>
      </c>
      <c r="F594" s="1">
        <v>10.286624203821654</v>
      </c>
      <c r="G594" s="2">
        <f t="shared" si="48"/>
        <v>83.106621961430847</v>
      </c>
      <c r="H594" s="2">
        <f t="shared" si="49"/>
        <v>22.332461827792187</v>
      </c>
      <c r="I594" s="2">
        <f t="shared" si="45"/>
        <v>4466.4923655584371</v>
      </c>
      <c r="J594" s="4">
        <f t="shared" si="47"/>
        <v>11.207807387723639</v>
      </c>
      <c r="K594" s="4">
        <f t="shared" si="46"/>
        <v>2241.5614775447275</v>
      </c>
      <c r="L594">
        <v>5</v>
      </c>
    </row>
    <row r="595" spans="1:12" hidden="1" x14ac:dyDescent="0.3">
      <c r="A595" t="s">
        <v>104</v>
      </c>
      <c r="B595" t="s">
        <v>49</v>
      </c>
      <c r="C595" s="4">
        <v>0.57917600000000002</v>
      </c>
      <c r="D595" s="4">
        <v>0.60285714300000004</v>
      </c>
      <c r="E595">
        <v>5</v>
      </c>
      <c r="F595" s="1">
        <v>9.3949044585987256</v>
      </c>
      <c r="G595" s="2">
        <f t="shared" si="48"/>
        <v>69.322563967770421</v>
      </c>
      <c r="H595" s="2">
        <f t="shared" si="49"/>
        <v>15.659754734631555</v>
      </c>
      <c r="I595" s="2">
        <f t="shared" si="45"/>
        <v>3131.9509469263112</v>
      </c>
      <c r="J595" s="4">
        <f t="shared" si="47"/>
        <v>10.530324021258469</v>
      </c>
      <c r="K595" s="4">
        <f t="shared" si="46"/>
        <v>2106.0648042516941</v>
      </c>
      <c r="L595">
        <v>5</v>
      </c>
    </row>
    <row r="596" spans="1:12" hidden="1" x14ac:dyDescent="0.3">
      <c r="A596" t="s">
        <v>104</v>
      </c>
      <c r="B596" t="s">
        <v>49</v>
      </c>
      <c r="C596" s="4">
        <v>0.57917600000000002</v>
      </c>
      <c r="D596" s="4">
        <v>0.60285714300000004</v>
      </c>
      <c r="E596">
        <v>6.5</v>
      </c>
      <c r="F596" s="1">
        <v>4.8726114649681529</v>
      </c>
      <c r="G596" s="2">
        <f t="shared" si="48"/>
        <v>18.647192185251804</v>
      </c>
      <c r="H596" s="2">
        <f t="shared" si="49"/>
        <v>5.6158922351525495</v>
      </c>
      <c r="I596" s="2">
        <f t="shared" si="45"/>
        <v>1123.1784470305099</v>
      </c>
      <c r="J596" s="4">
        <f t="shared" si="47"/>
        <v>9.5258382916142637</v>
      </c>
      <c r="K596" s="4">
        <f t="shared" si="46"/>
        <v>1905.1676583228527</v>
      </c>
      <c r="L596">
        <v>5</v>
      </c>
    </row>
    <row r="597" spans="1:12" hidden="1" x14ac:dyDescent="0.3">
      <c r="A597" t="s">
        <v>104</v>
      </c>
      <c r="B597" t="s">
        <v>49</v>
      </c>
      <c r="C597" s="4">
        <v>0.57917600000000002</v>
      </c>
      <c r="D597" s="4">
        <v>0.60285714300000004</v>
      </c>
      <c r="E597">
        <v>5</v>
      </c>
      <c r="F597" s="1">
        <v>7.4203821656050959</v>
      </c>
      <c r="G597" s="2">
        <f t="shared" si="48"/>
        <v>43.245649816102144</v>
      </c>
      <c r="H597" s="2">
        <f t="shared" si="49"/>
        <v>9.8803229090113032</v>
      </c>
      <c r="I597" s="2">
        <f t="shared" si="45"/>
        <v>1976.0645818022608</v>
      </c>
      <c r="J597" s="4">
        <f t="shared" si="47"/>
        <v>9.949286250963528</v>
      </c>
      <c r="K597" s="4">
        <f t="shared" si="46"/>
        <v>1989.8572501927058</v>
      </c>
      <c r="L597">
        <v>5</v>
      </c>
    </row>
    <row r="598" spans="1:12" hidden="1" x14ac:dyDescent="0.3">
      <c r="A598" t="s">
        <v>104</v>
      </c>
      <c r="B598" t="s">
        <v>49</v>
      </c>
      <c r="C598" s="4">
        <v>0.57917600000000002</v>
      </c>
      <c r="D598" s="4">
        <v>0.60285714300000004</v>
      </c>
      <c r="E598">
        <v>7</v>
      </c>
      <c r="F598" s="1">
        <v>14.745222929936304</v>
      </c>
      <c r="G598" s="2">
        <f t="shared" si="48"/>
        <v>170.76252473665011</v>
      </c>
      <c r="H598" s="2">
        <f t="shared" si="49"/>
        <v>52.423672023124055</v>
      </c>
      <c r="I598" s="2">
        <f t="shared" si="45"/>
        <v>10484.734404624811</v>
      </c>
      <c r="J598" s="4">
        <f t="shared" si="47"/>
        <v>14.312529181711223</v>
      </c>
      <c r="K598" s="4">
        <f t="shared" si="46"/>
        <v>2862.5058363422445</v>
      </c>
      <c r="L598">
        <v>5</v>
      </c>
    </row>
    <row r="599" spans="1:12" hidden="1" x14ac:dyDescent="0.3">
      <c r="A599" t="s">
        <v>105</v>
      </c>
      <c r="B599" t="s">
        <v>75</v>
      </c>
      <c r="C599" s="4">
        <v>0.86</v>
      </c>
      <c r="D599" s="4">
        <v>0.65666666699999998</v>
      </c>
      <c r="E599">
        <v>6</v>
      </c>
      <c r="F599" s="1">
        <v>8.3757961783439487</v>
      </c>
      <c r="G599" s="2">
        <f t="shared" si="48"/>
        <v>55.098792612315002</v>
      </c>
      <c r="H599" s="2">
        <f t="shared" si="49"/>
        <v>16.254227161409638</v>
      </c>
      <c r="I599" s="2">
        <f t="shared" si="45"/>
        <v>3250.8454322819275</v>
      </c>
      <c r="J599" s="4">
        <f t="shared" si="47"/>
        <v>10.458933194044382</v>
      </c>
      <c r="K599" s="4">
        <f t="shared" si="46"/>
        <v>2091.7866388088764</v>
      </c>
      <c r="L599">
        <v>5</v>
      </c>
    </row>
    <row r="600" spans="1:12" hidden="1" x14ac:dyDescent="0.3">
      <c r="A600" t="s">
        <v>105</v>
      </c>
      <c r="B600" t="s">
        <v>75</v>
      </c>
      <c r="C600" s="4">
        <v>0.86</v>
      </c>
      <c r="D600" s="4">
        <v>0.65666666699999998</v>
      </c>
      <c r="E600">
        <v>6.5</v>
      </c>
      <c r="F600" s="1">
        <v>7.1656050955414008</v>
      </c>
      <c r="G600" s="2">
        <f t="shared" si="48"/>
        <v>40.326972718970154</v>
      </c>
      <c r="H600" s="2">
        <f t="shared" si="49"/>
        <v>12.959874470230938</v>
      </c>
      <c r="I600" s="2">
        <f t="shared" si="45"/>
        <v>2591.9748940461877</v>
      </c>
      <c r="J600" s="4">
        <f t="shared" si="47"/>
        <v>10.153819142764412</v>
      </c>
      <c r="K600" s="4">
        <f t="shared" si="46"/>
        <v>2030.7638285528824</v>
      </c>
      <c r="L600">
        <v>5</v>
      </c>
    </row>
    <row r="601" spans="1:12" hidden="1" x14ac:dyDescent="0.3">
      <c r="A601" t="s">
        <v>105</v>
      </c>
      <c r="B601" t="s">
        <v>60</v>
      </c>
      <c r="C601" s="4">
        <v>0.41</v>
      </c>
      <c r="D601" s="4">
        <v>0.33983503399999998</v>
      </c>
      <c r="E601">
        <v>6</v>
      </c>
      <c r="F601" s="1">
        <v>5.2547770700636942</v>
      </c>
      <c r="G601" s="2">
        <f t="shared" si="48"/>
        <v>21.68694977331284</v>
      </c>
      <c r="H601" s="2">
        <f t="shared" si="49"/>
        <v>3.4397777572366404</v>
      </c>
      <c r="I601" s="2">
        <f t="shared" si="45"/>
        <v>687.95555144732805</v>
      </c>
      <c r="J601" s="4">
        <f t="shared" si="47"/>
        <v>9.5655663231774106</v>
      </c>
      <c r="K601" s="4">
        <f t="shared" si="46"/>
        <v>1913.1132646354822</v>
      </c>
      <c r="L601">
        <v>5</v>
      </c>
    </row>
    <row r="602" spans="1:12" hidden="1" x14ac:dyDescent="0.3">
      <c r="A602" t="s">
        <v>105</v>
      </c>
      <c r="B602" t="s">
        <v>96</v>
      </c>
      <c r="C602" s="4">
        <v>0.60413333300000005</v>
      </c>
      <c r="D602" s="4">
        <v>0.60831666699999998</v>
      </c>
      <c r="E602">
        <v>10</v>
      </c>
      <c r="F602" s="1">
        <v>21.146496815286625</v>
      </c>
      <c r="G602" s="2">
        <f t="shared" si="48"/>
        <v>351.20989558327051</v>
      </c>
      <c r="H602" s="2">
        <f t="shared" si="49"/>
        <v>151.42273445988104</v>
      </c>
      <c r="I602" s="2">
        <f t="shared" si="45"/>
        <v>30284.546891976206</v>
      </c>
      <c r="J602" s="4">
        <f t="shared" si="47"/>
        <v>24.63680146456246</v>
      </c>
      <c r="K602" s="4">
        <f t="shared" si="46"/>
        <v>4927.3602929124918</v>
      </c>
      <c r="L602">
        <v>5</v>
      </c>
    </row>
    <row r="603" spans="1:12" hidden="1" x14ac:dyDescent="0.3">
      <c r="A603" t="s">
        <v>105</v>
      </c>
      <c r="B603" t="s">
        <v>70</v>
      </c>
      <c r="C603" s="4">
        <v>0.55560299999999996</v>
      </c>
      <c r="D603" s="4">
        <v>0.55961111100000005</v>
      </c>
      <c r="E603">
        <v>3</v>
      </c>
      <c r="F603" s="1">
        <v>6.1783439490445851</v>
      </c>
      <c r="G603" s="2">
        <f t="shared" si="48"/>
        <v>29.980166819776009</v>
      </c>
      <c r="H603" s="2">
        <f t="shared" si="49"/>
        <v>3.9030558833443703</v>
      </c>
      <c r="I603" s="2">
        <f t="shared" si="45"/>
        <v>780.61117666887401</v>
      </c>
      <c r="J603" s="4">
        <f t="shared" si="47"/>
        <v>9.3865053065033059</v>
      </c>
      <c r="K603" s="4">
        <f t="shared" si="46"/>
        <v>1877.3010613006613</v>
      </c>
      <c r="L603">
        <v>5</v>
      </c>
    </row>
    <row r="604" spans="1:12" hidden="1" x14ac:dyDescent="0.3">
      <c r="A604" t="s">
        <v>105</v>
      </c>
      <c r="B604" t="s">
        <v>70</v>
      </c>
      <c r="C604" s="4">
        <v>0.55560299999999996</v>
      </c>
      <c r="D604" s="4">
        <v>0.55961111100000005</v>
      </c>
      <c r="E604">
        <v>4</v>
      </c>
      <c r="F604" s="1">
        <v>8.1210191082802545</v>
      </c>
      <c r="G604" s="2">
        <f t="shared" si="48"/>
        <v>51.79775607014389</v>
      </c>
      <c r="H604" s="2">
        <f t="shared" si="49"/>
        <v>8.8129728418816438</v>
      </c>
      <c r="I604" s="2">
        <f t="shared" si="45"/>
        <v>1762.5945683763287</v>
      </c>
      <c r="J604" s="4">
        <f t="shared" si="47"/>
        <v>9.9090133189987419</v>
      </c>
      <c r="K604" s="4">
        <f t="shared" si="46"/>
        <v>1981.8026637997486</v>
      </c>
      <c r="L604">
        <v>5</v>
      </c>
    </row>
    <row r="605" spans="1:12" hidden="1" x14ac:dyDescent="0.3">
      <c r="A605" t="s">
        <v>105</v>
      </c>
      <c r="B605" t="s">
        <v>56</v>
      </c>
      <c r="C605" s="4">
        <v>0.39984676499999999</v>
      </c>
      <c r="D605" s="4">
        <v>0.450333333</v>
      </c>
      <c r="E605">
        <v>11</v>
      </c>
      <c r="F605" s="1">
        <v>27.898089171974519</v>
      </c>
      <c r="G605" s="2">
        <f t="shared" si="48"/>
        <v>611.27804478404812</v>
      </c>
      <c r="H605" s="2">
        <f t="shared" si="49"/>
        <v>212.82612750493516</v>
      </c>
      <c r="I605" s="2">
        <f t="shared" si="45"/>
        <v>42565.225500987035</v>
      </c>
      <c r="J605" s="4">
        <f t="shared" si="47"/>
        <v>38.950380108726513</v>
      </c>
      <c r="K605" s="4">
        <f t="shared" si="46"/>
        <v>7790.0760217453035</v>
      </c>
      <c r="L605">
        <v>5</v>
      </c>
    </row>
    <row r="606" spans="1:12" hidden="1" x14ac:dyDescent="0.3">
      <c r="A606" t="s">
        <v>105</v>
      </c>
      <c r="B606" t="s">
        <v>56</v>
      </c>
      <c r="C606" s="4">
        <v>0.39984676499999999</v>
      </c>
      <c r="D606" s="4">
        <v>0.450333333</v>
      </c>
      <c r="E606">
        <v>7</v>
      </c>
      <c r="F606" s="1">
        <v>11.656050955414013</v>
      </c>
      <c r="G606" s="2">
        <f t="shared" si="48"/>
        <v>106.70696212429367</v>
      </c>
      <c r="H606" s="2">
        <f t="shared" si="49"/>
        <v>24.922317970782839</v>
      </c>
      <c r="I606" s="2">
        <f t="shared" si="45"/>
        <v>4984.4635941565675</v>
      </c>
      <c r="J606" s="4">
        <f t="shared" si="47"/>
        <v>12.314356334942595</v>
      </c>
      <c r="K606" s="4">
        <f t="shared" si="46"/>
        <v>2462.871266988519</v>
      </c>
      <c r="L606">
        <v>5</v>
      </c>
    </row>
    <row r="607" spans="1:12" hidden="1" x14ac:dyDescent="0.3">
      <c r="A607" t="s">
        <v>105</v>
      </c>
      <c r="B607" t="s">
        <v>56</v>
      </c>
      <c r="C607" s="4">
        <v>0.39984676499999999</v>
      </c>
      <c r="D607" s="4">
        <v>0.450333333</v>
      </c>
      <c r="E607">
        <v>8</v>
      </c>
      <c r="F607" s="1">
        <v>23.216560509554142</v>
      </c>
      <c r="G607" s="2">
        <f t="shared" si="48"/>
        <v>423.33642881466125</v>
      </c>
      <c r="H607" s="2">
        <f t="shared" si="49"/>
        <v>108.9726794278079</v>
      </c>
      <c r="I607" s="2">
        <f t="shared" si="45"/>
        <v>21794.535885561581</v>
      </c>
      <c r="J607" s="4">
        <f t="shared" si="47"/>
        <v>24.077943093026089</v>
      </c>
      <c r="K607" s="4">
        <f t="shared" si="46"/>
        <v>4815.5886186052176</v>
      </c>
      <c r="L607">
        <v>5</v>
      </c>
    </row>
    <row r="608" spans="1:12" hidden="1" x14ac:dyDescent="0.3">
      <c r="A608" t="s">
        <v>105</v>
      </c>
      <c r="B608" t="s">
        <v>56</v>
      </c>
      <c r="C608" s="4">
        <v>0.39984676499999999</v>
      </c>
      <c r="D608" s="4">
        <v>0.450333333</v>
      </c>
      <c r="E608">
        <v>7.5</v>
      </c>
      <c r="F608" s="1">
        <v>45.06369426751592</v>
      </c>
      <c r="G608" s="2">
        <f t="shared" si="48"/>
        <v>1594.9367496738769</v>
      </c>
      <c r="H608" s="2">
        <f t="shared" si="49"/>
        <v>373.41695274956243</v>
      </c>
      <c r="I608" s="2">
        <f t="shared" si="45"/>
        <v>74683.390549912496</v>
      </c>
      <c r="J608" s="4">
        <f t="shared" si="47"/>
        <v>62.292534202198866</v>
      </c>
      <c r="K608" s="4">
        <f t="shared" si="46"/>
        <v>12458.506840439773</v>
      </c>
      <c r="L608">
        <v>5</v>
      </c>
    </row>
    <row r="609" spans="1:12" hidden="1" x14ac:dyDescent="0.3">
      <c r="A609" t="s">
        <v>105</v>
      </c>
      <c r="B609" t="s">
        <v>56</v>
      </c>
      <c r="C609" s="4">
        <v>0.39984676499999999</v>
      </c>
      <c r="D609" s="4">
        <v>0.450333333</v>
      </c>
      <c r="E609">
        <v>7.5</v>
      </c>
      <c r="F609" s="1">
        <v>27.229299363057322</v>
      </c>
      <c r="G609" s="2">
        <f t="shared" si="48"/>
        <v>582.32148606192902</v>
      </c>
      <c r="H609" s="2">
        <f t="shared" si="49"/>
        <v>139.67391806329971</v>
      </c>
      <c r="I609" s="2">
        <f t="shared" si="45"/>
        <v>27934.78361265994</v>
      </c>
      <c r="J609" s="4">
        <f t="shared" si="47"/>
        <v>28.44836202482859</v>
      </c>
      <c r="K609" s="4">
        <f t="shared" si="46"/>
        <v>5689.6724049657187</v>
      </c>
      <c r="L609">
        <v>5</v>
      </c>
    </row>
    <row r="610" spans="1:12" hidden="1" x14ac:dyDescent="0.3">
      <c r="A610" t="s">
        <v>105</v>
      </c>
      <c r="B610" t="s">
        <v>56</v>
      </c>
      <c r="C610" s="4">
        <v>0.39984676499999999</v>
      </c>
      <c r="D610" s="4">
        <v>0.450333333</v>
      </c>
      <c r="E610">
        <v>8</v>
      </c>
      <c r="F610" s="1">
        <v>20</v>
      </c>
      <c r="G610" s="2">
        <f t="shared" si="48"/>
        <v>314.15926535897933</v>
      </c>
      <c r="H610" s="2">
        <f t="shared" si="49"/>
        <v>81.44993063537575</v>
      </c>
      <c r="I610" s="2">
        <f t="shared" si="45"/>
        <v>16289.986127075152</v>
      </c>
      <c r="J610" s="4">
        <f t="shared" si="47"/>
        <v>20.185700000000001</v>
      </c>
      <c r="K610" s="4">
        <f t="shared" si="46"/>
        <v>4037.1400000000003</v>
      </c>
      <c r="L610">
        <v>5</v>
      </c>
    </row>
    <row r="611" spans="1:12" hidden="1" x14ac:dyDescent="0.3">
      <c r="A611" t="s">
        <v>105</v>
      </c>
      <c r="B611" t="s">
        <v>56</v>
      </c>
      <c r="C611" s="4">
        <v>0.39984676499999999</v>
      </c>
      <c r="D611" s="4">
        <v>0.450333333</v>
      </c>
      <c r="E611">
        <v>7.5</v>
      </c>
      <c r="F611" s="1">
        <v>14.108280254777069</v>
      </c>
      <c r="G611" s="2">
        <f t="shared" si="48"/>
        <v>156.32845568642318</v>
      </c>
      <c r="H611" s="2">
        <f t="shared" si="49"/>
        <v>38.698803141352187</v>
      </c>
      <c r="I611" s="2">
        <f t="shared" si="45"/>
        <v>7739.7606282704382</v>
      </c>
      <c r="J611" s="4">
        <f t="shared" si="47"/>
        <v>14.210593758367478</v>
      </c>
      <c r="K611" s="4">
        <f t="shared" si="46"/>
        <v>2842.1187516734958</v>
      </c>
      <c r="L611">
        <v>5</v>
      </c>
    </row>
    <row r="612" spans="1:12" hidden="1" x14ac:dyDescent="0.3">
      <c r="A612" t="s">
        <v>105</v>
      </c>
      <c r="B612" t="s">
        <v>22</v>
      </c>
      <c r="C612" s="4">
        <v>0.43836446099999998</v>
      </c>
      <c r="D612" s="4">
        <v>0.58666666700000003</v>
      </c>
      <c r="E612">
        <v>4</v>
      </c>
      <c r="F612" s="1">
        <v>3.9171974522292996</v>
      </c>
      <c r="G612" s="2">
        <f t="shared" si="48"/>
        <v>12.051491758326906</v>
      </c>
      <c r="H612" s="2">
        <f t="shared" si="49"/>
        <v>2.2236362209381908</v>
      </c>
      <c r="I612" s="2">
        <f t="shared" si="45"/>
        <v>444.72724418763818</v>
      </c>
      <c r="J612" s="4">
        <f t="shared" si="47"/>
        <v>9.2005221023165245</v>
      </c>
      <c r="K612" s="4">
        <f t="shared" si="46"/>
        <v>1840.1044204633049</v>
      </c>
      <c r="L612">
        <v>5</v>
      </c>
    </row>
    <row r="613" spans="1:12" hidden="1" x14ac:dyDescent="0.3">
      <c r="A613" t="s">
        <v>105</v>
      </c>
      <c r="B613" t="s">
        <v>62</v>
      </c>
      <c r="C613" s="4">
        <v>0.693333333</v>
      </c>
      <c r="D613" s="4">
        <v>0.64166666699999997</v>
      </c>
      <c r="E613">
        <v>6</v>
      </c>
      <c r="F613" s="1">
        <v>6.8789808917197455</v>
      </c>
      <c r="G613" s="2">
        <f t="shared" si="48"/>
        <v>37.165338057802906</v>
      </c>
      <c r="H613" s="2">
        <f t="shared" si="49"/>
        <v>10.82110934846183</v>
      </c>
      <c r="I613" s="2">
        <f t="shared" si="45"/>
        <v>2164.221869692366</v>
      </c>
      <c r="J613" s="4">
        <f t="shared" si="47"/>
        <v>9.9794279402815533</v>
      </c>
      <c r="K613" s="4">
        <f t="shared" si="46"/>
        <v>1995.8855880563108</v>
      </c>
      <c r="L613">
        <v>5</v>
      </c>
    </row>
    <row r="614" spans="1:12" hidden="1" x14ac:dyDescent="0.3">
      <c r="A614" t="s">
        <v>105</v>
      </c>
      <c r="B614" t="s">
        <v>88</v>
      </c>
      <c r="C614" s="4">
        <v>0.77</v>
      </c>
      <c r="D614" s="4">
        <v>0.77</v>
      </c>
      <c r="E614">
        <v>6</v>
      </c>
      <c r="F614" s="1">
        <v>8.0573248407643305</v>
      </c>
      <c r="G614" s="2">
        <f t="shared" si="48"/>
        <v>50.988428578144408</v>
      </c>
      <c r="H614" s="2">
        <f t="shared" si="49"/>
        <v>17.603142986294174</v>
      </c>
      <c r="I614" s="2">
        <f t="shared" si="45"/>
        <v>3520.6285972588348</v>
      </c>
      <c r="J614" s="4">
        <f t="shared" si="47"/>
        <v>10.349030155381557</v>
      </c>
      <c r="K614" s="4">
        <f t="shared" si="46"/>
        <v>2069.8060310763112</v>
      </c>
      <c r="L614">
        <v>5</v>
      </c>
    </row>
    <row r="615" spans="1:12" x14ac:dyDescent="0.3">
      <c r="A615" t="s">
        <v>106</v>
      </c>
      <c r="B615" t="s">
        <v>26</v>
      </c>
      <c r="C615" s="4">
        <v>0.80908761900000004</v>
      </c>
      <c r="D615" s="4">
        <v>0.87473809499999999</v>
      </c>
      <c r="E615">
        <v>12</v>
      </c>
      <c r="F615" s="1">
        <v>82.22993630573248</v>
      </c>
      <c r="G615" s="2">
        <f t="shared" si="48"/>
        <v>5310.6757898029991</v>
      </c>
      <c r="H615" s="2">
        <f t="shared" si="49"/>
        <v>3653.4855825849695</v>
      </c>
      <c r="I615" s="2">
        <f t="shared" si="45"/>
        <v>608914.26376416162</v>
      </c>
      <c r="J615" s="4">
        <f t="shared" si="47"/>
        <v>292.97972184348248</v>
      </c>
      <c r="K615" s="4">
        <f t="shared" si="46"/>
        <v>48829.95364058041</v>
      </c>
      <c r="L615">
        <v>6</v>
      </c>
    </row>
    <row r="616" spans="1:12" x14ac:dyDescent="0.3">
      <c r="A616" t="s">
        <v>106</v>
      </c>
      <c r="B616" t="s">
        <v>39</v>
      </c>
      <c r="C616" s="4">
        <v>0.590536375</v>
      </c>
      <c r="D616" s="4">
        <v>0.61247410899999999</v>
      </c>
      <c r="E616">
        <v>7</v>
      </c>
      <c r="F616" s="1">
        <v>10.605095541401273</v>
      </c>
      <c r="G616" s="2">
        <f t="shared" si="48"/>
        <v>88.33220104363221</v>
      </c>
      <c r="H616" s="2">
        <f t="shared" si="49"/>
        <v>27.979042694914032</v>
      </c>
      <c r="I616" s="2">
        <f t="shared" si="45"/>
        <v>4663.1737824856718</v>
      </c>
      <c r="J616" s="4">
        <f t="shared" si="47"/>
        <v>11.741167260335104</v>
      </c>
      <c r="K616" s="4">
        <f t="shared" si="46"/>
        <v>1956.8612100558505</v>
      </c>
      <c r="L616">
        <v>6</v>
      </c>
    </row>
    <row r="617" spans="1:12" x14ac:dyDescent="0.3">
      <c r="A617" t="s">
        <v>106</v>
      </c>
      <c r="B617" t="s">
        <v>39</v>
      </c>
      <c r="C617" s="4">
        <v>0.590536375</v>
      </c>
      <c r="D617" s="4">
        <v>0.61247410899999999</v>
      </c>
      <c r="E617">
        <v>8</v>
      </c>
      <c r="F617" s="1">
        <v>11.656050955414013</v>
      </c>
      <c r="G617" s="2">
        <f t="shared" si="48"/>
        <v>106.70696212429367</v>
      </c>
      <c r="H617" s="2">
        <f t="shared" si="49"/>
        <v>38.329832916554771</v>
      </c>
      <c r="I617" s="2">
        <f t="shared" si="45"/>
        <v>6388.3054860924613</v>
      </c>
      <c r="J617" s="4">
        <f t="shared" si="47"/>
        <v>12.789878668505821</v>
      </c>
      <c r="K617" s="4">
        <f t="shared" si="46"/>
        <v>2131.6464447509702</v>
      </c>
      <c r="L617">
        <v>6</v>
      </c>
    </row>
    <row r="618" spans="1:12" x14ac:dyDescent="0.3">
      <c r="A618" t="s">
        <v>106</v>
      </c>
      <c r="B618" t="s">
        <v>39</v>
      </c>
      <c r="C618" s="4">
        <v>0.590536375</v>
      </c>
      <c r="D618" s="4">
        <v>0.61247410899999999</v>
      </c>
      <c r="E618">
        <v>11</v>
      </c>
      <c r="F618" s="1">
        <v>16.65605095541401</v>
      </c>
      <c r="G618" s="2">
        <f t="shared" si="48"/>
        <v>217.88832633772219</v>
      </c>
      <c r="H618" s="2">
        <f t="shared" si="49"/>
        <v>104.98338640583005</v>
      </c>
      <c r="I618" s="2">
        <f t="shared" si="45"/>
        <v>17497.231067638342</v>
      </c>
      <c r="J618" s="4">
        <f t="shared" si="47"/>
        <v>19.666525287029899</v>
      </c>
      <c r="K618" s="4">
        <f t="shared" si="46"/>
        <v>3277.7542145049829</v>
      </c>
      <c r="L618">
        <v>6</v>
      </c>
    </row>
    <row r="619" spans="1:12" x14ac:dyDescent="0.3">
      <c r="A619" t="s">
        <v>106</v>
      </c>
      <c r="B619" t="s">
        <v>39</v>
      </c>
      <c r="C619" s="4">
        <v>0.590536375</v>
      </c>
      <c r="D619" s="4">
        <v>0.61247410899999999</v>
      </c>
      <c r="E619">
        <v>11</v>
      </c>
      <c r="F619" s="1">
        <v>17.32484076433121</v>
      </c>
      <c r="G619" s="2">
        <f t="shared" si="48"/>
        <v>235.73734318145486</v>
      </c>
      <c r="H619" s="2">
        <f t="shared" si="49"/>
        <v>113.36900449229465</v>
      </c>
      <c r="I619" s="2">
        <f t="shared" si="45"/>
        <v>18894.83408204911</v>
      </c>
      <c r="J619" s="4">
        <f t="shared" si="47"/>
        <v>20.54147913911315</v>
      </c>
      <c r="K619" s="4">
        <f t="shared" si="46"/>
        <v>3423.5798565188584</v>
      </c>
      <c r="L619">
        <v>6</v>
      </c>
    </row>
    <row r="620" spans="1:12" x14ac:dyDescent="0.3">
      <c r="A620" t="s">
        <v>106</v>
      </c>
      <c r="B620" t="s">
        <v>39</v>
      </c>
      <c r="C620" s="4">
        <v>0.590536375</v>
      </c>
      <c r="D620" s="4">
        <v>0.61247410899999999</v>
      </c>
      <c r="E620">
        <v>10</v>
      </c>
      <c r="F620" s="1">
        <v>19.904458598726112</v>
      </c>
      <c r="G620" s="2">
        <f t="shared" si="48"/>
        <v>311.16491295501663</v>
      </c>
      <c r="H620" s="2">
        <f t="shared" si="49"/>
        <v>135.44526086930338</v>
      </c>
      <c r="I620" s="2">
        <f t="shared" si="45"/>
        <v>22574.210144883895</v>
      </c>
      <c r="J620" s="4">
        <f t="shared" si="47"/>
        <v>22.85226152379407</v>
      </c>
      <c r="K620" s="4">
        <f t="shared" si="46"/>
        <v>3808.7102539656785</v>
      </c>
      <c r="L620">
        <v>6</v>
      </c>
    </row>
    <row r="621" spans="1:12" x14ac:dyDescent="0.3">
      <c r="A621" t="s">
        <v>106</v>
      </c>
      <c r="B621" t="s">
        <v>39</v>
      </c>
      <c r="C621" s="4">
        <v>0.590536375</v>
      </c>
      <c r="D621" s="4">
        <v>0.61247410899999999</v>
      </c>
      <c r="E621">
        <v>7</v>
      </c>
      <c r="F621" s="1">
        <v>36.136942675159233</v>
      </c>
      <c r="G621" s="2">
        <f t="shared" si="48"/>
        <v>1025.634674407926</v>
      </c>
      <c r="H621" s="2">
        <f t="shared" si="49"/>
        <v>306.30178399601749</v>
      </c>
      <c r="I621" s="2">
        <f t="shared" si="45"/>
        <v>51050.297332669579</v>
      </c>
      <c r="J621" s="4">
        <f t="shared" si="47"/>
        <v>40.979726334739745</v>
      </c>
      <c r="K621" s="4">
        <f t="shared" si="46"/>
        <v>6829.9543891232906</v>
      </c>
      <c r="L621">
        <v>6</v>
      </c>
    </row>
    <row r="622" spans="1:12" x14ac:dyDescent="0.3">
      <c r="A622" t="s">
        <v>106</v>
      </c>
      <c r="B622" t="s">
        <v>39</v>
      </c>
      <c r="C622" s="4">
        <v>0.590536375</v>
      </c>
      <c r="D622" s="4">
        <v>0.61247410899999999</v>
      </c>
      <c r="E622">
        <v>8</v>
      </c>
      <c r="F622" s="1">
        <v>43.436305732484072</v>
      </c>
      <c r="G622" s="2">
        <f t="shared" si="48"/>
        <v>1481.820654634372</v>
      </c>
      <c r="H622" s="2">
        <f t="shared" si="49"/>
        <v>499.70919954598992</v>
      </c>
      <c r="I622" s="2">
        <f t="shared" si="45"/>
        <v>83284.866590998325</v>
      </c>
      <c r="J622" s="4">
        <f t="shared" si="47"/>
        <v>61.813654359203206</v>
      </c>
      <c r="K622" s="4">
        <f t="shared" si="46"/>
        <v>10302.275726533868</v>
      </c>
      <c r="L622">
        <v>6</v>
      </c>
    </row>
    <row r="623" spans="1:12" x14ac:dyDescent="0.3">
      <c r="A623" t="s">
        <v>106</v>
      </c>
      <c r="B623" t="s">
        <v>39</v>
      </c>
      <c r="C623" s="4">
        <v>0.590536375</v>
      </c>
      <c r="D623" s="4">
        <v>0.61247410899999999</v>
      </c>
      <c r="E623">
        <v>8</v>
      </c>
      <c r="F623" s="1">
        <v>49.803184713375792</v>
      </c>
      <c r="G623" s="2">
        <f t="shared" si="48"/>
        <v>1948.0679954144443</v>
      </c>
      <c r="H623" s="2">
        <f t="shared" si="49"/>
        <v>652.64108356207942</v>
      </c>
      <c r="I623" s="2">
        <f t="shared" si="45"/>
        <v>108773.51392701325</v>
      </c>
      <c r="J623" s="4">
        <f t="shared" si="47"/>
        <v>78.435701812649583</v>
      </c>
      <c r="K623" s="4">
        <f t="shared" si="46"/>
        <v>13072.61696877493</v>
      </c>
      <c r="L623">
        <v>6</v>
      </c>
    </row>
    <row r="624" spans="1:12" x14ac:dyDescent="0.3">
      <c r="A624" t="s">
        <v>106</v>
      </c>
      <c r="B624" t="s">
        <v>107</v>
      </c>
      <c r="C624" s="4">
        <v>0.53168696000000004</v>
      </c>
      <c r="D624" s="4">
        <v>0.61247410899999999</v>
      </c>
      <c r="E624">
        <v>9</v>
      </c>
      <c r="F624" s="1">
        <v>17.101910828025478</v>
      </c>
      <c r="G624" s="2">
        <f t="shared" si="48"/>
        <v>229.70960584684852</v>
      </c>
      <c r="H624" s="2">
        <f t="shared" si="49"/>
        <v>90.877530080108329</v>
      </c>
      <c r="I624" s="2">
        <f t="shared" si="45"/>
        <v>15146.255013351389</v>
      </c>
      <c r="J624" s="4">
        <f t="shared" si="47"/>
        <v>18.198673650046654</v>
      </c>
      <c r="K624" s="4">
        <f t="shared" si="46"/>
        <v>3033.1122750077757</v>
      </c>
      <c r="L624">
        <v>6</v>
      </c>
    </row>
    <row r="625" spans="1:12" x14ac:dyDescent="0.3">
      <c r="A625" t="s">
        <v>106</v>
      </c>
      <c r="B625" t="s">
        <v>107</v>
      </c>
      <c r="C625" s="4">
        <v>0.53168696000000004</v>
      </c>
      <c r="D625" s="4">
        <v>0.61247410899999999</v>
      </c>
      <c r="E625">
        <v>13</v>
      </c>
      <c r="F625" s="1">
        <v>32.00636942675159</v>
      </c>
      <c r="G625" s="2">
        <f t="shared" si="48"/>
        <v>804.56791349092009</v>
      </c>
      <c r="H625" s="2">
        <f t="shared" si="49"/>
        <v>442.22458651182421</v>
      </c>
      <c r="I625" s="2">
        <f t="shared" si="45"/>
        <v>73704.097751970708</v>
      </c>
      <c r="J625" s="4">
        <f t="shared" si="47"/>
        <v>55.5962496166173</v>
      </c>
      <c r="K625" s="4">
        <f t="shared" si="46"/>
        <v>9266.0416027695501</v>
      </c>
      <c r="L625">
        <v>6</v>
      </c>
    </row>
    <row r="626" spans="1:12" x14ac:dyDescent="0.3">
      <c r="A626" t="s">
        <v>108</v>
      </c>
      <c r="B626" t="s">
        <v>26</v>
      </c>
      <c r="C626" s="4">
        <v>0.80908761900000004</v>
      </c>
      <c r="D626" s="4">
        <v>0.87473809499999999</v>
      </c>
      <c r="E626">
        <v>11</v>
      </c>
      <c r="F626" s="1">
        <v>21.178343949044585</v>
      </c>
      <c r="G626" s="2">
        <f t="shared" si="48"/>
        <v>352.26855329672253</v>
      </c>
      <c r="H626" s="2">
        <f t="shared" si="49"/>
        <v>237.59017153989205</v>
      </c>
      <c r="I626" s="2">
        <f t="shared" si="45"/>
        <v>39598.361923315344</v>
      </c>
      <c r="J626" s="4">
        <f t="shared" si="47"/>
        <v>26.253806718325286</v>
      </c>
      <c r="K626" s="4">
        <f t="shared" si="46"/>
        <v>4375.6344530542146</v>
      </c>
      <c r="L626">
        <v>6</v>
      </c>
    </row>
    <row r="627" spans="1:12" x14ac:dyDescent="0.3">
      <c r="A627" t="s">
        <v>108</v>
      </c>
      <c r="B627" t="s">
        <v>66</v>
      </c>
      <c r="C627" s="4">
        <v>0.62643652800000005</v>
      </c>
      <c r="D627" s="4">
        <v>0.57808694400000005</v>
      </c>
      <c r="E627">
        <v>4</v>
      </c>
      <c r="F627" s="1">
        <v>4.2038216560509554</v>
      </c>
      <c r="G627" s="2">
        <f t="shared" si="48"/>
        <v>13.879647854920218</v>
      </c>
      <c r="H627" s="2">
        <f t="shared" si="49"/>
        <v>2.5158490589046738</v>
      </c>
      <c r="I627" s="2">
        <f t="shared" si="45"/>
        <v>419.30817648411227</v>
      </c>
      <c r="J627" s="4">
        <f t="shared" si="47"/>
        <v>9.2331096312223622</v>
      </c>
      <c r="K627" s="4">
        <f t="shared" si="46"/>
        <v>1538.8516052037269</v>
      </c>
      <c r="L627">
        <v>6</v>
      </c>
    </row>
    <row r="628" spans="1:12" x14ac:dyDescent="0.3">
      <c r="A628" t="s">
        <v>108</v>
      </c>
      <c r="B628" t="s">
        <v>66</v>
      </c>
      <c r="C628" s="4">
        <v>0.62643652800000005</v>
      </c>
      <c r="D628" s="4">
        <v>0.57808694400000005</v>
      </c>
      <c r="E628">
        <v>4.5</v>
      </c>
      <c r="F628" s="1">
        <v>16.898089171974522</v>
      </c>
      <c r="G628" s="2">
        <f t="shared" si="48"/>
        <v>224.26684659986489</v>
      </c>
      <c r="H628" s="2">
        <f t="shared" si="49"/>
        <v>42.657440460861892</v>
      </c>
      <c r="I628" s="2">
        <f t="shared" si="45"/>
        <v>7109.5734101436492</v>
      </c>
      <c r="J628" s="4">
        <f t="shared" si="47"/>
        <v>13.483040328208041</v>
      </c>
      <c r="K628" s="4">
        <f t="shared" si="46"/>
        <v>2247.1733880346733</v>
      </c>
      <c r="L628">
        <v>6</v>
      </c>
    </row>
    <row r="629" spans="1:12" x14ac:dyDescent="0.3">
      <c r="A629" t="s">
        <v>108</v>
      </c>
      <c r="B629" t="s">
        <v>66</v>
      </c>
      <c r="C629" s="4">
        <v>0.62643652800000005</v>
      </c>
      <c r="D629" s="4">
        <v>0.57808694400000005</v>
      </c>
      <c r="E629">
        <v>5.5</v>
      </c>
      <c r="F629" s="1">
        <v>28.283439490445858</v>
      </c>
      <c r="G629" s="2">
        <f t="shared" si="48"/>
        <v>628.28157727075984</v>
      </c>
      <c r="H629" s="2">
        <f t="shared" si="49"/>
        <v>141.80948232728588</v>
      </c>
      <c r="I629" s="2">
        <f t="shared" si="45"/>
        <v>23634.91372121431</v>
      </c>
      <c r="J629" s="4">
        <f t="shared" si="47"/>
        <v>24.384794276136958</v>
      </c>
      <c r="K629" s="4">
        <f t="shared" si="46"/>
        <v>4064.1323793561601</v>
      </c>
      <c r="L629">
        <v>6</v>
      </c>
    </row>
    <row r="630" spans="1:12" x14ac:dyDescent="0.3">
      <c r="A630" t="s">
        <v>108</v>
      </c>
      <c r="B630" t="s">
        <v>39</v>
      </c>
      <c r="C630" s="4">
        <v>0.590536375</v>
      </c>
      <c r="D630" s="4">
        <v>0.61247410899999999</v>
      </c>
      <c r="E630">
        <v>7</v>
      </c>
      <c r="F630" s="1">
        <v>19.108280254777068</v>
      </c>
      <c r="G630" s="2">
        <f t="shared" si="48"/>
        <v>286.76958377934329</v>
      </c>
      <c r="H630" s="2">
        <f t="shared" si="49"/>
        <v>88.302489536715541</v>
      </c>
      <c r="I630" s="2">
        <f t="shared" si="45"/>
        <v>14717.081589452589</v>
      </c>
      <c r="J630" s="4">
        <f t="shared" si="47"/>
        <v>17.931296170230027</v>
      </c>
      <c r="K630" s="4">
        <f t="shared" si="46"/>
        <v>2988.5493617050047</v>
      </c>
      <c r="L630">
        <v>6</v>
      </c>
    </row>
    <row r="631" spans="1:12" x14ac:dyDescent="0.3">
      <c r="A631" t="s">
        <v>108</v>
      </c>
      <c r="B631" t="s">
        <v>39</v>
      </c>
      <c r="C631" s="4">
        <v>0.590536375</v>
      </c>
      <c r="D631" s="4">
        <v>0.61247410899999999</v>
      </c>
      <c r="E631">
        <v>11</v>
      </c>
      <c r="F631" s="1">
        <v>26.656050955414013</v>
      </c>
      <c r="G631" s="2">
        <f t="shared" si="48"/>
        <v>558.06077927419665</v>
      </c>
      <c r="H631" s="2">
        <f t="shared" si="49"/>
        <v>262.88473881855384</v>
      </c>
      <c r="I631" s="2">
        <f t="shared" si="45"/>
        <v>43814.123136425645</v>
      </c>
      <c r="J631" s="4">
        <f t="shared" si="47"/>
        <v>36.341684522698692</v>
      </c>
      <c r="K631" s="4">
        <f t="shared" si="46"/>
        <v>6056.9474204497819</v>
      </c>
      <c r="L631">
        <v>6</v>
      </c>
    </row>
    <row r="632" spans="1:12" x14ac:dyDescent="0.3">
      <c r="A632" t="s">
        <v>108</v>
      </c>
      <c r="B632" t="s">
        <v>39</v>
      </c>
      <c r="C632" s="4">
        <v>0.590536375</v>
      </c>
      <c r="D632" s="4">
        <v>0.61247410899999999</v>
      </c>
      <c r="E632">
        <v>8</v>
      </c>
      <c r="F632" s="1">
        <v>37.680254777070061</v>
      </c>
      <c r="G632" s="2">
        <f t="shared" si="48"/>
        <v>1115.1095690797395</v>
      </c>
      <c r="H632" s="2">
        <f t="shared" si="49"/>
        <v>378.61927355031207</v>
      </c>
      <c r="I632" s="2">
        <f t="shared" si="45"/>
        <v>63103.212258385349</v>
      </c>
      <c r="J632" s="4">
        <f t="shared" si="47"/>
        <v>48.740144801817515</v>
      </c>
      <c r="K632" s="4">
        <f t="shared" si="46"/>
        <v>8123.3574669695854</v>
      </c>
      <c r="L632">
        <v>6</v>
      </c>
    </row>
    <row r="633" spans="1:12" x14ac:dyDescent="0.3">
      <c r="A633" t="s">
        <v>108</v>
      </c>
      <c r="B633" t="s">
        <v>39</v>
      </c>
      <c r="C633" s="4">
        <v>0.590536375</v>
      </c>
      <c r="D633" s="4">
        <v>0.61247410899999999</v>
      </c>
      <c r="E633">
        <v>9</v>
      </c>
      <c r="F633" s="1">
        <v>51.072611464968155</v>
      </c>
      <c r="G633" s="2">
        <f t="shared" si="48"/>
        <v>2048.6417128947664</v>
      </c>
      <c r="H633" s="2">
        <f t="shared" si="49"/>
        <v>769.0179644533215</v>
      </c>
      <c r="I633" s="2">
        <f t="shared" si="45"/>
        <v>128169.66074222025</v>
      </c>
      <c r="J633" s="4">
        <f t="shared" si="47"/>
        <v>91.150666718325283</v>
      </c>
      <c r="K633" s="4">
        <f t="shared" si="46"/>
        <v>15191.777786387547</v>
      </c>
      <c r="L633">
        <v>6</v>
      </c>
    </row>
    <row r="634" spans="1:12" x14ac:dyDescent="0.3">
      <c r="A634" t="s">
        <v>108</v>
      </c>
      <c r="B634" t="s">
        <v>73</v>
      </c>
      <c r="C634" s="4">
        <v>0.39</v>
      </c>
      <c r="D634" s="4">
        <v>0.28861111099999998</v>
      </c>
      <c r="E634">
        <v>5</v>
      </c>
      <c r="F634" s="1">
        <v>8.1210191082802545</v>
      </c>
      <c r="G634" s="2">
        <f t="shared" si="48"/>
        <v>51.79775607014389</v>
      </c>
      <c r="H634" s="2">
        <f t="shared" si="49"/>
        <v>5.7416283964780446</v>
      </c>
      <c r="I634" s="2">
        <f t="shared" si="45"/>
        <v>956.93806607967406</v>
      </c>
      <c r="J634" s="4">
        <f t="shared" si="47"/>
        <v>10.139841648748428</v>
      </c>
      <c r="K634" s="4">
        <f t="shared" si="46"/>
        <v>1689.9736081247381</v>
      </c>
      <c r="L634">
        <v>6</v>
      </c>
    </row>
    <row r="635" spans="1:12" x14ac:dyDescent="0.3">
      <c r="A635" t="s">
        <v>108</v>
      </c>
      <c r="B635" t="s">
        <v>73</v>
      </c>
      <c r="C635" s="4">
        <v>0.39</v>
      </c>
      <c r="D635" s="4">
        <v>0.28861111099999998</v>
      </c>
      <c r="E635">
        <v>6</v>
      </c>
      <c r="F635" s="1">
        <v>8.4713375796178347</v>
      </c>
      <c r="G635" s="2">
        <f t="shared" si="48"/>
        <v>56.362968527475616</v>
      </c>
      <c r="H635" s="2">
        <f t="shared" si="49"/>
        <v>7.4493520606772137</v>
      </c>
      <c r="I635" s="2">
        <f t="shared" si="45"/>
        <v>1241.5586767795355</v>
      </c>
      <c r="J635" s="4">
        <f t="shared" si="47"/>
        <v>10.492734768144752</v>
      </c>
      <c r="K635" s="4">
        <f t="shared" si="46"/>
        <v>1748.7891280241254</v>
      </c>
      <c r="L635">
        <v>6</v>
      </c>
    </row>
    <row r="636" spans="1:12" x14ac:dyDescent="0.3">
      <c r="A636" t="s">
        <v>108</v>
      </c>
      <c r="B636" t="s">
        <v>73</v>
      </c>
      <c r="C636" s="4">
        <v>0.39</v>
      </c>
      <c r="D636" s="4">
        <v>0.28861111099999998</v>
      </c>
      <c r="E636">
        <v>4</v>
      </c>
      <c r="F636" s="1">
        <v>8.6942675159235669</v>
      </c>
      <c r="G636" s="2">
        <f t="shared" si="48"/>
        <v>59.368473081918566</v>
      </c>
      <c r="H636" s="2">
        <f t="shared" si="49"/>
        <v>5.2756255543509862</v>
      </c>
      <c r="I636" s="2">
        <f t="shared" si="45"/>
        <v>879.27092572516437</v>
      </c>
      <c r="J636" s="4">
        <f t="shared" si="47"/>
        <v>10.043964026938212</v>
      </c>
      <c r="K636" s="4">
        <f t="shared" si="46"/>
        <v>1673.9940044897021</v>
      </c>
      <c r="L636">
        <v>6</v>
      </c>
    </row>
    <row r="637" spans="1:12" x14ac:dyDescent="0.3">
      <c r="A637" t="s">
        <v>108</v>
      </c>
      <c r="B637" t="s">
        <v>73</v>
      </c>
      <c r="C637" s="4">
        <v>0.39</v>
      </c>
      <c r="D637" s="4">
        <v>0.28861111099999998</v>
      </c>
      <c r="E637">
        <v>6</v>
      </c>
      <c r="F637" s="1">
        <v>8.7579617834394909</v>
      </c>
      <c r="G637" s="2">
        <f t="shared" si="48"/>
        <v>60.241527148091237</v>
      </c>
      <c r="H637" s="2">
        <f t="shared" si="49"/>
        <v>7.9492647871924085</v>
      </c>
      <c r="I637" s="2">
        <f t="shared" si="45"/>
        <v>1324.877464532068</v>
      </c>
      <c r="J637" s="4">
        <f t="shared" si="47"/>
        <v>10.596439786603918</v>
      </c>
      <c r="K637" s="4">
        <f t="shared" si="46"/>
        <v>1766.0732977673197</v>
      </c>
      <c r="L637">
        <v>6</v>
      </c>
    </row>
    <row r="638" spans="1:12" x14ac:dyDescent="0.3">
      <c r="A638" t="s">
        <v>108</v>
      </c>
      <c r="B638" t="s">
        <v>73</v>
      </c>
      <c r="C638" s="4">
        <v>0.39</v>
      </c>
      <c r="D638" s="4">
        <v>0.28861111099999998</v>
      </c>
      <c r="E638">
        <v>5</v>
      </c>
      <c r="F638" s="1">
        <v>9.2356687898089174</v>
      </c>
      <c r="G638" s="2">
        <f t="shared" si="48"/>
        <v>66.992561099563275</v>
      </c>
      <c r="H638" s="2">
        <f t="shared" si="49"/>
        <v>7.3802239551130695</v>
      </c>
      <c r="I638" s="2">
        <f t="shared" si="45"/>
        <v>1230.0373258521784</v>
      </c>
      <c r="J638" s="4">
        <f t="shared" si="47"/>
        <v>10.478407614913383</v>
      </c>
      <c r="K638" s="4">
        <f t="shared" si="46"/>
        <v>1746.4012691522305</v>
      </c>
      <c r="L638">
        <v>6</v>
      </c>
    </row>
    <row r="639" spans="1:12" x14ac:dyDescent="0.3">
      <c r="A639" t="s">
        <v>108</v>
      </c>
      <c r="B639" t="s">
        <v>73</v>
      </c>
      <c r="C639" s="4">
        <v>0.39</v>
      </c>
      <c r="D639" s="4">
        <v>0.28861111099999998</v>
      </c>
      <c r="E639">
        <v>3</v>
      </c>
      <c r="F639" s="1">
        <v>10.414012738853504</v>
      </c>
      <c r="G639" s="2">
        <f t="shared" si="48"/>
        <v>85.177735622059473</v>
      </c>
      <c r="H639" s="2">
        <f t="shared" si="49"/>
        <v>5.6668469382309388</v>
      </c>
      <c r="I639" s="2">
        <f t="shared" si="45"/>
        <v>944.47448970515643</v>
      </c>
      <c r="J639" s="4">
        <f t="shared" si="47"/>
        <v>10.124442443912532</v>
      </c>
      <c r="K639" s="4">
        <f t="shared" si="46"/>
        <v>1687.4070739854221</v>
      </c>
      <c r="L639">
        <v>6</v>
      </c>
    </row>
    <row r="640" spans="1:12" x14ac:dyDescent="0.3">
      <c r="A640" t="s">
        <v>108</v>
      </c>
      <c r="B640" t="s">
        <v>73</v>
      </c>
      <c r="C640" s="4">
        <v>0.39</v>
      </c>
      <c r="D640" s="4">
        <v>0.28861111099999998</v>
      </c>
      <c r="E640">
        <v>4.5</v>
      </c>
      <c r="F640" s="1">
        <v>10.923566878980891</v>
      </c>
      <c r="G640" s="2">
        <f t="shared" si="48"/>
        <v>93.717096561266558</v>
      </c>
      <c r="H640" s="2">
        <f t="shared" si="49"/>
        <v>9.240669985712147</v>
      </c>
      <c r="I640" s="2">
        <f t="shared" si="45"/>
        <v>1540.1116642853578</v>
      </c>
      <c r="J640" s="4">
        <f t="shared" si="47"/>
        <v>10.865057935413201</v>
      </c>
      <c r="K640" s="4">
        <f t="shared" si="46"/>
        <v>1810.8429892355334</v>
      </c>
      <c r="L640">
        <v>6</v>
      </c>
    </row>
    <row r="641" spans="1:12" x14ac:dyDescent="0.3">
      <c r="A641" t="s">
        <v>108</v>
      </c>
      <c r="B641" t="s">
        <v>73</v>
      </c>
      <c r="C641" s="4">
        <v>0.39</v>
      </c>
      <c r="D641" s="4">
        <v>0.28861111099999998</v>
      </c>
      <c r="E641">
        <v>5</v>
      </c>
      <c r="F641" s="1">
        <v>28.938853503184713</v>
      </c>
      <c r="G641" s="2">
        <f t="shared" si="48"/>
        <v>657.73737985257094</v>
      </c>
      <c r="H641" s="2">
        <f t="shared" si="49"/>
        <v>68.594115615264116</v>
      </c>
      <c r="I641" s="2">
        <f t="shared" si="45"/>
        <v>11432.352602544021</v>
      </c>
      <c r="J641" s="4">
        <f t="shared" si="47"/>
        <v>23.641201736378758</v>
      </c>
      <c r="K641" s="4">
        <f t="shared" si="46"/>
        <v>3940.2002893964595</v>
      </c>
      <c r="L641">
        <v>6</v>
      </c>
    </row>
    <row r="642" spans="1:12" x14ac:dyDescent="0.3">
      <c r="A642" t="s">
        <v>108</v>
      </c>
      <c r="B642" t="s">
        <v>73</v>
      </c>
      <c r="C642" s="4">
        <v>0.39</v>
      </c>
      <c r="D642" s="4">
        <v>0.28861111099999998</v>
      </c>
      <c r="E642">
        <v>4.8</v>
      </c>
      <c r="F642" s="1">
        <v>30.788535031847132</v>
      </c>
      <c r="G642" s="2">
        <f t="shared" si="48"/>
        <v>744.50553576267612</v>
      </c>
      <c r="H642" s="2">
        <f t="shared" si="49"/>
        <v>74.388777591164057</v>
      </c>
      <c r="I642" s="2">
        <f t="shared" ref="I642:I705" si="50">(H642*1000)/L642</f>
        <v>12398.129598527345</v>
      </c>
      <c r="J642" s="4">
        <f t="shared" si="47"/>
        <v>24.910989342042271</v>
      </c>
      <c r="K642" s="4">
        <f t="shared" ref="K642:K705" si="51">(J642*1000)/L642</f>
        <v>4151.8315570070454</v>
      </c>
      <c r="L642">
        <v>6</v>
      </c>
    </row>
    <row r="643" spans="1:12" x14ac:dyDescent="0.3">
      <c r="A643" t="s">
        <v>108</v>
      </c>
      <c r="B643" t="s">
        <v>109</v>
      </c>
      <c r="C643" s="4">
        <v>0.470857311</v>
      </c>
      <c r="D643" s="4">
        <v>0.375</v>
      </c>
      <c r="E643">
        <v>7</v>
      </c>
      <c r="F643" s="1">
        <v>6.7515923566878975</v>
      </c>
      <c r="G643" s="2">
        <f t="shared" si="48"/>
        <v>35.801589370496679</v>
      </c>
      <c r="H643" s="2">
        <f t="shared" si="49"/>
        <v>7.1793676876723653</v>
      </c>
      <c r="I643" s="2">
        <f t="shared" si="50"/>
        <v>1196.5612812787276</v>
      </c>
      <c r="J643" s="4">
        <f t="shared" ref="J643:J706" si="52">8.9857 + 0.0035 * F643^2 * E643</f>
        <v>10.102507984096718</v>
      </c>
      <c r="K643" s="4">
        <f t="shared" si="51"/>
        <v>1683.7513306827861</v>
      </c>
      <c r="L643">
        <v>6</v>
      </c>
    </row>
    <row r="644" spans="1:12" x14ac:dyDescent="0.3">
      <c r="A644" t="s">
        <v>110</v>
      </c>
      <c r="B644" t="s">
        <v>26</v>
      </c>
      <c r="C644" s="4">
        <v>0.80908761900000004</v>
      </c>
      <c r="D644" s="4">
        <v>0.87473809499999999</v>
      </c>
      <c r="E644">
        <v>8</v>
      </c>
      <c r="F644" s="1">
        <v>6.7515923566878975</v>
      </c>
      <c r="G644" s="2">
        <f t="shared" ref="G644:G707" si="53">PI()*(F644/2)^2</f>
        <v>35.801589370496679</v>
      </c>
      <c r="H644" s="2">
        <f t="shared" ref="H644:H707" si="54">0.0673 * ((D644 * F644^2 * E644)^0.976)</f>
        <v>18.694109687881372</v>
      </c>
      <c r="I644" s="2">
        <f t="shared" si="50"/>
        <v>3115.684947980229</v>
      </c>
      <c r="J644" s="4">
        <f t="shared" si="52"/>
        <v>10.26205198182482</v>
      </c>
      <c r="K644" s="4">
        <f t="shared" si="51"/>
        <v>1710.3419969708032</v>
      </c>
      <c r="L644">
        <v>6</v>
      </c>
    </row>
    <row r="645" spans="1:12" x14ac:dyDescent="0.3">
      <c r="A645" t="s">
        <v>110</v>
      </c>
      <c r="B645" t="s">
        <v>26</v>
      </c>
      <c r="C645" s="4">
        <v>0.80908761900000004</v>
      </c>
      <c r="D645" s="4">
        <v>0.87473809499999999</v>
      </c>
      <c r="E645">
        <v>9</v>
      </c>
      <c r="F645" s="1">
        <v>12.802547770700638</v>
      </c>
      <c r="G645" s="2">
        <f t="shared" si="53"/>
        <v>128.73086615854726</v>
      </c>
      <c r="H645" s="2">
        <f t="shared" si="54"/>
        <v>73.125913363358706</v>
      </c>
      <c r="I645" s="2">
        <f t="shared" si="50"/>
        <v>12187.65222722645</v>
      </c>
      <c r="J645" s="4">
        <f t="shared" si="52"/>
        <v>14.148714726763764</v>
      </c>
      <c r="K645" s="4">
        <f t="shared" si="51"/>
        <v>2358.119121127294</v>
      </c>
      <c r="L645">
        <v>6</v>
      </c>
    </row>
    <row r="646" spans="1:12" x14ac:dyDescent="0.3">
      <c r="A646" t="s">
        <v>110</v>
      </c>
      <c r="B646" t="s">
        <v>26</v>
      </c>
      <c r="C646" s="4">
        <v>0.80908761900000004</v>
      </c>
      <c r="D646" s="4">
        <v>0.87473809499999999</v>
      </c>
      <c r="E646">
        <v>10</v>
      </c>
      <c r="F646" s="1">
        <v>15.987261146496815</v>
      </c>
      <c r="G646" s="2">
        <f t="shared" si="53"/>
        <v>200.74189497424902</v>
      </c>
      <c r="H646" s="2">
        <f t="shared" si="54"/>
        <v>125.04174178630221</v>
      </c>
      <c r="I646" s="2">
        <f t="shared" si="50"/>
        <v>20840.290297717034</v>
      </c>
      <c r="J646" s="4">
        <f t="shared" si="52"/>
        <v>17.931438163820033</v>
      </c>
      <c r="K646" s="4">
        <f t="shared" si="51"/>
        <v>2988.5730273033387</v>
      </c>
      <c r="L646">
        <v>6</v>
      </c>
    </row>
    <row r="647" spans="1:12" x14ac:dyDescent="0.3">
      <c r="A647" t="s">
        <v>110</v>
      </c>
      <c r="B647" t="s">
        <v>26</v>
      </c>
      <c r="C647" s="4">
        <v>0.80908761900000004</v>
      </c>
      <c r="D647" s="4">
        <v>0.87473809499999999</v>
      </c>
      <c r="E647">
        <v>11</v>
      </c>
      <c r="F647" s="1">
        <v>24.076433121019104</v>
      </c>
      <c r="G647" s="2">
        <f t="shared" si="53"/>
        <v>455.27539120808535</v>
      </c>
      <c r="H647" s="2">
        <f t="shared" si="54"/>
        <v>305.17936447512142</v>
      </c>
      <c r="I647" s="2">
        <f t="shared" si="50"/>
        <v>50863.227412520238</v>
      </c>
      <c r="J647" s="4">
        <f t="shared" si="52"/>
        <v>31.303173325489873</v>
      </c>
      <c r="K647" s="4">
        <f t="shared" si="51"/>
        <v>5217.195554248312</v>
      </c>
      <c r="L647">
        <v>6</v>
      </c>
    </row>
    <row r="648" spans="1:12" x14ac:dyDescent="0.3">
      <c r="A648" t="s">
        <v>110</v>
      </c>
      <c r="B648" t="s">
        <v>26</v>
      </c>
      <c r="C648" s="4">
        <v>0.80908761900000004</v>
      </c>
      <c r="D648" s="4">
        <v>0.87473809499999999</v>
      </c>
      <c r="E648">
        <v>12</v>
      </c>
      <c r="F648" s="1">
        <v>77.064331210191085</v>
      </c>
      <c r="G648" s="2">
        <f t="shared" si="53"/>
        <v>4664.4099057647009</v>
      </c>
      <c r="H648" s="2">
        <f t="shared" si="54"/>
        <v>3218.8948622323383</v>
      </c>
      <c r="I648" s="2">
        <f t="shared" si="50"/>
        <v>536482.47703872307</v>
      </c>
      <c r="J648" s="4">
        <f t="shared" si="52"/>
        <v>258.41996808470935</v>
      </c>
      <c r="K648" s="4">
        <f t="shared" si="51"/>
        <v>43069.99468078489</v>
      </c>
      <c r="L648">
        <v>6</v>
      </c>
    </row>
    <row r="649" spans="1:12" x14ac:dyDescent="0.3">
      <c r="A649" t="s">
        <v>110</v>
      </c>
      <c r="B649" t="s">
        <v>26</v>
      </c>
      <c r="C649" s="4">
        <v>0.80908761900000004</v>
      </c>
      <c r="D649" s="4">
        <v>0.87473809499999999</v>
      </c>
      <c r="E649">
        <v>12</v>
      </c>
      <c r="F649" s="1">
        <v>77.108917197452229</v>
      </c>
      <c r="G649" s="2">
        <f t="shared" si="53"/>
        <v>4669.8087064208203</v>
      </c>
      <c r="H649" s="2">
        <f t="shared" si="54"/>
        <v>3222.5310907008184</v>
      </c>
      <c r="I649" s="2">
        <f t="shared" si="50"/>
        <v>537088.515116803</v>
      </c>
      <c r="J649" s="4">
        <f t="shared" si="52"/>
        <v>258.70867467726885</v>
      </c>
      <c r="K649" s="4">
        <f t="shared" si="51"/>
        <v>43118.112446211475</v>
      </c>
      <c r="L649">
        <v>6</v>
      </c>
    </row>
    <row r="650" spans="1:12" x14ac:dyDescent="0.3">
      <c r="A650" t="s">
        <v>110</v>
      </c>
      <c r="B650" t="s">
        <v>85</v>
      </c>
      <c r="C650" s="4">
        <v>0.6</v>
      </c>
      <c r="D650" s="4">
        <v>0.66674999999999995</v>
      </c>
      <c r="E650">
        <v>8</v>
      </c>
      <c r="F650" s="1">
        <v>8.4394904458598727</v>
      </c>
      <c r="G650" s="2">
        <f t="shared" si="53"/>
        <v>55.939983391401071</v>
      </c>
      <c r="H650" s="2">
        <f t="shared" si="54"/>
        <v>22.171142647711353</v>
      </c>
      <c r="I650" s="2">
        <f t="shared" si="50"/>
        <v>3695.1904412852255</v>
      </c>
      <c r="J650" s="4">
        <f t="shared" si="52"/>
        <v>10.979999971601281</v>
      </c>
      <c r="K650" s="4">
        <f t="shared" si="51"/>
        <v>1829.9999952668802</v>
      </c>
      <c r="L650">
        <v>6</v>
      </c>
    </row>
    <row r="651" spans="1:12" x14ac:dyDescent="0.3">
      <c r="A651" t="s">
        <v>110</v>
      </c>
      <c r="B651" t="s">
        <v>56</v>
      </c>
      <c r="C651" s="4">
        <v>0.39984676499999999</v>
      </c>
      <c r="D651" s="4">
        <v>0.450333333</v>
      </c>
      <c r="E651">
        <v>6</v>
      </c>
      <c r="F651" s="1">
        <v>7.7707006369426743</v>
      </c>
      <c r="G651" s="2">
        <f t="shared" si="53"/>
        <v>47.425316499686062</v>
      </c>
      <c r="H651" s="2">
        <f t="shared" si="54"/>
        <v>9.7166873380284784</v>
      </c>
      <c r="I651" s="2">
        <f t="shared" si="50"/>
        <v>1619.4478896714129</v>
      </c>
      <c r="J651" s="4">
        <f t="shared" si="52"/>
        <v>10.253759556168607</v>
      </c>
      <c r="K651" s="4">
        <f t="shared" si="51"/>
        <v>1708.9599260281011</v>
      </c>
      <c r="L651">
        <v>6</v>
      </c>
    </row>
    <row r="652" spans="1:12" x14ac:dyDescent="0.3">
      <c r="A652" t="s">
        <v>110</v>
      </c>
      <c r="B652" t="s">
        <v>56</v>
      </c>
      <c r="C652" s="4">
        <v>0.39984676499999999</v>
      </c>
      <c r="D652" s="4">
        <v>0.450333333</v>
      </c>
      <c r="E652">
        <v>7</v>
      </c>
      <c r="F652" s="1">
        <v>9.7133757961783438</v>
      </c>
      <c r="G652" s="2">
        <f t="shared" si="53"/>
        <v>74.102057030759482</v>
      </c>
      <c r="H652" s="2">
        <f t="shared" si="54"/>
        <v>17.459292479338561</v>
      </c>
      <c r="I652" s="2">
        <f t="shared" si="50"/>
        <v>2909.88207988976</v>
      </c>
      <c r="J652" s="4">
        <f t="shared" si="52"/>
        <v>11.29726689926569</v>
      </c>
      <c r="K652" s="4">
        <f t="shared" si="51"/>
        <v>1882.8778165442816</v>
      </c>
      <c r="L652">
        <v>6</v>
      </c>
    </row>
    <row r="653" spans="1:12" x14ac:dyDescent="0.3">
      <c r="A653" t="s">
        <v>110</v>
      </c>
      <c r="B653" t="s">
        <v>56</v>
      </c>
      <c r="C653" s="4">
        <v>0.39984676499999999</v>
      </c>
      <c r="D653" s="4">
        <v>0.450333333</v>
      </c>
      <c r="E653">
        <v>7</v>
      </c>
      <c r="F653" s="1">
        <v>13.439490445859873</v>
      </c>
      <c r="G653" s="2">
        <f t="shared" si="53"/>
        <v>141.85854043822386</v>
      </c>
      <c r="H653" s="2">
        <f t="shared" si="54"/>
        <v>32.906618648879373</v>
      </c>
      <c r="I653" s="2">
        <f t="shared" si="50"/>
        <v>5484.4364414798956</v>
      </c>
      <c r="J653" s="4">
        <f t="shared" si="52"/>
        <v>13.410887634386789</v>
      </c>
      <c r="K653" s="4">
        <f t="shared" si="51"/>
        <v>2235.1479390644649</v>
      </c>
      <c r="L653">
        <v>6</v>
      </c>
    </row>
    <row r="654" spans="1:12" x14ac:dyDescent="0.3">
      <c r="A654" t="s">
        <v>110</v>
      </c>
      <c r="B654" t="s">
        <v>56</v>
      </c>
      <c r="C654" s="4">
        <v>0.39984676499999999</v>
      </c>
      <c r="D654" s="4">
        <v>0.450333333</v>
      </c>
      <c r="E654">
        <v>7</v>
      </c>
      <c r="F654" s="1">
        <v>35.994904458598725</v>
      </c>
      <c r="G654" s="2">
        <f t="shared" si="53"/>
        <v>1017.5878940778152</v>
      </c>
      <c r="H654" s="2">
        <f t="shared" si="54"/>
        <v>225.14510444380736</v>
      </c>
      <c r="I654" s="2">
        <f t="shared" si="50"/>
        <v>37524.184073967896</v>
      </c>
      <c r="J654" s="4">
        <f t="shared" si="52"/>
        <v>40.72871210109944</v>
      </c>
      <c r="K654" s="4">
        <f t="shared" si="51"/>
        <v>6788.1186835165727</v>
      </c>
      <c r="L654">
        <v>6</v>
      </c>
    </row>
    <row r="655" spans="1:12" x14ac:dyDescent="0.3">
      <c r="A655" t="s">
        <v>110</v>
      </c>
      <c r="B655" t="s">
        <v>56</v>
      </c>
      <c r="C655" s="4">
        <v>0.39984676499999999</v>
      </c>
      <c r="D655" s="4">
        <v>0.450333333</v>
      </c>
      <c r="E655">
        <v>8</v>
      </c>
      <c r="F655" s="1">
        <v>54.08407643312102</v>
      </c>
      <c r="G655" s="2">
        <f t="shared" si="53"/>
        <v>2297.3582117511933</v>
      </c>
      <c r="H655" s="2">
        <f t="shared" si="54"/>
        <v>567.84743834262008</v>
      </c>
      <c r="I655" s="2">
        <f t="shared" si="50"/>
        <v>94641.239723770006</v>
      </c>
      <c r="J655" s="4">
        <f t="shared" si="52"/>
        <v>90.888145061462936</v>
      </c>
      <c r="K655" s="4">
        <f t="shared" si="51"/>
        <v>15148.02417691049</v>
      </c>
      <c r="L655">
        <v>6</v>
      </c>
    </row>
    <row r="656" spans="1:12" x14ac:dyDescent="0.3">
      <c r="A656" t="s">
        <v>110</v>
      </c>
      <c r="B656" t="s">
        <v>56</v>
      </c>
      <c r="C656" s="4">
        <v>0.39984676499999999</v>
      </c>
      <c r="D656" s="4">
        <v>0.450333333</v>
      </c>
      <c r="E656">
        <v>10</v>
      </c>
      <c r="F656" s="1">
        <v>66.27006369426752</v>
      </c>
      <c r="G656" s="2">
        <f t="shared" si="53"/>
        <v>3449.2498761933789</v>
      </c>
      <c r="H656" s="2">
        <f t="shared" si="54"/>
        <v>1049.7258241204129</v>
      </c>
      <c r="I656" s="2">
        <f t="shared" si="50"/>
        <v>174954.30402006881</v>
      </c>
      <c r="J656" s="4">
        <f t="shared" si="52"/>
        <v>162.6959469714796</v>
      </c>
      <c r="K656" s="4">
        <f t="shared" si="51"/>
        <v>27115.991161913265</v>
      </c>
      <c r="L656">
        <v>6</v>
      </c>
    </row>
    <row r="657" spans="1:12" x14ac:dyDescent="0.3">
      <c r="A657" t="s">
        <v>110</v>
      </c>
      <c r="B657" t="s">
        <v>39</v>
      </c>
      <c r="C657" s="4">
        <v>0.590536375</v>
      </c>
      <c r="D657" s="4">
        <v>0.61247410899999999</v>
      </c>
      <c r="E657">
        <v>8</v>
      </c>
      <c r="F657" s="1">
        <v>16.114649681528661</v>
      </c>
      <c r="G657" s="2">
        <f t="shared" si="53"/>
        <v>203.95371431257763</v>
      </c>
      <c r="H657" s="2">
        <f t="shared" si="54"/>
        <v>72.131282875153943</v>
      </c>
      <c r="I657" s="2">
        <f t="shared" si="50"/>
        <v>12021.880479192325</v>
      </c>
      <c r="J657" s="4">
        <f t="shared" si="52"/>
        <v>16.256794162034971</v>
      </c>
      <c r="K657" s="4">
        <f t="shared" si="51"/>
        <v>2709.4656936724955</v>
      </c>
      <c r="L657">
        <v>6</v>
      </c>
    </row>
    <row r="658" spans="1:12" x14ac:dyDescent="0.3">
      <c r="A658" t="s">
        <v>110</v>
      </c>
      <c r="B658" t="s">
        <v>39</v>
      </c>
      <c r="C658" s="4">
        <v>0.590536375</v>
      </c>
      <c r="D658" s="4">
        <v>0.61247410899999999</v>
      </c>
      <c r="E658">
        <v>11</v>
      </c>
      <c r="F658" s="1">
        <v>75.277070063694268</v>
      </c>
      <c r="G658" s="2">
        <f t="shared" si="53"/>
        <v>4450.5665102893199</v>
      </c>
      <c r="H658" s="2">
        <f t="shared" si="54"/>
        <v>1994.6080074118768</v>
      </c>
      <c r="I658" s="2">
        <f t="shared" si="50"/>
        <v>332434.66790197947</v>
      </c>
      <c r="J658" s="4">
        <f t="shared" si="52"/>
        <v>227.15123517891195</v>
      </c>
      <c r="K658" s="4">
        <f t="shared" si="51"/>
        <v>37858.539196485326</v>
      </c>
      <c r="L658">
        <v>6</v>
      </c>
    </row>
    <row r="659" spans="1:12" x14ac:dyDescent="0.3">
      <c r="A659" t="s">
        <v>110</v>
      </c>
      <c r="B659" t="s">
        <v>107</v>
      </c>
      <c r="C659" s="4">
        <v>0.53168696000000004</v>
      </c>
      <c r="D659" s="4">
        <v>0.61247410899999999</v>
      </c>
      <c r="E659">
        <v>8</v>
      </c>
      <c r="F659" s="1">
        <v>10.923566878980891</v>
      </c>
      <c r="G659" s="2">
        <f t="shared" si="53"/>
        <v>93.717096561266558</v>
      </c>
      <c r="H659" s="2">
        <f t="shared" si="54"/>
        <v>33.768826579627209</v>
      </c>
      <c r="I659" s="2">
        <f t="shared" si="50"/>
        <v>5628.1377632712019</v>
      </c>
      <c r="J659" s="4">
        <f t="shared" si="52"/>
        <v>12.326780774067913</v>
      </c>
      <c r="K659" s="4">
        <f t="shared" si="51"/>
        <v>2054.4634623446523</v>
      </c>
      <c r="L659">
        <v>6</v>
      </c>
    </row>
    <row r="660" spans="1:12" x14ac:dyDescent="0.3">
      <c r="A660" t="s">
        <v>110</v>
      </c>
      <c r="B660" t="s">
        <v>73</v>
      </c>
      <c r="C660" s="4">
        <v>0.39</v>
      </c>
      <c r="D660" s="4">
        <v>0.28861111099999998</v>
      </c>
      <c r="E660">
        <v>2.8</v>
      </c>
      <c r="F660" s="1">
        <v>4.6496815286624198</v>
      </c>
      <c r="G660" s="2">
        <f t="shared" si="53"/>
        <v>16.979945688445781</v>
      </c>
      <c r="H660" s="2">
        <f t="shared" si="54"/>
        <v>1.0977841037398965</v>
      </c>
      <c r="I660" s="2">
        <f t="shared" si="50"/>
        <v>182.96401728998276</v>
      </c>
      <c r="J660" s="4">
        <f t="shared" si="52"/>
        <v>9.1975714755162485</v>
      </c>
      <c r="K660" s="4">
        <f t="shared" si="51"/>
        <v>1532.928579252708</v>
      </c>
      <c r="L660">
        <v>6</v>
      </c>
    </row>
    <row r="661" spans="1:12" x14ac:dyDescent="0.3">
      <c r="A661" t="s">
        <v>110</v>
      </c>
      <c r="B661" t="s">
        <v>73</v>
      </c>
      <c r="C661" s="4">
        <v>0.39</v>
      </c>
      <c r="D661" s="4">
        <v>0.28861111099999998</v>
      </c>
      <c r="E661">
        <v>4.8</v>
      </c>
      <c r="F661" s="1">
        <v>7.8343949044585992</v>
      </c>
      <c r="G661" s="2">
        <f t="shared" si="53"/>
        <v>48.205967033307623</v>
      </c>
      <c r="H661" s="2">
        <f t="shared" si="54"/>
        <v>5.1436416159522453</v>
      </c>
      <c r="I661" s="2">
        <f t="shared" si="50"/>
        <v>857.27360265870755</v>
      </c>
      <c r="J661" s="4">
        <f t="shared" si="52"/>
        <v>10.016846091119316</v>
      </c>
      <c r="K661" s="4">
        <f t="shared" si="51"/>
        <v>1669.474348519886</v>
      </c>
      <c r="L661">
        <v>6</v>
      </c>
    </row>
    <row r="662" spans="1:12" x14ac:dyDescent="0.3">
      <c r="A662" t="s">
        <v>110</v>
      </c>
      <c r="B662" t="s">
        <v>73</v>
      </c>
      <c r="C662" s="4">
        <v>0.39</v>
      </c>
      <c r="D662" s="4">
        <v>0.28861111099999998</v>
      </c>
      <c r="E662">
        <v>4.5</v>
      </c>
      <c r="F662" s="1">
        <v>7.8343949044585992</v>
      </c>
      <c r="G662" s="2">
        <f t="shared" si="53"/>
        <v>48.205967033307623</v>
      </c>
      <c r="H662" s="2">
        <f t="shared" si="54"/>
        <v>4.8296389705527076</v>
      </c>
      <c r="I662" s="2">
        <f t="shared" si="50"/>
        <v>804.9398284254512</v>
      </c>
      <c r="J662" s="4">
        <f t="shared" si="52"/>
        <v>9.952399460424358</v>
      </c>
      <c r="K662" s="4">
        <f t="shared" si="51"/>
        <v>1658.7332434040597</v>
      </c>
      <c r="L662">
        <v>6</v>
      </c>
    </row>
    <row r="663" spans="1:12" x14ac:dyDescent="0.3">
      <c r="A663" t="s">
        <v>110</v>
      </c>
      <c r="B663" t="s">
        <v>73</v>
      </c>
      <c r="C663" s="4">
        <v>0.39</v>
      </c>
      <c r="D663" s="4">
        <v>0.28861111099999998</v>
      </c>
      <c r="E663">
        <v>2</v>
      </c>
      <c r="F663" s="1">
        <v>8.3439490445859867</v>
      </c>
      <c r="G663" s="2">
        <f t="shared" si="53"/>
        <v>54.680586969303455</v>
      </c>
      <c r="H663" s="2">
        <f t="shared" si="54"/>
        <v>2.4751602459119386</v>
      </c>
      <c r="I663" s="2">
        <f t="shared" si="50"/>
        <v>412.52670765198974</v>
      </c>
      <c r="J663" s="4">
        <f t="shared" si="52"/>
        <v>9.473050399610532</v>
      </c>
      <c r="K663" s="4">
        <f t="shared" si="51"/>
        <v>1578.8417332684221</v>
      </c>
      <c r="L663">
        <v>6</v>
      </c>
    </row>
    <row r="664" spans="1:12" x14ac:dyDescent="0.3">
      <c r="A664" t="s">
        <v>110</v>
      </c>
      <c r="B664" t="s">
        <v>73</v>
      </c>
      <c r="C664" s="4">
        <v>0.39</v>
      </c>
      <c r="D664" s="4">
        <v>0.28861111099999998</v>
      </c>
      <c r="E664">
        <v>6</v>
      </c>
      <c r="F664" s="1">
        <v>8.4713375796178347</v>
      </c>
      <c r="G664" s="2">
        <f t="shared" si="53"/>
        <v>56.362968527475616</v>
      </c>
      <c r="H664" s="2">
        <f t="shared" si="54"/>
        <v>7.4493520606772137</v>
      </c>
      <c r="I664" s="2">
        <f t="shared" si="50"/>
        <v>1241.5586767795355</v>
      </c>
      <c r="J664" s="4">
        <f t="shared" si="52"/>
        <v>10.492734768144752</v>
      </c>
      <c r="K664" s="4">
        <f t="shared" si="51"/>
        <v>1748.7891280241254</v>
      </c>
      <c r="L664">
        <v>6</v>
      </c>
    </row>
    <row r="665" spans="1:12" x14ac:dyDescent="0.3">
      <c r="A665" t="s">
        <v>111</v>
      </c>
      <c r="B665" t="s">
        <v>90</v>
      </c>
      <c r="C665" s="4">
        <v>0.37226847299999999</v>
      </c>
      <c r="D665" s="4">
        <v>0.42234285700000002</v>
      </c>
      <c r="E665">
        <v>6</v>
      </c>
      <c r="F665" s="1">
        <v>7.7388535031847132</v>
      </c>
      <c r="G665" s="2">
        <f t="shared" si="53"/>
        <v>47.037380979406791</v>
      </c>
      <c r="H665" s="2">
        <f t="shared" si="54"/>
        <v>9.0539198877354874</v>
      </c>
      <c r="I665" s="2">
        <f t="shared" si="50"/>
        <v>1508.9866479559143</v>
      </c>
      <c r="J665" s="4">
        <f t="shared" si="52"/>
        <v>10.243386924418839</v>
      </c>
      <c r="K665" s="4">
        <f t="shared" si="51"/>
        <v>1707.2311540698065</v>
      </c>
      <c r="L665">
        <v>6</v>
      </c>
    </row>
    <row r="666" spans="1:12" x14ac:dyDescent="0.3">
      <c r="A666" t="s">
        <v>111</v>
      </c>
      <c r="B666" t="s">
        <v>66</v>
      </c>
      <c r="C666" s="4">
        <v>0.62643652800000005</v>
      </c>
      <c r="D666" s="4">
        <v>0.57808694400000005</v>
      </c>
      <c r="E666">
        <v>5</v>
      </c>
      <c r="F666" s="1">
        <v>4.8726114649681529</v>
      </c>
      <c r="G666" s="2">
        <f t="shared" si="53"/>
        <v>18.647192185251804</v>
      </c>
      <c r="H666" s="2">
        <f t="shared" si="54"/>
        <v>4.1727860086013493</v>
      </c>
      <c r="I666" s="2">
        <f t="shared" si="50"/>
        <v>695.46433476689162</v>
      </c>
      <c r="J666" s="4">
        <f t="shared" si="52"/>
        <v>9.4011909935494344</v>
      </c>
      <c r="K666" s="4">
        <f t="shared" si="51"/>
        <v>1566.8651655915726</v>
      </c>
      <c r="L666">
        <v>6</v>
      </c>
    </row>
    <row r="667" spans="1:12" x14ac:dyDescent="0.3">
      <c r="A667" t="s">
        <v>111</v>
      </c>
      <c r="B667" t="s">
        <v>66</v>
      </c>
      <c r="C667" s="4">
        <v>0.62643652800000005</v>
      </c>
      <c r="D667" s="4">
        <v>0.57808694400000005</v>
      </c>
      <c r="E667">
        <v>4</v>
      </c>
      <c r="F667" s="1">
        <v>13.933121019108281</v>
      </c>
      <c r="G667" s="2">
        <f t="shared" si="53"/>
        <v>152.47080734795819</v>
      </c>
      <c r="H667" s="2">
        <f t="shared" si="54"/>
        <v>26.092364441171203</v>
      </c>
      <c r="I667" s="2">
        <f t="shared" si="50"/>
        <v>4348.7274068618672</v>
      </c>
      <c r="J667" s="4">
        <f t="shared" si="52"/>
        <v>11.703546058663637</v>
      </c>
      <c r="K667" s="4">
        <f t="shared" si="51"/>
        <v>1950.5910097772728</v>
      </c>
      <c r="L667">
        <v>6</v>
      </c>
    </row>
    <row r="668" spans="1:12" x14ac:dyDescent="0.3">
      <c r="A668" t="s">
        <v>111</v>
      </c>
      <c r="B668" t="s">
        <v>66</v>
      </c>
      <c r="C668" s="4">
        <v>0.62643652800000005</v>
      </c>
      <c r="D668" s="4">
        <v>0.57808694400000005</v>
      </c>
      <c r="E668">
        <v>5</v>
      </c>
      <c r="F668" s="1">
        <v>17.86687898089172</v>
      </c>
      <c r="G668" s="2">
        <f t="shared" si="53"/>
        <v>250.71901500218488</v>
      </c>
      <c r="H668" s="2">
        <f t="shared" si="54"/>
        <v>52.712567210137777</v>
      </c>
      <c r="I668" s="2">
        <f t="shared" si="50"/>
        <v>8785.427868356297</v>
      </c>
      <c r="J668" s="4">
        <f t="shared" si="52"/>
        <v>14.572143879062031</v>
      </c>
      <c r="K668" s="4">
        <f t="shared" si="51"/>
        <v>2428.6906465103384</v>
      </c>
      <c r="L668">
        <v>6</v>
      </c>
    </row>
    <row r="669" spans="1:12" x14ac:dyDescent="0.3">
      <c r="A669" t="s">
        <v>111</v>
      </c>
      <c r="B669" t="s">
        <v>56</v>
      </c>
      <c r="C669" s="4">
        <v>0.39984676499999999</v>
      </c>
      <c r="D669" s="4">
        <v>0.450333333</v>
      </c>
      <c r="E669">
        <v>9</v>
      </c>
      <c r="F669" s="1">
        <v>14.840764331210192</v>
      </c>
      <c r="G669" s="2">
        <f t="shared" si="53"/>
        <v>172.98259926440858</v>
      </c>
      <c r="H669" s="2">
        <f t="shared" si="54"/>
        <v>51.037296996084002</v>
      </c>
      <c r="I669" s="2">
        <f t="shared" si="50"/>
        <v>8506.2161660140009</v>
      </c>
      <c r="J669" s="4">
        <f t="shared" si="52"/>
        <v>15.923521006937403</v>
      </c>
      <c r="K669" s="4">
        <f t="shared" si="51"/>
        <v>2653.9201678229006</v>
      </c>
      <c r="L669">
        <v>6</v>
      </c>
    </row>
    <row r="670" spans="1:12" x14ac:dyDescent="0.3">
      <c r="A670" t="s">
        <v>111</v>
      </c>
      <c r="B670" t="s">
        <v>56</v>
      </c>
      <c r="C670" s="4">
        <v>0.39984676499999999</v>
      </c>
      <c r="D670" s="4">
        <v>0.450333333</v>
      </c>
      <c r="E670">
        <v>10</v>
      </c>
      <c r="F670" s="1">
        <v>19.267515923566879</v>
      </c>
      <c r="G670" s="2">
        <f t="shared" si="53"/>
        <v>291.56899139676153</v>
      </c>
      <c r="H670" s="2">
        <f t="shared" si="54"/>
        <v>94.155167050032347</v>
      </c>
      <c r="I670" s="2">
        <f t="shared" si="50"/>
        <v>15692.527841672059</v>
      </c>
      <c r="J670" s="4">
        <f t="shared" si="52"/>
        <v>21.979000945271615</v>
      </c>
      <c r="K670" s="4">
        <f t="shared" si="51"/>
        <v>3663.1668242119358</v>
      </c>
      <c r="L670">
        <v>6</v>
      </c>
    </row>
    <row r="671" spans="1:12" x14ac:dyDescent="0.3">
      <c r="A671" t="s">
        <v>111</v>
      </c>
      <c r="B671" t="s">
        <v>56</v>
      </c>
      <c r="C671" s="4">
        <v>0.39984676499999999</v>
      </c>
      <c r="D671" s="4">
        <v>0.450333333</v>
      </c>
      <c r="E671">
        <v>8</v>
      </c>
      <c r="F671" s="1">
        <v>45.317834394904459</v>
      </c>
      <c r="G671" s="2">
        <f t="shared" si="53"/>
        <v>1612.9770102853365</v>
      </c>
      <c r="H671" s="2">
        <f t="shared" si="54"/>
        <v>402.08469671041792</v>
      </c>
      <c r="I671" s="2">
        <f t="shared" si="50"/>
        <v>67014.116118402992</v>
      </c>
      <c r="J671" s="4">
        <f t="shared" si="52"/>
        <v>66.489471198831595</v>
      </c>
      <c r="K671" s="4">
        <f t="shared" si="51"/>
        <v>11081.5785331386</v>
      </c>
      <c r="L671">
        <v>6</v>
      </c>
    </row>
    <row r="672" spans="1:12" x14ac:dyDescent="0.3">
      <c r="A672" t="s">
        <v>111</v>
      </c>
      <c r="B672" t="s">
        <v>39</v>
      </c>
      <c r="C672" s="4">
        <v>0.590536375</v>
      </c>
      <c r="D672" s="4">
        <v>0.61247410899999999</v>
      </c>
      <c r="E672">
        <v>6</v>
      </c>
      <c r="F672" s="1">
        <v>7.1019108280254777</v>
      </c>
      <c r="G672" s="2">
        <f t="shared" si="53"/>
        <v>39.613235088230461</v>
      </c>
      <c r="H672" s="2">
        <f t="shared" si="54"/>
        <v>11.004561280164936</v>
      </c>
      <c r="I672" s="2">
        <f t="shared" si="50"/>
        <v>1834.0935466941557</v>
      </c>
      <c r="J672" s="4">
        <f t="shared" si="52"/>
        <v>10.044879885593735</v>
      </c>
      <c r="K672" s="4">
        <f t="shared" si="51"/>
        <v>1674.1466475989557</v>
      </c>
      <c r="L672">
        <v>6</v>
      </c>
    </row>
    <row r="673" spans="1:12" x14ac:dyDescent="0.3">
      <c r="A673" t="s">
        <v>111</v>
      </c>
      <c r="B673" t="s">
        <v>39</v>
      </c>
      <c r="C673" s="4">
        <v>0.590536375</v>
      </c>
      <c r="D673" s="4">
        <v>0.61247410899999999</v>
      </c>
      <c r="E673">
        <v>8</v>
      </c>
      <c r="F673" s="1">
        <v>13.280254777070065</v>
      </c>
      <c r="G673" s="2">
        <f t="shared" si="53"/>
        <v>138.51687820501735</v>
      </c>
      <c r="H673" s="2">
        <f t="shared" si="54"/>
        <v>49.445574442252841</v>
      </c>
      <c r="I673" s="2">
        <f t="shared" si="50"/>
        <v>8240.9290737088068</v>
      </c>
      <c r="J673" s="4">
        <f t="shared" si="52"/>
        <v>13.923924674428983</v>
      </c>
      <c r="K673" s="4">
        <f t="shared" si="51"/>
        <v>2320.6541124048304</v>
      </c>
      <c r="L673">
        <v>6</v>
      </c>
    </row>
    <row r="674" spans="1:12" x14ac:dyDescent="0.3">
      <c r="A674" t="s">
        <v>111</v>
      </c>
      <c r="B674" t="s">
        <v>39</v>
      </c>
      <c r="C674" s="4">
        <v>0.590536375</v>
      </c>
      <c r="D674" s="4">
        <v>0.61247410899999999</v>
      </c>
      <c r="E674">
        <v>9</v>
      </c>
      <c r="F674" s="1">
        <v>17.611464968152866</v>
      </c>
      <c r="G674" s="2">
        <f t="shared" si="53"/>
        <v>243.6019990166034</v>
      </c>
      <c r="H674" s="2">
        <f t="shared" si="54"/>
        <v>96.237906187964882</v>
      </c>
      <c r="I674" s="2">
        <f t="shared" si="50"/>
        <v>16039.651031327479</v>
      </c>
      <c r="J674" s="4">
        <f t="shared" si="52"/>
        <v>18.755856497220982</v>
      </c>
      <c r="K674" s="4">
        <f t="shared" si="51"/>
        <v>3125.9760828701637</v>
      </c>
      <c r="L674">
        <v>6</v>
      </c>
    </row>
    <row r="675" spans="1:12" x14ac:dyDescent="0.3">
      <c r="A675" t="s">
        <v>111</v>
      </c>
      <c r="B675" t="s">
        <v>39</v>
      </c>
      <c r="C675" s="4">
        <v>0.590536375</v>
      </c>
      <c r="D675" s="4">
        <v>0.61247410899999999</v>
      </c>
      <c r="E675">
        <v>6</v>
      </c>
      <c r="F675" s="1">
        <v>29.822292993630573</v>
      </c>
      <c r="G675" s="2">
        <f t="shared" si="53"/>
        <v>698.50890437348005</v>
      </c>
      <c r="H675" s="2">
        <f t="shared" si="54"/>
        <v>181.13084340692612</v>
      </c>
      <c r="I675" s="2">
        <f t="shared" si="50"/>
        <v>30188.473901154353</v>
      </c>
      <c r="J675" s="4">
        <f t="shared" si="52"/>
        <v>27.66245234735689</v>
      </c>
      <c r="K675" s="4">
        <f t="shared" si="51"/>
        <v>4610.4087245594819</v>
      </c>
      <c r="L675">
        <v>6</v>
      </c>
    </row>
    <row r="676" spans="1:12" x14ac:dyDescent="0.3">
      <c r="A676" t="s">
        <v>111</v>
      </c>
      <c r="B676" t="s">
        <v>39</v>
      </c>
      <c r="C676" s="4">
        <v>0.590536375</v>
      </c>
      <c r="D676" s="4">
        <v>0.61247410899999999</v>
      </c>
      <c r="E676">
        <v>8</v>
      </c>
      <c r="F676" s="1">
        <v>37.867515923566884</v>
      </c>
      <c r="G676" s="2">
        <f t="shared" si="53"/>
        <v>1126.2207242548823</v>
      </c>
      <c r="H676" s="2">
        <f t="shared" si="54"/>
        <v>382.30092312885773</v>
      </c>
      <c r="I676" s="2">
        <f t="shared" si="50"/>
        <v>63716.820521476293</v>
      </c>
      <c r="J676" s="4">
        <f t="shared" si="52"/>
        <v>49.136265342204567</v>
      </c>
      <c r="K676" s="4">
        <f t="shared" si="51"/>
        <v>8189.3775570340949</v>
      </c>
      <c r="L676">
        <v>6</v>
      </c>
    </row>
    <row r="677" spans="1:12" x14ac:dyDescent="0.3">
      <c r="A677" t="s">
        <v>111</v>
      </c>
      <c r="B677" t="s">
        <v>39</v>
      </c>
      <c r="C677" s="4">
        <v>0.590536375</v>
      </c>
      <c r="D677" s="4">
        <v>0.61247410899999999</v>
      </c>
      <c r="E677">
        <v>8</v>
      </c>
      <c r="F677" s="1">
        <v>52.650318471337577</v>
      </c>
      <c r="G677" s="2">
        <f t="shared" si="53"/>
        <v>2177.1677188284834</v>
      </c>
      <c r="H677" s="2">
        <f t="shared" si="54"/>
        <v>727.45021628388838</v>
      </c>
      <c r="I677" s="2">
        <f t="shared" si="50"/>
        <v>121241.70271398139</v>
      </c>
      <c r="J677" s="4">
        <f t="shared" si="52"/>
        <v>86.603268983731581</v>
      </c>
      <c r="K677" s="4">
        <f t="shared" si="51"/>
        <v>14433.878163955264</v>
      </c>
      <c r="L677">
        <v>6</v>
      </c>
    </row>
    <row r="678" spans="1:12" x14ac:dyDescent="0.3">
      <c r="A678" t="s">
        <v>111</v>
      </c>
      <c r="B678" t="s">
        <v>39</v>
      </c>
      <c r="C678" s="4">
        <v>0.590536375</v>
      </c>
      <c r="D678" s="4">
        <v>0.61247410899999999</v>
      </c>
      <c r="E678">
        <v>9</v>
      </c>
      <c r="F678" s="1">
        <v>60.147133757961782</v>
      </c>
      <c r="G678" s="2">
        <f t="shared" si="53"/>
        <v>2841.31742079267</v>
      </c>
      <c r="H678" s="2">
        <f t="shared" si="54"/>
        <v>1058.2321172023203</v>
      </c>
      <c r="I678" s="2">
        <f t="shared" si="50"/>
        <v>176372.01953372007</v>
      </c>
      <c r="J678" s="4">
        <f t="shared" si="52"/>
        <v>122.94254752789159</v>
      </c>
      <c r="K678" s="4">
        <f t="shared" si="51"/>
        <v>20490.424587981932</v>
      </c>
      <c r="L678">
        <v>6</v>
      </c>
    </row>
    <row r="679" spans="1:12" x14ac:dyDescent="0.3">
      <c r="A679" t="s">
        <v>111</v>
      </c>
      <c r="B679" t="s">
        <v>39</v>
      </c>
      <c r="C679" s="4">
        <v>0.590536375</v>
      </c>
      <c r="D679" s="4">
        <v>0.61247410899999999</v>
      </c>
      <c r="E679">
        <v>12</v>
      </c>
      <c r="F679" s="1">
        <v>63.994267515923568</v>
      </c>
      <c r="G679" s="2">
        <f t="shared" si="53"/>
        <v>3216.414610929648</v>
      </c>
      <c r="H679" s="2">
        <f t="shared" si="54"/>
        <v>1581.542848737683</v>
      </c>
      <c r="I679" s="2">
        <f t="shared" si="50"/>
        <v>263590.4747896138</v>
      </c>
      <c r="J679" s="4">
        <f t="shared" si="52"/>
        <v>180.9868835457828</v>
      </c>
      <c r="K679" s="4">
        <f t="shared" si="51"/>
        <v>30164.480590963798</v>
      </c>
      <c r="L679">
        <v>6</v>
      </c>
    </row>
    <row r="680" spans="1:12" x14ac:dyDescent="0.3">
      <c r="A680" t="s">
        <v>111</v>
      </c>
      <c r="B680" t="s">
        <v>47</v>
      </c>
      <c r="C680" s="4">
        <v>0.40238543599999999</v>
      </c>
      <c r="D680" s="4">
        <v>0.40883333300000002</v>
      </c>
      <c r="E680">
        <v>7</v>
      </c>
      <c r="F680" s="1">
        <v>10.636942675159235</v>
      </c>
      <c r="G680" s="2">
        <f t="shared" si="53"/>
        <v>88.863521355801183</v>
      </c>
      <c r="H680" s="2">
        <f t="shared" si="54"/>
        <v>18.969084352889404</v>
      </c>
      <c r="I680" s="2">
        <f t="shared" si="50"/>
        <v>3161.5140588149006</v>
      </c>
      <c r="J680" s="4">
        <f t="shared" si="52"/>
        <v>11.75774146212828</v>
      </c>
      <c r="K680" s="4">
        <f t="shared" si="51"/>
        <v>1959.62357702138</v>
      </c>
      <c r="L680">
        <v>6</v>
      </c>
    </row>
    <row r="681" spans="1:12" x14ac:dyDescent="0.3">
      <c r="A681" t="s">
        <v>112</v>
      </c>
      <c r="B681" t="s">
        <v>69</v>
      </c>
      <c r="C681" s="4">
        <v>0.31264018999999998</v>
      </c>
      <c r="D681" s="4">
        <v>0.356821212</v>
      </c>
      <c r="E681">
        <v>5</v>
      </c>
      <c r="F681" s="1">
        <v>14.171974522292993</v>
      </c>
      <c r="G681" s="2">
        <f t="shared" si="53"/>
        <v>157.74318563306795</v>
      </c>
      <c r="H681" s="2">
        <f t="shared" si="54"/>
        <v>20.940821021478847</v>
      </c>
      <c r="I681" s="2">
        <f t="shared" si="50"/>
        <v>3490.136836913141</v>
      </c>
      <c r="J681" s="4">
        <f t="shared" si="52"/>
        <v>12.50048508255913</v>
      </c>
      <c r="K681" s="4">
        <f t="shared" si="51"/>
        <v>2083.4141804265219</v>
      </c>
      <c r="L681">
        <v>6</v>
      </c>
    </row>
    <row r="682" spans="1:12" x14ac:dyDescent="0.3">
      <c r="A682" t="s">
        <v>112</v>
      </c>
      <c r="B682" t="s">
        <v>69</v>
      </c>
      <c r="C682" s="4">
        <v>0.31264018999999998</v>
      </c>
      <c r="D682" s="4">
        <v>0.356821212</v>
      </c>
      <c r="E682">
        <v>9</v>
      </c>
      <c r="F682" s="1">
        <v>27.515923566878982</v>
      </c>
      <c r="G682" s="2">
        <f t="shared" si="53"/>
        <v>594.64540892484649</v>
      </c>
      <c r="H682" s="2">
        <f t="shared" si="54"/>
        <v>135.71121972984997</v>
      </c>
      <c r="I682" s="2">
        <f t="shared" si="50"/>
        <v>22618.536621641662</v>
      </c>
      <c r="J682" s="4">
        <f t="shared" si="52"/>
        <v>32.835170566757277</v>
      </c>
      <c r="K682" s="4">
        <f t="shared" si="51"/>
        <v>5472.5284277928795</v>
      </c>
      <c r="L682">
        <v>6</v>
      </c>
    </row>
    <row r="683" spans="1:12" x14ac:dyDescent="0.3">
      <c r="A683" t="s">
        <v>112</v>
      </c>
      <c r="B683" t="s">
        <v>85</v>
      </c>
      <c r="C683" s="4">
        <v>0.6</v>
      </c>
      <c r="D683" s="4">
        <v>0.66674999999999995</v>
      </c>
      <c r="E683">
        <v>7</v>
      </c>
      <c r="F683" s="1">
        <v>10.891719745222931</v>
      </c>
      <c r="G683" s="2">
        <f t="shared" si="53"/>
        <v>93.171437769908678</v>
      </c>
      <c r="H683" s="2">
        <f t="shared" si="54"/>
        <v>32.020709385908688</v>
      </c>
      <c r="I683" s="2">
        <f t="shared" si="50"/>
        <v>5336.7848976514479</v>
      </c>
      <c r="J683" s="4">
        <f t="shared" si="52"/>
        <v>11.892124195707737</v>
      </c>
      <c r="K683" s="4">
        <f t="shared" si="51"/>
        <v>1982.0206992846227</v>
      </c>
      <c r="L683">
        <v>6</v>
      </c>
    </row>
    <row r="684" spans="1:12" x14ac:dyDescent="0.3">
      <c r="A684" t="s">
        <v>112</v>
      </c>
      <c r="B684" t="s">
        <v>85</v>
      </c>
      <c r="C684" s="4">
        <v>0.6</v>
      </c>
      <c r="D684" s="4">
        <v>0.66674999999999995</v>
      </c>
      <c r="E684">
        <v>6.5</v>
      </c>
      <c r="F684" s="1">
        <v>12.32484076433121</v>
      </c>
      <c r="G684" s="2">
        <f t="shared" si="53"/>
        <v>119.30331609180131</v>
      </c>
      <c r="H684" s="2">
        <f t="shared" si="54"/>
        <v>37.915042118252494</v>
      </c>
      <c r="I684" s="2">
        <f t="shared" si="50"/>
        <v>6319.1736863754159</v>
      </c>
      <c r="J684" s="4">
        <f t="shared" si="52"/>
        <v>12.441463671954237</v>
      </c>
      <c r="K684" s="4">
        <f t="shared" si="51"/>
        <v>2073.5772786590396</v>
      </c>
      <c r="L684">
        <v>6</v>
      </c>
    </row>
    <row r="685" spans="1:12" x14ac:dyDescent="0.3">
      <c r="A685" t="s">
        <v>112</v>
      </c>
      <c r="B685" t="s">
        <v>113</v>
      </c>
      <c r="C685" s="4">
        <v>0.6</v>
      </c>
      <c r="D685" s="4">
        <v>0.51040266700000003</v>
      </c>
      <c r="E685">
        <v>8</v>
      </c>
      <c r="F685" s="1">
        <v>72.045222929936301</v>
      </c>
      <c r="G685" s="2">
        <f t="shared" si="53"/>
        <v>4076.6202781612951</v>
      </c>
      <c r="H685" s="2">
        <f t="shared" si="54"/>
        <v>1123.0503980013036</v>
      </c>
      <c r="I685" s="2">
        <f t="shared" si="50"/>
        <v>187175.06633355061</v>
      </c>
      <c r="J685" s="4">
        <f t="shared" si="52"/>
        <v>154.32009611667817</v>
      </c>
      <c r="K685" s="4">
        <f t="shared" si="51"/>
        <v>25720.016019446364</v>
      </c>
      <c r="L685">
        <v>6</v>
      </c>
    </row>
    <row r="686" spans="1:12" x14ac:dyDescent="0.3">
      <c r="A686" t="s">
        <v>112</v>
      </c>
      <c r="B686" t="s">
        <v>113</v>
      </c>
      <c r="C686" s="4">
        <v>0.6</v>
      </c>
      <c r="D686" s="4">
        <v>0.51040266700000003</v>
      </c>
      <c r="E686">
        <v>9</v>
      </c>
      <c r="F686" s="1">
        <v>10.350318471337578</v>
      </c>
      <c r="G686" s="2">
        <f t="shared" si="53"/>
        <v>84.138992463036487</v>
      </c>
      <c r="H686" s="2">
        <f t="shared" si="54"/>
        <v>28.540950058387384</v>
      </c>
      <c r="I686" s="2">
        <f t="shared" si="50"/>
        <v>4756.8250097312311</v>
      </c>
      <c r="J686" s="4">
        <f t="shared" si="52"/>
        <v>12.360266412430523</v>
      </c>
      <c r="K686" s="4">
        <f t="shared" si="51"/>
        <v>2060.0444020717537</v>
      </c>
      <c r="L686">
        <v>6</v>
      </c>
    </row>
    <row r="687" spans="1:12" x14ac:dyDescent="0.3">
      <c r="A687" t="s">
        <v>112</v>
      </c>
      <c r="B687" t="s">
        <v>113</v>
      </c>
      <c r="C687" s="4">
        <v>0.6</v>
      </c>
      <c r="D687" s="4">
        <v>0.51040266700000003</v>
      </c>
      <c r="E687">
        <v>11</v>
      </c>
      <c r="F687" s="1">
        <v>29.005732484076432</v>
      </c>
      <c r="G687" s="2">
        <f t="shared" si="53"/>
        <v>660.78101360950598</v>
      </c>
      <c r="H687" s="2">
        <f t="shared" si="54"/>
        <v>259.48114148745344</v>
      </c>
      <c r="I687" s="2">
        <f t="shared" si="50"/>
        <v>43246.856914575576</v>
      </c>
      <c r="J687" s="4">
        <f t="shared" si="52"/>
        <v>41.377001902105562</v>
      </c>
      <c r="K687" s="4">
        <f t="shared" si="51"/>
        <v>6896.1669836842602</v>
      </c>
      <c r="L687">
        <v>6</v>
      </c>
    </row>
    <row r="688" spans="1:12" x14ac:dyDescent="0.3">
      <c r="A688" t="s">
        <v>112</v>
      </c>
      <c r="B688" t="s">
        <v>66</v>
      </c>
      <c r="C688" s="4">
        <v>0.62643652800000005</v>
      </c>
      <c r="D688" s="4">
        <v>0.57808694400000005</v>
      </c>
      <c r="E688">
        <v>5</v>
      </c>
      <c r="F688" s="1">
        <v>6.5286624203821653</v>
      </c>
      <c r="G688" s="2">
        <f t="shared" si="53"/>
        <v>33.476365995352509</v>
      </c>
      <c r="H688" s="2">
        <f t="shared" si="54"/>
        <v>7.3867257884065873</v>
      </c>
      <c r="I688" s="2">
        <f t="shared" si="50"/>
        <v>1231.1209647344313</v>
      </c>
      <c r="J688" s="4">
        <f t="shared" si="52"/>
        <v>9.7316100774879306</v>
      </c>
      <c r="K688" s="4">
        <f t="shared" si="51"/>
        <v>1621.9350129146551</v>
      </c>
      <c r="L688">
        <v>6</v>
      </c>
    </row>
    <row r="689" spans="1:12" x14ac:dyDescent="0.3">
      <c r="A689" t="s">
        <v>112</v>
      </c>
      <c r="B689" t="s">
        <v>66</v>
      </c>
      <c r="C689" s="4">
        <v>0.62643652800000005</v>
      </c>
      <c r="D689" s="4">
        <v>0.57808694400000005</v>
      </c>
      <c r="E689">
        <v>5</v>
      </c>
      <c r="F689" s="1">
        <v>6.6242038216560513</v>
      </c>
      <c r="G689" s="2">
        <f t="shared" si="53"/>
        <v>34.463331312859758</v>
      </c>
      <c r="H689" s="2">
        <f t="shared" si="54"/>
        <v>7.5992034251848786</v>
      </c>
      <c r="I689" s="2">
        <f t="shared" si="50"/>
        <v>1266.5339041974796</v>
      </c>
      <c r="J689" s="4">
        <f t="shared" si="52"/>
        <v>9.753601334739745</v>
      </c>
      <c r="K689" s="4">
        <f t="shared" si="51"/>
        <v>1625.6002224566244</v>
      </c>
      <c r="L689">
        <v>6</v>
      </c>
    </row>
    <row r="690" spans="1:12" x14ac:dyDescent="0.3">
      <c r="A690" t="s">
        <v>112</v>
      </c>
      <c r="B690" t="s">
        <v>66</v>
      </c>
      <c r="C690" s="4">
        <v>0.62643652800000005</v>
      </c>
      <c r="D690" s="4">
        <v>0.57808694400000005</v>
      </c>
      <c r="E690">
        <v>4</v>
      </c>
      <c r="F690" s="1">
        <v>16.376433121019108</v>
      </c>
      <c r="G690" s="2">
        <f t="shared" si="53"/>
        <v>210.63401845800774</v>
      </c>
      <c r="H690" s="2">
        <f t="shared" si="54"/>
        <v>35.767373154564218</v>
      </c>
      <c r="I690" s="2">
        <f t="shared" si="50"/>
        <v>5961.2288590940361</v>
      </c>
      <c r="J690" s="4">
        <f t="shared" si="52"/>
        <v>12.740325864740964</v>
      </c>
      <c r="K690" s="4">
        <f t="shared" si="51"/>
        <v>2123.3876441234938</v>
      </c>
      <c r="L690">
        <v>6</v>
      </c>
    </row>
    <row r="691" spans="1:12" x14ac:dyDescent="0.3">
      <c r="A691" t="s">
        <v>112</v>
      </c>
      <c r="B691" t="s">
        <v>66</v>
      </c>
      <c r="C691" s="4">
        <v>0.62643652800000005</v>
      </c>
      <c r="D691" s="4">
        <v>0.57808694400000005</v>
      </c>
      <c r="E691">
        <v>5.5</v>
      </c>
      <c r="F691" s="1">
        <v>16.448407643312102</v>
      </c>
      <c r="G691" s="2">
        <f t="shared" si="53"/>
        <v>212.48956264301634</v>
      </c>
      <c r="H691" s="2">
        <f t="shared" si="54"/>
        <v>49.22527491464092</v>
      </c>
      <c r="I691" s="2">
        <f t="shared" si="50"/>
        <v>8204.2124857734871</v>
      </c>
      <c r="J691" s="4">
        <f t="shared" si="52"/>
        <v>14.193789694510933</v>
      </c>
      <c r="K691" s="4">
        <f t="shared" si="51"/>
        <v>2365.6316157518222</v>
      </c>
      <c r="L691">
        <v>6</v>
      </c>
    </row>
    <row r="692" spans="1:12" x14ac:dyDescent="0.3">
      <c r="A692" t="s">
        <v>112</v>
      </c>
      <c r="B692" t="s">
        <v>66</v>
      </c>
      <c r="C692" s="4">
        <v>0.62643652800000005</v>
      </c>
      <c r="D692" s="4">
        <v>0.57808694400000005</v>
      </c>
      <c r="E692">
        <v>6</v>
      </c>
      <c r="F692" s="1">
        <v>21.91783439490446</v>
      </c>
      <c r="G692" s="2">
        <f t="shared" si="53"/>
        <v>377.29857397916408</v>
      </c>
      <c r="H692" s="2">
        <f t="shared" si="54"/>
        <v>93.849725213354347</v>
      </c>
      <c r="I692" s="2">
        <f t="shared" si="50"/>
        <v>15641.620868892393</v>
      </c>
      <c r="J692" s="4">
        <f t="shared" si="52"/>
        <v>19.073920755811596</v>
      </c>
      <c r="K692" s="4">
        <f t="shared" si="51"/>
        <v>3178.9867926352658</v>
      </c>
      <c r="L692">
        <v>6</v>
      </c>
    </row>
    <row r="693" spans="1:12" x14ac:dyDescent="0.3">
      <c r="A693" t="s">
        <v>112</v>
      </c>
      <c r="B693" t="s">
        <v>56</v>
      </c>
      <c r="C693" s="4">
        <v>0.39984676499999999</v>
      </c>
      <c r="D693" s="4">
        <v>0.450333333</v>
      </c>
      <c r="E693">
        <v>13</v>
      </c>
      <c r="F693" s="1">
        <v>17.261146496815286</v>
      </c>
      <c r="G693" s="2">
        <f t="shared" si="53"/>
        <v>234.00716669265282</v>
      </c>
      <c r="H693" s="2">
        <f t="shared" si="54"/>
        <v>98.13704709337874</v>
      </c>
      <c r="I693" s="2">
        <f t="shared" si="50"/>
        <v>16356.174515563123</v>
      </c>
      <c r="J693" s="4">
        <f t="shared" si="52"/>
        <v>22.542296616495598</v>
      </c>
      <c r="K693" s="4">
        <f t="shared" si="51"/>
        <v>3757.0494360825996</v>
      </c>
      <c r="L693">
        <v>6</v>
      </c>
    </row>
    <row r="694" spans="1:12" x14ac:dyDescent="0.3">
      <c r="A694" t="s">
        <v>112</v>
      </c>
      <c r="B694" t="s">
        <v>39</v>
      </c>
      <c r="C694" s="4">
        <v>0.590536375</v>
      </c>
      <c r="D694" s="4">
        <v>0.61247410899999999</v>
      </c>
      <c r="E694">
        <v>9</v>
      </c>
      <c r="F694" s="1">
        <v>41.731210191082802</v>
      </c>
      <c r="G694" s="2">
        <f t="shared" si="53"/>
        <v>1367.7661137791385</v>
      </c>
      <c r="H694" s="2">
        <f t="shared" si="54"/>
        <v>518.43368748768023</v>
      </c>
      <c r="I694" s="2">
        <f t="shared" si="50"/>
        <v>86405.614581280039</v>
      </c>
      <c r="J694" s="4">
        <f t="shared" si="52"/>
        <v>63.842757976388491</v>
      </c>
      <c r="K694" s="4">
        <f t="shared" si="51"/>
        <v>10640.459662731415</v>
      </c>
      <c r="L694">
        <v>6</v>
      </c>
    </row>
    <row r="695" spans="1:12" x14ac:dyDescent="0.3">
      <c r="A695" t="s">
        <v>112</v>
      </c>
      <c r="B695" t="s">
        <v>39</v>
      </c>
      <c r="C695" s="4">
        <v>0.590536375</v>
      </c>
      <c r="D695" s="4">
        <v>0.61247410899999999</v>
      </c>
      <c r="E695">
        <v>10</v>
      </c>
      <c r="F695" s="1">
        <v>66.91783439490446</v>
      </c>
      <c r="G695" s="2">
        <f t="shared" si="53"/>
        <v>3517.0102740056614</v>
      </c>
      <c r="H695" s="2">
        <f t="shared" si="54"/>
        <v>1444.3433249354709</v>
      </c>
      <c r="I695" s="2">
        <f t="shared" si="50"/>
        <v>240723.88748924516</v>
      </c>
      <c r="J695" s="4">
        <f t="shared" si="52"/>
        <v>165.71557960363506</v>
      </c>
      <c r="K695" s="4">
        <f t="shared" si="51"/>
        <v>27619.263267272512</v>
      </c>
      <c r="L695">
        <v>6</v>
      </c>
    </row>
    <row r="696" spans="1:12" x14ac:dyDescent="0.3">
      <c r="A696" t="s">
        <v>112</v>
      </c>
      <c r="B696" t="s">
        <v>39</v>
      </c>
      <c r="C696" s="4">
        <v>0.590536375</v>
      </c>
      <c r="D696" s="4">
        <v>0.61247410899999999</v>
      </c>
      <c r="E696">
        <v>11</v>
      </c>
      <c r="F696" s="1">
        <v>101.86369426751592</v>
      </c>
      <c r="G696" s="2">
        <f t="shared" si="53"/>
        <v>8149.4580126194851</v>
      </c>
      <c r="H696" s="2">
        <f t="shared" si="54"/>
        <v>3599.6963424044147</v>
      </c>
      <c r="I696" s="2">
        <f t="shared" si="50"/>
        <v>599949.39040073578</v>
      </c>
      <c r="J696" s="4">
        <f t="shared" si="52"/>
        <v>408.46987007829938</v>
      </c>
      <c r="K696" s="4">
        <f t="shared" si="51"/>
        <v>68078.311679716557</v>
      </c>
      <c r="L696">
        <v>6</v>
      </c>
    </row>
    <row r="697" spans="1:12" x14ac:dyDescent="0.3">
      <c r="A697" t="s">
        <v>112</v>
      </c>
      <c r="B697" t="s">
        <v>73</v>
      </c>
      <c r="C697" s="4">
        <v>0.39</v>
      </c>
      <c r="D697" s="4">
        <v>0.28861111099999998</v>
      </c>
      <c r="E697">
        <v>4.5</v>
      </c>
      <c r="F697" s="1">
        <v>29.359235668789808</v>
      </c>
      <c r="G697" s="2">
        <f t="shared" si="53"/>
        <v>676.98550725961843</v>
      </c>
      <c r="H697" s="2">
        <f t="shared" si="54"/>
        <v>63.658111937855431</v>
      </c>
      <c r="I697" s="2">
        <f t="shared" si="50"/>
        <v>10609.685322975905</v>
      </c>
      <c r="J697" s="4">
        <f t="shared" si="52"/>
        <v>22.56164432512475</v>
      </c>
      <c r="K697" s="4">
        <f t="shared" si="51"/>
        <v>3760.2740541874587</v>
      </c>
      <c r="L697">
        <v>6</v>
      </c>
    </row>
    <row r="698" spans="1:12" x14ac:dyDescent="0.3">
      <c r="A698" t="s">
        <v>114</v>
      </c>
      <c r="B698" t="s">
        <v>72</v>
      </c>
      <c r="C698" s="4">
        <v>0.43916666700000001</v>
      </c>
      <c r="D698" s="4">
        <v>0.51877777800000002</v>
      </c>
      <c r="E698">
        <v>4</v>
      </c>
      <c r="F698" s="1">
        <v>5.1910828025477711</v>
      </c>
      <c r="G698" s="2">
        <f t="shared" si="53"/>
        <v>21.164391865092711</v>
      </c>
      <c r="H698" s="2">
        <f t="shared" si="54"/>
        <v>3.4168896905565767</v>
      </c>
      <c r="I698" s="2">
        <f t="shared" si="50"/>
        <v>683.3779381113153</v>
      </c>
      <c r="J698" s="4">
        <f t="shared" si="52"/>
        <v>9.3629627692807009</v>
      </c>
      <c r="K698" s="4">
        <f t="shared" si="51"/>
        <v>1872.5925538561401</v>
      </c>
      <c r="L698">
        <v>5</v>
      </c>
    </row>
    <row r="699" spans="1:12" x14ac:dyDescent="0.3">
      <c r="A699" t="s">
        <v>114</v>
      </c>
      <c r="B699" t="s">
        <v>115</v>
      </c>
      <c r="C699" s="4">
        <v>0.56572270000000002</v>
      </c>
      <c r="D699" s="4">
        <v>0.61247410899999999</v>
      </c>
      <c r="E699">
        <v>6</v>
      </c>
      <c r="F699" s="1">
        <v>28.115286624203822</v>
      </c>
      <c r="G699" s="2">
        <f t="shared" si="53"/>
        <v>620.83316939826443</v>
      </c>
      <c r="H699" s="2">
        <f t="shared" si="54"/>
        <v>161.44481566696393</v>
      </c>
      <c r="I699" s="2">
        <f t="shared" si="50"/>
        <v>32288.963133392786</v>
      </c>
      <c r="J699" s="4">
        <f t="shared" si="52"/>
        <v>25.585556181183819</v>
      </c>
      <c r="K699" s="4">
        <f t="shared" si="51"/>
        <v>5117.1112362367639</v>
      </c>
      <c r="L699">
        <v>5</v>
      </c>
    </row>
    <row r="700" spans="1:12" x14ac:dyDescent="0.3">
      <c r="A700" t="s">
        <v>114</v>
      </c>
      <c r="B700" t="s">
        <v>116</v>
      </c>
      <c r="C700" s="4">
        <v>0.46921933300000002</v>
      </c>
      <c r="D700" s="4">
        <v>0.46713991199999999</v>
      </c>
      <c r="E700">
        <v>5</v>
      </c>
      <c r="F700" s="1">
        <v>21.777707006369425</v>
      </c>
      <c r="G700" s="2">
        <f t="shared" si="53"/>
        <v>372.48962649359208</v>
      </c>
      <c r="H700" s="2">
        <f t="shared" si="54"/>
        <v>63.007138098209104</v>
      </c>
      <c r="I700" s="2">
        <f t="shared" si="50"/>
        <v>12601.427619641821</v>
      </c>
      <c r="J700" s="4">
        <f t="shared" si="52"/>
        <v>17.285399142967258</v>
      </c>
      <c r="K700" s="4">
        <f t="shared" si="51"/>
        <v>3457.0798285934516</v>
      </c>
      <c r="L700">
        <v>5</v>
      </c>
    </row>
    <row r="701" spans="1:12" x14ac:dyDescent="0.3">
      <c r="A701" t="s">
        <v>114</v>
      </c>
      <c r="B701" t="s">
        <v>18</v>
      </c>
      <c r="C701" s="4">
        <v>0.45255480399999998</v>
      </c>
      <c r="D701" s="4">
        <v>0.57808694400000005</v>
      </c>
      <c r="E701">
        <v>8</v>
      </c>
      <c r="F701" s="1">
        <v>44.621019108280251</v>
      </c>
      <c r="G701" s="2">
        <f t="shared" si="53"/>
        <v>1563.7555042131935</v>
      </c>
      <c r="H701" s="2">
        <f t="shared" si="54"/>
        <v>497.77982581185967</v>
      </c>
      <c r="I701" s="2">
        <f t="shared" si="50"/>
        <v>99555.96516237194</v>
      </c>
      <c r="J701" s="4">
        <f t="shared" si="52"/>
        <v>64.734689695322317</v>
      </c>
      <c r="K701" s="4">
        <f t="shared" si="51"/>
        <v>12946.937939064464</v>
      </c>
      <c r="L701">
        <v>5</v>
      </c>
    </row>
    <row r="702" spans="1:12" x14ac:dyDescent="0.3">
      <c r="A702" t="s">
        <v>114</v>
      </c>
      <c r="B702" t="s">
        <v>56</v>
      </c>
      <c r="C702" s="4">
        <v>0.39984676499999999</v>
      </c>
      <c r="D702" s="4">
        <v>0.450333333</v>
      </c>
      <c r="E702">
        <v>7</v>
      </c>
      <c r="F702" s="1">
        <v>61.585350318471342</v>
      </c>
      <c r="G702" s="2">
        <f t="shared" si="53"/>
        <v>2978.8231048366797</v>
      </c>
      <c r="H702" s="2">
        <f t="shared" si="54"/>
        <v>642.30298952295982</v>
      </c>
      <c r="I702" s="2">
        <f t="shared" si="50"/>
        <v>128460.59790459197</v>
      </c>
      <c r="J702" s="4">
        <f t="shared" si="52"/>
        <v>101.90820665929654</v>
      </c>
      <c r="K702" s="4">
        <f t="shared" si="51"/>
        <v>20381.641331859308</v>
      </c>
      <c r="L702">
        <v>5</v>
      </c>
    </row>
    <row r="703" spans="1:12" x14ac:dyDescent="0.3">
      <c r="A703" t="s">
        <v>114</v>
      </c>
      <c r="B703" t="s">
        <v>117</v>
      </c>
      <c r="C703" s="4">
        <v>0.56572270000000002</v>
      </c>
      <c r="D703" s="4">
        <v>0.61247410899999999</v>
      </c>
      <c r="E703">
        <v>6</v>
      </c>
      <c r="F703" s="1">
        <v>27.028025477707004</v>
      </c>
      <c r="G703" s="2">
        <f t="shared" si="53"/>
        <v>573.74448056082633</v>
      </c>
      <c r="H703" s="2">
        <f t="shared" si="54"/>
        <v>149.48233235549213</v>
      </c>
      <c r="I703" s="2">
        <f t="shared" si="50"/>
        <v>29896.466471098429</v>
      </c>
      <c r="J703" s="4">
        <f t="shared" si="52"/>
        <v>24.326497385695156</v>
      </c>
      <c r="K703" s="4">
        <f t="shared" si="51"/>
        <v>4865.2994771390313</v>
      </c>
      <c r="L703">
        <v>5</v>
      </c>
    </row>
    <row r="704" spans="1:12" x14ac:dyDescent="0.3">
      <c r="A704" t="s">
        <v>114</v>
      </c>
      <c r="B704" t="s">
        <v>118</v>
      </c>
      <c r="C704" s="4">
        <v>0.56023871300000005</v>
      </c>
      <c r="D704" s="4">
        <v>0.74103703700000001</v>
      </c>
      <c r="E704">
        <v>6</v>
      </c>
      <c r="F704" s="1">
        <v>12.611464968152866</v>
      </c>
      <c r="G704" s="2">
        <f t="shared" si="53"/>
        <v>124.91683069428197</v>
      </c>
      <c r="H704" s="2">
        <f t="shared" si="54"/>
        <v>40.65825834569543</v>
      </c>
      <c r="I704" s="2">
        <f t="shared" si="50"/>
        <v>8131.6516691390862</v>
      </c>
      <c r="J704" s="4">
        <f t="shared" si="52"/>
        <v>12.325730021501887</v>
      </c>
      <c r="K704" s="4">
        <f t="shared" si="51"/>
        <v>2465.1460043003772</v>
      </c>
      <c r="L704">
        <v>5</v>
      </c>
    </row>
    <row r="705" spans="1:12" x14ac:dyDescent="0.3">
      <c r="A705" t="s">
        <v>114</v>
      </c>
      <c r="B705" t="s">
        <v>107</v>
      </c>
      <c r="C705" s="4">
        <v>0.53168696000000004</v>
      </c>
      <c r="D705" s="4">
        <v>0.61247410899999999</v>
      </c>
      <c r="E705">
        <v>9</v>
      </c>
      <c r="F705" s="1">
        <v>10.318471337579616</v>
      </c>
      <c r="G705" s="2">
        <f t="shared" si="53"/>
        <v>83.622010630056508</v>
      </c>
      <c r="H705" s="2">
        <f t="shared" si="54"/>
        <v>33.894604388349364</v>
      </c>
      <c r="I705" s="2">
        <f t="shared" si="50"/>
        <v>6778.9208776698724</v>
      </c>
      <c r="J705" s="4">
        <f t="shared" si="52"/>
        <v>12.33953179845024</v>
      </c>
      <c r="K705" s="4">
        <f t="shared" si="51"/>
        <v>2467.9063596900478</v>
      </c>
      <c r="L705">
        <v>5</v>
      </c>
    </row>
    <row r="706" spans="1:12" x14ac:dyDescent="0.3">
      <c r="A706" t="s">
        <v>114</v>
      </c>
      <c r="B706" t="s">
        <v>107</v>
      </c>
      <c r="C706" s="4">
        <v>0.53168696000000004</v>
      </c>
      <c r="D706" s="4">
        <v>0.61247410899999999</v>
      </c>
      <c r="E706">
        <v>6</v>
      </c>
      <c r="F706" s="1">
        <v>35.389808917197456</v>
      </c>
      <c r="G706" s="2">
        <f t="shared" si="53"/>
        <v>983.66295672685794</v>
      </c>
      <c r="H706" s="2">
        <f t="shared" si="54"/>
        <v>252.98722687630479</v>
      </c>
      <c r="I706" s="2">
        <f t="shared" ref="I706:I769" si="55">(H706*1000)/L706</f>
        <v>50597.445375260955</v>
      </c>
      <c r="J706" s="4">
        <f t="shared" si="52"/>
        <v>35.286910079110719</v>
      </c>
      <c r="K706" s="4">
        <f t="shared" ref="K706:K769" si="56">(J706*1000)/L706</f>
        <v>7057.3820158221442</v>
      </c>
      <c r="L706">
        <v>5</v>
      </c>
    </row>
    <row r="707" spans="1:12" x14ac:dyDescent="0.3">
      <c r="A707" t="s">
        <v>114</v>
      </c>
      <c r="B707" t="s">
        <v>119</v>
      </c>
      <c r="C707" s="4">
        <v>0.432770245</v>
      </c>
      <c r="D707" s="4">
        <v>0.61247410899999999</v>
      </c>
      <c r="E707">
        <v>5</v>
      </c>
      <c r="F707" s="1">
        <v>60.509554140127392</v>
      </c>
      <c r="G707" s="2">
        <f t="shared" si="53"/>
        <v>2875.6616595650826</v>
      </c>
      <c r="H707" s="2">
        <f t="shared" si="54"/>
        <v>603.29228764125605</v>
      </c>
      <c r="I707" s="2">
        <f t="shared" si="55"/>
        <v>120658.45752825119</v>
      </c>
      <c r="J707" s="4">
        <f t="shared" ref="J707:J770" si="57">8.9857 + 0.0035 * F707^2 * E707</f>
        <v>73.060307489147633</v>
      </c>
      <c r="K707" s="4">
        <f t="shared" si="56"/>
        <v>14612.061497829525</v>
      </c>
      <c r="L707">
        <v>5</v>
      </c>
    </row>
    <row r="708" spans="1:12" x14ac:dyDescent="0.3">
      <c r="A708" t="s">
        <v>114</v>
      </c>
      <c r="B708" t="s">
        <v>120</v>
      </c>
      <c r="C708" s="4">
        <v>0.98708677300000003</v>
      </c>
      <c r="D708" s="4">
        <v>0.60285714300000004</v>
      </c>
      <c r="E708">
        <v>7</v>
      </c>
      <c r="F708" s="1">
        <v>32.536305732484081</v>
      </c>
      <c r="G708" s="2">
        <f t="shared" ref="G708:G771" si="58">PI()*(F708/2)^2</f>
        <v>831.43128494164887</v>
      </c>
      <c r="H708" s="2">
        <f t="shared" ref="H708:H771" si="59">0.0673 * ((D708 * F708^2 * E708)^0.976)</f>
        <v>245.73262592294091</v>
      </c>
      <c r="I708" s="2">
        <f t="shared" si="55"/>
        <v>49146.525184588179</v>
      </c>
      <c r="J708" s="4">
        <f t="shared" si="57"/>
        <v>34.921674172583074</v>
      </c>
      <c r="K708" s="4">
        <f t="shared" si="56"/>
        <v>6984.3348345166141</v>
      </c>
      <c r="L708">
        <v>5</v>
      </c>
    </row>
    <row r="709" spans="1:12" x14ac:dyDescent="0.3">
      <c r="A709" t="s">
        <v>114</v>
      </c>
      <c r="B709" t="s">
        <v>120</v>
      </c>
      <c r="C709" s="4">
        <v>0.98708677300000003</v>
      </c>
      <c r="D709" s="4">
        <v>0.60285714300000004</v>
      </c>
      <c r="E709">
        <v>6</v>
      </c>
      <c r="F709" s="1">
        <v>58.191719745222926</v>
      </c>
      <c r="G709" s="2">
        <f t="shared" si="58"/>
        <v>2659.5751450768225</v>
      </c>
      <c r="H709" s="2">
        <f t="shared" si="59"/>
        <v>657.64117530157864</v>
      </c>
      <c r="I709" s="2">
        <f t="shared" si="55"/>
        <v>131528.23506031572</v>
      </c>
      <c r="J709" s="4">
        <f t="shared" si="57"/>
        <v>80.097501185037927</v>
      </c>
      <c r="K709" s="4">
        <f t="shared" si="56"/>
        <v>16019.500237007585</v>
      </c>
      <c r="L709">
        <v>5</v>
      </c>
    </row>
    <row r="710" spans="1:12" x14ac:dyDescent="0.3">
      <c r="A710" t="s">
        <v>114</v>
      </c>
      <c r="B710" t="s">
        <v>120</v>
      </c>
      <c r="C710" s="4">
        <v>0.98708677300000003</v>
      </c>
      <c r="D710" s="4">
        <v>0.60285714300000004</v>
      </c>
      <c r="E710">
        <v>9</v>
      </c>
      <c r="F710" s="1">
        <v>71.001910828025487</v>
      </c>
      <c r="G710" s="2">
        <f t="shared" si="58"/>
        <v>3959.4052525909265</v>
      </c>
      <c r="H710" s="2">
        <f t="shared" si="59"/>
        <v>1440.536047442459</v>
      </c>
      <c r="I710" s="2">
        <f t="shared" si="55"/>
        <v>288107.20948849182</v>
      </c>
      <c r="J710" s="4">
        <f t="shared" si="57"/>
        <v>167.78574724877282</v>
      </c>
      <c r="K710" s="4">
        <f t="shared" si="56"/>
        <v>33557.149449754565</v>
      </c>
      <c r="L710">
        <v>5</v>
      </c>
    </row>
    <row r="711" spans="1:12" x14ac:dyDescent="0.3">
      <c r="A711" t="s">
        <v>114</v>
      </c>
      <c r="B711" t="s">
        <v>62</v>
      </c>
      <c r="C711" s="4">
        <v>0.693333333</v>
      </c>
      <c r="D711" s="4">
        <v>0.64166666699999997</v>
      </c>
      <c r="E711">
        <v>6.8</v>
      </c>
      <c r="F711" s="1">
        <v>20.563057324840763</v>
      </c>
      <c r="G711" s="2">
        <f t="shared" si="58"/>
        <v>332.09723048041138</v>
      </c>
      <c r="H711" s="2">
        <f t="shared" si="59"/>
        <v>103.66328768506681</v>
      </c>
      <c r="I711" s="2">
        <f t="shared" si="55"/>
        <v>20732.657537013361</v>
      </c>
      <c r="J711" s="4">
        <f t="shared" si="57"/>
        <v>19.049275971763556</v>
      </c>
      <c r="K711" s="4">
        <f t="shared" si="56"/>
        <v>3809.8551943527114</v>
      </c>
      <c r="L711">
        <v>5</v>
      </c>
    </row>
    <row r="712" spans="1:12" x14ac:dyDescent="0.3">
      <c r="A712" t="s">
        <v>114</v>
      </c>
      <c r="B712" t="s">
        <v>62</v>
      </c>
      <c r="C712" s="4">
        <v>0.693333333</v>
      </c>
      <c r="D712" s="4">
        <v>0.64166666699999997</v>
      </c>
      <c r="E712">
        <v>6</v>
      </c>
      <c r="F712" s="1">
        <v>8.1847133757961785</v>
      </c>
      <c r="G712" s="2">
        <f t="shared" si="58"/>
        <v>52.613456219560696</v>
      </c>
      <c r="H712" s="2">
        <f t="shared" si="59"/>
        <v>15.191740039044717</v>
      </c>
      <c r="I712" s="2">
        <f t="shared" si="55"/>
        <v>3038.3480078089433</v>
      </c>
      <c r="J712" s="4">
        <f t="shared" si="57"/>
        <v>10.392480193922674</v>
      </c>
      <c r="K712" s="4">
        <f t="shared" si="56"/>
        <v>2078.4960387845349</v>
      </c>
      <c r="L712">
        <v>5</v>
      </c>
    </row>
    <row r="713" spans="1:12" x14ac:dyDescent="0.3">
      <c r="A713" t="s">
        <v>121</v>
      </c>
      <c r="B713" t="s">
        <v>75</v>
      </c>
      <c r="C713" s="4">
        <v>0.86</v>
      </c>
      <c r="D713" s="4">
        <v>0.65666666699999998</v>
      </c>
      <c r="E713">
        <v>7</v>
      </c>
      <c r="F713" s="4">
        <v>8.4394904458598727</v>
      </c>
      <c r="G713" s="2">
        <f t="shared" si="58"/>
        <v>55.939983391401071</v>
      </c>
      <c r="H713" s="2">
        <f t="shared" si="59"/>
        <v>19.174706121006373</v>
      </c>
      <c r="I713" s="2">
        <f t="shared" si="55"/>
        <v>3834.9412242012745</v>
      </c>
      <c r="J713" s="4">
        <f t="shared" si="57"/>
        <v>10.730712475151121</v>
      </c>
      <c r="K713" s="4">
        <f t="shared" si="56"/>
        <v>2146.1424950302239</v>
      </c>
      <c r="L713">
        <v>5</v>
      </c>
    </row>
    <row r="714" spans="1:12" x14ac:dyDescent="0.3">
      <c r="A714" t="s">
        <v>121</v>
      </c>
      <c r="B714" t="s">
        <v>51</v>
      </c>
      <c r="C714" s="4">
        <v>0.40257753800000001</v>
      </c>
      <c r="D714" s="4">
        <v>0.40843333300000001</v>
      </c>
      <c r="E714">
        <v>6</v>
      </c>
      <c r="F714" s="4">
        <v>23.346496815286624</v>
      </c>
      <c r="G714" s="2">
        <f t="shared" si="58"/>
        <v>428.08826964258498</v>
      </c>
      <c r="H714" s="2">
        <f t="shared" si="59"/>
        <v>75.633423386061367</v>
      </c>
      <c r="I714" s="2">
        <f t="shared" si="55"/>
        <v>15126.684677212272</v>
      </c>
      <c r="J714" s="4">
        <f t="shared" si="57"/>
        <v>20.431937184469959</v>
      </c>
      <c r="K714" s="4">
        <f t="shared" si="56"/>
        <v>4086.3874368939919</v>
      </c>
      <c r="L714">
        <v>5</v>
      </c>
    </row>
    <row r="715" spans="1:12" x14ac:dyDescent="0.3">
      <c r="A715" t="s">
        <v>121</v>
      </c>
      <c r="B715" t="s">
        <v>26</v>
      </c>
      <c r="C715" s="4">
        <v>0.80908761900000004</v>
      </c>
      <c r="D715" s="4">
        <v>0.87473809499999999</v>
      </c>
      <c r="E715">
        <v>8</v>
      </c>
      <c r="F715" s="4">
        <v>22.738853503184714</v>
      </c>
      <c r="G715" s="2">
        <f t="shared" si="58"/>
        <v>406.0944075899281</v>
      </c>
      <c r="H715" s="2">
        <f t="shared" si="59"/>
        <v>200.03965434404421</v>
      </c>
      <c r="I715" s="2">
        <f t="shared" si="55"/>
        <v>40007.930868808842</v>
      </c>
      <c r="J715" s="4">
        <f t="shared" si="57"/>
        <v>23.463252841900278</v>
      </c>
      <c r="K715" s="4">
        <f t="shared" si="56"/>
        <v>4692.6505683800551</v>
      </c>
      <c r="L715">
        <v>5</v>
      </c>
    </row>
    <row r="716" spans="1:12" x14ac:dyDescent="0.3">
      <c r="A716" t="s">
        <v>121</v>
      </c>
      <c r="B716" t="s">
        <v>85</v>
      </c>
      <c r="C716" s="4">
        <v>0.6</v>
      </c>
      <c r="D716" s="4">
        <v>0.66674999999999995</v>
      </c>
      <c r="E716">
        <v>5</v>
      </c>
      <c r="F716" s="1">
        <v>6.114649681528662</v>
      </c>
      <c r="G716" s="2">
        <f t="shared" si="58"/>
        <v>29.365205379004752</v>
      </c>
      <c r="H716" s="2">
        <f t="shared" si="59"/>
        <v>7.4712802223108312</v>
      </c>
      <c r="I716" s="2">
        <f t="shared" si="55"/>
        <v>1494.2560444621663</v>
      </c>
      <c r="J716" s="4">
        <f t="shared" si="57"/>
        <v>9.6400064627368245</v>
      </c>
      <c r="K716" s="4">
        <f t="shared" si="56"/>
        <v>1928.001292547365</v>
      </c>
      <c r="L716">
        <v>5</v>
      </c>
    </row>
    <row r="717" spans="1:12" x14ac:dyDescent="0.3">
      <c r="A717" t="s">
        <v>121</v>
      </c>
      <c r="B717" t="s">
        <v>18</v>
      </c>
      <c r="C717" s="4">
        <v>0.45255480399999998</v>
      </c>
      <c r="D717" s="4">
        <v>0.57808694400000005</v>
      </c>
      <c r="E717">
        <v>6</v>
      </c>
      <c r="F717" s="1">
        <v>35.421656050955413</v>
      </c>
      <c r="G717" s="2">
        <f t="shared" si="58"/>
        <v>985.43414126614016</v>
      </c>
      <c r="H717" s="2">
        <f t="shared" si="59"/>
        <v>239.53491605584139</v>
      </c>
      <c r="I717" s="2">
        <f t="shared" si="55"/>
        <v>47906.983211168277</v>
      </c>
      <c r="J717" s="4">
        <f t="shared" si="57"/>
        <v>35.334268065235918</v>
      </c>
      <c r="K717" s="4">
        <f t="shared" si="56"/>
        <v>7066.8536130471839</v>
      </c>
      <c r="L717">
        <v>5</v>
      </c>
    </row>
    <row r="718" spans="1:12" x14ac:dyDescent="0.3">
      <c r="A718" t="s">
        <v>121</v>
      </c>
      <c r="B718" t="s">
        <v>18</v>
      </c>
      <c r="C718" s="4">
        <v>0.45255480399999998</v>
      </c>
      <c r="D718" s="4">
        <v>0.57808694400000005</v>
      </c>
      <c r="E718">
        <v>5</v>
      </c>
      <c r="F718" s="1">
        <v>11.369426751592357</v>
      </c>
      <c r="G718" s="2">
        <f t="shared" si="58"/>
        <v>101.52360189748202</v>
      </c>
      <c r="H718" s="2">
        <f t="shared" si="59"/>
        <v>21.813070269476693</v>
      </c>
      <c r="I718" s="2">
        <f t="shared" si="55"/>
        <v>4362.6140538953387</v>
      </c>
      <c r="J718" s="4">
        <f t="shared" si="57"/>
        <v>11.247817631546919</v>
      </c>
      <c r="K718" s="4">
        <f t="shared" si="56"/>
        <v>2249.5635263093836</v>
      </c>
      <c r="L718">
        <v>5</v>
      </c>
    </row>
    <row r="719" spans="1:12" x14ac:dyDescent="0.3">
      <c r="A719" t="s">
        <v>121</v>
      </c>
      <c r="B719" t="s">
        <v>18</v>
      </c>
      <c r="C719" s="4">
        <v>0.45255480399999998</v>
      </c>
      <c r="D719" s="4">
        <v>0.57808694400000005</v>
      </c>
      <c r="E719">
        <v>5.5</v>
      </c>
      <c r="F719" s="1">
        <v>21.56751592356688</v>
      </c>
      <c r="G719" s="2">
        <f t="shared" si="58"/>
        <v>365.33403713129644</v>
      </c>
      <c r="H719" s="2">
        <f t="shared" si="59"/>
        <v>83.539567578381295</v>
      </c>
      <c r="I719" s="2">
        <f t="shared" si="55"/>
        <v>16707.913515676257</v>
      </c>
      <c r="J719" s="4">
        <f t="shared" si="57"/>
        <v>17.939986554931235</v>
      </c>
      <c r="K719" s="4">
        <f t="shared" si="56"/>
        <v>3587.9973109862467</v>
      </c>
      <c r="L719">
        <v>5</v>
      </c>
    </row>
    <row r="720" spans="1:12" x14ac:dyDescent="0.3">
      <c r="A720" t="s">
        <v>121</v>
      </c>
      <c r="B720" t="s">
        <v>18</v>
      </c>
      <c r="C720" s="4">
        <v>0.45255480399999998</v>
      </c>
      <c r="D720" s="4">
        <v>0.57808694400000005</v>
      </c>
      <c r="E720">
        <v>5</v>
      </c>
      <c r="F720" s="1">
        <v>21.140764331210192</v>
      </c>
      <c r="G720" s="2">
        <f t="shared" si="58"/>
        <v>351.01950638890355</v>
      </c>
      <c r="H720" s="2">
        <f t="shared" si="59"/>
        <v>73.206676451504151</v>
      </c>
      <c r="I720" s="2">
        <f t="shared" si="55"/>
        <v>14641.335290300831</v>
      </c>
      <c r="J720" s="4">
        <f t="shared" si="57"/>
        <v>16.80700853888596</v>
      </c>
      <c r="K720" s="4">
        <f t="shared" si="56"/>
        <v>3361.4017077771919</v>
      </c>
      <c r="L720">
        <v>5</v>
      </c>
    </row>
    <row r="721" spans="1:12" x14ac:dyDescent="0.3">
      <c r="A721" t="s">
        <v>121</v>
      </c>
      <c r="B721" t="s">
        <v>18</v>
      </c>
      <c r="C721" s="4">
        <v>0.45255480399999998</v>
      </c>
      <c r="D721" s="4">
        <v>0.57808694400000005</v>
      </c>
      <c r="E721">
        <v>6</v>
      </c>
      <c r="F721" s="1">
        <v>25.640127388535031</v>
      </c>
      <c r="G721" s="2">
        <f t="shared" si="58"/>
        <v>516.33342305359247</v>
      </c>
      <c r="H721" s="2">
        <f t="shared" si="59"/>
        <v>127.47006237308528</v>
      </c>
      <c r="I721" s="2">
        <f t="shared" si="55"/>
        <v>25494.012474617055</v>
      </c>
      <c r="J721" s="4">
        <f t="shared" si="57"/>
        <v>22.79143878250639</v>
      </c>
      <c r="K721" s="4">
        <f t="shared" si="56"/>
        <v>4558.2877565012777</v>
      </c>
      <c r="L721">
        <v>5</v>
      </c>
    </row>
    <row r="722" spans="1:12" x14ac:dyDescent="0.3">
      <c r="A722" t="s">
        <v>121</v>
      </c>
      <c r="B722" t="s">
        <v>56</v>
      </c>
      <c r="C722" s="4">
        <v>0.39984676499999999</v>
      </c>
      <c r="D722" s="4">
        <v>0.450333333</v>
      </c>
      <c r="E722">
        <v>8</v>
      </c>
      <c r="F722" s="1">
        <v>44.068789808917195</v>
      </c>
      <c r="G722" s="2">
        <f t="shared" si="58"/>
        <v>1525.28897115466</v>
      </c>
      <c r="H722" s="2">
        <f t="shared" si="59"/>
        <v>380.73615696613865</v>
      </c>
      <c r="I722" s="2">
        <f t="shared" si="55"/>
        <v>76147.231393227732</v>
      </c>
      <c r="J722" s="4">
        <f t="shared" si="57"/>
        <v>63.363330586230674</v>
      </c>
      <c r="K722" s="4">
        <f t="shared" si="56"/>
        <v>12672.666117246135</v>
      </c>
      <c r="L722">
        <v>5</v>
      </c>
    </row>
    <row r="723" spans="1:12" x14ac:dyDescent="0.3">
      <c r="A723" t="s">
        <v>121</v>
      </c>
      <c r="B723" t="s">
        <v>56</v>
      </c>
      <c r="C723" s="4">
        <v>0.39984676499999999</v>
      </c>
      <c r="D723" s="4">
        <v>0.450333333</v>
      </c>
      <c r="E723">
        <v>9</v>
      </c>
      <c r="F723" s="1">
        <v>54.057961783439488</v>
      </c>
      <c r="G723" s="2">
        <f t="shared" si="58"/>
        <v>2295.140175517909</v>
      </c>
      <c r="H723" s="2">
        <f t="shared" si="59"/>
        <v>636.42480617984609</v>
      </c>
      <c r="I723" s="2">
        <f t="shared" si="55"/>
        <v>127284.96123596921</v>
      </c>
      <c r="J723" s="4">
        <f t="shared" si="57"/>
        <v>101.03699181366383</v>
      </c>
      <c r="K723" s="4">
        <f t="shared" si="56"/>
        <v>20207.398362732765</v>
      </c>
      <c r="L723">
        <v>5</v>
      </c>
    </row>
    <row r="724" spans="1:12" x14ac:dyDescent="0.3">
      <c r="A724" t="s">
        <v>121</v>
      </c>
      <c r="B724" t="s">
        <v>122</v>
      </c>
      <c r="C724" s="4">
        <v>0.85750000000000004</v>
      </c>
      <c r="D724" s="4">
        <v>0.61247410899999999</v>
      </c>
      <c r="E724">
        <v>7</v>
      </c>
      <c r="F724" s="1">
        <v>78.634394904458588</v>
      </c>
      <c r="G724" s="2">
        <f t="shared" si="58"/>
        <v>4856.4059194976544</v>
      </c>
      <c r="H724" s="2">
        <f t="shared" si="59"/>
        <v>1397.2176924168739</v>
      </c>
      <c r="I724" s="2">
        <f t="shared" si="55"/>
        <v>279443.53848337481</v>
      </c>
      <c r="J724" s="4">
        <f t="shared" si="57"/>
        <v>160.47821751876339</v>
      </c>
      <c r="K724" s="4">
        <f t="shared" si="56"/>
        <v>32095.643503752675</v>
      </c>
      <c r="L724">
        <v>5</v>
      </c>
    </row>
    <row r="725" spans="1:12" x14ac:dyDescent="0.3">
      <c r="A725" t="s">
        <v>121</v>
      </c>
      <c r="B725" t="s">
        <v>119</v>
      </c>
      <c r="C725" s="4">
        <v>0.432770245</v>
      </c>
      <c r="D725" s="4">
        <v>0.61247410899999999</v>
      </c>
      <c r="E725">
        <v>5</v>
      </c>
      <c r="F725" s="1">
        <v>9.7133757961783438</v>
      </c>
      <c r="G725" s="2">
        <f t="shared" si="58"/>
        <v>74.102057030759482</v>
      </c>
      <c r="H725" s="2">
        <f t="shared" si="59"/>
        <v>16.972820988755007</v>
      </c>
      <c r="I725" s="2">
        <f t="shared" si="55"/>
        <v>3394.5641977510013</v>
      </c>
      <c r="J725" s="4">
        <f t="shared" si="57"/>
        <v>10.636819213761207</v>
      </c>
      <c r="K725" s="4">
        <f t="shared" si="56"/>
        <v>2127.3638427522415</v>
      </c>
      <c r="L725">
        <v>5</v>
      </c>
    </row>
    <row r="726" spans="1:12" x14ac:dyDescent="0.3">
      <c r="A726" t="s">
        <v>121</v>
      </c>
      <c r="B726" t="s">
        <v>73</v>
      </c>
      <c r="C726" s="4">
        <v>0.39</v>
      </c>
      <c r="D726" s="4">
        <v>0.28861111099999998</v>
      </c>
      <c r="E726">
        <v>6</v>
      </c>
      <c r="F726" s="1">
        <v>18.754140127388535</v>
      </c>
      <c r="G726" s="2">
        <f t="shared" si="58"/>
        <v>276.23849209842371</v>
      </c>
      <c r="H726" s="2">
        <f t="shared" si="59"/>
        <v>35.143245622510541</v>
      </c>
      <c r="I726" s="2">
        <f t="shared" si="55"/>
        <v>7028.649124502108</v>
      </c>
      <c r="J726" s="4">
        <f t="shared" si="57"/>
        <v>16.371773210272224</v>
      </c>
      <c r="K726" s="4">
        <f t="shared" si="56"/>
        <v>3274.3546420544449</v>
      </c>
      <c r="L726">
        <v>5</v>
      </c>
    </row>
    <row r="727" spans="1:12" x14ac:dyDescent="0.3">
      <c r="A727" t="s">
        <v>121</v>
      </c>
      <c r="B727" t="s">
        <v>28</v>
      </c>
      <c r="C727" s="4">
        <v>0.48464433800000001</v>
      </c>
      <c r="D727" s="4">
        <v>0.62688577999999995</v>
      </c>
      <c r="E727">
        <v>5</v>
      </c>
      <c r="F727" s="1">
        <v>67.557961783439495</v>
      </c>
      <c r="G727" s="2">
        <f t="shared" si="58"/>
        <v>3584.6186361436112</v>
      </c>
      <c r="H727" s="2">
        <f t="shared" si="59"/>
        <v>765.23405333008623</v>
      </c>
      <c r="I727" s="2">
        <f t="shared" si="55"/>
        <v>153046.81066601723</v>
      </c>
      <c r="J727" s="4">
        <f t="shared" si="57"/>
        <v>88.857068505821744</v>
      </c>
      <c r="K727" s="4">
        <f t="shared" si="56"/>
        <v>17771.413701164351</v>
      </c>
      <c r="L727">
        <v>5</v>
      </c>
    </row>
    <row r="728" spans="1:12" x14ac:dyDescent="0.3">
      <c r="A728" t="s">
        <v>121</v>
      </c>
      <c r="B728" t="s">
        <v>120</v>
      </c>
      <c r="C728" s="4">
        <v>0.98708677300000003</v>
      </c>
      <c r="D728" s="4">
        <v>0.60285714300000004</v>
      </c>
      <c r="E728">
        <v>7</v>
      </c>
      <c r="F728" s="1">
        <v>5.5414012738853495</v>
      </c>
      <c r="G728" s="2">
        <f t="shared" si="58"/>
        <v>24.117321995842772</v>
      </c>
      <c r="H728" s="2">
        <f t="shared" si="59"/>
        <v>7.7600670915249443</v>
      </c>
      <c r="I728" s="2">
        <f t="shared" si="55"/>
        <v>1552.013418304989</v>
      </c>
      <c r="J728" s="4">
        <f t="shared" si="57"/>
        <v>9.7380246379163449</v>
      </c>
      <c r="K728" s="4">
        <f t="shared" si="56"/>
        <v>1947.604927583269</v>
      </c>
      <c r="L728">
        <v>5</v>
      </c>
    </row>
    <row r="729" spans="1:12" x14ac:dyDescent="0.3">
      <c r="A729" t="s">
        <v>121</v>
      </c>
      <c r="B729" t="s">
        <v>109</v>
      </c>
      <c r="C729" s="4">
        <v>0.470857311</v>
      </c>
      <c r="D729" s="4">
        <v>0.375</v>
      </c>
      <c r="E729">
        <v>5</v>
      </c>
      <c r="F729" s="1">
        <v>61.340764331210188</v>
      </c>
      <c r="G729" s="2">
        <f t="shared" si="58"/>
        <v>2955.2093196411975</v>
      </c>
      <c r="H729" s="2">
        <f t="shared" si="59"/>
        <v>383.84042483622329</v>
      </c>
      <c r="I729" s="2">
        <f t="shared" si="55"/>
        <v>76768.084967244664</v>
      </c>
      <c r="J729" s="4">
        <f t="shared" si="57"/>
        <v>74.832763952898688</v>
      </c>
      <c r="K729" s="4">
        <f t="shared" si="56"/>
        <v>14966.552790579739</v>
      </c>
      <c r="L729">
        <v>5</v>
      </c>
    </row>
    <row r="730" spans="1:12" x14ac:dyDescent="0.3">
      <c r="A730" t="s">
        <v>121</v>
      </c>
      <c r="B730" t="s">
        <v>94</v>
      </c>
      <c r="C730" s="4">
        <v>0.28577490700000002</v>
      </c>
      <c r="D730" s="4">
        <v>0.3422</v>
      </c>
      <c r="E730">
        <v>6</v>
      </c>
      <c r="F730" s="1">
        <v>6.8471337579617835</v>
      </c>
      <c r="G730" s="2">
        <f t="shared" si="58"/>
        <v>36.822011139444854</v>
      </c>
      <c r="H730" s="2">
        <f t="shared" si="59"/>
        <v>5.8057879598449702</v>
      </c>
      <c r="I730" s="2">
        <f t="shared" si="55"/>
        <v>1161.157591968994</v>
      </c>
      <c r="J730" s="4">
        <f t="shared" si="57"/>
        <v>9.9702480546878167</v>
      </c>
      <c r="K730" s="4">
        <f t="shared" si="56"/>
        <v>1994.0496109375631</v>
      </c>
      <c r="L730">
        <v>5</v>
      </c>
    </row>
    <row r="731" spans="1:12" x14ac:dyDescent="0.3">
      <c r="A731" t="s">
        <v>123</v>
      </c>
      <c r="B731" t="s">
        <v>75</v>
      </c>
      <c r="C731" s="4">
        <v>0.86</v>
      </c>
      <c r="D731" s="4">
        <v>0.65666666699999998</v>
      </c>
      <c r="E731">
        <v>8</v>
      </c>
      <c r="F731" s="1">
        <v>13.535031847133757</v>
      </c>
      <c r="G731" s="2">
        <f t="shared" si="58"/>
        <v>143.88265575039969</v>
      </c>
      <c r="H731" s="2">
        <f t="shared" si="59"/>
        <v>54.924751702683182</v>
      </c>
      <c r="I731" s="2">
        <f t="shared" si="55"/>
        <v>10984.950340536638</v>
      </c>
      <c r="J731" s="4">
        <f t="shared" si="57"/>
        <v>14.1152184388819</v>
      </c>
      <c r="K731" s="4">
        <f t="shared" si="56"/>
        <v>2823.04368777638</v>
      </c>
      <c r="L731">
        <v>5</v>
      </c>
    </row>
    <row r="732" spans="1:12" x14ac:dyDescent="0.3">
      <c r="A732" t="s">
        <v>123</v>
      </c>
      <c r="B732" t="s">
        <v>60</v>
      </c>
      <c r="C732" s="4">
        <v>0.41</v>
      </c>
      <c r="D732" s="4">
        <v>0.33983503399999998</v>
      </c>
      <c r="E732">
        <v>7</v>
      </c>
      <c r="F732" s="1">
        <v>5.1910828025477711</v>
      </c>
      <c r="G732" s="2">
        <f t="shared" si="58"/>
        <v>21.164391865092711</v>
      </c>
      <c r="H732" s="2">
        <f t="shared" si="59"/>
        <v>3.90419944376568</v>
      </c>
      <c r="I732" s="2">
        <f t="shared" si="55"/>
        <v>780.83988875313594</v>
      </c>
      <c r="J732" s="4">
        <f t="shared" si="57"/>
        <v>9.645909846241226</v>
      </c>
      <c r="K732" s="4">
        <f t="shared" si="56"/>
        <v>1929.1819692482452</v>
      </c>
      <c r="L732">
        <v>5</v>
      </c>
    </row>
    <row r="733" spans="1:12" x14ac:dyDescent="0.3">
      <c r="A733" t="s">
        <v>123</v>
      </c>
      <c r="B733" t="s">
        <v>124</v>
      </c>
      <c r="C733" s="4">
        <v>0.64800000000000002</v>
      </c>
      <c r="D733" s="4">
        <v>0.66733333299999997</v>
      </c>
      <c r="E733">
        <v>7</v>
      </c>
      <c r="F733" s="1">
        <v>8.6942675159235669</v>
      </c>
      <c r="G733" s="2">
        <f t="shared" si="58"/>
        <v>59.368473081918566</v>
      </c>
      <c r="H733" s="2">
        <f t="shared" si="59"/>
        <v>20.642968783980272</v>
      </c>
      <c r="I733" s="2">
        <f t="shared" si="55"/>
        <v>4128.5937567960545</v>
      </c>
      <c r="J733" s="4">
        <f t="shared" si="57"/>
        <v>10.837662047141873</v>
      </c>
      <c r="K733" s="4">
        <f t="shared" si="56"/>
        <v>2167.5324094283742</v>
      </c>
      <c r="L733">
        <v>5</v>
      </c>
    </row>
    <row r="734" spans="1:12" x14ac:dyDescent="0.3">
      <c r="A734" t="s">
        <v>123</v>
      </c>
      <c r="B734" t="s">
        <v>85</v>
      </c>
      <c r="C734" s="4">
        <v>0.6</v>
      </c>
      <c r="D734" s="4">
        <v>0.66674999999999995</v>
      </c>
      <c r="E734">
        <v>6</v>
      </c>
      <c r="F734" s="1">
        <v>8.1847133757961785</v>
      </c>
      <c r="G734" s="2">
        <f t="shared" si="58"/>
        <v>52.613456219560696</v>
      </c>
      <c r="H734" s="2">
        <f t="shared" si="59"/>
        <v>15.771078015209122</v>
      </c>
      <c r="I734" s="2">
        <f t="shared" si="55"/>
        <v>3154.2156030418246</v>
      </c>
      <c r="J734" s="4">
        <f t="shared" si="57"/>
        <v>10.392480193922674</v>
      </c>
      <c r="K734" s="4">
        <f t="shared" si="56"/>
        <v>2078.4960387845349</v>
      </c>
      <c r="L734">
        <v>5</v>
      </c>
    </row>
    <row r="735" spans="1:12" x14ac:dyDescent="0.3">
      <c r="A735" t="s">
        <v>123</v>
      </c>
      <c r="B735" t="s">
        <v>113</v>
      </c>
      <c r="C735" s="4">
        <v>0.6</v>
      </c>
      <c r="D735" s="4">
        <v>0.51040266700000003</v>
      </c>
      <c r="E735">
        <v>8</v>
      </c>
      <c r="F735" s="1">
        <v>37.028662420382162</v>
      </c>
      <c r="G735" s="2">
        <f t="shared" si="58"/>
        <v>1076.8765754348442</v>
      </c>
      <c r="H735" s="2">
        <f t="shared" si="59"/>
        <v>306.29516386915117</v>
      </c>
      <c r="I735" s="2">
        <f t="shared" si="55"/>
        <v>61259.032773830229</v>
      </c>
      <c r="J735" s="4">
        <f t="shared" si="57"/>
        <v>47.377111537993422</v>
      </c>
      <c r="K735" s="4">
        <f t="shared" si="56"/>
        <v>9475.4223075986847</v>
      </c>
      <c r="L735">
        <v>5</v>
      </c>
    </row>
    <row r="736" spans="1:12" x14ac:dyDescent="0.3">
      <c r="A736" t="s">
        <v>123</v>
      </c>
      <c r="B736" t="s">
        <v>125</v>
      </c>
      <c r="C736" s="4">
        <v>0.51642601200000005</v>
      </c>
      <c r="D736" s="4">
        <v>0.60835714299999999</v>
      </c>
      <c r="E736">
        <v>4</v>
      </c>
      <c r="F736" s="1">
        <v>3.9808917197452227</v>
      </c>
      <c r="G736" s="2">
        <f t="shared" si="58"/>
        <v>12.446596518200664</v>
      </c>
      <c r="H736" s="2">
        <f t="shared" si="59"/>
        <v>2.3775304788550691</v>
      </c>
      <c r="I736" s="2">
        <f t="shared" si="55"/>
        <v>475.50609577101375</v>
      </c>
      <c r="J736" s="4">
        <f t="shared" si="57"/>
        <v>9.2075649843807046</v>
      </c>
      <c r="K736" s="4">
        <f t="shared" si="56"/>
        <v>1841.5129968761407</v>
      </c>
      <c r="L736">
        <v>5</v>
      </c>
    </row>
    <row r="737" spans="1:12" x14ac:dyDescent="0.3">
      <c r="A737" t="s">
        <v>123</v>
      </c>
      <c r="B737" t="s">
        <v>126</v>
      </c>
      <c r="C737" s="4">
        <v>0.490852183</v>
      </c>
      <c r="D737" s="4">
        <v>0.607288889</v>
      </c>
      <c r="E737">
        <v>4</v>
      </c>
      <c r="F737" s="1">
        <v>3.9490445859872612</v>
      </c>
      <c r="G737" s="2">
        <f t="shared" si="58"/>
        <v>12.248247556086621</v>
      </c>
      <c r="H737" s="2">
        <f t="shared" si="59"/>
        <v>2.3365330014311816</v>
      </c>
      <c r="I737" s="2">
        <f t="shared" si="55"/>
        <v>467.30660028623635</v>
      </c>
      <c r="J737" s="4">
        <f t="shared" si="57"/>
        <v>9.2040293439896139</v>
      </c>
      <c r="K737" s="4">
        <f t="shared" si="56"/>
        <v>1840.8058687979228</v>
      </c>
      <c r="L737">
        <v>5</v>
      </c>
    </row>
    <row r="738" spans="1:12" x14ac:dyDescent="0.3">
      <c r="A738" t="s">
        <v>123</v>
      </c>
      <c r="B738" t="s">
        <v>126</v>
      </c>
      <c r="C738" s="4">
        <v>0.490852183</v>
      </c>
      <c r="D738" s="4">
        <v>0.607288889</v>
      </c>
      <c r="E738">
        <v>5</v>
      </c>
      <c r="F738" s="1">
        <v>4.6178343949044587</v>
      </c>
      <c r="G738" s="2">
        <f t="shared" si="58"/>
        <v>16.748140274890819</v>
      </c>
      <c r="H738" s="2">
        <f t="shared" si="59"/>
        <v>3.9426416279145227</v>
      </c>
      <c r="I738" s="2">
        <f t="shared" si="55"/>
        <v>788.52832558290459</v>
      </c>
      <c r="J738" s="4">
        <f t="shared" si="57"/>
        <v>9.3588769037283459</v>
      </c>
      <c r="K738" s="4">
        <f t="shared" si="56"/>
        <v>1871.7753807456691</v>
      </c>
      <c r="L738">
        <v>5</v>
      </c>
    </row>
    <row r="739" spans="1:12" x14ac:dyDescent="0.3">
      <c r="A739" t="s">
        <v>123</v>
      </c>
      <c r="B739" t="s">
        <v>18</v>
      </c>
      <c r="C739" s="4">
        <v>0.45255480399999998</v>
      </c>
      <c r="D739" s="4">
        <v>0.57808694400000005</v>
      </c>
      <c r="E739">
        <v>9</v>
      </c>
      <c r="F739" s="1">
        <v>103.62165605095541</v>
      </c>
      <c r="G739" s="2">
        <f t="shared" si="58"/>
        <v>8433.1716267702959</v>
      </c>
      <c r="H739" s="2">
        <f t="shared" si="59"/>
        <v>2892.1479826513792</v>
      </c>
      <c r="I739" s="2">
        <f t="shared" si="55"/>
        <v>578429.59653027577</v>
      </c>
      <c r="J739" s="4">
        <f t="shared" si="57"/>
        <v>347.21529948638891</v>
      </c>
      <c r="K739" s="4">
        <f t="shared" si="56"/>
        <v>69443.059897277781</v>
      </c>
      <c r="L739">
        <v>5</v>
      </c>
    </row>
    <row r="740" spans="1:12" x14ac:dyDescent="0.3">
      <c r="A740" t="s">
        <v>123</v>
      </c>
      <c r="B740" t="s">
        <v>18</v>
      </c>
      <c r="C740" s="4">
        <v>0.45255480399999998</v>
      </c>
      <c r="D740" s="4">
        <v>0.57808694400000005</v>
      </c>
      <c r="E740">
        <v>10</v>
      </c>
      <c r="F740" s="1">
        <v>114.11210191082803</v>
      </c>
      <c r="G740" s="2">
        <f t="shared" si="58"/>
        <v>10227.118578237156</v>
      </c>
      <c r="H740" s="2">
        <f t="shared" si="59"/>
        <v>3869.2953155607574</v>
      </c>
      <c r="I740" s="2">
        <f t="shared" si="55"/>
        <v>773859.06311215158</v>
      </c>
      <c r="J740" s="4">
        <f t="shared" si="57"/>
        <v>464.74071308775211</v>
      </c>
      <c r="K740" s="4">
        <f t="shared" si="56"/>
        <v>92948.142617550417</v>
      </c>
      <c r="L740">
        <v>5</v>
      </c>
    </row>
    <row r="741" spans="1:12" x14ac:dyDescent="0.3">
      <c r="A741" t="s">
        <v>123</v>
      </c>
      <c r="B741" t="s">
        <v>56</v>
      </c>
      <c r="C741" s="4">
        <v>0.39984676499999999</v>
      </c>
      <c r="D741" s="4">
        <v>0.450333333</v>
      </c>
      <c r="E741">
        <v>9</v>
      </c>
      <c r="F741" s="1">
        <v>20.445859872611464</v>
      </c>
      <c r="G741" s="2">
        <f t="shared" si="58"/>
        <v>328.3224964689702</v>
      </c>
      <c r="H741" s="2">
        <f t="shared" si="59"/>
        <v>95.390852687955942</v>
      </c>
      <c r="I741" s="2">
        <f t="shared" si="55"/>
        <v>19078.170537591188</v>
      </c>
      <c r="J741" s="4">
        <f t="shared" si="57"/>
        <v>22.153745356809605</v>
      </c>
      <c r="K741" s="4">
        <f t="shared" si="56"/>
        <v>4430.7490713619209</v>
      </c>
      <c r="L741">
        <v>5</v>
      </c>
    </row>
    <row r="742" spans="1:12" x14ac:dyDescent="0.3">
      <c r="A742" t="s">
        <v>123</v>
      </c>
      <c r="B742" t="s">
        <v>39</v>
      </c>
      <c r="C742" s="4">
        <v>0.590536375</v>
      </c>
      <c r="D742" s="4">
        <v>0.61247410899999999</v>
      </c>
      <c r="E742">
        <v>7</v>
      </c>
      <c r="F742" s="1">
        <v>52.821019108280254</v>
      </c>
      <c r="G742" s="2">
        <f t="shared" si="58"/>
        <v>2191.3080466077167</v>
      </c>
      <c r="H742" s="2">
        <f t="shared" si="59"/>
        <v>642.60959684930765</v>
      </c>
      <c r="I742" s="2">
        <f t="shared" si="55"/>
        <v>128521.91936986153</v>
      </c>
      <c r="J742" s="4">
        <f t="shared" si="57"/>
        <v>77.342171461114035</v>
      </c>
      <c r="K742" s="4">
        <f t="shared" si="56"/>
        <v>15468.434292222806</v>
      </c>
      <c r="L742">
        <v>5</v>
      </c>
    </row>
    <row r="743" spans="1:12" x14ac:dyDescent="0.3">
      <c r="A743" t="s">
        <v>123</v>
      </c>
      <c r="B743" t="s">
        <v>28</v>
      </c>
      <c r="C743" s="4">
        <v>0.48464433800000001</v>
      </c>
      <c r="D743" s="4">
        <v>0.62688577999999995</v>
      </c>
      <c r="E743">
        <v>7</v>
      </c>
      <c r="F743" s="1">
        <v>10</v>
      </c>
      <c r="G743" s="2">
        <f t="shared" si="58"/>
        <v>78.539816339744831</v>
      </c>
      <c r="H743" s="2">
        <f t="shared" si="59"/>
        <v>25.520351269072634</v>
      </c>
      <c r="I743" s="2">
        <f t="shared" si="55"/>
        <v>5104.070253814527</v>
      </c>
      <c r="J743" s="4">
        <f t="shared" si="57"/>
        <v>11.435700000000001</v>
      </c>
      <c r="K743" s="4">
        <f t="shared" si="56"/>
        <v>2287.1400000000003</v>
      </c>
      <c r="L743">
        <v>5</v>
      </c>
    </row>
    <row r="744" spans="1:12" x14ac:dyDescent="0.3">
      <c r="A744" t="s">
        <v>123</v>
      </c>
      <c r="B744" t="s">
        <v>47</v>
      </c>
      <c r="C744" s="4">
        <v>0.40238543599999999</v>
      </c>
      <c r="D744" s="4">
        <v>0.40883333300000002</v>
      </c>
      <c r="E744">
        <v>6</v>
      </c>
      <c r="F744" s="1">
        <v>10.318471337579616</v>
      </c>
      <c r="G744" s="2">
        <f t="shared" si="58"/>
        <v>83.622010630056508</v>
      </c>
      <c r="H744" s="2">
        <f t="shared" si="59"/>
        <v>15.379317320992111</v>
      </c>
      <c r="I744" s="2">
        <f t="shared" si="55"/>
        <v>3075.8634641984222</v>
      </c>
      <c r="J744" s="4">
        <f t="shared" si="57"/>
        <v>11.221587865633493</v>
      </c>
      <c r="K744" s="4">
        <f t="shared" si="56"/>
        <v>2244.3175731266988</v>
      </c>
      <c r="L744">
        <v>5</v>
      </c>
    </row>
    <row r="745" spans="1:12" x14ac:dyDescent="0.3">
      <c r="A745" t="s">
        <v>123</v>
      </c>
      <c r="B745" t="s">
        <v>47</v>
      </c>
      <c r="C745" s="4">
        <v>0.40238543599999999</v>
      </c>
      <c r="D745" s="4">
        <v>0.40883333300000002</v>
      </c>
      <c r="E745">
        <v>8</v>
      </c>
      <c r="F745" s="1">
        <v>11.687898089171975</v>
      </c>
      <c r="G745" s="2">
        <f t="shared" si="58"/>
        <v>107.29085686015551</v>
      </c>
      <c r="H745" s="2">
        <f t="shared" si="59"/>
        <v>25.97296691096912</v>
      </c>
      <c r="I745" s="2">
        <f t="shared" si="55"/>
        <v>5194.5933821938243</v>
      </c>
      <c r="J745" s="4">
        <f t="shared" si="57"/>
        <v>12.810694928800357</v>
      </c>
      <c r="K745" s="4">
        <f t="shared" si="56"/>
        <v>2562.1389857600716</v>
      </c>
      <c r="L745">
        <v>5</v>
      </c>
    </row>
    <row r="746" spans="1:12" x14ac:dyDescent="0.3">
      <c r="A746" t="s">
        <v>123</v>
      </c>
      <c r="B746" t="s">
        <v>47</v>
      </c>
      <c r="C746" s="4">
        <v>0.40238543599999999</v>
      </c>
      <c r="D746" s="4">
        <v>0.40883333300000002</v>
      </c>
      <c r="E746">
        <v>7</v>
      </c>
      <c r="F746" s="1">
        <v>12.579617834394904</v>
      </c>
      <c r="G746" s="2">
        <f t="shared" si="58"/>
        <v>124.28673419214456</v>
      </c>
      <c r="H746" s="2">
        <f t="shared" si="59"/>
        <v>26.317873507690436</v>
      </c>
      <c r="I746" s="2">
        <f t="shared" si="55"/>
        <v>5263.5747015380875</v>
      </c>
      <c r="J746" s="4">
        <f t="shared" si="57"/>
        <v>12.862746229055944</v>
      </c>
      <c r="K746" s="4">
        <f t="shared" si="56"/>
        <v>2572.5492458111885</v>
      </c>
      <c r="L746">
        <v>5</v>
      </c>
    </row>
    <row r="747" spans="1:12" x14ac:dyDescent="0.3">
      <c r="A747" t="s">
        <v>127</v>
      </c>
      <c r="B747" t="s">
        <v>51</v>
      </c>
      <c r="C747" s="4">
        <v>0.40257753800000001</v>
      </c>
      <c r="D747" s="4">
        <v>0.40843333300000001</v>
      </c>
      <c r="E747">
        <v>8</v>
      </c>
      <c r="F747" s="1">
        <v>11.942675159235668</v>
      </c>
      <c r="G747" s="2">
        <f t="shared" si="58"/>
        <v>112.01936866380598</v>
      </c>
      <c r="H747" s="2">
        <f t="shared" si="59"/>
        <v>27.063721971458278</v>
      </c>
      <c r="I747" s="2">
        <f t="shared" si="55"/>
        <v>5412.7443942916561</v>
      </c>
      <c r="J747" s="4">
        <f t="shared" si="57"/>
        <v>12.979269718852692</v>
      </c>
      <c r="K747" s="4">
        <f t="shared" si="56"/>
        <v>2595.8539437705381</v>
      </c>
      <c r="L747">
        <v>5</v>
      </c>
    </row>
    <row r="748" spans="1:12" x14ac:dyDescent="0.3">
      <c r="A748" t="s">
        <v>127</v>
      </c>
      <c r="B748" t="s">
        <v>69</v>
      </c>
      <c r="C748" s="4">
        <v>0.31264018999999998</v>
      </c>
      <c r="D748" s="4">
        <v>0.356821212</v>
      </c>
      <c r="E748">
        <v>4.5</v>
      </c>
      <c r="F748" s="1">
        <v>12.834394904458597</v>
      </c>
      <c r="G748" s="2">
        <f t="shared" si="58"/>
        <v>129.37211481116489</v>
      </c>
      <c r="H748" s="2">
        <f t="shared" si="59"/>
        <v>15.570089278041378</v>
      </c>
      <c r="I748" s="2">
        <f t="shared" si="55"/>
        <v>3114.0178556082756</v>
      </c>
      <c r="J748" s="4">
        <f t="shared" si="57"/>
        <v>11.580066657876586</v>
      </c>
      <c r="K748" s="4">
        <f t="shared" si="56"/>
        <v>2316.0133315753169</v>
      </c>
      <c r="L748">
        <v>5</v>
      </c>
    </row>
    <row r="749" spans="1:12" x14ac:dyDescent="0.3">
      <c r="A749" t="s">
        <v>127</v>
      </c>
      <c r="B749" t="s">
        <v>124</v>
      </c>
      <c r="C749" s="4">
        <v>0.64800000000000002</v>
      </c>
      <c r="D749" s="4">
        <v>0.66733333299999997</v>
      </c>
      <c r="E749">
        <v>7</v>
      </c>
      <c r="F749" s="1">
        <v>9.1082802547770694</v>
      </c>
      <c r="G749" s="2">
        <f t="shared" si="58"/>
        <v>65.157235763375468</v>
      </c>
      <c r="H749" s="2">
        <f t="shared" si="59"/>
        <v>22.605242247233235</v>
      </c>
      <c r="I749" s="2">
        <f t="shared" si="55"/>
        <v>4521.0484494466473</v>
      </c>
      <c r="J749" s="4">
        <f t="shared" si="57"/>
        <v>11.018238845389265</v>
      </c>
      <c r="K749" s="4">
        <f t="shared" si="56"/>
        <v>2203.6477690778529</v>
      </c>
      <c r="L749">
        <v>5</v>
      </c>
    </row>
    <row r="750" spans="1:12" x14ac:dyDescent="0.3">
      <c r="A750" t="s">
        <v>127</v>
      </c>
      <c r="B750" t="s">
        <v>115</v>
      </c>
      <c r="C750" s="4">
        <v>0.56572270000000002</v>
      </c>
      <c r="D750" s="4">
        <v>0.61247410899999999</v>
      </c>
      <c r="E750">
        <v>8</v>
      </c>
      <c r="F750" s="1">
        <v>31.370063694267515</v>
      </c>
      <c r="G750" s="2">
        <f t="shared" si="58"/>
        <v>772.89532849617251</v>
      </c>
      <c r="H750" s="2">
        <f t="shared" si="59"/>
        <v>264.7442779426911</v>
      </c>
      <c r="I750" s="2">
        <f t="shared" si="55"/>
        <v>52948.855588538223</v>
      </c>
      <c r="J750" s="4">
        <f t="shared" si="57"/>
        <v>36.53996509310722</v>
      </c>
      <c r="K750" s="4">
        <f t="shared" si="56"/>
        <v>7307.9930186214433</v>
      </c>
      <c r="L750">
        <v>5</v>
      </c>
    </row>
    <row r="751" spans="1:12" x14ac:dyDescent="0.3">
      <c r="A751" t="s">
        <v>127</v>
      </c>
      <c r="B751" t="s">
        <v>113</v>
      </c>
      <c r="C751" s="4">
        <v>0.6</v>
      </c>
      <c r="D751" s="4">
        <v>0.51040266700000003</v>
      </c>
      <c r="E751">
        <v>6</v>
      </c>
      <c r="F751" s="1">
        <v>80.32101910828024</v>
      </c>
      <c r="G751" s="2">
        <f t="shared" si="58"/>
        <v>5066.9696344804015</v>
      </c>
      <c r="H751" s="2">
        <f t="shared" si="59"/>
        <v>1048.6735817764752</v>
      </c>
      <c r="I751" s="2">
        <f t="shared" si="55"/>
        <v>209734.71635529507</v>
      </c>
      <c r="J751" s="4">
        <f t="shared" si="57"/>
        <v>144.46648832244713</v>
      </c>
      <c r="K751" s="4">
        <f t="shared" si="56"/>
        <v>28893.29766448943</v>
      </c>
      <c r="L751">
        <v>5</v>
      </c>
    </row>
    <row r="752" spans="1:12" x14ac:dyDescent="0.3">
      <c r="A752" t="s">
        <v>127</v>
      </c>
      <c r="B752" t="s">
        <v>126</v>
      </c>
      <c r="C752" s="4">
        <v>0.490852183</v>
      </c>
      <c r="D752" s="4">
        <v>0.607288889</v>
      </c>
      <c r="E752">
        <v>6</v>
      </c>
      <c r="F752" s="1">
        <v>6.7515923566878975</v>
      </c>
      <c r="G752" s="2">
        <f t="shared" si="58"/>
        <v>35.801589370496679</v>
      </c>
      <c r="H752" s="2">
        <f t="shared" si="59"/>
        <v>9.8874763874812128</v>
      </c>
      <c r="I752" s="2">
        <f t="shared" si="55"/>
        <v>1977.4952774962426</v>
      </c>
      <c r="J752" s="4">
        <f t="shared" si="57"/>
        <v>9.9429639863686141</v>
      </c>
      <c r="K752" s="4">
        <f t="shared" si="56"/>
        <v>1988.5927972737227</v>
      </c>
      <c r="L752">
        <v>5</v>
      </c>
    </row>
    <row r="753" spans="1:12" x14ac:dyDescent="0.3">
      <c r="A753" t="s">
        <v>127</v>
      </c>
      <c r="B753" t="s">
        <v>18</v>
      </c>
      <c r="C753" s="4">
        <v>0.45255480399999998</v>
      </c>
      <c r="D753" s="4">
        <v>0.57808694400000005</v>
      </c>
      <c r="E753">
        <v>6</v>
      </c>
      <c r="F753" s="1">
        <v>19.962420382165604</v>
      </c>
      <c r="G753" s="2">
        <f t="shared" si="58"/>
        <v>312.97977600687028</v>
      </c>
      <c r="H753" s="2">
        <f t="shared" si="59"/>
        <v>78.200975450462707</v>
      </c>
      <c r="I753" s="2">
        <f t="shared" si="55"/>
        <v>15640.19509009254</v>
      </c>
      <c r="J753" s="4">
        <f t="shared" si="57"/>
        <v>17.354162777800312</v>
      </c>
      <c r="K753" s="4">
        <f t="shared" si="56"/>
        <v>3470.8325555600627</v>
      </c>
      <c r="L753">
        <v>5</v>
      </c>
    </row>
    <row r="754" spans="1:12" x14ac:dyDescent="0.3">
      <c r="A754" t="s">
        <v>127</v>
      </c>
      <c r="B754" t="s">
        <v>18</v>
      </c>
      <c r="C754" s="4">
        <v>0.45255480399999998</v>
      </c>
      <c r="D754" s="4">
        <v>0.57808694400000005</v>
      </c>
      <c r="E754">
        <v>7</v>
      </c>
      <c r="F754" s="1">
        <v>29.359872611464969</v>
      </c>
      <c r="G754" s="2">
        <f t="shared" si="58"/>
        <v>677.01488170535072</v>
      </c>
      <c r="H754" s="2">
        <f t="shared" si="59"/>
        <v>193.01551068577083</v>
      </c>
      <c r="I754" s="2">
        <f t="shared" si="55"/>
        <v>38603.102137154165</v>
      </c>
      <c r="J754" s="4">
        <f t="shared" si="57"/>
        <v>30.104751934155544</v>
      </c>
      <c r="K754" s="4">
        <f t="shared" si="56"/>
        <v>6020.9503868311094</v>
      </c>
      <c r="L754">
        <v>5</v>
      </c>
    </row>
    <row r="755" spans="1:12" x14ac:dyDescent="0.3">
      <c r="A755" t="s">
        <v>127</v>
      </c>
      <c r="B755" t="s">
        <v>56</v>
      </c>
      <c r="C755" s="4">
        <v>0.39984676499999999</v>
      </c>
      <c r="D755" s="4">
        <v>0.450333333</v>
      </c>
      <c r="E755">
        <v>8</v>
      </c>
      <c r="F755" s="1">
        <v>19.840764331210188</v>
      </c>
      <c r="G755" s="2">
        <f t="shared" si="58"/>
        <v>309.17664384081314</v>
      </c>
      <c r="H755" s="2">
        <f t="shared" si="59"/>
        <v>80.188882506712957</v>
      </c>
      <c r="I755" s="2">
        <f t="shared" si="55"/>
        <v>16037.776501342591</v>
      </c>
      <c r="J755" s="4">
        <f t="shared" si="57"/>
        <v>20.008066018905431</v>
      </c>
      <c r="K755" s="4">
        <f t="shared" si="56"/>
        <v>4001.6132037810867</v>
      </c>
      <c r="L755">
        <v>5</v>
      </c>
    </row>
    <row r="756" spans="1:12" x14ac:dyDescent="0.3">
      <c r="A756" t="s">
        <v>127</v>
      </c>
      <c r="B756" t="s">
        <v>118</v>
      </c>
      <c r="C756" s="4">
        <v>0.56023871300000005</v>
      </c>
      <c r="D756" s="4">
        <v>0.74103703700000001</v>
      </c>
      <c r="E756">
        <v>6</v>
      </c>
      <c r="F756" s="1">
        <v>7.484076433121019</v>
      </c>
      <c r="G756" s="2">
        <f t="shared" si="58"/>
        <v>43.991250733928432</v>
      </c>
      <c r="H756" s="2">
        <f t="shared" si="59"/>
        <v>14.681561047765641</v>
      </c>
      <c r="I756" s="2">
        <f t="shared" si="55"/>
        <v>2936.312209553128</v>
      </c>
      <c r="J756" s="4">
        <f t="shared" si="57"/>
        <v>10.161939401192745</v>
      </c>
      <c r="K756" s="4">
        <f t="shared" si="56"/>
        <v>2032.3878802385491</v>
      </c>
      <c r="L756">
        <v>5</v>
      </c>
    </row>
    <row r="757" spans="1:12" x14ac:dyDescent="0.3">
      <c r="A757" t="s">
        <v>127</v>
      </c>
      <c r="B757" t="s">
        <v>27</v>
      </c>
      <c r="C757" s="4">
        <v>0.50857142899999996</v>
      </c>
      <c r="D757" s="4">
        <v>0.49666666700000001</v>
      </c>
      <c r="E757">
        <v>6</v>
      </c>
      <c r="F757" s="1">
        <v>8.503184713375795</v>
      </c>
      <c r="G757" s="2">
        <f t="shared" si="58"/>
        <v>56.78754682790445</v>
      </c>
      <c r="H757" s="2">
        <f t="shared" si="59"/>
        <v>12.746573289289815</v>
      </c>
      <c r="I757" s="2">
        <f t="shared" si="55"/>
        <v>2549.3146578579626</v>
      </c>
      <c r="J757" s="4">
        <f t="shared" si="57"/>
        <v>10.504087155665543</v>
      </c>
      <c r="K757" s="4">
        <f t="shared" si="56"/>
        <v>2100.8174311331086</v>
      </c>
      <c r="L757">
        <v>5</v>
      </c>
    </row>
    <row r="758" spans="1:12" x14ac:dyDescent="0.3">
      <c r="A758" t="s">
        <v>127</v>
      </c>
      <c r="B758" t="s">
        <v>27</v>
      </c>
      <c r="C758" s="4">
        <v>0.50857142899999996</v>
      </c>
      <c r="D758" s="4">
        <v>0.49666666700000001</v>
      </c>
      <c r="E758">
        <v>8</v>
      </c>
      <c r="F758" s="1">
        <v>60.440127388535032</v>
      </c>
      <c r="G758" s="2">
        <f t="shared" si="58"/>
        <v>2869.0665584865874</v>
      </c>
      <c r="H758" s="2">
        <f t="shared" si="59"/>
        <v>776.13535906269624</v>
      </c>
      <c r="I758" s="2">
        <f t="shared" si="55"/>
        <v>155227.07181253925</v>
      </c>
      <c r="J758" s="4">
        <f t="shared" si="57"/>
        <v>111.26995196478559</v>
      </c>
      <c r="K758" s="4">
        <f t="shared" si="56"/>
        <v>22253.990392957119</v>
      </c>
      <c r="L758">
        <v>5</v>
      </c>
    </row>
    <row r="759" spans="1:12" x14ac:dyDescent="0.3">
      <c r="A759" t="s">
        <v>127</v>
      </c>
      <c r="B759" t="s">
        <v>73</v>
      </c>
      <c r="C759" s="4">
        <v>0.39</v>
      </c>
      <c r="D759" s="4">
        <v>0.28861111099999998</v>
      </c>
      <c r="E759">
        <v>6</v>
      </c>
      <c r="F759" s="1">
        <v>12.802547770700638</v>
      </c>
      <c r="G759" s="2">
        <f t="shared" si="58"/>
        <v>128.73086615854726</v>
      </c>
      <c r="H759" s="2">
        <f t="shared" si="59"/>
        <v>16.680105788229486</v>
      </c>
      <c r="I759" s="2">
        <f t="shared" si="55"/>
        <v>3336.0211576458978</v>
      </c>
      <c r="J759" s="4">
        <f t="shared" si="57"/>
        <v>12.427709817842508</v>
      </c>
      <c r="K759" s="4">
        <f t="shared" si="56"/>
        <v>2485.5419635685016</v>
      </c>
      <c r="L759">
        <v>5</v>
      </c>
    </row>
    <row r="760" spans="1:12" x14ac:dyDescent="0.3">
      <c r="A760" t="s">
        <v>127</v>
      </c>
      <c r="B760" t="s">
        <v>32</v>
      </c>
      <c r="C760" s="4">
        <v>0.65716857299999998</v>
      </c>
      <c r="D760" s="4">
        <v>0.85527777800000004</v>
      </c>
      <c r="E760">
        <v>5</v>
      </c>
      <c r="F760" s="1">
        <v>7.484076433121019</v>
      </c>
      <c r="G760" s="2">
        <f t="shared" si="58"/>
        <v>43.991250733928432</v>
      </c>
      <c r="H760" s="2">
        <f t="shared" si="59"/>
        <v>14.133971078286709</v>
      </c>
      <c r="I760" s="2">
        <f t="shared" si="55"/>
        <v>2826.7942156573417</v>
      </c>
      <c r="J760" s="4">
        <f t="shared" si="57"/>
        <v>9.9658995009939542</v>
      </c>
      <c r="K760" s="4">
        <f t="shared" si="56"/>
        <v>1993.1799001987906</v>
      </c>
      <c r="L760">
        <v>5</v>
      </c>
    </row>
    <row r="761" spans="1:12" x14ac:dyDescent="0.3">
      <c r="A761" t="s">
        <v>127</v>
      </c>
      <c r="B761" t="s">
        <v>128</v>
      </c>
      <c r="C761" s="4">
        <v>0.84850681500000003</v>
      </c>
      <c r="D761" s="4">
        <v>0.85527777800000004</v>
      </c>
      <c r="E761">
        <v>10</v>
      </c>
      <c r="F761" s="1">
        <v>14.840764331210192</v>
      </c>
      <c r="G761" s="2">
        <f t="shared" si="58"/>
        <v>172.98259926440858</v>
      </c>
      <c r="H761" s="2">
        <f t="shared" si="59"/>
        <v>105.78749084404964</v>
      </c>
      <c r="I761" s="2">
        <f t="shared" si="55"/>
        <v>21157.498168809929</v>
      </c>
      <c r="J761" s="4">
        <f t="shared" si="57"/>
        <v>16.694390007708222</v>
      </c>
      <c r="K761" s="4">
        <f t="shared" si="56"/>
        <v>3338.8780015416442</v>
      </c>
      <c r="L761">
        <v>5</v>
      </c>
    </row>
    <row r="762" spans="1:12" x14ac:dyDescent="0.3">
      <c r="A762" t="s">
        <v>127</v>
      </c>
      <c r="B762" t="s">
        <v>47</v>
      </c>
      <c r="C762" s="4">
        <v>0.40238543599999999</v>
      </c>
      <c r="D762" s="4">
        <v>0.40883333300000002</v>
      </c>
      <c r="E762">
        <v>8</v>
      </c>
      <c r="F762" s="1">
        <v>11.847133757961783</v>
      </c>
      <c r="G762" s="2">
        <f t="shared" si="58"/>
        <v>110.2342280047796</v>
      </c>
      <c r="H762" s="2">
        <f t="shared" si="59"/>
        <v>26.668170524065015</v>
      </c>
      <c r="I762" s="2">
        <f t="shared" si="55"/>
        <v>5333.6341048130034</v>
      </c>
      <c r="J762" s="4">
        <f t="shared" si="57"/>
        <v>12.915628191813056</v>
      </c>
      <c r="K762" s="4">
        <f t="shared" si="56"/>
        <v>2583.125638362611</v>
      </c>
      <c r="L762">
        <v>5</v>
      </c>
    </row>
    <row r="763" spans="1:12" x14ac:dyDescent="0.3">
      <c r="A763" t="s">
        <v>127</v>
      </c>
      <c r="B763" t="s">
        <v>47</v>
      </c>
      <c r="C763" s="4">
        <v>0.40238543599999999</v>
      </c>
      <c r="D763" s="4">
        <v>0.40883333300000002</v>
      </c>
      <c r="E763">
        <v>8</v>
      </c>
      <c r="F763" s="1">
        <v>14.203821656050955</v>
      </c>
      <c r="G763" s="2">
        <f t="shared" si="58"/>
        <v>158.45294035292184</v>
      </c>
      <c r="H763" s="2">
        <f t="shared" si="59"/>
        <v>38.001002078672563</v>
      </c>
      <c r="I763" s="2">
        <f t="shared" si="55"/>
        <v>7600.2004157345127</v>
      </c>
      <c r="J763" s="4">
        <f t="shared" si="57"/>
        <v>14.63465938983326</v>
      </c>
      <c r="K763" s="4">
        <f t="shared" si="56"/>
        <v>2926.9318779666519</v>
      </c>
      <c r="L763">
        <v>5</v>
      </c>
    </row>
    <row r="764" spans="1:12" x14ac:dyDescent="0.3">
      <c r="A764" t="s">
        <v>127</v>
      </c>
      <c r="B764" t="s">
        <v>47</v>
      </c>
      <c r="C764" s="4">
        <v>0.40238543599999999</v>
      </c>
      <c r="D764" s="4">
        <v>0.40883333300000002</v>
      </c>
      <c r="E764">
        <v>8</v>
      </c>
      <c r="F764" s="1">
        <v>14.808917197452228</v>
      </c>
      <c r="G764" s="2">
        <f t="shared" si="58"/>
        <v>172.24098125746809</v>
      </c>
      <c r="H764" s="2">
        <f t="shared" si="59"/>
        <v>41.225085863015096</v>
      </c>
      <c r="I764" s="2">
        <f t="shared" si="55"/>
        <v>8245.0171726030203</v>
      </c>
      <c r="J764" s="4">
        <f t="shared" si="57"/>
        <v>15.126212799707897</v>
      </c>
      <c r="K764" s="4">
        <f t="shared" si="56"/>
        <v>3025.2425599415792</v>
      </c>
      <c r="L764">
        <v>5</v>
      </c>
    </row>
    <row r="765" spans="1:12" x14ac:dyDescent="0.3">
      <c r="A765" t="s">
        <v>127</v>
      </c>
      <c r="B765" t="s">
        <v>120</v>
      </c>
      <c r="C765" s="4">
        <v>0.98708677300000003</v>
      </c>
      <c r="D765" s="4">
        <v>0.60285714300000004</v>
      </c>
      <c r="E765">
        <v>7</v>
      </c>
      <c r="F765" s="1">
        <v>44.022292993630572</v>
      </c>
      <c r="G765" s="2">
        <f t="shared" si="58"/>
        <v>1522.0720157730859</v>
      </c>
      <c r="H765" s="2">
        <f t="shared" si="59"/>
        <v>443.37280219305563</v>
      </c>
      <c r="I765" s="2">
        <f t="shared" si="55"/>
        <v>88674.560438611123</v>
      </c>
      <c r="J765" s="4">
        <f t="shared" si="57"/>
        <v>56.465775870217854</v>
      </c>
      <c r="K765" s="4">
        <f t="shared" si="56"/>
        <v>11293.155174043572</v>
      </c>
      <c r="L765">
        <v>5</v>
      </c>
    </row>
    <row r="766" spans="1:12" x14ac:dyDescent="0.3">
      <c r="A766" t="s">
        <v>129</v>
      </c>
      <c r="B766" t="s">
        <v>26</v>
      </c>
      <c r="C766" s="4">
        <v>0.80908761900000004</v>
      </c>
      <c r="D766" s="4">
        <v>0.87473809499999999</v>
      </c>
      <c r="E766">
        <v>6</v>
      </c>
      <c r="F766" s="1">
        <v>7.1019108280254777</v>
      </c>
      <c r="G766" s="2">
        <f t="shared" si="58"/>
        <v>39.613235088230461</v>
      </c>
      <c r="H766" s="2">
        <f t="shared" si="59"/>
        <v>15.582892397292609</v>
      </c>
      <c r="I766" s="2">
        <f t="shared" si="55"/>
        <v>3116.578479458522</v>
      </c>
      <c r="J766" s="4">
        <f t="shared" si="57"/>
        <v>10.044879885593735</v>
      </c>
      <c r="K766" s="4">
        <f t="shared" si="56"/>
        <v>2008.9759771187469</v>
      </c>
      <c r="L766">
        <v>5</v>
      </c>
    </row>
    <row r="767" spans="1:12" x14ac:dyDescent="0.3">
      <c r="A767" t="s">
        <v>129</v>
      </c>
      <c r="B767" t="s">
        <v>26</v>
      </c>
      <c r="C767" s="4">
        <v>0.80908761900000004</v>
      </c>
      <c r="D767" s="4">
        <v>0.87473809499999999</v>
      </c>
      <c r="E767">
        <v>8</v>
      </c>
      <c r="F767" s="1">
        <v>6.5605095541401273</v>
      </c>
      <c r="G767" s="2">
        <f t="shared" si="58"/>
        <v>33.803761270167257</v>
      </c>
      <c r="H767" s="2">
        <f t="shared" si="59"/>
        <v>17.675267704444853</v>
      </c>
      <c r="I767" s="2">
        <f t="shared" si="55"/>
        <v>3535.0535408889709</v>
      </c>
      <c r="J767" s="4">
        <f t="shared" si="57"/>
        <v>10.190827997078989</v>
      </c>
      <c r="K767" s="4">
        <f t="shared" si="56"/>
        <v>2038.1655994157977</v>
      </c>
      <c r="L767">
        <v>5</v>
      </c>
    </row>
    <row r="768" spans="1:12" x14ac:dyDescent="0.3">
      <c r="A768" t="s">
        <v>129</v>
      </c>
      <c r="B768" t="s">
        <v>26</v>
      </c>
      <c r="C768" s="4">
        <v>0.80908761900000004</v>
      </c>
      <c r="D768" s="4">
        <v>0.87473809499999999</v>
      </c>
      <c r="E768">
        <v>7</v>
      </c>
      <c r="F768" s="1">
        <v>8.4713375796178347</v>
      </c>
      <c r="G768" s="2">
        <f t="shared" si="58"/>
        <v>56.362968527475616</v>
      </c>
      <c r="H768" s="2">
        <f t="shared" si="59"/>
        <v>25.554418360719247</v>
      </c>
      <c r="I768" s="2">
        <f t="shared" si="55"/>
        <v>5110.8836721438493</v>
      </c>
      <c r="J768" s="4">
        <f t="shared" si="57"/>
        <v>10.743907229502211</v>
      </c>
      <c r="K768" s="4">
        <f t="shared" si="56"/>
        <v>2148.7814459004421</v>
      </c>
      <c r="L768">
        <v>5</v>
      </c>
    </row>
    <row r="769" spans="1:12" x14ac:dyDescent="0.3">
      <c r="A769" t="s">
        <v>129</v>
      </c>
      <c r="B769" t="s">
        <v>26</v>
      </c>
      <c r="C769" s="4">
        <v>0.80908761900000004</v>
      </c>
      <c r="D769" s="4">
        <v>0.87473809499999999</v>
      </c>
      <c r="E769">
        <v>8</v>
      </c>
      <c r="F769" s="1">
        <v>11.273885350318471</v>
      </c>
      <c r="G769" s="2">
        <f t="shared" si="58"/>
        <v>99.824492113589415</v>
      </c>
      <c r="H769" s="2">
        <f t="shared" si="59"/>
        <v>50.857095497394546</v>
      </c>
      <c r="I769" s="2">
        <f t="shared" si="55"/>
        <v>10171.41909947891</v>
      </c>
      <c r="J769" s="4">
        <f t="shared" si="57"/>
        <v>12.544513744979511</v>
      </c>
      <c r="K769" s="4">
        <f t="shared" si="56"/>
        <v>2508.9027489959021</v>
      </c>
      <c r="L769">
        <v>5</v>
      </c>
    </row>
    <row r="770" spans="1:12" x14ac:dyDescent="0.3">
      <c r="A770" t="s">
        <v>129</v>
      </c>
      <c r="B770" t="s">
        <v>26</v>
      </c>
      <c r="C770" s="4">
        <v>0.80908761900000004</v>
      </c>
      <c r="D770" s="4">
        <v>0.87473809499999999</v>
      </c>
      <c r="E770">
        <v>8</v>
      </c>
      <c r="F770" s="1">
        <v>13.471337579617833</v>
      </c>
      <c r="G770" s="2">
        <f t="shared" si="58"/>
        <v>142.53165237792811</v>
      </c>
      <c r="H770" s="2">
        <f t="shared" si="59"/>
        <v>71.996864512225599</v>
      </c>
      <c r="I770" s="2">
        <f t="shared" ref="I770:I833" si="60">(H770*1000)/L770</f>
        <v>14399.37290244512</v>
      </c>
      <c r="J770" s="4">
        <f t="shared" si="57"/>
        <v>14.067054213152662</v>
      </c>
      <c r="K770" s="4">
        <f t="shared" ref="K770:K833" si="61">(J770*1000)/L770</f>
        <v>2813.4108426305324</v>
      </c>
      <c r="L770">
        <v>5</v>
      </c>
    </row>
    <row r="771" spans="1:12" x14ac:dyDescent="0.3">
      <c r="A771" t="s">
        <v>129</v>
      </c>
      <c r="B771" t="s">
        <v>26</v>
      </c>
      <c r="C771" s="4">
        <v>0.80908761900000004</v>
      </c>
      <c r="D771" s="4">
        <v>0.87473809499999999</v>
      </c>
      <c r="E771">
        <v>8</v>
      </c>
      <c r="F771" s="1">
        <v>14.458598726114648</v>
      </c>
      <c r="G771" s="2">
        <f t="shared" si="58"/>
        <v>164.18833202850868</v>
      </c>
      <c r="H771" s="2">
        <f t="shared" si="59"/>
        <v>82.655205662417345</v>
      </c>
      <c r="I771" s="2">
        <f t="shared" si="60"/>
        <v>16531.041132483468</v>
      </c>
      <c r="J771" s="4">
        <f t="shared" ref="J771:J834" si="62">8.9857 + 0.0035 * F771^2 * E771</f>
        <v>14.839130159438515</v>
      </c>
      <c r="K771" s="4">
        <f t="shared" si="61"/>
        <v>2967.8260318877028</v>
      </c>
      <c r="L771">
        <v>5</v>
      </c>
    </row>
    <row r="772" spans="1:12" x14ac:dyDescent="0.3">
      <c r="A772" t="s">
        <v>129</v>
      </c>
      <c r="B772" t="s">
        <v>85</v>
      </c>
      <c r="C772" s="4">
        <v>0.6</v>
      </c>
      <c r="D772" s="4">
        <v>0.66674999999999995</v>
      </c>
      <c r="E772">
        <v>6.5</v>
      </c>
      <c r="F772" s="1">
        <v>4.8726114649681529</v>
      </c>
      <c r="G772" s="2">
        <f t="shared" ref="G772:G835" si="63">PI()*(F772/2)^2</f>
        <v>18.647192185251804</v>
      </c>
      <c r="H772" s="2">
        <f t="shared" ref="H772:H835" si="64">0.0673 * ((D772 * F772^2 * E772)^0.976)</f>
        <v>6.196085643075949</v>
      </c>
      <c r="I772" s="2">
        <f t="shared" si="60"/>
        <v>1239.2171286151897</v>
      </c>
      <c r="J772" s="4">
        <f t="shared" si="62"/>
        <v>9.5258382916142637</v>
      </c>
      <c r="K772" s="4">
        <f t="shared" si="61"/>
        <v>1905.1676583228527</v>
      </c>
      <c r="L772">
        <v>5</v>
      </c>
    </row>
    <row r="773" spans="1:12" x14ac:dyDescent="0.3">
      <c r="A773" t="s">
        <v>129</v>
      </c>
      <c r="B773" t="s">
        <v>18</v>
      </c>
      <c r="C773" s="4">
        <v>0.45255480399999998</v>
      </c>
      <c r="D773" s="4">
        <v>0.57808694400000005</v>
      </c>
      <c r="E773">
        <v>3</v>
      </c>
      <c r="F773" s="4">
        <v>4.2675159235668794</v>
      </c>
      <c r="G773" s="2">
        <f t="shared" si="63"/>
        <v>14.303429573171918</v>
      </c>
      <c r="H773" s="2">
        <f t="shared" si="64"/>
        <v>1.9565575528330952</v>
      </c>
      <c r="I773" s="2">
        <f t="shared" si="60"/>
        <v>391.31151056661901</v>
      </c>
      <c r="J773" s="4">
        <f t="shared" si="62"/>
        <v>9.176922767657917</v>
      </c>
      <c r="K773" s="4">
        <f t="shared" si="61"/>
        <v>1835.3845535315836</v>
      </c>
      <c r="L773">
        <v>5</v>
      </c>
    </row>
    <row r="774" spans="1:12" x14ac:dyDescent="0.3">
      <c r="A774" t="s">
        <v>129</v>
      </c>
      <c r="B774" t="s">
        <v>78</v>
      </c>
      <c r="C774" s="4">
        <v>0.43538739399999998</v>
      </c>
      <c r="D774" s="4">
        <v>0.568333333</v>
      </c>
      <c r="E774">
        <v>2</v>
      </c>
      <c r="F774" s="4">
        <v>4.2038216560509554</v>
      </c>
      <c r="G774" s="2">
        <f t="shared" si="63"/>
        <v>13.879647854920218</v>
      </c>
      <c r="H774" s="2">
        <f t="shared" si="64"/>
        <v>1.2579594267604506</v>
      </c>
      <c r="I774" s="2">
        <f t="shared" si="60"/>
        <v>251.59188535209015</v>
      </c>
      <c r="J774" s="4">
        <f t="shared" si="62"/>
        <v>9.10940481561118</v>
      </c>
      <c r="K774" s="4">
        <f t="shared" si="61"/>
        <v>1821.8809631222362</v>
      </c>
      <c r="L774">
        <v>5</v>
      </c>
    </row>
    <row r="775" spans="1:12" x14ac:dyDescent="0.3">
      <c r="A775" t="s">
        <v>129</v>
      </c>
      <c r="B775" t="s">
        <v>117</v>
      </c>
      <c r="C775" s="4">
        <v>0.56572270000000002</v>
      </c>
      <c r="D775" s="4">
        <v>0.61247410899999999</v>
      </c>
      <c r="E775">
        <v>4.5</v>
      </c>
      <c r="F775" s="4">
        <v>5.8280254777070066</v>
      </c>
      <c r="G775" s="2">
        <f t="shared" si="63"/>
        <v>26.676740531073417</v>
      </c>
      <c r="H775" s="2">
        <f t="shared" si="64"/>
        <v>5.6499676440574245</v>
      </c>
      <c r="I775" s="2">
        <f t="shared" si="60"/>
        <v>1129.993528811485</v>
      </c>
      <c r="J775" s="4">
        <f t="shared" si="62"/>
        <v>9.5206626252586304</v>
      </c>
      <c r="K775" s="4">
        <f t="shared" si="61"/>
        <v>1904.1325250517261</v>
      </c>
      <c r="L775">
        <v>5</v>
      </c>
    </row>
    <row r="776" spans="1:12" x14ac:dyDescent="0.3">
      <c r="A776" t="s">
        <v>129</v>
      </c>
      <c r="B776" t="s">
        <v>122</v>
      </c>
      <c r="C776" s="4">
        <v>0.85750000000000004</v>
      </c>
      <c r="D776" s="4">
        <v>0.61247410899999999</v>
      </c>
      <c r="E776">
        <v>5</v>
      </c>
      <c r="F776" s="4">
        <v>5.5732484076433115</v>
      </c>
      <c r="G776" s="2">
        <f t="shared" si="63"/>
        <v>24.395329175673304</v>
      </c>
      <c r="H776" s="2">
        <f t="shared" si="64"/>
        <v>5.7386668798551037</v>
      </c>
      <c r="I776" s="2">
        <f t="shared" si="60"/>
        <v>1147.7333759710207</v>
      </c>
      <c r="J776" s="4">
        <f t="shared" si="62"/>
        <v>9.5292692117327267</v>
      </c>
      <c r="K776" s="4">
        <f t="shared" si="61"/>
        <v>1905.8538423465452</v>
      </c>
      <c r="L776">
        <v>5</v>
      </c>
    </row>
    <row r="777" spans="1:12" x14ac:dyDescent="0.3">
      <c r="A777" t="s">
        <v>129</v>
      </c>
      <c r="B777" t="s">
        <v>47</v>
      </c>
      <c r="C777" s="4">
        <v>0.40238543599999999</v>
      </c>
      <c r="D777" s="4">
        <v>0.40883333300000002</v>
      </c>
      <c r="E777">
        <v>7</v>
      </c>
      <c r="F777" s="4">
        <v>12.32484076433121</v>
      </c>
      <c r="G777" s="2">
        <f t="shared" si="63"/>
        <v>119.30331609180131</v>
      </c>
      <c r="H777" s="2">
        <f t="shared" si="64"/>
        <v>25.287451817891892</v>
      </c>
      <c r="I777" s="2">
        <f t="shared" si="60"/>
        <v>5057.4903635783785</v>
      </c>
      <c r="J777" s="4">
        <f t="shared" si="62"/>
        <v>12.707291646719948</v>
      </c>
      <c r="K777" s="4">
        <f t="shared" si="61"/>
        <v>2541.4583293439896</v>
      </c>
      <c r="L777">
        <v>5</v>
      </c>
    </row>
    <row r="778" spans="1:12" x14ac:dyDescent="0.3">
      <c r="A778" t="s">
        <v>129</v>
      </c>
      <c r="B778" t="s">
        <v>120</v>
      </c>
      <c r="C778" s="4">
        <v>0.98708677300000003</v>
      </c>
      <c r="D778" s="4">
        <v>0.60285714300000004</v>
      </c>
      <c r="E778">
        <v>9</v>
      </c>
      <c r="F778" s="4">
        <v>17.67515923566879</v>
      </c>
      <c r="G778" s="2">
        <f t="shared" si="63"/>
        <v>245.36722512120065</v>
      </c>
      <c r="H778" s="2">
        <f t="shared" si="64"/>
        <v>95.43292798161724</v>
      </c>
      <c r="I778" s="2">
        <f t="shared" si="60"/>
        <v>19086.585596323446</v>
      </c>
      <c r="J778" s="4">
        <f t="shared" si="62"/>
        <v>18.826654501196803</v>
      </c>
      <c r="K778" s="4">
        <f t="shared" si="61"/>
        <v>3765.3309002393603</v>
      </c>
      <c r="L778">
        <v>5</v>
      </c>
    </row>
    <row r="779" spans="1:12" x14ac:dyDescent="0.3">
      <c r="A779" t="s">
        <v>129</v>
      </c>
      <c r="B779" t="s">
        <v>120</v>
      </c>
      <c r="C779" s="4">
        <v>0.98708677300000003</v>
      </c>
      <c r="D779" s="4">
        <v>0.60285714300000004</v>
      </c>
      <c r="E779">
        <v>8</v>
      </c>
      <c r="F779" s="4">
        <v>46.465605095541399</v>
      </c>
      <c r="G779" s="2">
        <f t="shared" si="63"/>
        <v>1695.7158343239264</v>
      </c>
      <c r="H779" s="2">
        <f t="shared" si="64"/>
        <v>561.25604842048381</v>
      </c>
      <c r="I779" s="2">
        <f t="shared" si="60"/>
        <v>112251.20968409677</v>
      </c>
      <c r="J779" s="4">
        <f t="shared" si="62"/>
        <v>69.439168793054478</v>
      </c>
      <c r="K779" s="4">
        <f t="shared" si="61"/>
        <v>13887.833758610894</v>
      </c>
      <c r="L779">
        <v>5</v>
      </c>
    </row>
    <row r="780" spans="1:12" x14ac:dyDescent="0.3">
      <c r="A780" t="s">
        <v>129</v>
      </c>
      <c r="B780" t="s">
        <v>120</v>
      </c>
      <c r="C780" s="4">
        <v>0.98708677300000003</v>
      </c>
      <c r="D780" s="4">
        <v>0.60285714300000004</v>
      </c>
      <c r="E780">
        <v>10</v>
      </c>
      <c r="F780" s="4">
        <v>88.566242038216558</v>
      </c>
      <c r="G780" s="2">
        <f t="shared" si="63"/>
        <v>6160.646880005228</v>
      </c>
      <c r="H780" s="2">
        <f t="shared" si="64"/>
        <v>2457.9434675416778</v>
      </c>
      <c r="I780" s="2">
        <f t="shared" si="60"/>
        <v>491588.69350833556</v>
      </c>
      <c r="J780" s="4">
        <f t="shared" si="62"/>
        <v>283.52497300701856</v>
      </c>
      <c r="K780" s="4">
        <f t="shared" si="61"/>
        <v>56704.994601403712</v>
      </c>
      <c r="L780">
        <v>5</v>
      </c>
    </row>
    <row r="781" spans="1:12" hidden="1" x14ac:dyDescent="0.3">
      <c r="A781" t="s">
        <v>130</v>
      </c>
      <c r="B781" t="s">
        <v>85</v>
      </c>
      <c r="C781" s="4">
        <v>0.6</v>
      </c>
      <c r="D781" s="4">
        <v>0.66674999999999995</v>
      </c>
      <c r="E781">
        <v>3</v>
      </c>
      <c r="F781" s="1">
        <v>4.4585987261146496</v>
      </c>
      <c r="G781" s="2">
        <f t="shared" si="63"/>
        <v>15.613010672430914</v>
      </c>
      <c r="H781" s="2">
        <f t="shared" si="64"/>
        <v>2.4496755818941538</v>
      </c>
      <c r="I781" s="2">
        <f t="shared" si="60"/>
        <v>408.27926364902561</v>
      </c>
      <c r="J781" s="4">
        <f t="shared" si="62"/>
        <v>9.1944305773053667</v>
      </c>
      <c r="K781" s="4">
        <f t="shared" si="61"/>
        <v>1532.4050962175613</v>
      </c>
      <c r="L781">
        <v>6</v>
      </c>
    </row>
    <row r="782" spans="1:12" hidden="1" x14ac:dyDescent="0.3">
      <c r="A782" t="s">
        <v>130</v>
      </c>
      <c r="B782" t="s">
        <v>37</v>
      </c>
      <c r="C782" s="4">
        <v>0.39790071399999999</v>
      </c>
      <c r="D782" s="4">
        <v>0.50565277799999997</v>
      </c>
      <c r="E782">
        <v>4.5</v>
      </c>
      <c r="F782" s="1">
        <v>7.0063694267515917</v>
      </c>
      <c r="G782" s="2">
        <f t="shared" si="63"/>
        <v>38.554577374778376</v>
      </c>
      <c r="H782" s="2">
        <f t="shared" si="64"/>
        <v>6.712940805430085</v>
      </c>
      <c r="I782" s="2">
        <f t="shared" si="60"/>
        <v>1118.8234675716808</v>
      </c>
      <c r="J782" s="4">
        <f t="shared" si="62"/>
        <v>9.7588550975698798</v>
      </c>
      <c r="K782" s="4">
        <f t="shared" si="61"/>
        <v>1626.47584959498</v>
      </c>
      <c r="L782">
        <v>6</v>
      </c>
    </row>
    <row r="783" spans="1:12" hidden="1" x14ac:dyDescent="0.3">
      <c r="A783" t="s">
        <v>130</v>
      </c>
      <c r="B783" t="s">
        <v>66</v>
      </c>
      <c r="C783" s="4">
        <v>0.62643652800000005</v>
      </c>
      <c r="D783" s="4">
        <v>0.57808694400000005</v>
      </c>
      <c r="E783">
        <v>5</v>
      </c>
      <c r="F783" s="1">
        <v>4.2356687898089174</v>
      </c>
      <c r="G783" s="2">
        <f t="shared" si="63"/>
        <v>14.090742131868904</v>
      </c>
      <c r="H783" s="2">
        <f t="shared" si="64"/>
        <v>3.1744379594700267</v>
      </c>
      <c r="I783" s="2">
        <f t="shared" si="60"/>
        <v>529.07299324500445</v>
      </c>
      <c r="J783" s="4">
        <f t="shared" si="62"/>
        <v>9.2996655766968228</v>
      </c>
      <c r="K783" s="4">
        <f t="shared" si="61"/>
        <v>1549.9442627828039</v>
      </c>
      <c r="L783">
        <v>6</v>
      </c>
    </row>
    <row r="784" spans="1:12" hidden="1" x14ac:dyDescent="0.3">
      <c r="A784" t="s">
        <v>130</v>
      </c>
      <c r="B784" t="s">
        <v>41</v>
      </c>
      <c r="C784" s="4">
        <v>0.56193137999999998</v>
      </c>
      <c r="D784" s="4">
        <v>0.57808694400000005</v>
      </c>
      <c r="E784">
        <v>4.5</v>
      </c>
      <c r="F784" s="1">
        <v>20.859872611464969</v>
      </c>
      <c r="G784" s="2">
        <f t="shared" si="63"/>
        <v>341.75366855814667</v>
      </c>
      <c r="H784" s="2">
        <f t="shared" si="64"/>
        <v>64.350532844804832</v>
      </c>
      <c r="I784" s="2">
        <f t="shared" si="60"/>
        <v>10725.088807467471</v>
      </c>
      <c r="J784" s="4">
        <f t="shared" si="62"/>
        <v>15.839064994523104</v>
      </c>
      <c r="K784" s="4">
        <f t="shared" si="61"/>
        <v>2639.8441657538506</v>
      </c>
      <c r="L784">
        <v>6</v>
      </c>
    </row>
    <row r="785" spans="1:12" hidden="1" x14ac:dyDescent="0.3">
      <c r="A785" t="s">
        <v>130</v>
      </c>
      <c r="B785" t="s">
        <v>41</v>
      </c>
      <c r="C785" s="4">
        <v>0.56193137999999998</v>
      </c>
      <c r="D785" s="4">
        <v>0.57808694400000005</v>
      </c>
      <c r="E785">
        <v>7</v>
      </c>
      <c r="F785" s="1">
        <v>24.522292993630572</v>
      </c>
      <c r="G785" s="2">
        <f t="shared" si="63"/>
        <v>472.2935728410352</v>
      </c>
      <c r="H785" s="2">
        <f t="shared" si="64"/>
        <v>135.81861545605577</v>
      </c>
      <c r="I785" s="2">
        <f t="shared" si="60"/>
        <v>22636.435909342628</v>
      </c>
      <c r="J785" s="4">
        <f t="shared" si="62"/>
        <v>23.718599914803846</v>
      </c>
      <c r="K785" s="4">
        <f t="shared" si="61"/>
        <v>3953.0999858006412</v>
      </c>
      <c r="L785">
        <v>6</v>
      </c>
    </row>
    <row r="786" spans="1:12" hidden="1" x14ac:dyDescent="0.3">
      <c r="A786" t="s">
        <v>130</v>
      </c>
      <c r="B786" t="s">
        <v>41</v>
      </c>
      <c r="C786" s="4">
        <v>0.56193137999999998</v>
      </c>
      <c r="D786" s="4">
        <v>0.57808694400000005</v>
      </c>
      <c r="E786">
        <v>8</v>
      </c>
      <c r="F786" s="1">
        <v>21.656050955414013</v>
      </c>
      <c r="G786" s="2">
        <f t="shared" si="63"/>
        <v>368.33959872102326</v>
      </c>
      <c r="H786" s="2">
        <f t="shared" si="64"/>
        <v>121.39112638409081</v>
      </c>
      <c r="I786" s="2">
        <f t="shared" si="60"/>
        <v>20231.854397348467</v>
      </c>
      <c r="J786" s="4">
        <f t="shared" si="62"/>
        <v>22.117267203537672</v>
      </c>
      <c r="K786" s="4">
        <f t="shared" si="61"/>
        <v>3686.211200589612</v>
      </c>
      <c r="L786">
        <v>6</v>
      </c>
    </row>
    <row r="787" spans="1:12" hidden="1" x14ac:dyDescent="0.3">
      <c r="A787" t="s">
        <v>130</v>
      </c>
      <c r="B787" t="s">
        <v>41</v>
      </c>
      <c r="C787" s="4">
        <v>0.56193137999999998</v>
      </c>
      <c r="D787" s="4">
        <v>0.57808694400000005</v>
      </c>
      <c r="E787">
        <v>8</v>
      </c>
      <c r="F787" s="1">
        <v>17.515923566878982</v>
      </c>
      <c r="G787" s="2">
        <f t="shared" si="63"/>
        <v>240.96610859236495</v>
      </c>
      <c r="H787" s="2">
        <f t="shared" si="64"/>
        <v>80.226438606997235</v>
      </c>
      <c r="I787" s="2">
        <f t="shared" si="60"/>
        <v>13371.073101166206</v>
      </c>
      <c r="J787" s="4">
        <f t="shared" si="62"/>
        <v>17.5763121952209</v>
      </c>
      <c r="K787" s="4">
        <f t="shared" si="61"/>
        <v>2929.3853658701501</v>
      </c>
      <c r="L787">
        <v>6</v>
      </c>
    </row>
    <row r="788" spans="1:12" hidden="1" x14ac:dyDescent="0.3">
      <c r="A788" t="s">
        <v>130</v>
      </c>
      <c r="B788" t="s">
        <v>41</v>
      </c>
      <c r="C788" s="4">
        <v>0.56193137999999998</v>
      </c>
      <c r="D788" s="4">
        <v>0.57808694400000005</v>
      </c>
      <c r="E788">
        <v>6</v>
      </c>
      <c r="F788" s="1">
        <v>8.9171974522292992</v>
      </c>
      <c r="G788" s="2">
        <f t="shared" si="63"/>
        <v>62.452042689723655</v>
      </c>
      <c r="H788" s="2">
        <f t="shared" si="64"/>
        <v>16.219662528186532</v>
      </c>
      <c r="I788" s="2">
        <f t="shared" si="60"/>
        <v>2703.2770880310886</v>
      </c>
      <c r="J788" s="4">
        <f t="shared" si="62"/>
        <v>10.655544618442939</v>
      </c>
      <c r="K788" s="4">
        <f t="shared" si="61"/>
        <v>1775.9241030738231</v>
      </c>
      <c r="L788">
        <v>6</v>
      </c>
    </row>
    <row r="789" spans="1:12" hidden="1" x14ac:dyDescent="0.3">
      <c r="A789" t="s">
        <v>130</v>
      </c>
      <c r="B789" t="s">
        <v>41</v>
      </c>
      <c r="C789" s="4">
        <v>0.56193137999999998</v>
      </c>
      <c r="D789" s="4">
        <v>0.57808694400000005</v>
      </c>
      <c r="E789">
        <v>7.5</v>
      </c>
      <c r="F789" s="1">
        <v>31.050955414012737</v>
      </c>
      <c r="G789" s="2">
        <f t="shared" si="63"/>
        <v>757.25093216732841</v>
      </c>
      <c r="H789" s="2">
        <f t="shared" si="64"/>
        <v>230.30879298066816</v>
      </c>
      <c r="I789" s="2">
        <f t="shared" si="60"/>
        <v>38384.798830111358</v>
      </c>
      <c r="J789" s="4">
        <f t="shared" si="62"/>
        <v>34.294948093228932</v>
      </c>
      <c r="K789" s="4">
        <f t="shared" si="61"/>
        <v>5715.8246822048213</v>
      </c>
      <c r="L789">
        <v>6</v>
      </c>
    </row>
    <row r="790" spans="1:12" hidden="1" x14ac:dyDescent="0.3">
      <c r="A790" t="s">
        <v>130</v>
      </c>
      <c r="B790" t="s">
        <v>122</v>
      </c>
      <c r="C790" s="4">
        <v>0.85750000000000004</v>
      </c>
      <c r="D790" s="4">
        <v>0.61247410899999999</v>
      </c>
      <c r="E790">
        <v>2.7</v>
      </c>
      <c r="F790" s="1">
        <v>4.1401273885350314</v>
      </c>
      <c r="G790" s="2">
        <f t="shared" si="63"/>
        <v>13.462238794085838</v>
      </c>
      <c r="H790" s="2">
        <f t="shared" si="64"/>
        <v>1.7604937096755811</v>
      </c>
      <c r="I790" s="2">
        <f t="shared" si="60"/>
        <v>293.41561827926353</v>
      </c>
      <c r="J790" s="4">
        <f t="shared" si="62"/>
        <v>9.1476791877966654</v>
      </c>
      <c r="K790" s="4">
        <f t="shared" si="61"/>
        <v>1524.6131979661111</v>
      </c>
      <c r="L790">
        <v>6</v>
      </c>
    </row>
    <row r="791" spans="1:12" hidden="1" x14ac:dyDescent="0.3">
      <c r="A791" t="s">
        <v>130</v>
      </c>
      <c r="B791" t="s">
        <v>122</v>
      </c>
      <c r="C791" s="4">
        <v>0.85750000000000004</v>
      </c>
      <c r="D791" s="4">
        <v>0.61247410899999999</v>
      </c>
      <c r="E791">
        <v>2</v>
      </c>
      <c r="F791" s="1">
        <v>5.0955414012738851</v>
      </c>
      <c r="G791" s="2">
        <f t="shared" si="63"/>
        <v>20.392503735419968</v>
      </c>
      <c r="H791" s="2">
        <f t="shared" si="64"/>
        <v>1.9699422830751157</v>
      </c>
      <c r="I791" s="2">
        <f t="shared" si="60"/>
        <v>328.32371384585264</v>
      </c>
      <c r="J791" s="4">
        <f t="shared" si="62"/>
        <v>9.1674517952046735</v>
      </c>
      <c r="K791" s="4">
        <f t="shared" si="61"/>
        <v>1527.9086325341123</v>
      </c>
      <c r="L791">
        <v>6</v>
      </c>
    </row>
    <row r="792" spans="1:12" hidden="1" x14ac:dyDescent="0.3">
      <c r="A792" t="s">
        <v>130</v>
      </c>
      <c r="B792" t="s">
        <v>122</v>
      </c>
      <c r="C792" s="4">
        <v>0.85750000000000004</v>
      </c>
      <c r="D792" s="4">
        <v>0.61247410899999999</v>
      </c>
      <c r="E792">
        <v>4.5</v>
      </c>
      <c r="F792" s="1">
        <v>11.624203821656051</v>
      </c>
      <c r="G792" s="2">
        <f t="shared" si="63"/>
        <v>106.12466055278617</v>
      </c>
      <c r="H792" s="2">
        <f t="shared" si="64"/>
        <v>21.743883123361989</v>
      </c>
      <c r="I792" s="2">
        <f t="shared" si="60"/>
        <v>3623.9805205603316</v>
      </c>
      <c r="J792" s="4">
        <f t="shared" si="62"/>
        <v>11.1138733031766</v>
      </c>
      <c r="K792" s="4">
        <f t="shared" si="61"/>
        <v>1852.3122171961002</v>
      </c>
      <c r="L792">
        <v>6</v>
      </c>
    </row>
    <row r="793" spans="1:12" hidden="1" x14ac:dyDescent="0.3">
      <c r="A793" t="s">
        <v>130</v>
      </c>
      <c r="B793" t="s">
        <v>122</v>
      </c>
      <c r="C793" s="4">
        <v>0.85750000000000004</v>
      </c>
      <c r="D793" s="4">
        <v>0.61247410899999999</v>
      </c>
      <c r="E793">
        <v>6.5</v>
      </c>
      <c r="F793" s="1">
        <v>11.942675159235668</v>
      </c>
      <c r="G793" s="2">
        <f t="shared" si="63"/>
        <v>112.01936866380598</v>
      </c>
      <c r="H793" s="2">
        <f t="shared" si="64"/>
        <v>32.81848212699002</v>
      </c>
      <c r="I793" s="2">
        <f t="shared" si="60"/>
        <v>5469.7470211650034</v>
      </c>
      <c r="J793" s="4">
        <f t="shared" si="62"/>
        <v>12.230475396567812</v>
      </c>
      <c r="K793" s="4">
        <f t="shared" si="61"/>
        <v>2038.4125660946354</v>
      </c>
      <c r="L793">
        <v>6</v>
      </c>
    </row>
    <row r="794" spans="1:12" hidden="1" x14ac:dyDescent="0.3">
      <c r="A794" t="s">
        <v>130</v>
      </c>
      <c r="B794" t="s">
        <v>122</v>
      </c>
      <c r="C794" s="4">
        <v>0.85750000000000004</v>
      </c>
      <c r="D794" s="4">
        <v>0.61247410899999999</v>
      </c>
      <c r="E794">
        <v>4.5</v>
      </c>
      <c r="F794" s="1">
        <v>6.6878980891719744</v>
      </c>
      <c r="G794" s="2">
        <f t="shared" si="63"/>
        <v>35.12927401296956</v>
      </c>
      <c r="H794" s="2">
        <f t="shared" si="64"/>
        <v>7.391175200097674</v>
      </c>
      <c r="I794" s="2">
        <f t="shared" si="60"/>
        <v>1231.8625333496122</v>
      </c>
      <c r="J794" s="4">
        <f t="shared" si="62"/>
        <v>9.6901656984056146</v>
      </c>
      <c r="K794" s="4">
        <f t="shared" si="61"/>
        <v>1615.0276164009358</v>
      </c>
      <c r="L794">
        <v>6</v>
      </c>
    </row>
    <row r="795" spans="1:12" hidden="1" x14ac:dyDescent="0.3">
      <c r="A795" t="s">
        <v>130</v>
      </c>
      <c r="B795" t="s">
        <v>122</v>
      </c>
      <c r="C795" s="4">
        <v>0.85750000000000004</v>
      </c>
      <c r="D795" s="4">
        <v>0.61247410899999999</v>
      </c>
      <c r="E795">
        <v>3.5</v>
      </c>
      <c r="F795" s="1">
        <v>6.6878980891719744</v>
      </c>
      <c r="G795" s="2">
        <f t="shared" si="63"/>
        <v>35.12927401296956</v>
      </c>
      <c r="H795" s="2">
        <f t="shared" si="64"/>
        <v>5.7834701010306562</v>
      </c>
      <c r="I795" s="2">
        <f t="shared" si="60"/>
        <v>963.91168350510941</v>
      </c>
      <c r="J795" s="4">
        <f t="shared" si="62"/>
        <v>9.5336177654265892</v>
      </c>
      <c r="K795" s="4">
        <f t="shared" si="61"/>
        <v>1588.9362942377647</v>
      </c>
      <c r="L795">
        <v>6</v>
      </c>
    </row>
    <row r="796" spans="1:12" hidden="1" x14ac:dyDescent="0.3">
      <c r="A796" t="s">
        <v>130</v>
      </c>
      <c r="B796" t="s">
        <v>122</v>
      </c>
      <c r="C796" s="4">
        <v>0.85750000000000004</v>
      </c>
      <c r="D796" s="4">
        <v>0.61247410899999999</v>
      </c>
      <c r="E796">
        <v>5.5</v>
      </c>
      <c r="F796" s="1">
        <v>3.6624203821656049</v>
      </c>
      <c r="G796" s="2">
        <f t="shared" si="63"/>
        <v>10.534799293005044</v>
      </c>
      <c r="H796" s="2">
        <f t="shared" si="64"/>
        <v>2.7751226971666414</v>
      </c>
      <c r="I796" s="2">
        <f t="shared" si="60"/>
        <v>462.52044952777356</v>
      </c>
      <c r="J796" s="4">
        <f t="shared" si="62"/>
        <v>9.2439064688222636</v>
      </c>
      <c r="K796" s="4">
        <f t="shared" si="61"/>
        <v>1540.6510781370441</v>
      </c>
      <c r="L796">
        <v>6</v>
      </c>
    </row>
    <row r="797" spans="1:12" hidden="1" x14ac:dyDescent="0.3">
      <c r="A797" t="s">
        <v>130</v>
      </c>
      <c r="B797" t="s">
        <v>122</v>
      </c>
      <c r="C797" s="4">
        <v>0.85750000000000004</v>
      </c>
      <c r="D797" s="4">
        <v>0.61247410899999999</v>
      </c>
      <c r="E797">
        <v>6.5</v>
      </c>
      <c r="F797" s="1">
        <v>19.331210191082803</v>
      </c>
      <c r="G797" s="2">
        <f t="shared" si="63"/>
        <v>293.49990659420916</v>
      </c>
      <c r="H797" s="2">
        <f t="shared" si="64"/>
        <v>84.022148241514429</v>
      </c>
      <c r="I797" s="2">
        <f t="shared" si="60"/>
        <v>14003.691373585738</v>
      </c>
      <c r="J797" s="4">
        <f t="shared" si="62"/>
        <v>17.487276889528985</v>
      </c>
      <c r="K797" s="4">
        <f t="shared" si="61"/>
        <v>2914.5461482548308</v>
      </c>
      <c r="L797">
        <v>6</v>
      </c>
    </row>
    <row r="798" spans="1:12" hidden="1" x14ac:dyDescent="0.3">
      <c r="A798" t="s">
        <v>130</v>
      </c>
      <c r="B798" t="s">
        <v>122</v>
      </c>
      <c r="C798" s="4">
        <v>0.85750000000000004</v>
      </c>
      <c r="D798" s="4">
        <v>0.61247410899999999</v>
      </c>
      <c r="E798">
        <v>7</v>
      </c>
      <c r="F798" s="1">
        <v>8.7579617834394909</v>
      </c>
      <c r="G798" s="2">
        <f t="shared" si="63"/>
        <v>60.241527148091237</v>
      </c>
      <c r="H798" s="2">
        <f t="shared" si="64"/>
        <v>19.257465369355607</v>
      </c>
      <c r="I798" s="2">
        <f t="shared" si="60"/>
        <v>3209.5775615592679</v>
      </c>
      <c r="J798" s="4">
        <f t="shared" si="62"/>
        <v>10.864896417704571</v>
      </c>
      <c r="K798" s="4">
        <f t="shared" si="61"/>
        <v>1810.8160696174284</v>
      </c>
      <c r="L798">
        <v>6</v>
      </c>
    </row>
    <row r="799" spans="1:12" hidden="1" x14ac:dyDescent="0.3">
      <c r="A799" t="s">
        <v>130</v>
      </c>
      <c r="B799" t="s">
        <v>122</v>
      </c>
      <c r="C799" s="4">
        <v>0.85750000000000004</v>
      </c>
      <c r="D799" s="4">
        <v>0.61247410899999999</v>
      </c>
      <c r="E799">
        <v>8</v>
      </c>
      <c r="F799" s="1">
        <v>51.910828025477706</v>
      </c>
      <c r="G799" s="2">
        <f t="shared" si="63"/>
        <v>2116.4391865092707</v>
      </c>
      <c r="H799" s="2">
        <f t="shared" si="64"/>
        <v>707.63947436848491</v>
      </c>
      <c r="I799" s="2">
        <f t="shared" si="60"/>
        <v>117939.91239474749</v>
      </c>
      <c r="J799" s="4">
        <f t="shared" si="62"/>
        <v>84.438253856140207</v>
      </c>
      <c r="K799" s="4">
        <f t="shared" si="61"/>
        <v>14073.042309356701</v>
      </c>
      <c r="L799">
        <v>6</v>
      </c>
    </row>
    <row r="800" spans="1:12" hidden="1" x14ac:dyDescent="0.3">
      <c r="A800" t="s">
        <v>130</v>
      </c>
      <c r="B800" t="s">
        <v>32</v>
      </c>
      <c r="C800" s="4">
        <v>0.65716857299999998</v>
      </c>
      <c r="D800" s="4">
        <v>0.85527777800000004</v>
      </c>
      <c r="E800">
        <v>1.9</v>
      </c>
      <c r="F800" s="1">
        <v>6.5286624203821653</v>
      </c>
      <c r="G800" s="2">
        <f t="shared" si="63"/>
        <v>33.476365995352509</v>
      </c>
      <c r="H800" s="2">
        <f t="shared" si="64"/>
        <v>4.2106782618799521</v>
      </c>
      <c r="I800" s="2">
        <f t="shared" si="60"/>
        <v>701.77971031332538</v>
      </c>
      <c r="J800" s="4">
        <f t="shared" si="62"/>
        <v>9.2691458294454137</v>
      </c>
      <c r="K800" s="4">
        <f t="shared" si="61"/>
        <v>1544.8576382409021</v>
      </c>
      <c r="L800">
        <v>6</v>
      </c>
    </row>
    <row r="801" spans="1:12" hidden="1" x14ac:dyDescent="0.3">
      <c r="A801" t="s">
        <v>130</v>
      </c>
      <c r="B801" t="s">
        <v>32</v>
      </c>
      <c r="C801" s="4">
        <v>0.65716857299999998</v>
      </c>
      <c r="D801" s="4">
        <v>0.85527777800000004</v>
      </c>
      <c r="E801">
        <v>1.5</v>
      </c>
      <c r="F801" s="1">
        <v>1.2738853503184713</v>
      </c>
      <c r="G801" s="2">
        <f t="shared" si="63"/>
        <v>1.274531483463748</v>
      </c>
      <c r="H801" s="2">
        <f t="shared" si="64"/>
        <v>0.13766742170206037</v>
      </c>
      <c r="I801" s="2">
        <f t="shared" si="60"/>
        <v>22.944570283676729</v>
      </c>
      <c r="J801" s="4">
        <f t="shared" si="62"/>
        <v>8.994219615400219</v>
      </c>
      <c r="K801" s="4">
        <f t="shared" si="61"/>
        <v>1499.0366025667033</v>
      </c>
      <c r="L801">
        <v>6</v>
      </c>
    </row>
    <row r="802" spans="1:12" hidden="1" x14ac:dyDescent="0.3">
      <c r="A802" t="s">
        <v>130</v>
      </c>
      <c r="B802" t="s">
        <v>131</v>
      </c>
      <c r="C802" s="4">
        <v>0.52520999999999995</v>
      </c>
      <c r="D802" s="4">
        <v>0.58666666700000003</v>
      </c>
      <c r="E802">
        <v>7</v>
      </c>
      <c r="F802" s="1">
        <v>4.6178343949044587</v>
      </c>
      <c r="G802" s="2">
        <f t="shared" si="63"/>
        <v>16.748140274890819</v>
      </c>
      <c r="H802" s="2">
        <f t="shared" si="64"/>
        <v>5.293762315458169</v>
      </c>
      <c r="I802" s="2">
        <f t="shared" si="60"/>
        <v>882.29371924302814</v>
      </c>
      <c r="J802" s="4">
        <f t="shared" si="62"/>
        <v>9.5081476652196848</v>
      </c>
      <c r="K802" s="4">
        <f t="shared" si="61"/>
        <v>1584.6912775366143</v>
      </c>
      <c r="L802">
        <v>6</v>
      </c>
    </row>
    <row r="803" spans="1:12" hidden="1" x14ac:dyDescent="0.3">
      <c r="A803" t="s">
        <v>130</v>
      </c>
      <c r="B803" t="s">
        <v>23</v>
      </c>
      <c r="C803" s="4">
        <v>0.76500000000000001</v>
      </c>
      <c r="D803" s="4">
        <v>0.61247410899999999</v>
      </c>
      <c r="E803">
        <v>7</v>
      </c>
      <c r="F803" s="1">
        <v>23.726114649681527</v>
      </c>
      <c r="G803" s="2">
        <f t="shared" si="63"/>
        <v>442.12302288091672</v>
      </c>
      <c r="H803" s="2">
        <f t="shared" si="64"/>
        <v>134.73199843978188</v>
      </c>
      <c r="I803" s="2">
        <f t="shared" si="60"/>
        <v>22455.333073296977</v>
      </c>
      <c r="J803" s="4">
        <f t="shared" si="62"/>
        <v>22.777448651060894</v>
      </c>
      <c r="K803" s="4">
        <f t="shared" si="61"/>
        <v>3796.2414418434823</v>
      </c>
      <c r="L803">
        <v>6</v>
      </c>
    </row>
    <row r="804" spans="1:12" hidden="1" x14ac:dyDescent="0.3">
      <c r="A804" t="s">
        <v>130</v>
      </c>
      <c r="B804" t="s">
        <v>132</v>
      </c>
      <c r="C804" s="4">
        <v>0.68500000000000005</v>
      </c>
      <c r="D804" s="4">
        <v>0.54</v>
      </c>
      <c r="E804">
        <v>2.5</v>
      </c>
      <c r="F804" s="1">
        <v>5.7324840764331206</v>
      </c>
      <c r="G804" s="2">
        <f t="shared" si="63"/>
        <v>25.809262540140899</v>
      </c>
      <c r="H804" s="2">
        <f t="shared" si="64"/>
        <v>2.7258758951187816</v>
      </c>
      <c r="I804" s="2">
        <f t="shared" si="60"/>
        <v>454.3126491864636</v>
      </c>
      <c r="J804" s="4">
        <f t="shared" si="62"/>
        <v>9.2732370197573939</v>
      </c>
      <c r="K804" s="4">
        <f t="shared" si="61"/>
        <v>1545.5395032928991</v>
      </c>
      <c r="L804">
        <v>6</v>
      </c>
    </row>
    <row r="805" spans="1:12" hidden="1" x14ac:dyDescent="0.3">
      <c r="A805" t="s">
        <v>130</v>
      </c>
      <c r="B805" t="s">
        <v>132</v>
      </c>
      <c r="C805" s="4">
        <v>0.68500000000000005</v>
      </c>
      <c r="D805" s="4">
        <v>0.54</v>
      </c>
      <c r="E805">
        <v>4.5</v>
      </c>
      <c r="F805" s="1">
        <v>2.5477707006369426</v>
      </c>
      <c r="G805" s="2">
        <f t="shared" si="63"/>
        <v>5.098125933854992</v>
      </c>
      <c r="H805" s="2">
        <f t="shared" si="64"/>
        <v>0.99355466958642291</v>
      </c>
      <c r="I805" s="2">
        <f t="shared" si="60"/>
        <v>165.5924449310705</v>
      </c>
      <c r="J805" s="4">
        <f t="shared" si="62"/>
        <v>9.0879353848026287</v>
      </c>
      <c r="K805" s="4">
        <f t="shared" si="61"/>
        <v>1514.655897467105</v>
      </c>
      <c r="L805">
        <v>6</v>
      </c>
    </row>
    <row r="806" spans="1:12" hidden="1" x14ac:dyDescent="0.3">
      <c r="A806" t="s">
        <v>130</v>
      </c>
      <c r="B806" t="s">
        <v>133</v>
      </c>
      <c r="C806" s="4">
        <v>0.50016547600000005</v>
      </c>
      <c r="D806" s="4">
        <v>0.61774072899999999</v>
      </c>
      <c r="E806">
        <v>2</v>
      </c>
      <c r="F806" s="1">
        <v>1.592356687898089</v>
      </c>
      <c r="G806" s="2">
        <f t="shared" si="63"/>
        <v>1.9914554429121063</v>
      </c>
      <c r="H806" s="2">
        <f t="shared" si="64"/>
        <v>0.20513038825014149</v>
      </c>
      <c r="I806" s="2">
        <f t="shared" si="60"/>
        <v>34.188398041690249</v>
      </c>
      <c r="J806" s="4">
        <f t="shared" si="62"/>
        <v>9.0034491987504559</v>
      </c>
      <c r="K806" s="4">
        <f t="shared" si="61"/>
        <v>1500.5748664584091</v>
      </c>
      <c r="L806">
        <v>6</v>
      </c>
    </row>
    <row r="807" spans="1:12" hidden="1" x14ac:dyDescent="0.3">
      <c r="A807" t="s">
        <v>134</v>
      </c>
      <c r="B807" t="s">
        <v>61</v>
      </c>
      <c r="C807" s="4">
        <v>0.9</v>
      </c>
      <c r="D807" s="4">
        <v>0.61247410899999999</v>
      </c>
      <c r="E807">
        <v>4</v>
      </c>
      <c r="F807" s="1">
        <v>2.5477707006369426</v>
      </c>
      <c r="G807" s="2">
        <f t="shared" si="63"/>
        <v>5.098125933854992</v>
      </c>
      <c r="H807" s="2">
        <f t="shared" si="64"/>
        <v>1.0014937106388553</v>
      </c>
      <c r="I807" s="2">
        <f t="shared" si="60"/>
        <v>166.91561843980921</v>
      </c>
      <c r="J807" s="4">
        <f t="shared" si="62"/>
        <v>9.0765758976023356</v>
      </c>
      <c r="K807" s="4">
        <f t="shared" si="61"/>
        <v>1512.7626496003893</v>
      </c>
      <c r="L807">
        <v>6</v>
      </c>
    </row>
    <row r="808" spans="1:12" hidden="1" x14ac:dyDescent="0.3">
      <c r="A808" t="s">
        <v>134</v>
      </c>
      <c r="B808" t="s">
        <v>41</v>
      </c>
      <c r="C808" s="4">
        <v>0.56193137999999998</v>
      </c>
      <c r="D808" s="4">
        <v>0.57808694400000005</v>
      </c>
      <c r="E808">
        <v>5</v>
      </c>
      <c r="F808" s="1">
        <v>9.0764331210191074</v>
      </c>
      <c r="G808" s="2">
        <f t="shared" si="63"/>
        <v>64.702387340214344</v>
      </c>
      <c r="H808" s="2">
        <f t="shared" si="64"/>
        <v>14.052888721931872</v>
      </c>
      <c r="I808" s="2">
        <f t="shared" si="60"/>
        <v>2342.1481203219787</v>
      </c>
      <c r="J808" s="4">
        <f t="shared" si="62"/>
        <v>10.427378668505821</v>
      </c>
      <c r="K808" s="4">
        <f t="shared" si="61"/>
        <v>1737.89644475097</v>
      </c>
      <c r="L808">
        <v>6</v>
      </c>
    </row>
    <row r="809" spans="1:12" hidden="1" x14ac:dyDescent="0.3">
      <c r="A809" t="s">
        <v>134</v>
      </c>
      <c r="B809" t="s">
        <v>41</v>
      </c>
      <c r="C809" s="4">
        <v>0.56193137999999998</v>
      </c>
      <c r="D809" s="4">
        <v>0.57808694400000005</v>
      </c>
      <c r="E809">
        <v>6</v>
      </c>
      <c r="F809" s="1">
        <v>6.6878980891719744</v>
      </c>
      <c r="G809" s="2">
        <f t="shared" si="63"/>
        <v>35.12927401296956</v>
      </c>
      <c r="H809" s="2">
        <f t="shared" si="64"/>
        <v>9.2504189014098355</v>
      </c>
      <c r="I809" s="2">
        <f t="shared" si="60"/>
        <v>1541.7364835683059</v>
      </c>
      <c r="J809" s="4">
        <f t="shared" si="62"/>
        <v>9.9249875978741535</v>
      </c>
      <c r="K809" s="4">
        <f t="shared" si="61"/>
        <v>1654.1645996456921</v>
      </c>
      <c r="L809">
        <v>6</v>
      </c>
    </row>
    <row r="810" spans="1:12" hidden="1" x14ac:dyDescent="0.3">
      <c r="A810" t="s">
        <v>134</v>
      </c>
      <c r="B810" t="s">
        <v>41</v>
      </c>
      <c r="C810" s="4">
        <v>0.56193137999999998</v>
      </c>
      <c r="D810" s="4">
        <v>0.57808694400000005</v>
      </c>
      <c r="E810">
        <v>6</v>
      </c>
      <c r="F810" s="1">
        <v>5.2547770700636942</v>
      </c>
      <c r="G810" s="2">
        <f t="shared" si="63"/>
        <v>21.68694977331284</v>
      </c>
      <c r="H810" s="2">
        <f t="shared" si="64"/>
        <v>5.777207891581936</v>
      </c>
      <c r="I810" s="2">
        <f t="shared" si="60"/>
        <v>962.86798193032257</v>
      </c>
      <c r="J810" s="4">
        <f t="shared" si="62"/>
        <v>9.5655663231774106</v>
      </c>
      <c r="K810" s="4">
        <f t="shared" si="61"/>
        <v>1594.2610538629017</v>
      </c>
      <c r="L810">
        <v>6</v>
      </c>
    </row>
    <row r="811" spans="1:12" hidden="1" x14ac:dyDescent="0.3">
      <c r="A811" t="s">
        <v>134</v>
      </c>
      <c r="B811" t="s">
        <v>41</v>
      </c>
      <c r="C811" s="4">
        <v>0.56193137999999998</v>
      </c>
      <c r="D811" s="4">
        <v>0.57808694400000005</v>
      </c>
      <c r="E811">
        <v>6</v>
      </c>
      <c r="F811" s="1">
        <v>9.5541401273885338</v>
      </c>
      <c r="G811" s="2">
        <f t="shared" si="63"/>
        <v>71.692395944835823</v>
      </c>
      <c r="H811" s="2">
        <f t="shared" si="64"/>
        <v>18.557951095563411</v>
      </c>
      <c r="I811" s="2">
        <f t="shared" si="60"/>
        <v>3092.9918492605684</v>
      </c>
      <c r="J811" s="4">
        <f t="shared" si="62"/>
        <v>10.902613465049292</v>
      </c>
      <c r="K811" s="4">
        <f t="shared" si="61"/>
        <v>1817.1022441748819</v>
      </c>
      <c r="L811">
        <v>6</v>
      </c>
    </row>
    <row r="812" spans="1:12" hidden="1" x14ac:dyDescent="0.3">
      <c r="A812" t="s">
        <v>134</v>
      </c>
      <c r="B812" t="s">
        <v>41</v>
      </c>
      <c r="C812" s="4">
        <v>0.56193137999999998</v>
      </c>
      <c r="D812" s="4">
        <v>0.57808694400000005</v>
      </c>
      <c r="E812">
        <v>5.7</v>
      </c>
      <c r="F812" s="1">
        <v>25.159235668789808</v>
      </c>
      <c r="G812" s="2">
        <f t="shared" si="63"/>
        <v>497.14693676857826</v>
      </c>
      <c r="H812" s="2">
        <f t="shared" si="64"/>
        <v>116.84648642125957</v>
      </c>
      <c r="I812" s="2">
        <f t="shared" si="60"/>
        <v>19474.414403543262</v>
      </c>
      <c r="J812" s="4">
        <f t="shared" si="62"/>
        <v>21.61379343178222</v>
      </c>
      <c r="K812" s="4">
        <f t="shared" si="61"/>
        <v>3602.2989052970365</v>
      </c>
      <c r="L812">
        <v>6</v>
      </c>
    </row>
    <row r="813" spans="1:12" hidden="1" x14ac:dyDescent="0.3">
      <c r="A813" t="s">
        <v>134</v>
      </c>
      <c r="B813" t="s">
        <v>41</v>
      </c>
      <c r="C813" s="4">
        <v>0.56193137999999998</v>
      </c>
      <c r="D813" s="4">
        <v>0.57808694400000005</v>
      </c>
      <c r="E813">
        <v>6.3</v>
      </c>
      <c r="F813" s="1">
        <v>13.694267515923567</v>
      </c>
      <c r="G813" s="2">
        <f t="shared" si="63"/>
        <v>147.28804455777941</v>
      </c>
      <c r="H813" s="2">
        <f t="shared" si="64"/>
        <v>39.300721000078404</v>
      </c>
      <c r="I813" s="2">
        <f t="shared" si="60"/>
        <v>6550.1201666797342</v>
      </c>
      <c r="J813" s="4">
        <f t="shared" si="62"/>
        <v>13.12080182968883</v>
      </c>
      <c r="K813" s="4">
        <f t="shared" si="61"/>
        <v>2186.8003049481381</v>
      </c>
      <c r="L813">
        <v>6</v>
      </c>
    </row>
    <row r="814" spans="1:12" hidden="1" x14ac:dyDescent="0.3">
      <c r="A814" t="s">
        <v>134</v>
      </c>
      <c r="B814" t="s">
        <v>135</v>
      </c>
      <c r="C814" s="4">
        <v>0.84088890000000005</v>
      </c>
      <c r="D814" s="4">
        <v>0.84088888900000003</v>
      </c>
      <c r="E814">
        <v>9</v>
      </c>
      <c r="F814" s="1">
        <v>25.477707006369425</v>
      </c>
      <c r="G814" s="2">
        <f t="shared" si="63"/>
        <v>509.81259338549921</v>
      </c>
      <c r="H814" s="2">
        <f t="shared" si="64"/>
        <v>269.60355981818287</v>
      </c>
      <c r="I814" s="2">
        <f t="shared" si="60"/>
        <v>44933.926636363816</v>
      </c>
      <c r="J814" s="4">
        <f t="shared" si="62"/>
        <v>29.432776960525779</v>
      </c>
      <c r="K814" s="4">
        <f t="shared" si="61"/>
        <v>4905.4628267542967</v>
      </c>
      <c r="L814">
        <v>6</v>
      </c>
    </row>
    <row r="815" spans="1:12" hidden="1" x14ac:dyDescent="0.3">
      <c r="A815" t="s">
        <v>134</v>
      </c>
      <c r="B815" t="s">
        <v>122</v>
      </c>
      <c r="C815" s="4">
        <v>0.85750000000000004</v>
      </c>
      <c r="D815" s="4">
        <v>0.61247410899999999</v>
      </c>
      <c r="E815">
        <v>2.5</v>
      </c>
      <c r="F815" s="1">
        <v>1.910828025477707</v>
      </c>
      <c r="G815" s="2">
        <f t="shared" si="63"/>
        <v>2.8676958377934336</v>
      </c>
      <c r="H815" s="2">
        <f t="shared" si="64"/>
        <v>0.36103284139023539</v>
      </c>
      <c r="I815" s="2">
        <f t="shared" si="60"/>
        <v>60.172140231705896</v>
      </c>
      <c r="J815" s="4">
        <f t="shared" si="62"/>
        <v>9.017648557750821</v>
      </c>
      <c r="K815" s="4">
        <f t="shared" si="61"/>
        <v>1502.9414262918035</v>
      </c>
      <c r="L815">
        <v>6</v>
      </c>
    </row>
    <row r="816" spans="1:12" hidden="1" x14ac:dyDescent="0.3">
      <c r="A816" t="s">
        <v>134</v>
      </c>
      <c r="B816" t="s">
        <v>122</v>
      </c>
      <c r="C816" s="4">
        <v>0.85750000000000004</v>
      </c>
      <c r="D816" s="4">
        <v>0.61247410899999999</v>
      </c>
      <c r="E816">
        <v>4</v>
      </c>
      <c r="F816" s="1">
        <v>3.6624203821656049</v>
      </c>
      <c r="G816" s="2">
        <f t="shared" si="63"/>
        <v>10.534799293005044</v>
      </c>
      <c r="H816" s="2">
        <f t="shared" si="64"/>
        <v>2.0337555730791772</v>
      </c>
      <c r="I816" s="2">
        <f t="shared" si="60"/>
        <v>338.95926217986283</v>
      </c>
      <c r="J816" s="4">
        <f t="shared" si="62"/>
        <v>9.1734865227798288</v>
      </c>
      <c r="K816" s="4">
        <f t="shared" si="61"/>
        <v>1528.9144204633049</v>
      </c>
      <c r="L816">
        <v>6</v>
      </c>
    </row>
    <row r="817" spans="1:12" hidden="1" x14ac:dyDescent="0.3">
      <c r="A817" t="s">
        <v>134</v>
      </c>
      <c r="B817" t="s">
        <v>122</v>
      </c>
      <c r="C817" s="4">
        <v>0.85750000000000004</v>
      </c>
      <c r="D817" s="4">
        <v>0.61247410899999999</v>
      </c>
      <c r="E817">
        <v>7.5</v>
      </c>
      <c r="F817" s="1">
        <v>12.261146496815286</v>
      </c>
      <c r="G817" s="2">
        <f t="shared" si="63"/>
        <v>118.0733932102588</v>
      </c>
      <c r="H817" s="2">
        <f t="shared" si="64"/>
        <v>39.726943910293258</v>
      </c>
      <c r="I817" s="2">
        <f t="shared" si="60"/>
        <v>6621.1573183822102</v>
      </c>
      <c r="J817" s="4">
        <f t="shared" si="62"/>
        <v>12.932012477179601</v>
      </c>
      <c r="K817" s="4">
        <f t="shared" si="61"/>
        <v>2155.3354128632668</v>
      </c>
      <c r="L817">
        <v>6</v>
      </c>
    </row>
    <row r="818" spans="1:12" hidden="1" x14ac:dyDescent="0.3">
      <c r="A818" t="s">
        <v>134</v>
      </c>
      <c r="B818" t="s">
        <v>122</v>
      </c>
      <c r="C818" s="4">
        <v>0.85750000000000004</v>
      </c>
      <c r="D818" s="4">
        <v>0.61247410899999999</v>
      </c>
      <c r="E818">
        <v>3</v>
      </c>
      <c r="F818" s="1">
        <v>4.1401273885350314</v>
      </c>
      <c r="G818" s="2">
        <f t="shared" si="63"/>
        <v>13.462238794085838</v>
      </c>
      <c r="H818" s="2">
        <f t="shared" si="64"/>
        <v>1.9511640630047671</v>
      </c>
      <c r="I818" s="2">
        <f t="shared" si="60"/>
        <v>325.19401050079449</v>
      </c>
      <c r="J818" s="4">
        <f t="shared" si="62"/>
        <v>9.1656768753296269</v>
      </c>
      <c r="K818" s="4">
        <f t="shared" si="61"/>
        <v>1527.6128125549378</v>
      </c>
      <c r="L818">
        <v>6</v>
      </c>
    </row>
    <row r="819" spans="1:12" hidden="1" x14ac:dyDescent="0.3">
      <c r="A819" t="s">
        <v>134</v>
      </c>
      <c r="B819" t="s">
        <v>122</v>
      </c>
      <c r="C819" s="4">
        <v>0.85750000000000004</v>
      </c>
      <c r="D819" s="4">
        <v>0.61247410899999999</v>
      </c>
      <c r="E819">
        <v>6.5</v>
      </c>
      <c r="F819" s="1">
        <v>3.3439490445859872</v>
      </c>
      <c r="G819" s="2">
        <f t="shared" si="63"/>
        <v>8.7823185032423901</v>
      </c>
      <c r="H819" s="2">
        <f t="shared" si="64"/>
        <v>2.7350858834002549</v>
      </c>
      <c r="I819" s="2">
        <f t="shared" si="60"/>
        <v>455.84764723337577</v>
      </c>
      <c r="J819" s="4">
        <f t="shared" si="62"/>
        <v>9.2400903910909165</v>
      </c>
      <c r="K819" s="4">
        <f t="shared" si="61"/>
        <v>1540.0150651818194</v>
      </c>
      <c r="L819">
        <v>6</v>
      </c>
    </row>
    <row r="820" spans="1:12" hidden="1" x14ac:dyDescent="0.3">
      <c r="A820" t="s">
        <v>134</v>
      </c>
      <c r="B820" t="s">
        <v>122</v>
      </c>
      <c r="C820" s="4">
        <v>0.85750000000000004</v>
      </c>
      <c r="D820" s="4">
        <v>0.61247410899999999</v>
      </c>
      <c r="E820">
        <v>6</v>
      </c>
      <c r="F820" s="1">
        <v>6.2101910828025479</v>
      </c>
      <c r="G820" s="2">
        <f t="shared" si="63"/>
        <v>30.290037286693146</v>
      </c>
      <c r="H820" s="2">
        <f t="shared" si="64"/>
        <v>8.4689428443508206</v>
      </c>
      <c r="I820" s="2">
        <f t="shared" si="60"/>
        <v>1411.49047405847</v>
      </c>
      <c r="J820" s="4">
        <f t="shared" si="62"/>
        <v>9.7955959389833254</v>
      </c>
      <c r="K820" s="4">
        <f t="shared" si="61"/>
        <v>1632.5993231638877</v>
      </c>
      <c r="L820">
        <v>6</v>
      </c>
    </row>
    <row r="821" spans="1:12" hidden="1" x14ac:dyDescent="0.3">
      <c r="A821" t="s">
        <v>134</v>
      </c>
      <c r="B821" t="s">
        <v>20</v>
      </c>
      <c r="C821" s="4">
        <v>0.74387999999999999</v>
      </c>
      <c r="D821" s="4">
        <v>0.59130000000000005</v>
      </c>
      <c r="E821">
        <v>3.7</v>
      </c>
      <c r="F821" s="1">
        <v>5.0955414012738851</v>
      </c>
      <c r="G821" s="2">
        <f t="shared" si="63"/>
        <v>20.392503735419968</v>
      </c>
      <c r="H821" s="2">
        <f t="shared" si="64"/>
        <v>3.4697642649820359</v>
      </c>
      <c r="I821" s="2">
        <f t="shared" si="60"/>
        <v>578.29404416367265</v>
      </c>
      <c r="J821" s="4">
        <f t="shared" si="62"/>
        <v>9.3219408211286456</v>
      </c>
      <c r="K821" s="4">
        <f t="shared" si="61"/>
        <v>1553.6568035214411</v>
      </c>
      <c r="L821">
        <v>6</v>
      </c>
    </row>
    <row r="822" spans="1:12" hidden="1" x14ac:dyDescent="0.3">
      <c r="A822" t="s">
        <v>134</v>
      </c>
      <c r="B822" t="s">
        <v>32</v>
      </c>
      <c r="C822" s="4">
        <v>0.65716857299999998</v>
      </c>
      <c r="D822" s="4">
        <v>0.85527777800000004</v>
      </c>
      <c r="E822">
        <v>2</v>
      </c>
      <c r="F822" s="1">
        <v>2.5477707006369426</v>
      </c>
      <c r="G822" s="2">
        <f t="shared" si="63"/>
        <v>5.098125933854992</v>
      </c>
      <c r="H822" s="2">
        <f t="shared" si="64"/>
        <v>0.70531307902694229</v>
      </c>
      <c r="I822" s="2">
        <f t="shared" si="60"/>
        <v>117.55217983782372</v>
      </c>
      <c r="J822" s="4">
        <f t="shared" si="62"/>
        <v>9.0311379488011685</v>
      </c>
      <c r="K822" s="4">
        <f t="shared" si="61"/>
        <v>1505.1896581335279</v>
      </c>
      <c r="L822">
        <v>6</v>
      </c>
    </row>
    <row r="823" spans="1:12" hidden="1" x14ac:dyDescent="0.3">
      <c r="A823" t="s">
        <v>134</v>
      </c>
      <c r="B823" t="s">
        <v>32</v>
      </c>
      <c r="C823" s="4">
        <v>0.65716857299999998</v>
      </c>
      <c r="D823" s="4">
        <v>0.85527777800000004</v>
      </c>
      <c r="E823">
        <v>2.5</v>
      </c>
      <c r="F823" s="1">
        <v>2.7070063694267517</v>
      </c>
      <c r="G823" s="2">
        <f t="shared" si="63"/>
        <v>5.7553062300159885</v>
      </c>
      <c r="H823" s="2">
        <f t="shared" si="64"/>
        <v>0.98709783273246976</v>
      </c>
      <c r="I823" s="2">
        <f t="shared" si="60"/>
        <v>164.51630545541164</v>
      </c>
      <c r="J823" s="4">
        <f t="shared" si="62"/>
        <v>9.0498189804860232</v>
      </c>
      <c r="K823" s="4">
        <f t="shared" si="61"/>
        <v>1508.3031634143372</v>
      </c>
      <c r="L823">
        <v>6</v>
      </c>
    </row>
    <row r="824" spans="1:12" hidden="1" x14ac:dyDescent="0.3">
      <c r="A824" t="s">
        <v>134</v>
      </c>
      <c r="B824" t="s">
        <v>131</v>
      </c>
      <c r="C824" s="4">
        <v>0.52520999999999995</v>
      </c>
      <c r="D824" s="4">
        <v>0.58666666700000003</v>
      </c>
      <c r="E824">
        <v>5.5</v>
      </c>
      <c r="F824" s="1">
        <v>7.1656050955414008</v>
      </c>
      <c r="G824" s="2">
        <f t="shared" si="63"/>
        <v>40.326972718970154</v>
      </c>
      <c r="H824" s="2">
        <f t="shared" si="64"/>
        <v>9.8630826158246201</v>
      </c>
      <c r="I824" s="2">
        <f t="shared" si="60"/>
        <v>1643.8471026374366</v>
      </c>
      <c r="J824" s="4">
        <f t="shared" si="62"/>
        <v>9.9741085054160408</v>
      </c>
      <c r="K824" s="4">
        <f t="shared" si="61"/>
        <v>1662.3514175693401</v>
      </c>
      <c r="L824">
        <v>6</v>
      </c>
    </row>
    <row r="825" spans="1:12" hidden="1" x14ac:dyDescent="0.3">
      <c r="A825" t="s">
        <v>134</v>
      </c>
      <c r="B825" t="s">
        <v>131</v>
      </c>
      <c r="C825" s="4">
        <v>0.52520999999999995</v>
      </c>
      <c r="D825" s="4">
        <v>0.58666666700000003</v>
      </c>
      <c r="E825">
        <v>5.2</v>
      </c>
      <c r="F825" s="1">
        <v>9.5541401273885338</v>
      </c>
      <c r="G825" s="2">
        <f t="shared" si="63"/>
        <v>71.692395944835823</v>
      </c>
      <c r="H825" s="2">
        <f t="shared" si="64"/>
        <v>16.372626824159475</v>
      </c>
      <c r="I825" s="2">
        <f t="shared" si="60"/>
        <v>2728.7711373599127</v>
      </c>
      <c r="J825" s="4">
        <f t="shared" si="62"/>
        <v>10.647025003042719</v>
      </c>
      <c r="K825" s="4">
        <f t="shared" si="61"/>
        <v>1774.5041671737865</v>
      </c>
      <c r="L825">
        <v>6</v>
      </c>
    </row>
    <row r="826" spans="1:12" hidden="1" x14ac:dyDescent="0.3">
      <c r="A826" t="s">
        <v>134</v>
      </c>
      <c r="B826" t="s">
        <v>23</v>
      </c>
      <c r="C826" s="4">
        <v>0.76500000000000001</v>
      </c>
      <c r="D826" s="4">
        <v>0.61247410899999999</v>
      </c>
      <c r="E826">
        <v>9.5</v>
      </c>
      <c r="F826" s="1">
        <v>26.273885350318469</v>
      </c>
      <c r="G826" s="2">
        <f t="shared" si="63"/>
        <v>542.173744332821</v>
      </c>
      <c r="H826" s="2">
        <f t="shared" si="64"/>
        <v>221.50440455055957</v>
      </c>
      <c r="I826" s="2">
        <f t="shared" si="60"/>
        <v>36917.400758426593</v>
      </c>
      <c r="J826" s="4">
        <f t="shared" si="62"/>
        <v>31.93874195910584</v>
      </c>
      <c r="K826" s="4">
        <f t="shared" si="61"/>
        <v>5323.1236598509731</v>
      </c>
      <c r="L826">
        <v>6</v>
      </c>
    </row>
    <row r="827" spans="1:12" hidden="1" x14ac:dyDescent="0.3">
      <c r="A827" t="s">
        <v>134</v>
      </c>
      <c r="B827" t="s">
        <v>23</v>
      </c>
      <c r="C827" s="4">
        <v>0.76500000000000001</v>
      </c>
      <c r="D827" s="4">
        <v>0.61247410899999999</v>
      </c>
      <c r="E827">
        <v>9.5</v>
      </c>
      <c r="F827" s="1">
        <v>18.789808917197451</v>
      </c>
      <c r="G827" s="2">
        <f t="shared" si="63"/>
        <v>277.29025587108168</v>
      </c>
      <c r="H827" s="2">
        <f t="shared" si="64"/>
        <v>115.12440154947417</v>
      </c>
      <c r="I827" s="2">
        <f t="shared" si="60"/>
        <v>19187.400258245696</v>
      </c>
      <c r="J827" s="4">
        <f t="shared" si="62"/>
        <v>20.724842561564365</v>
      </c>
      <c r="K827" s="4">
        <f t="shared" si="61"/>
        <v>3454.1404269273939</v>
      </c>
      <c r="L827">
        <v>6</v>
      </c>
    </row>
    <row r="828" spans="1:12" hidden="1" x14ac:dyDescent="0.3">
      <c r="A828" t="s">
        <v>136</v>
      </c>
      <c r="B828" t="s">
        <v>26</v>
      </c>
      <c r="C828" s="4">
        <v>0.80908761900000004</v>
      </c>
      <c r="D828" s="4">
        <v>0.87473809499999999</v>
      </c>
      <c r="E828">
        <v>5.5</v>
      </c>
      <c r="F828" s="1">
        <v>27.70700636942675</v>
      </c>
      <c r="G828" s="2">
        <f t="shared" si="63"/>
        <v>602.93304989606929</v>
      </c>
      <c r="H828" s="2">
        <f t="shared" si="64"/>
        <v>204.08774391719379</v>
      </c>
      <c r="I828" s="2">
        <f t="shared" si="60"/>
        <v>34014.623986198967</v>
      </c>
      <c r="J828" s="4">
        <f t="shared" si="62"/>
        <v>23.763505387642496</v>
      </c>
      <c r="K828" s="4">
        <f t="shared" si="61"/>
        <v>3960.5842312737495</v>
      </c>
      <c r="L828">
        <v>6</v>
      </c>
    </row>
    <row r="829" spans="1:12" hidden="1" x14ac:dyDescent="0.3">
      <c r="A829" t="s">
        <v>136</v>
      </c>
      <c r="B829" t="s">
        <v>85</v>
      </c>
      <c r="C829" s="4">
        <v>0.6</v>
      </c>
      <c r="D829" s="4">
        <v>0.66674999999999995</v>
      </c>
      <c r="E829">
        <v>6.5</v>
      </c>
      <c r="F829" s="1">
        <v>3.5031847133757958</v>
      </c>
      <c r="G829" s="2">
        <f t="shared" si="63"/>
        <v>9.6386443436945939</v>
      </c>
      <c r="H829" s="2">
        <f t="shared" si="64"/>
        <v>3.2538554847649013</v>
      </c>
      <c r="I829" s="2">
        <f t="shared" si="60"/>
        <v>542.30924746081689</v>
      </c>
      <c r="J829" s="4">
        <f t="shared" si="62"/>
        <v>9.2648948963446784</v>
      </c>
      <c r="K829" s="4">
        <f t="shared" si="61"/>
        <v>1544.1491493907797</v>
      </c>
      <c r="L829">
        <v>6</v>
      </c>
    </row>
    <row r="830" spans="1:12" hidden="1" x14ac:dyDescent="0.3">
      <c r="A830" t="s">
        <v>136</v>
      </c>
      <c r="B830" t="s">
        <v>87</v>
      </c>
      <c r="C830" s="4">
        <v>0.59</v>
      </c>
      <c r="D830" s="4">
        <v>0.59</v>
      </c>
      <c r="E830">
        <v>2</v>
      </c>
      <c r="F830" s="1">
        <v>12.579617834394904</v>
      </c>
      <c r="G830" s="2">
        <f t="shared" si="63"/>
        <v>124.28673419214456</v>
      </c>
      <c r="H830" s="2">
        <f t="shared" si="64"/>
        <v>11.084669812396147</v>
      </c>
      <c r="I830" s="2">
        <f t="shared" si="60"/>
        <v>1847.4449687326912</v>
      </c>
      <c r="J830" s="4">
        <f t="shared" si="62"/>
        <v>10.093427494015984</v>
      </c>
      <c r="K830" s="4">
        <f t="shared" si="61"/>
        <v>1682.2379156693305</v>
      </c>
      <c r="L830">
        <v>6</v>
      </c>
    </row>
    <row r="831" spans="1:12" hidden="1" x14ac:dyDescent="0.3">
      <c r="A831" t="s">
        <v>136</v>
      </c>
      <c r="B831" t="s">
        <v>37</v>
      </c>
      <c r="C831" s="4">
        <v>0.39790071399999999</v>
      </c>
      <c r="D831" s="4">
        <v>0.50565277799999997</v>
      </c>
      <c r="E831">
        <v>8.5</v>
      </c>
      <c r="F831" s="1">
        <v>15.031847133757962</v>
      </c>
      <c r="G831" s="2">
        <f t="shared" si="63"/>
        <v>177.46576375749231</v>
      </c>
      <c r="H831" s="2">
        <f t="shared" si="64"/>
        <v>55.413551331797386</v>
      </c>
      <c r="I831" s="2">
        <f t="shared" si="60"/>
        <v>9235.5918886328982</v>
      </c>
      <c r="J831" s="4">
        <f t="shared" si="62"/>
        <v>15.707903740516857</v>
      </c>
      <c r="K831" s="4">
        <f t="shared" si="61"/>
        <v>2617.9839567528093</v>
      </c>
      <c r="L831">
        <v>6</v>
      </c>
    </row>
    <row r="832" spans="1:12" hidden="1" x14ac:dyDescent="0.3">
      <c r="A832" t="s">
        <v>136</v>
      </c>
      <c r="B832" t="s">
        <v>70</v>
      </c>
      <c r="C832" s="4">
        <v>0.55560299999999996</v>
      </c>
      <c r="D832" s="4">
        <v>0.55961111100000005</v>
      </c>
      <c r="E832">
        <v>10</v>
      </c>
      <c r="F832" s="1">
        <v>21.496815286624201</v>
      </c>
      <c r="G832" s="2">
        <f t="shared" si="63"/>
        <v>362.94275447073136</v>
      </c>
      <c r="H832" s="2">
        <f t="shared" si="64"/>
        <v>144.12735367691752</v>
      </c>
      <c r="I832" s="2">
        <f t="shared" si="60"/>
        <v>24021.225612819588</v>
      </c>
      <c r="J832" s="4">
        <f t="shared" si="62"/>
        <v>25.159657361353396</v>
      </c>
      <c r="K832" s="4">
        <f t="shared" si="61"/>
        <v>4193.2762268922324</v>
      </c>
      <c r="L832">
        <v>6</v>
      </c>
    </row>
    <row r="833" spans="1:12" hidden="1" x14ac:dyDescent="0.3">
      <c r="A833" t="s">
        <v>136</v>
      </c>
      <c r="B833" t="s">
        <v>122</v>
      </c>
      <c r="C833" s="4">
        <v>0.85750000000000004</v>
      </c>
      <c r="D833" s="4">
        <v>0.61247410899999999</v>
      </c>
      <c r="E833">
        <v>8.5</v>
      </c>
      <c r="F833" s="1">
        <v>45.70063694267516</v>
      </c>
      <c r="G833" s="2">
        <f t="shared" si="63"/>
        <v>1640.341933772273</v>
      </c>
      <c r="H833" s="2">
        <f t="shared" si="64"/>
        <v>585.4553816790899</v>
      </c>
      <c r="I833" s="2">
        <f t="shared" si="60"/>
        <v>97575.896946514971</v>
      </c>
      <c r="J833" s="4">
        <f t="shared" si="62"/>
        <v>71.120009454744604</v>
      </c>
      <c r="K833" s="4">
        <f t="shared" si="61"/>
        <v>11853.334909124102</v>
      </c>
      <c r="L833">
        <v>6</v>
      </c>
    </row>
    <row r="834" spans="1:12" hidden="1" x14ac:dyDescent="0.3">
      <c r="A834" t="s">
        <v>136</v>
      </c>
      <c r="B834" t="s">
        <v>20</v>
      </c>
      <c r="C834" s="4">
        <v>0.74387999999999999</v>
      </c>
      <c r="D834" s="4">
        <v>0.59130000000000005</v>
      </c>
      <c r="E834">
        <v>5</v>
      </c>
      <c r="F834" s="1">
        <v>17.292993630573246</v>
      </c>
      <c r="G834" s="2">
        <f t="shared" si="63"/>
        <v>234.87145835487661</v>
      </c>
      <c r="H834" s="2">
        <f t="shared" si="64"/>
        <v>50.561141778050505</v>
      </c>
      <c r="I834" s="2">
        <f t="shared" ref="I834:I897" si="65">(H834*1000)/L834</f>
        <v>8426.8569630084185</v>
      </c>
      <c r="J834" s="4">
        <f t="shared" si="62"/>
        <v>14.219033502373319</v>
      </c>
      <c r="K834" s="4">
        <f t="shared" ref="K834:K897" si="66">(J834*1000)/L834</f>
        <v>2369.8389170622199</v>
      </c>
      <c r="L834">
        <v>6</v>
      </c>
    </row>
    <row r="835" spans="1:12" hidden="1" x14ac:dyDescent="0.3">
      <c r="A835" t="s">
        <v>136</v>
      </c>
      <c r="B835" t="s">
        <v>131</v>
      </c>
      <c r="C835" s="4">
        <v>0.52520999999999995</v>
      </c>
      <c r="D835" s="4">
        <v>0.58666666700000003</v>
      </c>
      <c r="E835">
        <v>6</v>
      </c>
      <c r="F835" s="1">
        <v>23.407643312101911</v>
      </c>
      <c r="G835" s="2">
        <f t="shared" si="63"/>
        <v>430.33360665887716</v>
      </c>
      <c r="H835" s="2">
        <f t="shared" si="64"/>
        <v>108.24975369849021</v>
      </c>
      <c r="I835" s="2">
        <f t="shared" si="65"/>
        <v>18041.625616415036</v>
      </c>
      <c r="J835" s="4">
        <f t="shared" ref="J835:J898" si="67">8.9857 + 0.0035 * F835^2 * E835</f>
        <v>20.491973073958377</v>
      </c>
      <c r="K835" s="4">
        <f t="shared" si="66"/>
        <v>3415.3288456597293</v>
      </c>
      <c r="L835">
        <v>6</v>
      </c>
    </row>
    <row r="836" spans="1:12" hidden="1" x14ac:dyDescent="0.3">
      <c r="A836" t="s">
        <v>136</v>
      </c>
      <c r="B836" t="s">
        <v>131</v>
      </c>
      <c r="C836" s="4">
        <v>0.52520999999999995</v>
      </c>
      <c r="D836" s="4">
        <v>0.58666666700000003</v>
      </c>
      <c r="E836">
        <v>5</v>
      </c>
      <c r="F836" s="1">
        <v>15.509554140127388</v>
      </c>
      <c r="G836" s="2">
        <f t="shared" ref="G836:G899" si="68">PI()*(F836/2)^2</f>
        <v>188.92459837600856</v>
      </c>
      <c r="H836" s="2">
        <f t="shared" ref="H836:H899" si="69">0.0673 * ((D836 * F836^2 * E836)^0.976)</f>
        <v>40.570435266581676</v>
      </c>
      <c r="I836" s="2">
        <f t="shared" si="65"/>
        <v>6761.7392110969458</v>
      </c>
      <c r="J836" s="4">
        <f t="shared" si="67"/>
        <v>13.195259718446994</v>
      </c>
      <c r="K836" s="4">
        <f t="shared" si="66"/>
        <v>2199.209953074499</v>
      </c>
      <c r="L836">
        <v>6</v>
      </c>
    </row>
    <row r="837" spans="1:12" hidden="1" x14ac:dyDescent="0.3">
      <c r="A837" t="s">
        <v>137</v>
      </c>
      <c r="B837" t="s">
        <v>37</v>
      </c>
      <c r="C837" s="4">
        <v>0.39790071399999999</v>
      </c>
      <c r="D837" s="4">
        <v>0.50565277799999997</v>
      </c>
      <c r="E837">
        <v>4.5</v>
      </c>
      <c r="F837" s="1">
        <v>10.828025477707007</v>
      </c>
      <c r="G837" s="2">
        <f t="shared" si="68"/>
        <v>92.084899680255816</v>
      </c>
      <c r="H837" s="2">
        <f t="shared" si="69"/>
        <v>15.701841557191905</v>
      </c>
      <c r="I837" s="2">
        <f t="shared" si="65"/>
        <v>2616.9735928653176</v>
      </c>
      <c r="J837" s="4">
        <f t="shared" si="67"/>
        <v>10.832326637997484</v>
      </c>
      <c r="K837" s="4">
        <f t="shared" si="66"/>
        <v>1805.3877729995809</v>
      </c>
      <c r="L837">
        <v>6</v>
      </c>
    </row>
    <row r="838" spans="1:12" hidden="1" x14ac:dyDescent="0.3">
      <c r="A838" t="s">
        <v>137</v>
      </c>
      <c r="B838" t="s">
        <v>45</v>
      </c>
      <c r="C838" s="4">
        <v>0.81991655299999999</v>
      </c>
      <c r="D838" s="4">
        <v>0.72276027399999998</v>
      </c>
      <c r="E838">
        <v>2</v>
      </c>
      <c r="F838" s="1">
        <v>2.8662420382165603</v>
      </c>
      <c r="G838" s="2">
        <f t="shared" si="68"/>
        <v>6.4523156350352249</v>
      </c>
      <c r="H838" s="2">
        <f t="shared" si="69"/>
        <v>0.75313608538187993</v>
      </c>
      <c r="I838" s="2">
        <f t="shared" si="65"/>
        <v>125.52268089697999</v>
      </c>
      <c r="J838" s="4">
        <f t="shared" si="67"/>
        <v>9.0432074039514792</v>
      </c>
      <c r="K838" s="4">
        <f t="shared" si="66"/>
        <v>1507.2012339919131</v>
      </c>
      <c r="L838">
        <v>6</v>
      </c>
    </row>
    <row r="839" spans="1:12" hidden="1" x14ac:dyDescent="0.3">
      <c r="A839" t="s">
        <v>137</v>
      </c>
      <c r="B839" t="s">
        <v>41</v>
      </c>
      <c r="C839" s="4">
        <v>0.56193137999999998</v>
      </c>
      <c r="D839" s="4">
        <v>0.57808694400000005</v>
      </c>
      <c r="E839">
        <v>6</v>
      </c>
      <c r="F839" s="1">
        <v>30.414012738853501</v>
      </c>
      <c r="G839" s="2">
        <f t="shared" si="68"/>
        <v>726.50286012876552</v>
      </c>
      <c r="H839" s="2">
        <f t="shared" si="69"/>
        <v>177.89179528535169</v>
      </c>
      <c r="I839" s="2">
        <f t="shared" si="65"/>
        <v>29648.632547558616</v>
      </c>
      <c r="J839" s="4">
        <f t="shared" si="67"/>
        <v>28.410955588462002</v>
      </c>
      <c r="K839" s="4">
        <f t="shared" si="66"/>
        <v>4735.1592647436673</v>
      </c>
      <c r="L839">
        <v>6</v>
      </c>
    </row>
    <row r="840" spans="1:12" hidden="1" x14ac:dyDescent="0.3">
      <c r="A840" t="s">
        <v>137</v>
      </c>
      <c r="B840" t="s">
        <v>135</v>
      </c>
      <c r="C840" s="4">
        <v>0.84088890000000005</v>
      </c>
      <c r="D840" s="4">
        <v>0.84088888900000003</v>
      </c>
      <c r="E840">
        <v>10</v>
      </c>
      <c r="F840" s="1">
        <v>20.38216560509554</v>
      </c>
      <c r="G840" s="2">
        <f t="shared" si="68"/>
        <v>326.28005976671949</v>
      </c>
      <c r="H840" s="2">
        <f t="shared" si="69"/>
        <v>193.29320522367121</v>
      </c>
      <c r="I840" s="2">
        <f t="shared" si="65"/>
        <v>32215.534203945204</v>
      </c>
      <c r="J840" s="4">
        <f t="shared" si="67"/>
        <v>23.525843616373891</v>
      </c>
      <c r="K840" s="4">
        <f t="shared" si="66"/>
        <v>3920.9739360623153</v>
      </c>
      <c r="L840">
        <v>6</v>
      </c>
    </row>
    <row r="841" spans="1:12" hidden="1" x14ac:dyDescent="0.3">
      <c r="A841" t="s">
        <v>137</v>
      </c>
      <c r="B841" t="s">
        <v>135</v>
      </c>
      <c r="C841" s="4">
        <v>0.84088890000000005</v>
      </c>
      <c r="D841" s="4">
        <v>0.84088888900000003</v>
      </c>
      <c r="E841">
        <v>9</v>
      </c>
      <c r="F841" s="1">
        <v>17.834394904458598</v>
      </c>
      <c r="G841" s="2">
        <f t="shared" si="68"/>
        <v>249.80817075889462</v>
      </c>
      <c r="H841" s="2">
        <f t="shared" si="69"/>
        <v>134.38691872755896</v>
      </c>
      <c r="I841" s="2">
        <f t="shared" si="65"/>
        <v>22397.819787926492</v>
      </c>
      <c r="J841" s="4">
        <f t="shared" si="67"/>
        <v>19.004767710657632</v>
      </c>
      <c r="K841" s="4">
        <f t="shared" si="66"/>
        <v>3167.4612851096049</v>
      </c>
      <c r="L841">
        <v>6</v>
      </c>
    </row>
    <row r="842" spans="1:12" hidden="1" x14ac:dyDescent="0.3">
      <c r="A842" t="s">
        <v>137</v>
      </c>
      <c r="B842" t="s">
        <v>135</v>
      </c>
      <c r="C842" s="4">
        <v>0.84088890000000005</v>
      </c>
      <c r="D842" s="4">
        <v>0.84088888900000003</v>
      </c>
      <c r="E842">
        <v>8.5</v>
      </c>
      <c r="F842" s="1">
        <v>32.324840764331206</v>
      </c>
      <c r="G842" s="2">
        <f t="shared" si="68"/>
        <v>820.65887346964985</v>
      </c>
      <c r="H842" s="2">
        <f t="shared" si="69"/>
        <v>405.77740871943149</v>
      </c>
      <c r="I842" s="2">
        <f t="shared" si="65"/>
        <v>67629.568119905249</v>
      </c>
      <c r="J842" s="4">
        <f t="shared" si="67"/>
        <v>40.071336080571214</v>
      </c>
      <c r="K842" s="4">
        <f t="shared" si="66"/>
        <v>6678.5560134285361</v>
      </c>
      <c r="L842">
        <v>6</v>
      </c>
    </row>
    <row r="843" spans="1:12" hidden="1" x14ac:dyDescent="0.3">
      <c r="A843" t="s">
        <v>137</v>
      </c>
      <c r="B843" t="s">
        <v>122</v>
      </c>
      <c r="C843" s="4">
        <v>0.85750000000000004</v>
      </c>
      <c r="D843" s="4">
        <v>0.61247410899999999</v>
      </c>
      <c r="E843">
        <v>5</v>
      </c>
      <c r="F843" s="1">
        <v>14.012738853503183</v>
      </c>
      <c r="G843" s="2">
        <f t="shared" si="68"/>
        <v>154.2183094991135</v>
      </c>
      <c r="H843" s="2">
        <f t="shared" si="69"/>
        <v>34.707263169601717</v>
      </c>
      <c r="I843" s="2">
        <f t="shared" si="65"/>
        <v>5784.5438616002866</v>
      </c>
      <c r="J843" s="4">
        <f t="shared" si="67"/>
        <v>12.421944878088359</v>
      </c>
      <c r="K843" s="4">
        <f t="shared" si="66"/>
        <v>2070.3241463480599</v>
      </c>
      <c r="L843">
        <v>6</v>
      </c>
    </row>
    <row r="844" spans="1:12" hidden="1" x14ac:dyDescent="0.3">
      <c r="A844" t="s">
        <v>137</v>
      </c>
      <c r="B844" t="s">
        <v>119</v>
      </c>
      <c r="C844" s="4">
        <v>0.432770245</v>
      </c>
      <c r="D844" s="4">
        <v>0.61247410899999999</v>
      </c>
      <c r="E844">
        <v>3</v>
      </c>
      <c r="F844" s="1">
        <v>2.8662420382165603</v>
      </c>
      <c r="G844" s="2">
        <f t="shared" si="68"/>
        <v>6.4523156350352249</v>
      </c>
      <c r="H844" s="2">
        <f t="shared" si="69"/>
        <v>0.95182639315767614</v>
      </c>
      <c r="I844" s="2">
        <f t="shared" si="65"/>
        <v>158.63773219294603</v>
      </c>
      <c r="J844" s="4">
        <f t="shared" si="67"/>
        <v>9.0719611059272172</v>
      </c>
      <c r="K844" s="4">
        <f t="shared" si="66"/>
        <v>1511.9935176545362</v>
      </c>
      <c r="L844">
        <v>6</v>
      </c>
    </row>
    <row r="845" spans="1:12" hidden="1" x14ac:dyDescent="0.3">
      <c r="A845" t="s">
        <v>138</v>
      </c>
      <c r="B845" t="s">
        <v>26</v>
      </c>
      <c r="C845" s="4">
        <v>0.80908761900000004</v>
      </c>
      <c r="D845" s="4">
        <v>0.87473809499999999</v>
      </c>
      <c r="E845">
        <v>9.5</v>
      </c>
      <c r="F845" s="1">
        <v>10.19108280254777</v>
      </c>
      <c r="G845" s="2">
        <f t="shared" si="68"/>
        <v>81.570014941679872</v>
      </c>
      <c r="H845" s="2">
        <f t="shared" si="69"/>
        <v>49.384692644416972</v>
      </c>
      <c r="I845" s="2">
        <f t="shared" si="65"/>
        <v>8230.7821074028288</v>
      </c>
      <c r="J845" s="4">
        <f t="shared" si="67"/>
        <v>12.438984108888798</v>
      </c>
      <c r="K845" s="4">
        <f t="shared" si="66"/>
        <v>2073.164018148133</v>
      </c>
      <c r="L845">
        <v>6</v>
      </c>
    </row>
    <row r="846" spans="1:12" hidden="1" x14ac:dyDescent="0.3">
      <c r="A846" t="s">
        <v>138</v>
      </c>
      <c r="B846" t="s">
        <v>26</v>
      </c>
      <c r="C846" s="4">
        <v>0.80908761900000004</v>
      </c>
      <c r="D846" s="4">
        <v>0.87473809499999999</v>
      </c>
      <c r="E846">
        <v>9.5</v>
      </c>
      <c r="F846" s="1">
        <v>7.9617834394904454</v>
      </c>
      <c r="G846" s="2">
        <f t="shared" si="68"/>
        <v>49.786386072802657</v>
      </c>
      <c r="H846" s="2">
        <f t="shared" si="69"/>
        <v>30.501310153878983</v>
      </c>
      <c r="I846" s="2">
        <f t="shared" si="65"/>
        <v>5083.5516923131636</v>
      </c>
      <c r="J846" s="4">
        <f t="shared" si="67"/>
        <v>11.093417351616697</v>
      </c>
      <c r="K846" s="4">
        <f t="shared" si="66"/>
        <v>1848.9028919361162</v>
      </c>
      <c r="L846">
        <v>6</v>
      </c>
    </row>
    <row r="847" spans="1:12" hidden="1" x14ac:dyDescent="0.3">
      <c r="A847" t="s">
        <v>138</v>
      </c>
      <c r="B847" t="s">
        <v>85</v>
      </c>
      <c r="C847" s="4">
        <v>0.6</v>
      </c>
      <c r="D847" s="4">
        <v>0.66674999999999995</v>
      </c>
      <c r="E847">
        <v>7</v>
      </c>
      <c r="F847" s="1">
        <v>6.3694267515923562</v>
      </c>
      <c r="G847" s="2">
        <f t="shared" si="68"/>
        <v>31.863287086593701</v>
      </c>
      <c r="H847" s="2">
        <f t="shared" si="69"/>
        <v>11.23627970459831</v>
      </c>
      <c r="I847" s="2">
        <f t="shared" si="65"/>
        <v>1872.7132840997183</v>
      </c>
      <c r="J847" s="4">
        <f t="shared" si="67"/>
        <v>9.9796551300255576</v>
      </c>
      <c r="K847" s="4">
        <f t="shared" si="66"/>
        <v>1663.2758550042597</v>
      </c>
      <c r="L847">
        <v>6</v>
      </c>
    </row>
    <row r="848" spans="1:12" hidden="1" x14ac:dyDescent="0.3">
      <c r="A848" t="s">
        <v>138</v>
      </c>
      <c r="B848" t="s">
        <v>85</v>
      </c>
      <c r="C848" s="4">
        <v>0.6</v>
      </c>
      <c r="D848" s="4">
        <v>0.66674999999999995</v>
      </c>
      <c r="E848">
        <v>7.3</v>
      </c>
      <c r="F848" s="1">
        <v>9.5541401273885338</v>
      </c>
      <c r="G848" s="2">
        <f t="shared" si="68"/>
        <v>71.692395944835823</v>
      </c>
      <c r="H848" s="2">
        <f t="shared" si="69"/>
        <v>25.830933636588764</v>
      </c>
      <c r="I848" s="2">
        <f t="shared" si="65"/>
        <v>4305.1556060981275</v>
      </c>
      <c r="J848" s="4">
        <f t="shared" si="67"/>
        <v>11.317944715809972</v>
      </c>
      <c r="K848" s="4">
        <f t="shared" si="66"/>
        <v>1886.324119301662</v>
      </c>
      <c r="L848">
        <v>6</v>
      </c>
    </row>
    <row r="849" spans="1:12" hidden="1" x14ac:dyDescent="0.3">
      <c r="A849" t="s">
        <v>138</v>
      </c>
      <c r="B849" t="s">
        <v>85</v>
      </c>
      <c r="C849" s="4">
        <v>0.6</v>
      </c>
      <c r="D849" s="4">
        <v>0.66674999999999995</v>
      </c>
      <c r="E849">
        <v>7.5</v>
      </c>
      <c r="F849" s="1">
        <v>5.7324840764331206</v>
      </c>
      <c r="G849" s="2">
        <f t="shared" si="68"/>
        <v>25.809262540140899</v>
      </c>
      <c r="H849" s="2">
        <f t="shared" si="69"/>
        <v>9.7847115199566392</v>
      </c>
      <c r="I849" s="2">
        <f t="shared" si="65"/>
        <v>1630.7852533261066</v>
      </c>
      <c r="J849" s="4">
        <f t="shared" si="67"/>
        <v>9.8483110592721808</v>
      </c>
      <c r="K849" s="4">
        <f t="shared" si="66"/>
        <v>1641.3851765453635</v>
      </c>
      <c r="L849">
        <v>6</v>
      </c>
    </row>
    <row r="850" spans="1:12" hidden="1" x14ac:dyDescent="0.3">
      <c r="A850" t="s">
        <v>138</v>
      </c>
      <c r="B850" t="s">
        <v>37</v>
      </c>
      <c r="C850" s="4">
        <v>0.39790071399999999</v>
      </c>
      <c r="D850" s="4">
        <v>0.50565277799999997</v>
      </c>
      <c r="E850">
        <v>6.5</v>
      </c>
      <c r="F850" s="1">
        <v>7.3248407643312099</v>
      </c>
      <c r="G850" s="2">
        <f t="shared" si="68"/>
        <v>42.139197172020175</v>
      </c>
      <c r="H850" s="2">
        <f t="shared" si="69"/>
        <v>10.482491120219917</v>
      </c>
      <c r="I850" s="2">
        <f t="shared" si="65"/>
        <v>1747.081853369986</v>
      </c>
      <c r="J850" s="4">
        <f t="shared" si="67"/>
        <v>10.206312398068887</v>
      </c>
      <c r="K850" s="4">
        <f t="shared" si="66"/>
        <v>1701.0520663448144</v>
      </c>
      <c r="L850">
        <v>6</v>
      </c>
    </row>
    <row r="851" spans="1:12" hidden="1" x14ac:dyDescent="0.3">
      <c r="A851" t="s">
        <v>138</v>
      </c>
      <c r="B851" t="s">
        <v>18</v>
      </c>
      <c r="C851" s="4">
        <v>0.45255480399999998</v>
      </c>
      <c r="D851" s="4">
        <v>0.57808694400000005</v>
      </c>
      <c r="E851">
        <v>3.5</v>
      </c>
      <c r="F851" s="1">
        <v>6.0509554140127388</v>
      </c>
      <c r="G851" s="2">
        <f t="shared" si="68"/>
        <v>28.756616595650822</v>
      </c>
      <c r="H851" s="2">
        <f t="shared" si="69"/>
        <v>4.4962573077241785</v>
      </c>
      <c r="I851" s="2">
        <f t="shared" si="65"/>
        <v>749.37621795402981</v>
      </c>
      <c r="J851" s="4">
        <f t="shared" si="67"/>
        <v>9.4342222524240338</v>
      </c>
      <c r="K851" s="4">
        <f t="shared" si="66"/>
        <v>1572.3703754040055</v>
      </c>
      <c r="L851">
        <v>6</v>
      </c>
    </row>
    <row r="852" spans="1:12" hidden="1" x14ac:dyDescent="0.3">
      <c r="A852" t="s">
        <v>138</v>
      </c>
      <c r="B852" t="s">
        <v>18</v>
      </c>
      <c r="C852" s="4">
        <v>0.45255480399999998</v>
      </c>
      <c r="D852" s="4">
        <v>0.57808694400000005</v>
      </c>
      <c r="E852">
        <v>6</v>
      </c>
      <c r="F852" s="1">
        <v>24.840764331210192</v>
      </c>
      <c r="G852" s="2">
        <f t="shared" si="68"/>
        <v>484.64059658709033</v>
      </c>
      <c r="H852" s="2">
        <f t="shared" si="69"/>
        <v>119.82791458135016</v>
      </c>
      <c r="I852" s="2">
        <f t="shared" si="65"/>
        <v>19971.319096891693</v>
      </c>
      <c r="J852" s="4">
        <f t="shared" si="67"/>
        <v>21.944035023733214</v>
      </c>
      <c r="K852" s="4">
        <f t="shared" si="66"/>
        <v>3657.3391706222023</v>
      </c>
      <c r="L852">
        <v>6</v>
      </c>
    </row>
    <row r="853" spans="1:12" hidden="1" x14ac:dyDescent="0.3">
      <c r="A853" t="s">
        <v>138</v>
      </c>
      <c r="B853" t="s">
        <v>66</v>
      </c>
      <c r="C853" s="4">
        <v>0.62643652800000005</v>
      </c>
      <c r="D853" s="4">
        <v>0.57808694400000005</v>
      </c>
      <c r="E853">
        <v>4.5</v>
      </c>
      <c r="F853" s="1">
        <v>15.286624203821656</v>
      </c>
      <c r="G853" s="2">
        <f t="shared" si="68"/>
        <v>183.53253361877975</v>
      </c>
      <c r="H853" s="2">
        <f t="shared" si="69"/>
        <v>35.077773956167825</v>
      </c>
      <c r="I853" s="2">
        <f t="shared" si="65"/>
        <v>5846.2956593613044</v>
      </c>
      <c r="J853" s="4">
        <f t="shared" si="67"/>
        <v>12.666173852894641</v>
      </c>
      <c r="K853" s="4">
        <f t="shared" si="66"/>
        <v>2111.0289754824403</v>
      </c>
      <c r="L853">
        <v>6</v>
      </c>
    </row>
    <row r="854" spans="1:12" hidden="1" x14ac:dyDescent="0.3">
      <c r="A854" t="s">
        <v>138</v>
      </c>
      <c r="B854" t="s">
        <v>66</v>
      </c>
      <c r="C854" s="4">
        <v>0.62643652800000005</v>
      </c>
      <c r="D854" s="4">
        <v>0.57808694400000005</v>
      </c>
      <c r="E854">
        <v>4</v>
      </c>
      <c r="F854" s="1">
        <v>9.2356687898089174</v>
      </c>
      <c r="G854" s="2">
        <f t="shared" si="68"/>
        <v>66.992561099563275</v>
      </c>
      <c r="H854" s="2">
        <f t="shared" si="69"/>
        <v>11.692978732364748</v>
      </c>
      <c r="I854" s="2">
        <f t="shared" si="65"/>
        <v>1948.8297887274582</v>
      </c>
      <c r="J854" s="4">
        <f t="shared" si="67"/>
        <v>10.179866091930707</v>
      </c>
      <c r="K854" s="4">
        <f t="shared" si="66"/>
        <v>1696.6443486551179</v>
      </c>
      <c r="L854">
        <v>6</v>
      </c>
    </row>
    <row r="855" spans="1:12" hidden="1" x14ac:dyDescent="0.3">
      <c r="A855" t="s">
        <v>138</v>
      </c>
      <c r="B855" t="s">
        <v>66</v>
      </c>
      <c r="C855" s="4">
        <v>0.62643652800000005</v>
      </c>
      <c r="D855" s="4">
        <v>0.57808694400000005</v>
      </c>
      <c r="E855">
        <v>3.5</v>
      </c>
      <c r="F855" s="1">
        <v>5.0955414012738851</v>
      </c>
      <c r="G855" s="2">
        <f t="shared" si="68"/>
        <v>20.392503735419968</v>
      </c>
      <c r="H855" s="2">
        <f t="shared" si="69"/>
        <v>3.2148915988082054</v>
      </c>
      <c r="I855" s="2">
        <f t="shared" si="65"/>
        <v>535.81526646803422</v>
      </c>
      <c r="J855" s="4">
        <f t="shared" si="67"/>
        <v>9.3037656416081784</v>
      </c>
      <c r="K855" s="4">
        <f t="shared" si="66"/>
        <v>1550.6276069346966</v>
      </c>
      <c r="L855">
        <v>6</v>
      </c>
    </row>
    <row r="856" spans="1:12" hidden="1" x14ac:dyDescent="0.3">
      <c r="A856" t="s">
        <v>138</v>
      </c>
      <c r="B856" t="s">
        <v>66</v>
      </c>
      <c r="C856" s="4">
        <v>0.62643652800000005</v>
      </c>
      <c r="D856" s="4">
        <v>0.57808694400000005</v>
      </c>
      <c r="E856">
        <v>5</v>
      </c>
      <c r="F856" s="1">
        <v>6.0509554140127388</v>
      </c>
      <c r="G856" s="2">
        <f t="shared" si="68"/>
        <v>28.756616595650822</v>
      </c>
      <c r="H856" s="2">
        <f t="shared" si="69"/>
        <v>6.3684753129143576</v>
      </c>
      <c r="I856" s="2">
        <f t="shared" si="65"/>
        <v>1061.4125521523929</v>
      </c>
      <c r="J856" s="4">
        <f t="shared" si="67"/>
        <v>9.6264460748914757</v>
      </c>
      <c r="K856" s="4">
        <f t="shared" si="66"/>
        <v>1604.4076791485793</v>
      </c>
      <c r="L856">
        <v>6</v>
      </c>
    </row>
    <row r="857" spans="1:12" hidden="1" x14ac:dyDescent="0.3">
      <c r="A857" t="s">
        <v>138</v>
      </c>
      <c r="B857" t="s">
        <v>41</v>
      </c>
      <c r="C857" s="4">
        <v>0.56193137999999998</v>
      </c>
      <c r="D857" s="4">
        <v>0.57808694400000005</v>
      </c>
      <c r="E857">
        <v>6</v>
      </c>
      <c r="F857" s="1">
        <v>31.210191082802545</v>
      </c>
      <c r="G857" s="2">
        <f t="shared" si="68"/>
        <v>765.03752294911476</v>
      </c>
      <c r="H857" s="2">
        <f t="shared" si="69"/>
        <v>187.09519604214972</v>
      </c>
      <c r="I857" s="2">
        <f t="shared" si="65"/>
        <v>31182.532673691621</v>
      </c>
      <c r="J857" s="4">
        <f t="shared" si="67"/>
        <v>29.441296575925996</v>
      </c>
      <c r="K857" s="4">
        <f t="shared" si="66"/>
        <v>4906.8827626543325</v>
      </c>
      <c r="L857">
        <v>6</v>
      </c>
    </row>
    <row r="858" spans="1:12" hidden="1" x14ac:dyDescent="0.3">
      <c r="A858" t="s">
        <v>138</v>
      </c>
      <c r="B858" t="s">
        <v>122</v>
      </c>
      <c r="C858" s="4">
        <v>0.85750000000000004</v>
      </c>
      <c r="D858" s="4">
        <v>0.61247410899999999</v>
      </c>
      <c r="E858">
        <v>3.5</v>
      </c>
      <c r="F858" s="1">
        <v>9.5541401273885338</v>
      </c>
      <c r="G858" s="2">
        <f t="shared" si="68"/>
        <v>71.692395944835823</v>
      </c>
      <c r="H858" s="2">
        <f t="shared" si="69"/>
        <v>11.6026481007495</v>
      </c>
      <c r="I858" s="2">
        <f t="shared" si="65"/>
        <v>1933.7746834582501</v>
      </c>
      <c r="J858" s="4">
        <f t="shared" si="67"/>
        <v>10.103899521278754</v>
      </c>
      <c r="K858" s="4">
        <f t="shared" si="66"/>
        <v>1683.9832535464591</v>
      </c>
      <c r="L858">
        <v>6</v>
      </c>
    </row>
    <row r="859" spans="1:12" hidden="1" x14ac:dyDescent="0.3">
      <c r="A859" t="s">
        <v>138</v>
      </c>
      <c r="B859" t="s">
        <v>122</v>
      </c>
      <c r="C859" s="4">
        <v>0.85750000000000004</v>
      </c>
      <c r="D859" s="4">
        <v>0.61247410899999999</v>
      </c>
      <c r="E859">
        <v>6</v>
      </c>
      <c r="F859" s="1">
        <v>6.6878980891719744</v>
      </c>
      <c r="G859" s="2">
        <f t="shared" si="68"/>
        <v>35.12927401296956</v>
      </c>
      <c r="H859" s="2">
        <f t="shared" si="69"/>
        <v>9.7870927450829885</v>
      </c>
      <c r="I859" s="2">
        <f t="shared" si="65"/>
        <v>1631.182124180498</v>
      </c>
      <c r="J859" s="4">
        <f t="shared" si="67"/>
        <v>9.9249875978741535</v>
      </c>
      <c r="K859" s="4">
        <f t="shared" si="66"/>
        <v>1654.1645996456921</v>
      </c>
      <c r="L859">
        <v>6</v>
      </c>
    </row>
    <row r="860" spans="1:12" hidden="1" x14ac:dyDescent="0.3">
      <c r="A860" t="s">
        <v>138</v>
      </c>
      <c r="B860" t="s">
        <v>122</v>
      </c>
      <c r="C860" s="4">
        <v>0.85750000000000004</v>
      </c>
      <c r="D860" s="4">
        <v>0.61247410899999999</v>
      </c>
      <c r="E860">
        <v>7</v>
      </c>
      <c r="F860" s="1">
        <v>39.171974522292992</v>
      </c>
      <c r="G860" s="2">
        <f t="shared" si="68"/>
        <v>1205.1491758326904</v>
      </c>
      <c r="H860" s="2">
        <f t="shared" si="69"/>
        <v>358.52255662474226</v>
      </c>
      <c r="I860" s="2">
        <f t="shared" si="65"/>
        <v>59753.759437457047</v>
      </c>
      <c r="J860" s="4">
        <f t="shared" si="67"/>
        <v>46.579567905391698</v>
      </c>
      <c r="K860" s="4">
        <f t="shared" si="66"/>
        <v>7763.2613175652832</v>
      </c>
      <c r="L860">
        <v>6</v>
      </c>
    </row>
    <row r="861" spans="1:12" hidden="1" x14ac:dyDescent="0.3">
      <c r="A861" t="s">
        <v>138</v>
      </c>
      <c r="B861" t="s">
        <v>122</v>
      </c>
      <c r="C861" s="4">
        <v>0.85750000000000004</v>
      </c>
      <c r="D861" s="4">
        <v>0.61247410899999999</v>
      </c>
      <c r="E861">
        <v>2.5</v>
      </c>
      <c r="F861" s="1">
        <v>13.375796178343949</v>
      </c>
      <c r="G861" s="2">
        <f t="shared" si="68"/>
        <v>140.51709605187824</v>
      </c>
      <c r="H861" s="2">
        <f t="shared" si="69"/>
        <v>16.113062195617001</v>
      </c>
      <c r="I861" s="2">
        <f t="shared" si="65"/>
        <v>2685.5103659361671</v>
      </c>
      <c r="J861" s="4">
        <f t="shared" si="67"/>
        <v>10.551179329790255</v>
      </c>
      <c r="K861" s="4">
        <f t="shared" si="66"/>
        <v>1758.5298882983759</v>
      </c>
      <c r="L861">
        <v>6</v>
      </c>
    </row>
    <row r="862" spans="1:12" hidden="1" x14ac:dyDescent="0.3">
      <c r="A862" t="s">
        <v>138</v>
      </c>
      <c r="B862" t="s">
        <v>20</v>
      </c>
      <c r="C862" s="4">
        <v>0.74387999999999999</v>
      </c>
      <c r="D862" s="4">
        <v>0.59130000000000005</v>
      </c>
      <c r="E862">
        <v>7</v>
      </c>
      <c r="F862" s="1">
        <v>11.464968152866241</v>
      </c>
      <c r="G862" s="2">
        <f t="shared" si="68"/>
        <v>103.2370501605636</v>
      </c>
      <c r="H862" s="2">
        <f t="shared" si="69"/>
        <v>31.478284024494837</v>
      </c>
      <c r="I862" s="2">
        <f t="shared" si="65"/>
        <v>5246.3806707491394</v>
      </c>
      <c r="J862" s="4">
        <f t="shared" si="67"/>
        <v>12.20611462128281</v>
      </c>
      <c r="K862" s="4">
        <f t="shared" si="66"/>
        <v>2034.3524368804683</v>
      </c>
      <c r="L862">
        <v>6</v>
      </c>
    </row>
    <row r="863" spans="1:12" hidden="1" x14ac:dyDescent="0.3">
      <c r="A863" t="s">
        <v>138</v>
      </c>
      <c r="B863" t="s">
        <v>23</v>
      </c>
      <c r="C863" s="4">
        <v>0.76500000000000001</v>
      </c>
      <c r="D863" s="4">
        <v>0.61247410899999999</v>
      </c>
      <c r="E863">
        <v>10</v>
      </c>
      <c r="F863" s="1">
        <v>42.993630573248403</v>
      </c>
      <c r="G863" s="2">
        <f t="shared" si="68"/>
        <v>1451.7710178829254</v>
      </c>
      <c r="H863" s="2">
        <f t="shared" si="69"/>
        <v>609.00034159723111</v>
      </c>
      <c r="I863" s="2">
        <f t="shared" si="65"/>
        <v>101500.05693287186</v>
      </c>
      <c r="J863" s="4">
        <f t="shared" si="67"/>
        <v>73.681529445413588</v>
      </c>
      <c r="K863" s="4">
        <f t="shared" si="66"/>
        <v>12280.254907568931</v>
      </c>
      <c r="L863">
        <v>6</v>
      </c>
    </row>
    <row r="864" spans="1:12" hidden="1" x14ac:dyDescent="0.3">
      <c r="A864" t="s">
        <v>138</v>
      </c>
      <c r="B864" t="s">
        <v>23</v>
      </c>
      <c r="C864" s="4">
        <v>0.76500000000000001</v>
      </c>
      <c r="D864" s="4">
        <v>0.61247410899999999</v>
      </c>
      <c r="E864">
        <v>4.5</v>
      </c>
      <c r="F864" s="1">
        <v>5.0955414012738851</v>
      </c>
      <c r="G864" s="2">
        <f t="shared" si="68"/>
        <v>20.392503735419968</v>
      </c>
      <c r="H864" s="2">
        <f t="shared" si="69"/>
        <v>4.3469399396971973</v>
      </c>
      <c r="I864" s="2">
        <f t="shared" si="65"/>
        <v>724.48998994953297</v>
      </c>
      <c r="J864" s="4">
        <f t="shared" si="67"/>
        <v>9.3946415392105145</v>
      </c>
      <c r="K864" s="4">
        <f t="shared" si="66"/>
        <v>1565.7735898684189</v>
      </c>
      <c r="L864">
        <v>6</v>
      </c>
    </row>
    <row r="865" spans="1:12" hidden="1" x14ac:dyDescent="0.3">
      <c r="A865" t="s">
        <v>138</v>
      </c>
      <c r="B865" t="s">
        <v>23</v>
      </c>
      <c r="C865" s="4">
        <v>0.76500000000000001</v>
      </c>
      <c r="D865" s="4">
        <v>0.61247410899999999</v>
      </c>
      <c r="E865">
        <v>8.5</v>
      </c>
      <c r="F865" s="1">
        <v>29.936305732484076</v>
      </c>
      <c r="G865" s="2">
        <f t="shared" si="68"/>
        <v>703.86001174285491</v>
      </c>
      <c r="H865" s="2">
        <f t="shared" si="69"/>
        <v>256.36838164215243</v>
      </c>
      <c r="I865" s="2">
        <f t="shared" si="65"/>
        <v>42728.063607025404</v>
      </c>
      <c r="J865" s="4">
        <f t="shared" si="67"/>
        <v>35.64712642703558</v>
      </c>
      <c r="K865" s="4">
        <f t="shared" si="66"/>
        <v>5941.1877378392637</v>
      </c>
      <c r="L865">
        <v>6</v>
      </c>
    </row>
    <row r="866" spans="1:12" hidden="1" x14ac:dyDescent="0.3">
      <c r="A866" t="s">
        <v>138</v>
      </c>
      <c r="B866" t="s">
        <v>23</v>
      </c>
      <c r="C866" s="4">
        <v>0.76500000000000001</v>
      </c>
      <c r="D866" s="4">
        <v>0.61247410899999999</v>
      </c>
      <c r="E866">
        <v>8.5</v>
      </c>
      <c r="F866" s="1">
        <v>25.159235668789808</v>
      </c>
      <c r="G866" s="2">
        <f t="shared" si="68"/>
        <v>497.14693676857826</v>
      </c>
      <c r="H866" s="2">
        <f t="shared" si="69"/>
        <v>182.594198119211</v>
      </c>
      <c r="I866" s="2">
        <f t="shared" si="65"/>
        <v>30432.366353201836</v>
      </c>
      <c r="J866" s="4">
        <f t="shared" si="67"/>
        <v>27.817067398271732</v>
      </c>
      <c r="K866" s="4">
        <f t="shared" si="66"/>
        <v>4636.1778997119554</v>
      </c>
      <c r="L866">
        <v>6</v>
      </c>
    </row>
    <row r="867" spans="1:12" hidden="1" x14ac:dyDescent="0.3">
      <c r="A867" t="s">
        <v>138</v>
      </c>
      <c r="B867" t="s">
        <v>23</v>
      </c>
      <c r="C867" s="4">
        <v>0.76500000000000001</v>
      </c>
      <c r="D867" s="4">
        <v>0.61247410899999999</v>
      </c>
      <c r="E867">
        <v>10</v>
      </c>
      <c r="F867" s="1">
        <v>23.885350318471335</v>
      </c>
      <c r="G867" s="2">
        <f t="shared" si="68"/>
        <v>448.07747465522391</v>
      </c>
      <c r="H867" s="2">
        <f t="shared" si="69"/>
        <v>193.34173266271384</v>
      </c>
      <c r="I867" s="2">
        <f t="shared" si="65"/>
        <v>32223.622110452303</v>
      </c>
      <c r="J867" s="4">
        <f t="shared" si="67"/>
        <v>28.953548594263452</v>
      </c>
      <c r="K867" s="4">
        <f t="shared" si="66"/>
        <v>4825.5914323772422</v>
      </c>
      <c r="L867">
        <v>6</v>
      </c>
    </row>
    <row r="868" spans="1:12" hidden="1" x14ac:dyDescent="0.3">
      <c r="A868" t="s">
        <v>138</v>
      </c>
      <c r="B868" t="s">
        <v>133</v>
      </c>
      <c r="C868" s="4">
        <v>0.50016547600000005</v>
      </c>
      <c r="D868" s="4">
        <v>0.61774072899999999</v>
      </c>
      <c r="E868">
        <v>5</v>
      </c>
      <c r="F868" s="1">
        <v>5.0955414012738851</v>
      </c>
      <c r="G868" s="2">
        <f t="shared" si="68"/>
        <v>20.392503735419968</v>
      </c>
      <c r="H868" s="2">
        <f t="shared" si="69"/>
        <v>4.8581644105354611</v>
      </c>
      <c r="I868" s="2">
        <f t="shared" si="65"/>
        <v>809.69406842257683</v>
      </c>
      <c r="J868" s="4">
        <f t="shared" si="67"/>
        <v>9.4400794880116834</v>
      </c>
      <c r="K868" s="4">
        <f t="shared" si="66"/>
        <v>1573.3465813352805</v>
      </c>
      <c r="L868">
        <v>6</v>
      </c>
    </row>
    <row r="869" spans="1:12" hidden="1" x14ac:dyDescent="0.3">
      <c r="A869" t="s">
        <v>138</v>
      </c>
      <c r="B869" t="s">
        <v>133</v>
      </c>
      <c r="C869" s="4">
        <v>0.50016547600000005</v>
      </c>
      <c r="D869" s="4">
        <v>0.61774072899999999</v>
      </c>
      <c r="E869">
        <v>8</v>
      </c>
      <c r="F869" s="1">
        <v>9.872611464968152</v>
      </c>
      <c r="G869" s="2">
        <f t="shared" si="68"/>
        <v>76.55154722554137</v>
      </c>
      <c r="H869" s="2">
        <f t="shared" si="69"/>
        <v>27.950471049471098</v>
      </c>
      <c r="I869" s="2">
        <f t="shared" si="65"/>
        <v>4658.411841578516</v>
      </c>
      <c r="J869" s="4">
        <f t="shared" si="67"/>
        <v>11.714816799870176</v>
      </c>
      <c r="K869" s="4">
        <f t="shared" si="66"/>
        <v>1952.4694666450293</v>
      </c>
      <c r="L869">
        <v>6</v>
      </c>
    </row>
    <row r="870" spans="1:12" hidden="1" x14ac:dyDescent="0.3">
      <c r="A870" t="s">
        <v>139</v>
      </c>
      <c r="B870" t="s">
        <v>26</v>
      </c>
      <c r="C870" s="4">
        <v>0.80908761900000004</v>
      </c>
      <c r="D870" s="4">
        <v>0.87473809499999999</v>
      </c>
      <c r="E870">
        <v>10</v>
      </c>
      <c r="F870" s="1">
        <v>14.012738853503183</v>
      </c>
      <c r="G870" s="2">
        <f t="shared" si="68"/>
        <v>154.2183094991135</v>
      </c>
      <c r="H870" s="2">
        <f t="shared" si="69"/>
        <v>96.672062250927738</v>
      </c>
      <c r="I870" s="2">
        <f t="shared" si="65"/>
        <v>16112.010375154621</v>
      </c>
      <c r="J870" s="4">
        <f t="shared" si="67"/>
        <v>15.858189756176719</v>
      </c>
      <c r="K870" s="4">
        <f t="shared" si="66"/>
        <v>2643.031626029453</v>
      </c>
      <c r="L870">
        <v>6</v>
      </c>
    </row>
    <row r="871" spans="1:12" hidden="1" x14ac:dyDescent="0.3">
      <c r="A871" t="s">
        <v>139</v>
      </c>
      <c r="B871" t="s">
        <v>26</v>
      </c>
      <c r="C871" s="4">
        <v>0.80908761900000004</v>
      </c>
      <c r="D871" s="4">
        <v>0.87473809499999999</v>
      </c>
      <c r="E871">
        <v>10</v>
      </c>
      <c r="F871" s="1">
        <v>14.968152866242038</v>
      </c>
      <c r="G871" s="2">
        <f t="shared" si="68"/>
        <v>175.96500293571373</v>
      </c>
      <c r="H871" s="2">
        <f t="shared" si="69"/>
        <v>109.95535307601384</v>
      </c>
      <c r="I871" s="2">
        <f t="shared" si="65"/>
        <v>18325.892179335639</v>
      </c>
      <c r="J871" s="4">
        <f t="shared" si="67"/>
        <v>16.827296007951642</v>
      </c>
      <c r="K871" s="4">
        <f t="shared" si="66"/>
        <v>2804.5493346586068</v>
      </c>
      <c r="L871">
        <v>6</v>
      </c>
    </row>
    <row r="872" spans="1:12" hidden="1" x14ac:dyDescent="0.3">
      <c r="A872" t="s">
        <v>139</v>
      </c>
      <c r="B872" t="s">
        <v>85</v>
      </c>
      <c r="C872" s="4">
        <v>0.6</v>
      </c>
      <c r="D872" s="4">
        <v>0.66674999999999995</v>
      </c>
      <c r="E872">
        <v>6</v>
      </c>
      <c r="F872" s="1">
        <v>6.0509554140127388</v>
      </c>
      <c r="G872" s="2">
        <f t="shared" si="68"/>
        <v>28.756616595650822</v>
      </c>
      <c r="H872" s="2">
        <f t="shared" si="69"/>
        <v>8.7457881341726136</v>
      </c>
      <c r="I872" s="2">
        <f t="shared" si="65"/>
        <v>1457.6313556954356</v>
      </c>
      <c r="J872" s="4">
        <f t="shared" si="67"/>
        <v>9.754595289869771</v>
      </c>
      <c r="K872" s="4">
        <f t="shared" si="66"/>
        <v>1625.7658816449618</v>
      </c>
      <c r="L872">
        <v>6</v>
      </c>
    </row>
    <row r="873" spans="1:12" hidden="1" x14ac:dyDescent="0.3">
      <c r="A873" t="s">
        <v>139</v>
      </c>
      <c r="B873" t="s">
        <v>85</v>
      </c>
      <c r="C873" s="4">
        <v>0.6</v>
      </c>
      <c r="D873" s="4">
        <v>0.66674999999999995</v>
      </c>
      <c r="E873">
        <v>7</v>
      </c>
      <c r="F873" s="1">
        <v>8.2802547770700627</v>
      </c>
      <c r="G873" s="2">
        <f t="shared" si="68"/>
        <v>53.848955176343352</v>
      </c>
      <c r="H873" s="2">
        <f t="shared" si="69"/>
        <v>18.751670593780787</v>
      </c>
      <c r="I873" s="2">
        <f t="shared" si="65"/>
        <v>3125.2784322967977</v>
      </c>
      <c r="J873" s="4">
        <f t="shared" si="67"/>
        <v>10.665484169743193</v>
      </c>
      <c r="K873" s="4">
        <f t="shared" si="66"/>
        <v>1777.5806949571988</v>
      </c>
      <c r="L873">
        <v>6</v>
      </c>
    </row>
    <row r="874" spans="1:12" hidden="1" x14ac:dyDescent="0.3">
      <c r="A874" t="s">
        <v>139</v>
      </c>
      <c r="B874" t="s">
        <v>18</v>
      </c>
      <c r="C874" s="4">
        <v>0.45255480399999998</v>
      </c>
      <c r="D874" s="4">
        <v>0.57808694400000005</v>
      </c>
      <c r="E874">
        <v>5</v>
      </c>
      <c r="F874" s="1">
        <v>11.464968152866241</v>
      </c>
      <c r="G874" s="2">
        <f t="shared" si="68"/>
        <v>103.2370501605636</v>
      </c>
      <c r="H874" s="2">
        <f t="shared" si="69"/>
        <v>22.172308981823207</v>
      </c>
      <c r="I874" s="2">
        <f t="shared" si="65"/>
        <v>3695.3848303038681</v>
      </c>
      <c r="J874" s="4">
        <f t="shared" si="67"/>
        <v>11.285996158059149</v>
      </c>
      <c r="K874" s="4">
        <f t="shared" si="66"/>
        <v>1880.9993596765246</v>
      </c>
      <c r="L874">
        <v>6</v>
      </c>
    </row>
    <row r="875" spans="1:12" hidden="1" x14ac:dyDescent="0.3">
      <c r="A875" t="s">
        <v>139</v>
      </c>
      <c r="B875" t="s">
        <v>18</v>
      </c>
      <c r="C875" s="4">
        <v>0.45255480399999998</v>
      </c>
      <c r="D875" s="4">
        <v>0.57808694400000005</v>
      </c>
      <c r="E875">
        <v>5</v>
      </c>
      <c r="F875" s="1">
        <v>3.1847133757961781</v>
      </c>
      <c r="G875" s="2">
        <f t="shared" si="68"/>
        <v>7.9658217716484252</v>
      </c>
      <c r="H875" s="2">
        <f t="shared" si="69"/>
        <v>1.8193172635552548</v>
      </c>
      <c r="I875" s="2">
        <f t="shared" si="65"/>
        <v>303.21954392587583</v>
      </c>
      <c r="J875" s="4">
        <f t="shared" si="67"/>
        <v>9.1631919875045629</v>
      </c>
      <c r="K875" s="4">
        <f t="shared" si="66"/>
        <v>1527.1986645840936</v>
      </c>
      <c r="L875">
        <v>6</v>
      </c>
    </row>
    <row r="876" spans="1:12" hidden="1" x14ac:dyDescent="0.3">
      <c r="A876" t="s">
        <v>139</v>
      </c>
      <c r="B876" t="s">
        <v>18</v>
      </c>
      <c r="C876" s="4">
        <v>0.45255480399999998</v>
      </c>
      <c r="D876" s="4">
        <v>0.57808694400000005</v>
      </c>
      <c r="E876">
        <v>4</v>
      </c>
      <c r="F876" s="1">
        <v>6.3694267515923562</v>
      </c>
      <c r="G876" s="2">
        <f t="shared" si="68"/>
        <v>31.863287086593701</v>
      </c>
      <c r="H876" s="2">
        <f t="shared" si="69"/>
        <v>5.661543120376396</v>
      </c>
      <c r="I876" s="2">
        <f t="shared" si="65"/>
        <v>943.59052006273259</v>
      </c>
      <c r="J876" s="4">
        <f t="shared" si="67"/>
        <v>9.5536743600146039</v>
      </c>
      <c r="K876" s="4">
        <f t="shared" si="66"/>
        <v>1592.2790600024339</v>
      </c>
      <c r="L876">
        <v>6</v>
      </c>
    </row>
    <row r="877" spans="1:12" hidden="1" x14ac:dyDescent="0.3">
      <c r="A877" t="s">
        <v>139</v>
      </c>
      <c r="B877" t="s">
        <v>122</v>
      </c>
      <c r="C877" s="4">
        <v>0.85750000000000004</v>
      </c>
      <c r="D877" s="4">
        <v>0.61247410899999999</v>
      </c>
      <c r="E877">
        <v>9</v>
      </c>
      <c r="F877" s="1">
        <v>17.834394904458598</v>
      </c>
      <c r="G877" s="2">
        <f t="shared" si="68"/>
        <v>249.80817075889462</v>
      </c>
      <c r="H877" s="2">
        <f t="shared" si="69"/>
        <v>98.6301600943724</v>
      </c>
      <c r="I877" s="2">
        <f t="shared" si="65"/>
        <v>16438.360015728733</v>
      </c>
      <c r="J877" s="4">
        <f t="shared" si="67"/>
        <v>19.004767710657632</v>
      </c>
      <c r="K877" s="4">
        <f t="shared" si="66"/>
        <v>3167.4612851096049</v>
      </c>
      <c r="L877">
        <v>6</v>
      </c>
    </row>
    <row r="878" spans="1:12" hidden="1" x14ac:dyDescent="0.3">
      <c r="A878" t="s">
        <v>139</v>
      </c>
      <c r="B878" t="s">
        <v>122</v>
      </c>
      <c r="C878" s="4">
        <v>0.85750000000000004</v>
      </c>
      <c r="D878" s="4">
        <v>0.61247410899999999</v>
      </c>
      <c r="E878">
        <v>8.5</v>
      </c>
      <c r="F878" s="1">
        <v>15.923566878980891</v>
      </c>
      <c r="G878" s="2">
        <f t="shared" si="68"/>
        <v>199.14554429121063</v>
      </c>
      <c r="H878" s="2">
        <f t="shared" si="69"/>
        <v>74.766721968658075</v>
      </c>
      <c r="I878" s="2">
        <f t="shared" si="65"/>
        <v>12461.12032810968</v>
      </c>
      <c r="J878" s="4">
        <f t="shared" si="67"/>
        <v>16.529109468943972</v>
      </c>
      <c r="K878" s="4">
        <f t="shared" si="66"/>
        <v>2754.8515781573283</v>
      </c>
      <c r="L878">
        <v>6</v>
      </c>
    </row>
    <row r="879" spans="1:12" hidden="1" x14ac:dyDescent="0.3">
      <c r="A879" t="s">
        <v>139</v>
      </c>
      <c r="B879" t="s">
        <v>122</v>
      </c>
      <c r="C879" s="4">
        <v>0.85750000000000004</v>
      </c>
      <c r="D879" s="4">
        <v>0.61247410899999999</v>
      </c>
      <c r="E879">
        <v>8.5</v>
      </c>
      <c r="F879" s="1">
        <v>36.942675159235669</v>
      </c>
      <c r="G879" s="2">
        <f t="shared" si="68"/>
        <v>1071.8809775930124</v>
      </c>
      <c r="H879" s="2">
        <f t="shared" si="69"/>
        <v>386.49233614245384</v>
      </c>
      <c r="I879" s="2">
        <f t="shared" si="65"/>
        <v>64415.389357075641</v>
      </c>
      <c r="J879" s="4">
        <f t="shared" si="67"/>
        <v>49.587347125644051</v>
      </c>
      <c r="K879" s="4">
        <f t="shared" si="66"/>
        <v>8264.5578542740095</v>
      </c>
      <c r="L879">
        <v>6</v>
      </c>
    </row>
    <row r="880" spans="1:12" hidden="1" x14ac:dyDescent="0.3">
      <c r="A880" t="s">
        <v>139</v>
      </c>
      <c r="B880" t="s">
        <v>122</v>
      </c>
      <c r="C880" s="4">
        <v>0.85750000000000004</v>
      </c>
      <c r="D880" s="4">
        <v>0.61247410899999999</v>
      </c>
      <c r="E880">
        <v>9.5</v>
      </c>
      <c r="F880" s="1">
        <v>28.025477707006367</v>
      </c>
      <c r="G880" s="2">
        <f t="shared" si="68"/>
        <v>616.87323799645401</v>
      </c>
      <c r="H880" s="2">
        <f t="shared" si="69"/>
        <v>251.24326867023203</v>
      </c>
      <c r="I880" s="2">
        <f t="shared" si="65"/>
        <v>41873.878111705337</v>
      </c>
      <c r="J880" s="4">
        <f t="shared" si="67"/>
        <v>35.10116107347153</v>
      </c>
      <c r="K880" s="4">
        <f t="shared" si="66"/>
        <v>5850.1935122452551</v>
      </c>
      <c r="L880">
        <v>6</v>
      </c>
    </row>
    <row r="881" spans="1:12" hidden="1" x14ac:dyDescent="0.3">
      <c r="A881" t="s">
        <v>139</v>
      </c>
      <c r="B881" t="s">
        <v>122</v>
      </c>
      <c r="C881" s="4">
        <v>0.85750000000000004</v>
      </c>
      <c r="D881" s="4">
        <v>0.61247410899999999</v>
      </c>
      <c r="E881">
        <v>9</v>
      </c>
      <c r="F881" s="1">
        <v>29.936305732484076</v>
      </c>
      <c r="G881" s="2">
        <f t="shared" si="68"/>
        <v>703.86001174285491</v>
      </c>
      <c r="H881" s="2">
        <f t="shared" si="69"/>
        <v>271.07675588415503</v>
      </c>
      <c r="I881" s="2">
        <f t="shared" si="65"/>
        <v>45179.459314025844</v>
      </c>
      <c r="J881" s="4">
        <f t="shared" si="67"/>
        <v>37.215445628625908</v>
      </c>
      <c r="K881" s="4">
        <f t="shared" si="66"/>
        <v>6202.5742714376511</v>
      </c>
      <c r="L881">
        <v>6</v>
      </c>
    </row>
    <row r="882" spans="1:12" hidden="1" x14ac:dyDescent="0.3">
      <c r="A882" t="s">
        <v>139</v>
      </c>
      <c r="B882" t="s">
        <v>122</v>
      </c>
      <c r="C882" s="4">
        <v>0.85750000000000004</v>
      </c>
      <c r="D882" s="4">
        <v>0.61247410899999999</v>
      </c>
      <c r="E882">
        <v>9</v>
      </c>
      <c r="F882" s="1">
        <v>14.012738853503183</v>
      </c>
      <c r="G882" s="2">
        <f t="shared" si="68"/>
        <v>154.2183094991135</v>
      </c>
      <c r="H882" s="2">
        <f t="shared" si="69"/>
        <v>61.597960624070225</v>
      </c>
      <c r="I882" s="2">
        <f t="shared" si="65"/>
        <v>10266.326770678372</v>
      </c>
      <c r="J882" s="4">
        <f t="shared" si="67"/>
        <v>15.170940780559047</v>
      </c>
      <c r="K882" s="4">
        <f t="shared" si="66"/>
        <v>2528.4901300931747</v>
      </c>
      <c r="L882">
        <v>6</v>
      </c>
    </row>
    <row r="883" spans="1:12" hidden="1" x14ac:dyDescent="0.3">
      <c r="A883" t="s">
        <v>139</v>
      </c>
      <c r="B883" t="s">
        <v>122</v>
      </c>
      <c r="C883" s="4">
        <v>0.85750000000000004</v>
      </c>
      <c r="D883" s="4">
        <v>0.61247410899999999</v>
      </c>
      <c r="E883">
        <v>8</v>
      </c>
      <c r="F883" s="1">
        <v>24.840764331210192</v>
      </c>
      <c r="G883" s="2">
        <f t="shared" si="68"/>
        <v>484.64059658709033</v>
      </c>
      <c r="H883" s="2">
        <f t="shared" si="69"/>
        <v>167.87673413838968</v>
      </c>
      <c r="I883" s="2">
        <f t="shared" si="65"/>
        <v>27979.455689731611</v>
      </c>
      <c r="J883" s="4">
        <f t="shared" si="67"/>
        <v>26.263480031644285</v>
      </c>
      <c r="K883" s="4">
        <f t="shared" si="66"/>
        <v>4377.2466719407139</v>
      </c>
      <c r="L883">
        <v>6</v>
      </c>
    </row>
    <row r="884" spans="1:12" hidden="1" x14ac:dyDescent="0.3">
      <c r="A884" t="s">
        <v>139</v>
      </c>
      <c r="B884" t="s">
        <v>122</v>
      </c>
      <c r="C884" s="4">
        <v>0.85750000000000004</v>
      </c>
      <c r="D884" s="4">
        <v>0.61247410899999999</v>
      </c>
      <c r="E884">
        <v>8</v>
      </c>
      <c r="F884" s="1">
        <v>11.464968152866241</v>
      </c>
      <c r="G884" s="2">
        <f t="shared" si="68"/>
        <v>103.2370501605636</v>
      </c>
      <c r="H884" s="2">
        <f t="shared" si="69"/>
        <v>37.112851932332291</v>
      </c>
      <c r="I884" s="2">
        <f t="shared" si="65"/>
        <v>6185.4753220553821</v>
      </c>
      <c r="J884" s="4">
        <f t="shared" si="67"/>
        <v>12.666173852894641</v>
      </c>
      <c r="K884" s="4">
        <f t="shared" si="66"/>
        <v>2111.0289754824403</v>
      </c>
      <c r="L884">
        <v>6</v>
      </c>
    </row>
    <row r="885" spans="1:12" hidden="1" x14ac:dyDescent="0.3">
      <c r="A885" t="s">
        <v>139</v>
      </c>
      <c r="B885" t="s">
        <v>20</v>
      </c>
      <c r="C885" s="4">
        <v>0.74387999999999999</v>
      </c>
      <c r="D885" s="4">
        <v>0.59130000000000005</v>
      </c>
      <c r="E885">
        <v>2.5</v>
      </c>
      <c r="F885" s="1">
        <v>4.1401273885350314</v>
      </c>
      <c r="G885" s="2">
        <f t="shared" si="68"/>
        <v>13.462238794085838</v>
      </c>
      <c r="H885" s="2">
        <f t="shared" si="69"/>
        <v>1.5779736734154577</v>
      </c>
      <c r="I885" s="2">
        <f t="shared" si="65"/>
        <v>262.99561223590962</v>
      </c>
      <c r="J885" s="4">
        <f t="shared" si="67"/>
        <v>9.135680729441356</v>
      </c>
      <c r="K885" s="4">
        <f t="shared" si="66"/>
        <v>1522.6134549068927</v>
      </c>
      <c r="L885">
        <v>6</v>
      </c>
    </row>
    <row r="886" spans="1:12" x14ac:dyDescent="0.3">
      <c r="A886" t="s">
        <v>140</v>
      </c>
      <c r="B886" t="s">
        <v>52</v>
      </c>
      <c r="C886" s="4">
        <v>0.78445916699999996</v>
      </c>
      <c r="D886" s="4">
        <v>0.87841666699999998</v>
      </c>
      <c r="E886">
        <v>3</v>
      </c>
      <c r="F886" s="1">
        <v>4.1401273885350314</v>
      </c>
      <c r="G886" s="2">
        <f t="shared" si="68"/>
        <v>13.462238794085838</v>
      </c>
      <c r="H886" s="2">
        <f t="shared" si="69"/>
        <v>2.7742648112459998</v>
      </c>
      <c r="I886" s="2">
        <f t="shared" si="65"/>
        <v>554.85296224919989</v>
      </c>
      <c r="J886" s="4">
        <f t="shared" si="67"/>
        <v>9.1656768753296269</v>
      </c>
      <c r="K886" s="4">
        <f t="shared" si="66"/>
        <v>1833.1353750659255</v>
      </c>
      <c r="L886">
        <v>5</v>
      </c>
    </row>
    <row r="887" spans="1:12" x14ac:dyDescent="0.3">
      <c r="A887" t="s">
        <v>140</v>
      </c>
      <c r="B887" t="s">
        <v>124</v>
      </c>
      <c r="C887" s="4">
        <v>0.64800000000000002</v>
      </c>
      <c r="D887" s="4">
        <v>0.66733333299999997</v>
      </c>
      <c r="E887">
        <v>4.5</v>
      </c>
      <c r="F887" s="1">
        <v>4.7770700636942669</v>
      </c>
      <c r="G887" s="2">
        <f t="shared" si="68"/>
        <v>17.923098986208956</v>
      </c>
      <c r="H887" s="2">
        <f t="shared" si="69"/>
        <v>4.1670866658056926</v>
      </c>
      <c r="I887" s="2">
        <f t="shared" si="65"/>
        <v>833.41733316113857</v>
      </c>
      <c r="J887" s="4">
        <f t="shared" si="67"/>
        <v>9.3451212746967425</v>
      </c>
      <c r="K887" s="4">
        <f t="shared" si="66"/>
        <v>1869.0242549393486</v>
      </c>
      <c r="L887">
        <v>5</v>
      </c>
    </row>
    <row r="888" spans="1:12" x14ac:dyDescent="0.3">
      <c r="A888" t="s">
        <v>140</v>
      </c>
      <c r="B888" t="s">
        <v>85</v>
      </c>
      <c r="C888" s="4">
        <v>0.6</v>
      </c>
      <c r="D888" s="4">
        <v>0.66674999999999995</v>
      </c>
      <c r="E888">
        <v>3</v>
      </c>
      <c r="F888" s="1">
        <v>9.872611464968152</v>
      </c>
      <c r="G888" s="2">
        <f t="shared" si="68"/>
        <v>76.55154722554137</v>
      </c>
      <c r="H888" s="2">
        <f t="shared" si="69"/>
        <v>11.561246844879847</v>
      </c>
      <c r="I888" s="2">
        <f t="shared" si="65"/>
        <v>2312.2493689759694</v>
      </c>
      <c r="J888" s="4">
        <f t="shared" si="67"/>
        <v>10.009118799951317</v>
      </c>
      <c r="K888" s="4">
        <f t="shared" si="66"/>
        <v>2001.8237599902634</v>
      </c>
      <c r="L888">
        <v>5</v>
      </c>
    </row>
    <row r="889" spans="1:12" x14ac:dyDescent="0.3">
      <c r="A889" t="s">
        <v>140</v>
      </c>
      <c r="B889" t="s">
        <v>85</v>
      </c>
      <c r="C889" s="4">
        <v>0.6</v>
      </c>
      <c r="D889" s="4">
        <v>0.66674999999999995</v>
      </c>
      <c r="E889">
        <v>7</v>
      </c>
      <c r="F889" s="1">
        <v>13.694267515923567</v>
      </c>
      <c r="G889" s="2">
        <f t="shared" si="68"/>
        <v>147.28804455777941</v>
      </c>
      <c r="H889" s="2">
        <f t="shared" si="69"/>
        <v>50.065944697338814</v>
      </c>
      <c r="I889" s="2">
        <f t="shared" si="65"/>
        <v>10013.188939467762</v>
      </c>
      <c r="J889" s="4">
        <f t="shared" si="67"/>
        <v>13.580257588543144</v>
      </c>
      <c r="K889" s="4">
        <f t="shared" si="66"/>
        <v>2716.051517708629</v>
      </c>
      <c r="L889">
        <v>5</v>
      </c>
    </row>
    <row r="890" spans="1:12" x14ac:dyDescent="0.3">
      <c r="A890" t="s">
        <v>140</v>
      </c>
      <c r="B890" t="s">
        <v>141</v>
      </c>
      <c r="C890" s="4">
        <v>0.83069230800000005</v>
      </c>
      <c r="D890" s="4">
        <v>0.78683697699999999</v>
      </c>
      <c r="E890">
        <v>5.5</v>
      </c>
      <c r="F890" s="1">
        <v>13.375796178343949</v>
      </c>
      <c r="G890" s="2">
        <f t="shared" si="68"/>
        <v>140.51709605187824</v>
      </c>
      <c r="H890" s="2">
        <f t="shared" si="69"/>
        <v>44.418973488799629</v>
      </c>
      <c r="I890" s="2">
        <f t="shared" si="65"/>
        <v>8883.7946977599258</v>
      </c>
      <c r="J890" s="4">
        <f t="shared" si="67"/>
        <v>12.429754525538561</v>
      </c>
      <c r="K890" s="4">
        <f t="shared" si="66"/>
        <v>2485.9509051077121</v>
      </c>
      <c r="L890">
        <v>5</v>
      </c>
    </row>
    <row r="891" spans="1:12" x14ac:dyDescent="0.3">
      <c r="A891" t="s">
        <v>140</v>
      </c>
      <c r="B891" t="s">
        <v>141</v>
      </c>
      <c r="C891" s="4">
        <v>0.83069230800000005</v>
      </c>
      <c r="D891" s="4">
        <v>0.78683697699999999</v>
      </c>
      <c r="E891">
        <v>5.5</v>
      </c>
      <c r="F891" s="1">
        <v>11.146496815286623</v>
      </c>
      <c r="G891" s="2">
        <f t="shared" si="68"/>
        <v>97.581316702693215</v>
      </c>
      <c r="H891" s="2">
        <f t="shared" si="69"/>
        <v>31.117645264060414</v>
      </c>
      <c r="I891" s="2">
        <f t="shared" si="65"/>
        <v>6223.5290528120831</v>
      </c>
      <c r="J891" s="4">
        <f t="shared" si="67"/>
        <v>11.377404531624</v>
      </c>
      <c r="K891" s="4">
        <f t="shared" si="66"/>
        <v>2275.4809063248003</v>
      </c>
      <c r="L891">
        <v>5</v>
      </c>
    </row>
    <row r="892" spans="1:12" x14ac:dyDescent="0.3">
      <c r="A892" t="s">
        <v>140</v>
      </c>
      <c r="B892" t="s">
        <v>37</v>
      </c>
      <c r="C892" s="4">
        <v>0.39790071399999999</v>
      </c>
      <c r="D892" s="4">
        <v>0.50565277799999997</v>
      </c>
      <c r="E892">
        <v>8</v>
      </c>
      <c r="F892" s="1">
        <v>21.97452229299363</v>
      </c>
      <c r="G892" s="2">
        <f t="shared" si="68"/>
        <v>379.25277454818155</v>
      </c>
      <c r="H892" s="2">
        <f t="shared" si="69"/>
        <v>109.60177399415258</v>
      </c>
      <c r="I892" s="2">
        <f t="shared" si="65"/>
        <v>21920.354798830514</v>
      </c>
      <c r="J892" s="4">
        <f t="shared" si="67"/>
        <v>22.506329640147673</v>
      </c>
      <c r="K892" s="4">
        <f t="shared" si="66"/>
        <v>4501.2659280295347</v>
      </c>
      <c r="L892">
        <v>5</v>
      </c>
    </row>
    <row r="893" spans="1:12" x14ac:dyDescent="0.3">
      <c r="A893" t="s">
        <v>140</v>
      </c>
      <c r="B893" t="s">
        <v>61</v>
      </c>
      <c r="C893" s="4">
        <v>0.9</v>
      </c>
      <c r="D893" s="4">
        <v>0.61247410899999999</v>
      </c>
      <c r="E893">
        <v>3</v>
      </c>
      <c r="F893" s="1">
        <v>3.1847133757961781</v>
      </c>
      <c r="G893" s="2">
        <f t="shared" si="68"/>
        <v>7.9658217716484252</v>
      </c>
      <c r="H893" s="2">
        <f t="shared" si="69"/>
        <v>1.1691665044901833</v>
      </c>
      <c r="I893" s="2">
        <f t="shared" si="65"/>
        <v>233.83330089803667</v>
      </c>
      <c r="J893" s="4">
        <f t="shared" si="67"/>
        <v>9.0921951925027376</v>
      </c>
      <c r="K893" s="4">
        <f t="shared" si="66"/>
        <v>1818.4390385005474</v>
      </c>
      <c r="L893">
        <v>5</v>
      </c>
    </row>
    <row r="894" spans="1:12" x14ac:dyDescent="0.3">
      <c r="A894" t="s">
        <v>140</v>
      </c>
      <c r="B894" t="s">
        <v>16</v>
      </c>
      <c r="C894" s="4">
        <v>0.89361000000000002</v>
      </c>
      <c r="D894" s="4">
        <v>0.61247410899999999</v>
      </c>
      <c r="E894">
        <v>5.5</v>
      </c>
      <c r="F894" s="1">
        <v>8.9171974522292992</v>
      </c>
      <c r="G894" s="2">
        <f t="shared" si="68"/>
        <v>62.452042689723655</v>
      </c>
      <c r="H894" s="2">
        <f t="shared" si="69"/>
        <v>15.763493871874481</v>
      </c>
      <c r="I894" s="2">
        <f t="shared" si="65"/>
        <v>3152.6987743748959</v>
      </c>
      <c r="J894" s="4">
        <f t="shared" si="67"/>
        <v>10.51639090023936</v>
      </c>
      <c r="K894" s="4">
        <f t="shared" si="66"/>
        <v>2103.278180047872</v>
      </c>
      <c r="L894">
        <v>5</v>
      </c>
    </row>
    <row r="895" spans="1:12" x14ac:dyDescent="0.3">
      <c r="A895" t="s">
        <v>140</v>
      </c>
      <c r="B895" t="s">
        <v>16</v>
      </c>
      <c r="C895" s="4">
        <v>0.89361000000000002</v>
      </c>
      <c r="D895" s="4">
        <v>0.61247410899999999</v>
      </c>
      <c r="E895">
        <v>4.5</v>
      </c>
      <c r="F895" s="1">
        <v>9.872611464968152</v>
      </c>
      <c r="G895" s="2">
        <f t="shared" si="68"/>
        <v>76.55154722554137</v>
      </c>
      <c r="H895" s="2">
        <f t="shared" si="69"/>
        <v>15.80809218863396</v>
      </c>
      <c r="I895" s="2">
        <f t="shared" si="65"/>
        <v>3161.6184377267919</v>
      </c>
      <c r="J895" s="4">
        <f t="shared" si="67"/>
        <v>10.520828199926974</v>
      </c>
      <c r="K895" s="4">
        <f t="shared" si="66"/>
        <v>2104.165639985395</v>
      </c>
      <c r="L895">
        <v>5</v>
      </c>
    </row>
    <row r="896" spans="1:12" x14ac:dyDescent="0.3">
      <c r="A896" t="s">
        <v>140</v>
      </c>
      <c r="B896" t="s">
        <v>16</v>
      </c>
      <c r="C896" s="4">
        <v>0.89361000000000002</v>
      </c>
      <c r="D896" s="4">
        <v>0.61247410899999999</v>
      </c>
      <c r="E896">
        <v>5</v>
      </c>
      <c r="F896" s="1">
        <v>6.6878980891719744</v>
      </c>
      <c r="G896" s="2">
        <f t="shared" si="68"/>
        <v>35.12927401296956</v>
      </c>
      <c r="H896" s="2">
        <f t="shared" si="69"/>
        <v>8.1916767748407242</v>
      </c>
      <c r="I896" s="2">
        <f t="shared" si="65"/>
        <v>1638.3353549681449</v>
      </c>
      <c r="J896" s="4">
        <f t="shared" si="67"/>
        <v>9.7684396648951264</v>
      </c>
      <c r="K896" s="4">
        <f t="shared" si="66"/>
        <v>1953.6879329790252</v>
      </c>
      <c r="L896">
        <v>5</v>
      </c>
    </row>
    <row r="897" spans="1:12" x14ac:dyDescent="0.3">
      <c r="A897" t="s">
        <v>140</v>
      </c>
      <c r="B897" t="s">
        <v>16</v>
      </c>
      <c r="C897" s="4">
        <v>0.89361000000000002</v>
      </c>
      <c r="D897" s="4">
        <v>0.61247410899999999</v>
      </c>
      <c r="E897">
        <v>4.5</v>
      </c>
      <c r="F897" s="1">
        <v>7.3248407643312099</v>
      </c>
      <c r="G897" s="2">
        <f t="shared" si="68"/>
        <v>42.139197172020175</v>
      </c>
      <c r="H897" s="2">
        <f t="shared" si="69"/>
        <v>8.8274277055221724</v>
      </c>
      <c r="I897" s="2">
        <f t="shared" si="65"/>
        <v>1765.4855411044343</v>
      </c>
      <c r="J897" s="4">
        <f t="shared" si="67"/>
        <v>9.8307393525092284</v>
      </c>
      <c r="K897" s="4">
        <f t="shared" si="66"/>
        <v>1966.1478705018458</v>
      </c>
      <c r="L897">
        <v>5</v>
      </c>
    </row>
    <row r="898" spans="1:12" x14ac:dyDescent="0.3">
      <c r="A898" t="s">
        <v>140</v>
      </c>
      <c r="B898" t="s">
        <v>18</v>
      </c>
      <c r="C898" s="4">
        <v>0.45255480399999998</v>
      </c>
      <c r="D898" s="4">
        <v>0.57808694400000005</v>
      </c>
      <c r="E898">
        <v>5.5</v>
      </c>
      <c r="F898" s="1">
        <v>14.331210191082802</v>
      </c>
      <c r="G898" s="2">
        <f t="shared" si="68"/>
        <v>161.30789087588062</v>
      </c>
      <c r="H898" s="2">
        <f t="shared" si="69"/>
        <v>37.616512446024387</v>
      </c>
      <c r="I898" s="2">
        <f t="shared" ref="I898:I961" si="70">(H898*1000)/L898</f>
        <v>7523.3024892048779</v>
      </c>
      <c r="J898" s="4">
        <f t="shared" si="67"/>
        <v>12.939334021664163</v>
      </c>
      <c r="K898" s="4">
        <f t="shared" ref="K898:K961" si="71">(J898*1000)/L898</f>
        <v>2587.8668043328325</v>
      </c>
      <c r="L898">
        <v>5</v>
      </c>
    </row>
    <row r="899" spans="1:12" x14ac:dyDescent="0.3">
      <c r="A899" t="s">
        <v>140</v>
      </c>
      <c r="B899" t="s">
        <v>66</v>
      </c>
      <c r="C899" s="4">
        <v>0.62643652800000005</v>
      </c>
      <c r="D899" s="4">
        <v>0.57808694400000005</v>
      </c>
      <c r="E899">
        <v>6.5</v>
      </c>
      <c r="F899" s="1">
        <v>12.420382165605096</v>
      </c>
      <c r="G899" s="2">
        <f t="shared" si="68"/>
        <v>121.16014914677258</v>
      </c>
      <c r="H899" s="2">
        <f t="shared" si="69"/>
        <v>33.48692468183652</v>
      </c>
      <c r="I899" s="2">
        <f t="shared" si="70"/>
        <v>6697.3849363673044</v>
      </c>
      <c r="J899" s="4">
        <f t="shared" ref="J899:J962" si="72">8.9857 + 0.0035 * F899^2 * E899</f>
        <v>12.495249068927745</v>
      </c>
      <c r="K899" s="4">
        <f t="shared" si="71"/>
        <v>2499.0498137855488</v>
      </c>
      <c r="L899">
        <v>5</v>
      </c>
    </row>
    <row r="900" spans="1:12" x14ac:dyDescent="0.3">
      <c r="A900" t="s">
        <v>140</v>
      </c>
      <c r="B900" t="s">
        <v>39</v>
      </c>
      <c r="C900" s="4">
        <v>0.590536375</v>
      </c>
      <c r="D900" s="4">
        <v>0.61247410899999999</v>
      </c>
      <c r="E900">
        <v>9</v>
      </c>
      <c r="F900" s="1">
        <v>15.286624203821656</v>
      </c>
      <c r="G900" s="2">
        <f t="shared" ref="G900:G963" si="73">PI()*(F900/2)^2</f>
        <v>183.53253361877975</v>
      </c>
      <c r="H900" s="2">
        <f t="shared" ref="H900:H963" si="74">0.0673 * ((D900 * F900^2 * E900)^0.976)</f>
        <v>73.001133696955748</v>
      </c>
      <c r="I900" s="2">
        <f t="shared" si="70"/>
        <v>14600.22673939115</v>
      </c>
      <c r="J900" s="4">
        <f t="shared" si="72"/>
        <v>16.34664770578928</v>
      </c>
      <c r="K900" s="4">
        <f t="shared" si="71"/>
        <v>3269.3295411578561</v>
      </c>
      <c r="L900">
        <v>5</v>
      </c>
    </row>
    <row r="901" spans="1:12" x14ac:dyDescent="0.3">
      <c r="A901" t="s">
        <v>140</v>
      </c>
      <c r="B901" t="s">
        <v>119</v>
      </c>
      <c r="C901" s="4">
        <v>0.432770245</v>
      </c>
      <c r="D901" s="4">
        <v>0.61247410899999999</v>
      </c>
      <c r="E901">
        <v>6.5</v>
      </c>
      <c r="F901" s="1">
        <v>21.019108280254777</v>
      </c>
      <c r="G901" s="2">
        <f t="shared" si="73"/>
        <v>346.99119637300544</v>
      </c>
      <c r="H901" s="2">
        <f t="shared" si="74"/>
        <v>98.937109573710401</v>
      </c>
      <c r="I901" s="2">
        <f t="shared" si="70"/>
        <v>19787.421914742081</v>
      </c>
      <c r="J901" s="4">
        <f t="shared" si="72"/>
        <v>19.036716268408455</v>
      </c>
      <c r="K901" s="4">
        <f t="shared" si="71"/>
        <v>3807.3432536816908</v>
      </c>
      <c r="L901">
        <v>5</v>
      </c>
    </row>
    <row r="902" spans="1:12" x14ac:dyDescent="0.3">
      <c r="A902" t="s">
        <v>140</v>
      </c>
      <c r="B902" t="s">
        <v>22</v>
      </c>
      <c r="C902" s="4">
        <v>0.43836446099999998</v>
      </c>
      <c r="D902" s="4">
        <v>0.58666666700000003</v>
      </c>
      <c r="E902">
        <v>5.5</v>
      </c>
      <c r="F902" s="1">
        <v>18.471337579617835</v>
      </c>
      <c r="G902" s="2">
        <f t="shared" si="73"/>
        <v>267.9702443982531</v>
      </c>
      <c r="H902" s="2">
        <f t="shared" si="74"/>
        <v>62.62732166939395</v>
      </c>
      <c r="I902" s="2">
        <f t="shared" si="70"/>
        <v>12525.46433387879</v>
      </c>
      <c r="J902" s="4">
        <f t="shared" si="72"/>
        <v>15.553613505618891</v>
      </c>
      <c r="K902" s="4">
        <f t="shared" si="71"/>
        <v>3110.7227011237783</v>
      </c>
      <c r="L902">
        <v>5</v>
      </c>
    </row>
    <row r="903" spans="1:12" x14ac:dyDescent="0.3">
      <c r="A903" t="s">
        <v>140</v>
      </c>
      <c r="B903" t="s">
        <v>22</v>
      </c>
      <c r="C903" s="4">
        <v>0.43836446099999998</v>
      </c>
      <c r="D903" s="4">
        <v>0.58666666700000003</v>
      </c>
      <c r="E903">
        <v>5</v>
      </c>
      <c r="F903" s="1">
        <v>21.97452229299363</v>
      </c>
      <c r="G903" s="2">
        <f t="shared" si="73"/>
        <v>379.25277454818155</v>
      </c>
      <c r="H903" s="2">
        <f t="shared" si="74"/>
        <v>80.091524435206765</v>
      </c>
      <c r="I903" s="2">
        <f t="shared" si="70"/>
        <v>16018.304887041353</v>
      </c>
      <c r="J903" s="4">
        <f t="shared" si="72"/>
        <v>17.436093525092296</v>
      </c>
      <c r="K903" s="4">
        <f t="shared" si="71"/>
        <v>3487.2187050184593</v>
      </c>
      <c r="L903">
        <v>5</v>
      </c>
    </row>
    <row r="904" spans="1:12" x14ac:dyDescent="0.3">
      <c r="A904" t="s">
        <v>142</v>
      </c>
      <c r="B904" t="s">
        <v>26</v>
      </c>
      <c r="C904" s="4">
        <v>0.80908761900000004</v>
      </c>
      <c r="D904" s="4">
        <v>0.87473809499999999</v>
      </c>
      <c r="E904">
        <v>15</v>
      </c>
      <c r="F904" s="1">
        <v>34.394904458598724</v>
      </c>
      <c r="G904" s="2">
        <f t="shared" si="73"/>
        <v>929.1334514450723</v>
      </c>
      <c r="H904" s="2">
        <f t="shared" si="74"/>
        <v>828.68522999626509</v>
      </c>
      <c r="I904" s="2">
        <f t="shared" si="70"/>
        <v>165737.04599925302</v>
      </c>
      <c r="J904" s="4">
        <f t="shared" si="72"/>
        <v>71.093696267597039</v>
      </c>
      <c r="K904" s="4">
        <f t="shared" si="71"/>
        <v>14218.739253519409</v>
      </c>
      <c r="L904">
        <v>5</v>
      </c>
    </row>
    <row r="905" spans="1:12" x14ac:dyDescent="0.3">
      <c r="A905" t="s">
        <v>142</v>
      </c>
      <c r="B905" t="s">
        <v>60</v>
      </c>
      <c r="C905" s="4">
        <v>0.41</v>
      </c>
      <c r="D905" s="4">
        <v>0.33983503399999998</v>
      </c>
      <c r="E905">
        <v>6</v>
      </c>
      <c r="F905" s="1">
        <v>24.68152866242038</v>
      </c>
      <c r="G905" s="2">
        <f t="shared" si="73"/>
        <v>478.44717015963357</v>
      </c>
      <c r="H905" s="2">
        <f t="shared" si="74"/>
        <v>70.456107838941392</v>
      </c>
      <c r="I905" s="2">
        <f t="shared" si="70"/>
        <v>14091.221567788278</v>
      </c>
      <c r="J905" s="4">
        <f t="shared" si="72"/>
        <v>21.778434999391454</v>
      </c>
      <c r="K905" s="4">
        <f t="shared" si="71"/>
        <v>4355.6869998782913</v>
      </c>
      <c r="L905">
        <v>5</v>
      </c>
    </row>
    <row r="906" spans="1:12" x14ac:dyDescent="0.3">
      <c r="A906" t="s">
        <v>142</v>
      </c>
      <c r="B906" t="s">
        <v>69</v>
      </c>
      <c r="C906" s="4">
        <v>0.31264018999999998</v>
      </c>
      <c r="D906" s="4">
        <v>0.356821212</v>
      </c>
      <c r="E906">
        <v>15</v>
      </c>
      <c r="F906" s="1">
        <v>6.6878980891719744</v>
      </c>
      <c r="G906" s="2">
        <f t="shared" si="73"/>
        <v>35.12927401296956</v>
      </c>
      <c r="H906" s="2">
        <f t="shared" si="74"/>
        <v>14.126591000181531</v>
      </c>
      <c r="I906" s="2">
        <f t="shared" si="70"/>
        <v>2825.3182000363058</v>
      </c>
      <c r="J906" s="4">
        <f t="shared" si="72"/>
        <v>11.333918994685382</v>
      </c>
      <c r="K906" s="4">
        <f t="shared" si="71"/>
        <v>2266.7837989370764</v>
      </c>
      <c r="L906">
        <v>5</v>
      </c>
    </row>
    <row r="907" spans="1:12" x14ac:dyDescent="0.3">
      <c r="A907" t="s">
        <v>142</v>
      </c>
      <c r="B907" t="s">
        <v>14</v>
      </c>
      <c r="C907" s="4">
        <v>0.766138345</v>
      </c>
      <c r="D907" s="4">
        <v>0.90500000000000003</v>
      </c>
      <c r="E907">
        <v>11</v>
      </c>
      <c r="F907" s="1">
        <v>25.477707006369425</v>
      </c>
      <c r="G907" s="2">
        <f t="shared" si="73"/>
        <v>509.81259338549921</v>
      </c>
      <c r="H907" s="2">
        <f t="shared" si="74"/>
        <v>352.31271712384233</v>
      </c>
      <c r="I907" s="2">
        <f t="shared" si="70"/>
        <v>70462.543424768461</v>
      </c>
      <c r="J907" s="4">
        <f t="shared" si="72"/>
        <v>33.97657184064262</v>
      </c>
      <c r="K907" s="4">
        <f t="shared" si="71"/>
        <v>6795.3143681285237</v>
      </c>
      <c r="L907">
        <v>5</v>
      </c>
    </row>
    <row r="908" spans="1:12" x14ac:dyDescent="0.3">
      <c r="A908" t="s">
        <v>142</v>
      </c>
      <c r="B908" t="s">
        <v>85</v>
      </c>
      <c r="C908" s="4">
        <v>0.6</v>
      </c>
      <c r="D908" s="4">
        <v>0.66674999999999995</v>
      </c>
      <c r="E908">
        <v>5.5</v>
      </c>
      <c r="F908" s="1">
        <v>8.4394904458598727</v>
      </c>
      <c r="G908" s="2">
        <f t="shared" si="73"/>
        <v>55.939983391401071</v>
      </c>
      <c r="H908" s="2">
        <f t="shared" si="74"/>
        <v>15.380350542407648</v>
      </c>
      <c r="I908" s="2">
        <f t="shared" si="70"/>
        <v>3076.0701084815296</v>
      </c>
      <c r="J908" s="4">
        <f t="shared" si="72"/>
        <v>10.356781230475882</v>
      </c>
      <c r="K908" s="4">
        <f t="shared" si="71"/>
        <v>2071.3562460951762</v>
      </c>
      <c r="L908">
        <v>5</v>
      </c>
    </row>
    <row r="909" spans="1:12" x14ac:dyDescent="0.3">
      <c r="A909" t="s">
        <v>142</v>
      </c>
      <c r="B909" t="s">
        <v>85</v>
      </c>
      <c r="C909" s="4">
        <v>0.6</v>
      </c>
      <c r="D909" s="4">
        <v>0.66674999999999995</v>
      </c>
      <c r="E909">
        <v>3.5</v>
      </c>
      <c r="F909" s="1">
        <v>8.598726114649681</v>
      </c>
      <c r="G909" s="2">
        <f t="shared" si="73"/>
        <v>58.070840715317019</v>
      </c>
      <c r="H909" s="2">
        <f t="shared" si="74"/>
        <v>10.261923715229413</v>
      </c>
      <c r="I909" s="2">
        <f t="shared" si="70"/>
        <v>2052.3847430458827</v>
      </c>
      <c r="J909" s="4">
        <f t="shared" si="72"/>
        <v>9.8914416122357895</v>
      </c>
      <c r="K909" s="4">
        <f t="shared" si="71"/>
        <v>1978.2883224471577</v>
      </c>
      <c r="L909">
        <v>5</v>
      </c>
    </row>
    <row r="910" spans="1:12" x14ac:dyDescent="0.3">
      <c r="A910" t="s">
        <v>142</v>
      </c>
      <c r="B910" t="s">
        <v>85</v>
      </c>
      <c r="C910" s="4">
        <v>0.6</v>
      </c>
      <c r="D910" s="4">
        <v>0.66674999999999995</v>
      </c>
      <c r="E910">
        <v>2.5</v>
      </c>
      <c r="F910" s="1">
        <v>4.936305732484076</v>
      </c>
      <c r="G910" s="2">
        <f t="shared" si="73"/>
        <v>19.137886806385342</v>
      </c>
      <c r="H910" s="2">
        <f t="shared" si="74"/>
        <v>2.5009973194349913</v>
      </c>
      <c r="I910" s="2">
        <f t="shared" si="70"/>
        <v>500.19946388699827</v>
      </c>
      <c r="J910" s="4">
        <f t="shared" si="72"/>
        <v>9.1989122499898563</v>
      </c>
      <c r="K910" s="4">
        <f t="shared" si="71"/>
        <v>1839.7824499979713</v>
      </c>
      <c r="L910">
        <v>5</v>
      </c>
    </row>
    <row r="911" spans="1:12" x14ac:dyDescent="0.3">
      <c r="A911" t="s">
        <v>142</v>
      </c>
      <c r="B911" t="s">
        <v>53</v>
      </c>
      <c r="C911" s="4">
        <v>0.63206279899999995</v>
      </c>
      <c r="D911" s="4">
        <v>0.75690909100000003</v>
      </c>
      <c r="E911">
        <v>2.5</v>
      </c>
      <c r="F911" s="1">
        <v>2.8662420382165603</v>
      </c>
      <c r="G911" s="2">
        <f t="shared" si="73"/>
        <v>6.4523156350352249</v>
      </c>
      <c r="H911" s="2">
        <f t="shared" si="74"/>
        <v>0.97954837885609358</v>
      </c>
      <c r="I911" s="2">
        <f t="shared" si="70"/>
        <v>195.9096757712187</v>
      </c>
      <c r="J911" s="4">
        <f t="shared" si="72"/>
        <v>9.0575842549393482</v>
      </c>
      <c r="K911" s="4">
        <f t="shared" si="71"/>
        <v>1811.5168509878695</v>
      </c>
      <c r="L911">
        <v>5</v>
      </c>
    </row>
    <row r="912" spans="1:12" x14ac:dyDescent="0.3">
      <c r="A912" t="s">
        <v>142</v>
      </c>
      <c r="B912" t="s">
        <v>53</v>
      </c>
      <c r="C912" s="4">
        <v>0.63206279899999995</v>
      </c>
      <c r="D912" s="4">
        <v>0.75690909100000003</v>
      </c>
      <c r="E912">
        <v>4.5</v>
      </c>
      <c r="F912" s="1">
        <v>6.8471337579617835</v>
      </c>
      <c r="G912" s="2">
        <f t="shared" si="73"/>
        <v>36.822011139444854</v>
      </c>
      <c r="H912" s="2">
        <f t="shared" si="74"/>
        <v>9.515034132069319</v>
      </c>
      <c r="I912" s="2">
        <f t="shared" si="70"/>
        <v>1903.0068264138638</v>
      </c>
      <c r="J912" s="4">
        <f t="shared" si="72"/>
        <v>9.7241110410158615</v>
      </c>
      <c r="K912" s="4">
        <f t="shared" si="71"/>
        <v>1944.8222082031723</v>
      </c>
      <c r="L912">
        <v>5</v>
      </c>
    </row>
    <row r="913" spans="1:12" x14ac:dyDescent="0.3">
      <c r="A913" t="s">
        <v>142</v>
      </c>
      <c r="B913" t="s">
        <v>53</v>
      </c>
      <c r="C913" s="4">
        <v>0.63206279899999995</v>
      </c>
      <c r="D913" s="4">
        <v>0.75690909100000003</v>
      </c>
      <c r="E913">
        <v>2.5</v>
      </c>
      <c r="F913" s="1">
        <v>4.1401273885350314</v>
      </c>
      <c r="G913" s="2">
        <f t="shared" si="73"/>
        <v>13.462238794085838</v>
      </c>
      <c r="H913" s="2">
        <f t="shared" si="74"/>
        <v>2.0079918024315337</v>
      </c>
      <c r="I913" s="2">
        <f t="shared" si="70"/>
        <v>401.59836048630672</v>
      </c>
      <c r="J913" s="4">
        <f t="shared" si="72"/>
        <v>9.135680729441356</v>
      </c>
      <c r="K913" s="4">
        <f t="shared" si="71"/>
        <v>1827.1361458882711</v>
      </c>
      <c r="L913">
        <v>5</v>
      </c>
    </row>
    <row r="914" spans="1:12" x14ac:dyDescent="0.3">
      <c r="A914" t="s">
        <v>142</v>
      </c>
      <c r="B914" t="s">
        <v>16</v>
      </c>
      <c r="C914" s="4">
        <v>0.89361000000000002</v>
      </c>
      <c r="D914" s="4">
        <v>0.61247410899999999</v>
      </c>
      <c r="E914">
        <v>7</v>
      </c>
      <c r="F914" s="1">
        <v>15.605095541401273</v>
      </c>
      <c r="G914" s="2">
        <f t="shared" si="73"/>
        <v>191.25938073727869</v>
      </c>
      <c r="H914" s="2">
        <f t="shared" si="74"/>
        <v>59.468153724357549</v>
      </c>
      <c r="I914" s="2">
        <f t="shared" si="70"/>
        <v>11893.630744871511</v>
      </c>
      <c r="J914" s="4">
        <f t="shared" si="72"/>
        <v>14.951915667978415</v>
      </c>
      <c r="K914" s="4">
        <f t="shared" si="71"/>
        <v>2990.3831335956829</v>
      </c>
      <c r="L914">
        <v>5</v>
      </c>
    </row>
    <row r="915" spans="1:12" x14ac:dyDescent="0.3">
      <c r="A915" t="s">
        <v>142</v>
      </c>
      <c r="B915" t="s">
        <v>16</v>
      </c>
      <c r="C915" s="4">
        <v>0.89361000000000002</v>
      </c>
      <c r="D915" s="4">
        <v>0.61247410899999999</v>
      </c>
      <c r="E915">
        <v>4.5</v>
      </c>
      <c r="F915" s="1">
        <v>6.5286624203821653</v>
      </c>
      <c r="G915" s="2">
        <f t="shared" si="73"/>
        <v>33.476365995352509</v>
      </c>
      <c r="H915" s="2">
        <f t="shared" si="74"/>
        <v>7.0515561809911071</v>
      </c>
      <c r="I915" s="2">
        <f t="shared" si="70"/>
        <v>1410.3112361982214</v>
      </c>
      <c r="J915" s="4">
        <f t="shared" si="72"/>
        <v>9.6570190697391372</v>
      </c>
      <c r="K915" s="4">
        <f t="shared" si="71"/>
        <v>1931.4038139478275</v>
      </c>
      <c r="L915">
        <v>5</v>
      </c>
    </row>
    <row r="916" spans="1:12" x14ac:dyDescent="0.3">
      <c r="A916" t="s">
        <v>142</v>
      </c>
      <c r="B916" t="s">
        <v>17</v>
      </c>
      <c r="C916" s="4">
        <v>0.708787469</v>
      </c>
      <c r="D916" s="4">
        <v>0.80167708299999996</v>
      </c>
      <c r="E916">
        <v>4</v>
      </c>
      <c r="F916" s="1">
        <v>8.2802547770700627</v>
      </c>
      <c r="G916" s="2">
        <f t="shared" si="73"/>
        <v>53.848955176343352</v>
      </c>
      <c r="H916" s="2">
        <f t="shared" si="74"/>
        <v>13.000210952588521</v>
      </c>
      <c r="I916" s="2">
        <f t="shared" si="70"/>
        <v>2600.0421905177041</v>
      </c>
      <c r="J916" s="4">
        <f t="shared" si="72"/>
        <v>9.9455766684246818</v>
      </c>
      <c r="K916" s="4">
        <f t="shared" si="71"/>
        <v>1989.1153336849361</v>
      </c>
      <c r="L916">
        <v>5</v>
      </c>
    </row>
    <row r="917" spans="1:12" x14ac:dyDescent="0.3">
      <c r="A917" t="s">
        <v>142</v>
      </c>
      <c r="B917" t="s">
        <v>17</v>
      </c>
      <c r="C917" s="4">
        <v>0.708787469</v>
      </c>
      <c r="D917" s="4">
        <v>0.80167708299999996</v>
      </c>
      <c r="E917">
        <v>4</v>
      </c>
      <c r="F917" s="1">
        <v>4.7770700636942669</v>
      </c>
      <c r="G917" s="2">
        <f t="shared" si="73"/>
        <v>17.923098986208956</v>
      </c>
      <c r="H917" s="2">
        <f t="shared" si="74"/>
        <v>4.4427570226702269</v>
      </c>
      <c r="I917" s="2">
        <f t="shared" si="70"/>
        <v>888.55140453404533</v>
      </c>
      <c r="J917" s="4">
        <f t="shared" si="72"/>
        <v>9.3051855775082153</v>
      </c>
      <c r="K917" s="4">
        <f t="shared" si="71"/>
        <v>1861.037115501643</v>
      </c>
      <c r="L917">
        <v>5</v>
      </c>
    </row>
    <row r="918" spans="1:12" x14ac:dyDescent="0.3">
      <c r="A918" t="s">
        <v>142</v>
      </c>
      <c r="B918" t="s">
        <v>66</v>
      </c>
      <c r="C918" s="4">
        <v>0.62643652800000005</v>
      </c>
      <c r="D918" s="4">
        <v>0.57808694400000005</v>
      </c>
      <c r="E918">
        <v>10</v>
      </c>
      <c r="F918" s="1">
        <v>15.127388535031846</v>
      </c>
      <c r="G918" s="2">
        <f t="shared" si="73"/>
        <v>179.7288537228176</v>
      </c>
      <c r="H918" s="2">
        <f t="shared" si="74"/>
        <v>74.923773506207297</v>
      </c>
      <c r="I918" s="2">
        <f t="shared" si="70"/>
        <v>14984.754701241462</v>
      </c>
      <c r="J918" s="4">
        <f t="shared" si="72"/>
        <v>16.995025936143453</v>
      </c>
      <c r="K918" s="4">
        <f t="shared" si="71"/>
        <v>3399.0051872286904</v>
      </c>
      <c r="L918">
        <v>5</v>
      </c>
    </row>
    <row r="919" spans="1:12" x14ac:dyDescent="0.3">
      <c r="A919" t="s">
        <v>142</v>
      </c>
      <c r="B919" t="s">
        <v>66</v>
      </c>
      <c r="C919" s="4">
        <v>0.62643652800000005</v>
      </c>
      <c r="D919" s="4">
        <v>0.57808694400000005</v>
      </c>
      <c r="E919">
        <v>3</v>
      </c>
      <c r="F919" s="1">
        <v>9.872611464968152</v>
      </c>
      <c r="G919" s="2">
        <f t="shared" si="73"/>
        <v>76.55154722554137</v>
      </c>
      <c r="H919" s="2">
        <f t="shared" si="74"/>
        <v>10.058242158120432</v>
      </c>
      <c r="I919" s="2">
        <f t="shared" si="70"/>
        <v>2011.6484316240865</v>
      </c>
      <c r="J919" s="4">
        <f t="shared" si="72"/>
        <v>10.009118799951317</v>
      </c>
      <c r="K919" s="4">
        <f t="shared" si="71"/>
        <v>2001.8237599902634</v>
      </c>
      <c r="L919">
        <v>5</v>
      </c>
    </row>
    <row r="920" spans="1:12" x14ac:dyDescent="0.3">
      <c r="A920" t="s">
        <v>142</v>
      </c>
      <c r="B920" t="s">
        <v>31</v>
      </c>
      <c r="C920" s="4">
        <v>0.63400000000000001</v>
      </c>
      <c r="D920" s="4">
        <v>0.73247777800000002</v>
      </c>
      <c r="E920">
        <v>9</v>
      </c>
      <c r="F920" s="1">
        <v>11.146496815286623</v>
      </c>
      <c r="G920" s="2">
        <f t="shared" si="73"/>
        <v>97.581316702693215</v>
      </c>
      <c r="H920" s="2">
        <f t="shared" si="74"/>
        <v>46.925541148081159</v>
      </c>
      <c r="I920" s="2">
        <f t="shared" si="70"/>
        <v>9385.1082296162313</v>
      </c>
      <c r="J920" s="4">
        <f t="shared" si="72"/>
        <v>12.899398324475637</v>
      </c>
      <c r="K920" s="4">
        <f t="shared" si="71"/>
        <v>2579.8796648951275</v>
      </c>
      <c r="L920">
        <v>5</v>
      </c>
    </row>
    <row r="921" spans="1:12" x14ac:dyDescent="0.3">
      <c r="A921" t="s">
        <v>142</v>
      </c>
      <c r="B921" t="s">
        <v>73</v>
      </c>
      <c r="C921" s="4">
        <v>0.39</v>
      </c>
      <c r="D921" s="4">
        <v>0.28861111099999998</v>
      </c>
      <c r="E921">
        <v>12</v>
      </c>
      <c r="F921" s="1">
        <v>15.923566878980891</v>
      </c>
      <c r="G921" s="2">
        <f t="shared" si="73"/>
        <v>199.14554429121063</v>
      </c>
      <c r="H921" s="2">
        <f t="shared" si="74"/>
        <v>50.227813070118309</v>
      </c>
      <c r="I921" s="2">
        <f t="shared" si="70"/>
        <v>10045.562614023662</v>
      </c>
      <c r="J921" s="4">
        <f t="shared" si="72"/>
        <v>19.635219250273842</v>
      </c>
      <c r="K921" s="4">
        <f t="shared" si="71"/>
        <v>3927.0438500547689</v>
      </c>
      <c r="L921">
        <v>5</v>
      </c>
    </row>
    <row r="922" spans="1:12" x14ac:dyDescent="0.3">
      <c r="A922" t="s">
        <v>142</v>
      </c>
      <c r="B922" t="s">
        <v>143</v>
      </c>
      <c r="C922" s="4">
        <v>0.56000000000000005</v>
      </c>
      <c r="D922" s="4">
        <v>0.53945833300000001</v>
      </c>
      <c r="E922">
        <v>6</v>
      </c>
      <c r="F922" s="1">
        <v>10.031847133757962</v>
      </c>
      <c r="G922" s="2">
        <f t="shared" si="73"/>
        <v>79.040866529181514</v>
      </c>
      <c r="H922" s="2">
        <f t="shared" si="74"/>
        <v>19.0799454553587</v>
      </c>
      <c r="I922" s="2">
        <f t="shared" si="70"/>
        <v>3815.9890910717404</v>
      </c>
      <c r="J922" s="4">
        <f t="shared" si="72"/>
        <v>11.099097095216845</v>
      </c>
      <c r="K922" s="4">
        <f t="shared" si="71"/>
        <v>2219.8194190433687</v>
      </c>
      <c r="L922">
        <v>5</v>
      </c>
    </row>
    <row r="923" spans="1:12" x14ac:dyDescent="0.3">
      <c r="A923" t="s">
        <v>142</v>
      </c>
      <c r="B923" t="s">
        <v>47</v>
      </c>
      <c r="C923" s="4">
        <v>0.40238543599999999</v>
      </c>
      <c r="D923" s="4">
        <v>0.40883333300000002</v>
      </c>
      <c r="E923">
        <v>10</v>
      </c>
      <c r="F923" s="1">
        <v>15.445859872611464</v>
      </c>
      <c r="G923" s="2">
        <f t="shared" si="73"/>
        <v>187.37604262360011</v>
      </c>
      <c r="H923" s="2">
        <f t="shared" si="74"/>
        <v>55.647473491591704</v>
      </c>
      <c r="I923" s="2">
        <f t="shared" si="70"/>
        <v>11129.494698318342</v>
      </c>
      <c r="J923" s="4">
        <f t="shared" si="72"/>
        <v>17.335810552152218</v>
      </c>
      <c r="K923" s="4">
        <f t="shared" si="71"/>
        <v>3467.162110430444</v>
      </c>
      <c r="L923">
        <v>5</v>
      </c>
    </row>
    <row r="924" spans="1:12" x14ac:dyDescent="0.3">
      <c r="A924" t="s">
        <v>142</v>
      </c>
      <c r="B924" t="s">
        <v>47</v>
      </c>
      <c r="C924" s="4">
        <v>0.40238543599999999</v>
      </c>
      <c r="D924" s="4">
        <v>0.40883333300000002</v>
      </c>
      <c r="E924">
        <v>11</v>
      </c>
      <c r="F924" s="1">
        <v>12.579617834394904</v>
      </c>
      <c r="G924" s="2">
        <f t="shared" si="73"/>
        <v>124.28673419214456</v>
      </c>
      <c r="H924" s="2">
        <f t="shared" si="74"/>
        <v>40.910460577366202</v>
      </c>
      <c r="I924" s="2">
        <f t="shared" si="70"/>
        <v>8182.0921154732405</v>
      </c>
      <c r="J924" s="4">
        <f t="shared" si="72"/>
        <v>15.078201217087912</v>
      </c>
      <c r="K924" s="4">
        <f t="shared" si="71"/>
        <v>3015.6402434175825</v>
      </c>
      <c r="L924">
        <v>5</v>
      </c>
    </row>
    <row r="925" spans="1:12" x14ac:dyDescent="0.3">
      <c r="A925" t="s">
        <v>144</v>
      </c>
      <c r="B925" t="s">
        <v>69</v>
      </c>
      <c r="C925" s="4">
        <v>0.31264018999999998</v>
      </c>
      <c r="D925" s="4">
        <v>0.356821212</v>
      </c>
      <c r="E925">
        <v>11</v>
      </c>
      <c r="F925" s="1">
        <v>25.477707006369425</v>
      </c>
      <c r="G925" s="2">
        <f t="shared" si="73"/>
        <v>509.81259338549921</v>
      </c>
      <c r="H925" s="2">
        <f t="shared" si="74"/>
        <v>142.04670192038719</v>
      </c>
      <c r="I925" s="2">
        <f t="shared" si="70"/>
        <v>28409.340384077437</v>
      </c>
      <c r="J925" s="4">
        <f t="shared" si="72"/>
        <v>33.97657184064262</v>
      </c>
      <c r="K925" s="4">
        <f t="shared" si="71"/>
        <v>6795.3143681285237</v>
      </c>
      <c r="L925">
        <v>5</v>
      </c>
    </row>
    <row r="926" spans="1:12" x14ac:dyDescent="0.3">
      <c r="A926" t="s">
        <v>144</v>
      </c>
      <c r="B926" t="s">
        <v>14</v>
      </c>
      <c r="C926" s="4">
        <v>0.766138345</v>
      </c>
      <c r="D926" s="4">
        <v>0.90500000000000003</v>
      </c>
      <c r="E926">
        <v>6</v>
      </c>
      <c r="F926" s="1">
        <v>11.146496815286623</v>
      </c>
      <c r="G926" s="2">
        <f t="shared" si="73"/>
        <v>97.581316702693215</v>
      </c>
      <c r="H926" s="2">
        <f t="shared" si="74"/>
        <v>38.832365566115207</v>
      </c>
      <c r="I926" s="2">
        <f t="shared" si="70"/>
        <v>7766.4731132230418</v>
      </c>
      <c r="J926" s="4">
        <f t="shared" si="72"/>
        <v>11.594832216317091</v>
      </c>
      <c r="K926" s="4">
        <f t="shared" si="71"/>
        <v>2318.9664432634181</v>
      </c>
      <c r="L926">
        <v>5</v>
      </c>
    </row>
    <row r="927" spans="1:12" x14ac:dyDescent="0.3">
      <c r="A927" t="s">
        <v>144</v>
      </c>
      <c r="B927" t="s">
        <v>14</v>
      </c>
      <c r="C927" s="4">
        <v>0.766138345</v>
      </c>
      <c r="D927" s="4">
        <v>0.90500000000000003</v>
      </c>
      <c r="E927">
        <v>7</v>
      </c>
      <c r="F927" s="1">
        <v>7.6433121019108281</v>
      </c>
      <c r="G927" s="2">
        <f t="shared" si="73"/>
        <v>45.883133404694938</v>
      </c>
      <c r="H927" s="2">
        <f t="shared" si="74"/>
        <v>21.611526082657125</v>
      </c>
      <c r="I927" s="2">
        <f t="shared" si="70"/>
        <v>4322.3052165314248</v>
      </c>
      <c r="J927" s="4">
        <f t="shared" si="72"/>
        <v>10.416995387236804</v>
      </c>
      <c r="K927" s="4">
        <f t="shared" si="71"/>
        <v>2083.3990774473609</v>
      </c>
      <c r="L927">
        <v>5</v>
      </c>
    </row>
    <row r="928" spans="1:12" x14ac:dyDescent="0.3">
      <c r="A928" t="s">
        <v>144</v>
      </c>
      <c r="B928" t="s">
        <v>85</v>
      </c>
      <c r="C928" s="4">
        <v>0.6</v>
      </c>
      <c r="D928" s="4">
        <v>0.66674999999999995</v>
      </c>
      <c r="E928">
        <v>3.5</v>
      </c>
      <c r="F928" s="1">
        <v>5.0955414012738851</v>
      </c>
      <c r="G928" s="2">
        <f t="shared" si="73"/>
        <v>20.392503735419968</v>
      </c>
      <c r="H928" s="2">
        <f t="shared" si="74"/>
        <v>3.695293349379615</v>
      </c>
      <c r="I928" s="2">
        <f t="shared" si="70"/>
        <v>739.05866987592299</v>
      </c>
      <c r="J928" s="4">
        <f t="shared" si="72"/>
        <v>9.3037656416081784</v>
      </c>
      <c r="K928" s="4">
        <f t="shared" si="71"/>
        <v>1860.7531283216358</v>
      </c>
      <c r="L928">
        <v>5</v>
      </c>
    </row>
    <row r="929" spans="1:12" x14ac:dyDescent="0.3">
      <c r="A929" t="s">
        <v>144</v>
      </c>
      <c r="B929" t="s">
        <v>85</v>
      </c>
      <c r="C929" s="4">
        <v>0.6</v>
      </c>
      <c r="D929" s="4">
        <v>0.66674999999999995</v>
      </c>
      <c r="E929">
        <v>8</v>
      </c>
      <c r="F929" s="1">
        <v>13.057324840764331</v>
      </c>
      <c r="G929" s="2">
        <f t="shared" si="73"/>
        <v>133.90546398141004</v>
      </c>
      <c r="H929" s="2">
        <f t="shared" si="74"/>
        <v>51.971615717973336</v>
      </c>
      <c r="I929" s="2">
        <f t="shared" si="70"/>
        <v>10394.323143594667</v>
      </c>
      <c r="J929" s="4">
        <f t="shared" si="72"/>
        <v>13.759524495922754</v>
      </c>
      <c r="K929" s="4">
        <f t="shared" si="71"/>
        <v>2751.9048991845511</v>
      </c>
      <c r="L929">
        <v>5</v>
      </c>
    </row>
    <row r="930" spans="1:12" x14ac:dyDescent="0.3">
      <c r="A930" t="s">
        <v>144</v>
      </c>
      <c r="B930" t="s">
        <v>85</v>
      </c>
      <c r="C930" s="4">
        <v>0.6</v>
      </c>
      <c r="D930" s="4">
        <v>0.66674999999999995</v>
      </c>
      <c r="E930">
        <v>3</v>
      </c>
      <c r="F930" s="1">
        <v>5.4140127388535033</v>
      </c>
      <c r="G930" s="2">
        <f t="shared" si="73"/>
        <v>23.021224920063954</v>
      </c>
      <c r="H930" s="2">
        <f t="shared" si="74"/>
        <v>3.5785158249769915</v>
      </c>
      <c r="I930" s="2">
        <f t="shared" si="70"/>
        <v>715.70316499539831</v>
      </c>
      <c r="J930" s="4">
        <f t="shared" si="72"/>
        <v>9.2934711063329143</v>
      </c>
      <c r="K930" s="4">
        <f t="shared" si="71"/>
        <v>1858.6942212665829</v>
      </c>
      <c r="L930">
        <v>5</v>
      </c>
    </row>
    <row r="931" spans="1:12" x14ac:dyDescent="0.3">
      <c r="A931" t="s">
        <v>144</v>
      </c>
      <c r="B931" t="s">
        <v>16</v>
      </c>
      <c r="C931" s="4">
        <v>0.89361000000000002</v>
      </c>
      <c r="D931" s="4">
        <v>0.61247410899999999</v>
      </c>
      <c r="E931">
        <v>6.5</v>
      </c>
      <c r="F931" s="1">
        <v>7.0063694267515917</v>
      </c>
      <c r="G931" s="2">
        <f t="shared" si="73"/>
        <v>38.554577374778376</v>
      </c>
      <c r="H931" s="2">
        <f t="shared" si="74"/>
        <v>11.588267964647688</v>
      </c>
      <c r="I931" s="2">
        <f t="shared" si="70"/>
        <v>2317.6535929295378</v>
      </c>
      <c r="J931" s="4">
        <f t="shared" si="72"/>
        <v>10.102479585378717</v>
      </c>
      <c r="K931" s="4">
        <f t="shared" si="71"/>
        <v>2020.4959170757434</v>
      </c>
      <c r="L931">
        <v>5</v>
      </c>
    </row>
    <row r="932" spans="1:12" x14ac:dyDescent="0.3">
      <c r="A932" t="s">
        <v>144</v>
      </c>
      <c r="B932" t="s">
        <v>17</v>
      </c>
      <c r="C932" s="4">
        <v>0.708787469</v>
      </c>
      <c r="D932" s="4">
        <v>0.80167708299999996</v>
      </c>
      <c r="E932">
        <v>6.5</v>
      </c>
      <c r="F932" s="1">
        <v>6.0509554140127388</v>
      </c>
      <c r="G932" s="2">
        <f t="shared" si="73"/>
        <v>28.756616595650822</v>
      </c>
      <c r="H932" s="2">
        <f t="shared" si="74"/>
        <v>11.319893422644382</v>
      </c>
      <c r="I932" s="2">
        <f t="shared" si="70"/>
        <v>2263.9786845288763</v>
      </c>
      <c r="J932" s="4">
        <f t="shared" si="72"/>
        <v>9.8186698973589195</v>
      </c>
      <c r="K932" s="4">
        <f t="shared" si="71"/>
        <v>1963.7339794717839</v>
      </c>
      <c r="L932">
        <v>5</v>
      </c>
    </row>
    <row r="933" spans="1:12" x14ac:dyDescent="0.3">
      <c r="A933" t="s">
        <v>144</v>
      </c>
      <c r="B933" t="s">
        <v>66</v>
      </c>
      <c r="C933" s="4">
        <v>0.62643652800000005</v>
      </c>
      <c r="D933" s="4">
        <v>0.57808694400000005</v>
      </c>
      <c r="E933">
        <v>8</v>
      </c>
      <c r="F933" s="1">
        <v>20.700636942675157</v>
      </c>
      <c r="G933" s="2">
        <f t="shared" si="73"/>
        <v>336.55596985214595</v>
      </c>
      <c r="H933" s="2">
        <f t="shared" si="74"/>
        <v>111.1568972760882</v>
      </c>
      <c r="I933" s="2">
        <f t="shared" si="70"/>
        <v>22231.37945521764</v>
      </c>
      <c r="J933" s="4">
        <f t="shared" si="72"/>
        <v>20.98415835530853</v>
      </c>
      <c r="K933" s="4">
        <f t="shared" si="71"/>
        <v>4196.8316710617055</v>
      </c>
      <c r="L933">
        <v>5</v>
      </c>
    </row>
    <row r="934" spans="1:12" x14ac:dyDescent="0.3">
      <c r="A934" t="s">
        <v>144</v>
      </c>
      <c r="B934" t="s">
        <v>20</v>
      </c>
      <c r="C934" s="4">
        <v>0.74387999999999999</v>
      </c>
      <c r="D934" s="4">
        <v>0.59130000000000005</v>
      </c>
      <c r="E934">
        <v>12</v>
      </c>
      <c r="F934" s="1">
        <v>14.012738853503183</v>
      </c>
      <c r="G934" s="2">
        <f t="shared" si="73"/>
        <v>154.2183094991135</v>
      </c>
      <c r="H934" s="2">
        <f t="shared" si="74"/>
        <v>78.812191100777525</v>
      </c>
      <c r="I934" s="2">
        <f t="shared" si="70"/>
        <v>15762.438220155504</v>
      </c>
      <c r="J934" s="4">
        <f t="shared" si="72"/>
        <v>17.232687707412062</v>
      </c>
      <c r="K934" s="4">
        <f t="shared" si="71"/>
        <v>3446.5375414824121</v>
      </c>
      <c r="L934">
        <v>5</v>
      </c>
    </row>
    <row r="935" spans="1:12" x14ac:dyDescent="0.3">
      <c r="A935" t="s">
        <v>144</v>
      </c>
      <c r="B935" t="s">
        <v>119</v>
      </c>
      <c r="C935" s="4">
        <v>0.432770245</v>
      </c>
      <c r="D935" s="4">
        <v>0.61247410899999999</v>
      </c>
      <c r="E935">
        <v>5</v>
      </c>
      <c r="F935" s="1">
        <v>18.949044585987259</v>
      </c>
      <c r="G935" s="2">
        <f t="shared" si="73"/>
        <v>282.01000527078338</v>
      </c>
      <c r="H935" s="2">
        <f t="shared" si="74"/>
        <v>62.554399801275267</v>
      </c>
      <c r="I935" s="2">
        <f t="shared" si="70"/>
        <v>12510.879960255053</v>
      </c>
      <c r="J935" s="4">
        <f t="shared" si="72"/>
        <v>15.269360087630329</v>
      </c>
      <c r="K935" s="4">
        <f t="shared" si="71"/>
        <v>3053.8720175260655</v>
      </c>
      <c r="L935">
        <v>5</v>
      </c>
    </row>
    <row r="936" spans="1:12" x14ac:dyDescent="0.3">
      <c r="A936" t="s">
        <v>144</v>
      </c>
      <c r="B936" t="s">
        <v>143</v>
      </c>
      <c r="C936" s="4">
        <v>0.56000000000000005</v>
      </c>
      <c r="D936" s="4">
        <v>0.53945833300000001</v>
      </c>
      <c r="E936">
        <v>5.5</v>
      </c>
      <c r="F936" s="1">
        <v>5.7324840764331206</v>
      </c>
      <c r="G936" s="2">
        <f t="shared" si="73"/>
        <v>25.809262540140899</v>
      </c>
      <c r="H936" s="2">
        <f t="shared" si="74"/>
        <v>5.8787531216952047</v>
      </c>
      <c r="I936" s="2">
        <f t="shared" si="70"/>
        <v>1175.750624339041</v>
      </c>
      <c r="J936" s="4">
        <f t="shared" si="72"/>
        <v>9.618281443466266</v>
      </c>
      <c r="K936" s="4">
        <f t="shared" si="71"/>
        <v>1923.6562886932534</v>
      </c>
      <c r="L936">
        <v>5</v>
      </c>
    </row>
    <row r="937" spans="1:12" x14ac:dyDescent="0.3">
      <c r="A937" t="s">
        <v>144</v>
      </c>
      <c r="B937" t="s">
        <v>22</v>
      </c>
      <c r="C937" s="4">
        <v>0.43836446099999998</v>
      </c>
      <c r="D937" s="4">
        <v>0.58666666700000003</v>
      </c>
      <c r="E937">
        <v>3.5</v>
      </c>
      <c r="F937" s="1">
        <v>5.0955414012738851</v>
      </c>
      <c r="G937" s="2">
        <f t="shared" si="73"/>
        <v>20.392503735419968</v>
      </c>
      <c r="H937" s="2">
        <f t="shared" si="74"/>
        <v>3.2614522763892113</v>
      </c>
      <c r="I937" s="2">
        <f t="shared" si="70"/>
        <v>652.29045527784228</v>
      </c>
      <c r="J937" s="4">
        <f t="shared" si="72"/>
        <v>9.3037656416081784</v>
      </c>
      <c r="K937" s="4">
        <f t="shared" si="71"/>
        <v>1860.7531283216358</v>
      </c>
      <c r="L937">
        <v>5</v>
      </c>
    </row>
    <row r="938" spans="1:12" x14ac:dyDescent="0.3">
      <c r="A938" t="s">
        <v>145</v>
      </c>
      <c r="B938" t="s">
        <v>75</v>
      </c>
      <c r="C938" s="4">
        <v>0.86</v>
      </c>
      <c r="D938" s="4">
        <v>0.65666666699999998</v>
      </c>
      <c r="E938">
        <v>9</v>
      </c>
      <c r="F938" s="1">
        <v>6.6878980891719744</v>
      </c>
      <c r="G938" s="2">
        <f t="shared" si="73"/>
        <v>35.12927401296956</v>
      </c>
      <c r="H938" s="2">
        <f t="shared" si="74"/>
        <v>15.561441916617834</v>
      </c>
      <c r="I938" s="2">
        <f t="shared" si="70"/>
        <v>3112.2883833235669</v>
      </c>
      <c r="J938" s="4">
        <f t="shared" si="72"/>
        <v>10.39463139681123</v>
      </c>
      <c r="K938" s="4">
        <f t="shared" si="71"/>
        <v>2078.9262793622461</v>
      </c>
      <c r="L938">
        <v>5</v>
      </c>
    </row>
    <row r="939" spans="1:12" x14ac:dyDescent="0.3">
      <c r="A939" t="s">
        <v>145</v>
      </c>
      <c r="B939" t="s">
        <v>75</v>
      </c>
      <c r="C939" s="4">
        <v>0.86</v>
      </c>
      <c r="D939" s="4">
        <v>0.65666666699999998</v>
      </c>
      <c r="E939">
        <v>11</v>
      </c>
      <c r="F939" s="1">
        <v>34.235668789808919</v>
      </c>
      <c r="G939" s="2">
        <f t="shared" si="73"/>
        <v>920.55027848612133</v>
      </c>
      <c r="H939" s="2">
        <f t="shared" si="74"/>
        <v>458.61226633055486</v>
      </c>
      <c r="I939" s="2">
        <f t="shared" si="70"/>
        <v>91722.45326611097</v>
      </c>
      <c r="J939" s="4">
        <f t="shared" si="72"/>
        <v>54.110819173191608</v>
      </c>
      <c r="K939" s="4">
        <f t="shared" si="71"/>
        <v>10822.163834638322</v>
      </c>
      <c r="L939">
        <v>5</v>
      </c>
    </row>
    <row r="940" spans="1:12" x14ac:dyDescent="0.3">
      <c r="A940" t="s">
        <v>145</v>
      </c>
      <c r="B940" t="s">
        <v>75</v>
      </c>
      <c r="C940" s="4">
        <v>0.86</v>
      </c>
      <c r="D940" s="4">
        <v>0.65666666699999998</v>
      </c>
      <c r="E940">
        <v>7</v>
      </c>
      <c r="F940" s="1">
        <v>5.7324840764331206</v>
      </c>
      <c r="G940" s="2">
        <f t="shared" si="73"/>
        <v>25.809262540140899</v>
      </c>
      <c r="H940" s="2">
        <f t="shared" si="74"/>
        <v>9.0124880222501407</v>
      </c>
      <c r="I940" s="2">
        <f t="shared" si="70"/>
        <v>1802.4976044500283</v>
      </c>
      <c r="J940" s="4">
        <f t="shared" si="72"/>
        <v>9.790803655320703</v>
      </c>
      <c r="K940" s="4">
        <f t="shared" si="71"/>
        <v>1958.1607310641405</v>
      </c>
      <c r="L940">
        <v>5</v>
      </c>
    </row>
    <row r="941" spans="1:12" x14ac:dyDescent="0.3">
      <c r="A941" t="s">
        <v>145</v>
      </c>
      <c r="B941" t="s">
        <v>75</v>
      </c>
      <c r="C941" s="4">
        <v>0.86</v>
      </c>
      <c r="D941" s="4">
        <v>0.65666666699999998</v>
      </c>
      <c r="E941">
        <v>11</v>
      </c>
      <c r="F941" s="1">
        <v>7.3248407643312099</v>
      </c>
      <c r="G941" s="2">
        <f t="shared" si="73"/>
        <v>42.139197172020175</v>
      </c>
      <c r="H941" s="2">
        <f t="shared" si="74"/>
        <v>22.606278839496117</v>
      </c>
      <c r="I941" s="2">
        <f t="shared" si="70"/>
        <v>4521.2557678992234</v>
      </c>
      <c r="J941" s="4">
        <f t="shared" si="72"/>
        <v>11.051351750578117</v>
      </c>
      <c r="K941" s="4">
        <f t="shared" si="71"/>
        <v>2210.2703501156234</v>
      </c>
      <c r="L941">
        <v>5</v>
      </c>
    </row>
    <row r="942" spans="1:12" x14ac:dyDescent="0.3">
      <c r="A942" t="s">
        <v>145</v>
      </c>
      <c r="B942" t="s">
        <v>75</v>
      </c>
      <c r="C942" s="4">
        <v>0.86</v>
      </c>
      <c r="D942" s="4">
        <v>0.65666666699999998</v>
      </c>
      <c r="E942">
        <v>10</v>
      </c>
      <c r="F942" s="1">
        <v>5.7324840764331206</v>
      </c>
      <c r="G942" s="2">
        <f t="shared" si="73"/>
        <v>25.809262540140899</v>
      </c>
      <c r="H942" s="2">
        <f t="shared" si="74"/>
        <v>12.765240854662688</v>
      </c>
      <c r="I942" s="2">
        <f t="shared" si="70"/>
        <v>2553.0481709325377</v>
      </c>
      <c r="J942" s="4">
        <f t="shared" si="72"/>
        <v>10.135848079029575</v>
      </c>
      <c r="K942" s="4">
        <f t="shared" si="71"/>
        <v>2027.1696158059149</v>
      </c>
      <c r="L942">
        <v>5</v>
      </c>
    </row>
    <row r="943" spans="1:12" x14ac:dyDescent="0.3">
      <c r="A943" t="s">
        <v>145</v>
      </c>
      <c r="B943" t="s">
        <v>69</v>
      </c>
      <c r="C943" s="4">
        <v>0.31264018999999998</v>
      </c>
      <c r="D943" s="4">
        <v>0.356821212</v>
      </c>
      <c r="E943">
        <v>13</v>
      </c>
      <c r="F943" s="1">
        <v>16.878980891719745</v>
      </c>
      <c r="G943" s="2">
        <f t="shared" si="73"/>
        <v>223.75993356560429</v>
      </c>
      <c r="H943" s="2">
        <f t="shared" si="74"/>
        <v>74.850628026252309</v>
      </c>
      <c r="I943" s="2">
        <f t="shared" si="70"/>
        <v>14970.125605250461</v>
      </c>
      <c r="J943" s="4">
        <f t="shared" si="72"/>
        <v>21.948649815408331</v>
      </c>
      <c r="K943" s="4">
        <f t="shared" si="71"/>
        <v>4389.729963081666</v>
      </c>
      <c r="L943">
        <v>5</v>
      </c>
    </row>
    <row r="944" spans="1:12" x14ac:dyDescent="0.3">
      <c r="A944" t="s">
        <v>145</v>
      </c>
      <c r="B944" t="s">
        <v>69</v>
      </c>
      <c r="C944" s="4">
        <v>0.31264018999999998</v>
      </c>
      <c r="D944" s="4">
        <v>0.356821212</v>
      </c>
      <c r="E944">
        <v>15</v>
      </c>
      <c r="F944" s="1">
        <v>24.840764331210192</v>
      </c>
      <c r="G944" s="2">
        <f t="shared" si="73"/>
        <v>484.64059658709033</v>
      </c>
      <c r="H944" s="2">
        <f t="shared" si="74"/>
        <v>182.99278743338132</v>
      </c>
      <c r="I944" s="2">
        <f t="shared" si="70"/>
        <v>36598.557486676269</v>
      </c>
      <c r="J944" s="4">
        <f t="shared" si="72"/>
        <v>41.38153755933304</v>
      </c>
      <c r="K944" s="4">
        <f t="shared" si="71"/>
        <v>8276.3075118666075</v>
      </c>
      <c r="L944">
        <v>5</v>
      </c>
    </row>
    <row r="945" spans="1:12" x14ac:dyDescent="0.3">
      <c r="A945" t="s">
        <v>145</v>
      </c>
      <c r="B945" t="s">
        <v>69</v>
      </c>
      <c r="C945" s="4">
        <v>0.31264018999999998</v>
      </c>
      <c r="D945" s="4">
        <v>0.356821212</v>
      </c>
      <c r="E945">
        <v>15.5</v>
      </c>
      <c r="F945" s="1">
        <v>27.070063694267514</v>
      </c>
      <c r="G945" s="2">
        <f t="shared" si="73"/>
        <v>575.53062300159877</v>
      </c>
      <c r="H945" s="2">
        <f t="shared" si="74"/>
        <v>223.45481624832695</v>
      </c>
      <c r="I945" s="2">
        <f t="shared" si="70"/>
        <v>44690.963249665387</v>
      </c>
      <c r="J945" s="4">
        <f t="shared" si="72"/>
        <v>48.739467901334741</v>
      </c>
      <c r="K945" s="4">
        <f t="shared" si="71"/>
        <v>9747.8935802669475</v>
      </c>
      <c r="L945">
        <v>5</v>
      </c>
    </row>
    <row r="946" spans="1:12" x14ac:dyDescent="0.3">
      <c r="A946" t="s">
        <v>145</v>
      </c>
      <c r="B946" t="s">
        <v>69</v>
      </c>
      <c r="C946" s="4">
        <v>0.31264018999999998</v>
      </c>
      <c r="D946" s="4">
        <v>0.356821212</v>
      </c>
      <c r="E946">
        <v>15.5</v>
      </c>
      <c r="F946" s="1">
        <v>31.847133757961782</v>
      </c>
      <c r="G946" s="2">
        <f t="shared" si="73"/>
        <v>796.58217716484251</v>
      </c>
      <c r="H946" s="2">
        <f t="shared" si="74"/>
        <v>306.87674336474038</v>
      </c>
      <c r="I946" s="2">
        <f t="shared" si="70"/>
        <v>61375.348672948079</v>
      </c>
      <c r="J946" s="4">
        <f t="shared" si="72"/>
        <v>64.008216126414851</v>
      </c>
      <c r="K946" s="4">
        <f t="shared" si="71"/>
        <v>12801.643225282971</v>
      </c>
      <c r="L946">
        <v>5</v>
      </c>
    </row>
    <row r="947" spans="1:12" x14ac:dyDescent="0.3">
      <c r="A947" t="s">
        <v>145</v>
      </c>
      <c r="B947" t="s">
        <v>14</v>
      </c>
      <c r="C947" s="4">
        <v>0.766138345</v>
      </c>
      <c r="D947" s="4">
        <v>0.90500000000000003</v>
      </c>
      <c r="E947">
        <v>12</v>
      </c>
      <c r="F947" s="1">
        <v>32.165605095541402</v>
      </c>
      <c r="G947" s="2">
        <f t="shared" si="73"/>
        <v>812.59347892585606</v>
      </c>
      <c r="H947" s="2">
        <f t="shared" si="74"/>
        <v>604.52410431436897</v>
      </c>
      <c r="I947" s="2">
        <f t="shared" si="70"/>
        <v>120904.82086287378</v>
      </c>
      <c r="J947" s="4">
        <f t="shared" si="72"/>
        <v>52.439998348817404</v>
      </c>
      <c r="K947" s="4">
        <f t="shared" si="71"/>
        <v>10487.999669763482</v>
      </c>
      <c r="L947">
        <v>5</v>
      </c>
    </row>
    <row r="948" spans="1:12" x14ac:dyDescent="0.3">
      <c r="A948" t="s">
        <v>145</v>
      </c>
      <c r="B948" t="s">
        <v>85</v>
      </c>
      <c r="C948" s="4">
        <v>0.6</v>
      </c>
      <c r="D948" s="4">
        <v>0.66674999999999995</v>
      </c>
      <c r="E948">
        <v>10</v>
      </c>
      <c r="F948" s="1">
        <v>8.9171974522292992</v>
      </c>
      <c r="G948" s="2">
        <f t="shared" si="73"/>
        <v>62.452042689723655</v>
      </c>
      <c r="H948" s="2">
        <f t="shared" si="74"/>
        <v>30.693667216158875</v>
      </c>
      <c r="I948" s="2">
        <f t="shared" si="70"/>
        <v>6138.7334432317748</v>
      </c>
      <c r="J948" s="4">
        <f t="shared" si="72"/>
        <v>11.768774364071565</v>
      </c>
      <c r="K948" s="4">
        <f t="shared" si="71"/>
        <v>2353.7548728143129</v>
      </c>
      <c r="L948">
        <v>5</v>
      </c>
    </row>
    <row r="949" spans="1:12" x14ac:dyDescent="0.3">
      <c r="A949" t="s">
        <v>145</v>
      </c>
      <c r="B949" t="s">
        <v>141</v>
      </c>
      <c r="C949" s="4">
        <v>0.83069230800000005</v>
      </c>
      <c r="D949" s="4">
        <v>0.78683697699999999</v>
      </c>
      <c r="E949">
        <v>8</v>
      </c>
      <c r="F949" s="1">
        <v>7.6433121019108281</v>
      </c>
      <c r="G949" s="2">
        <f t="shared" si="73"/>
        <v>45.883133404694938</v>
      </c>
      <c r="H949" s="2">
        <f t="shared" si="74"/>
        <v>21.477320063589957</v>
      </c>
      <c r="I949" s="2">
        <f t="shared" si="70"/>
        <v>4295.464012717991</v>
      </c>
      <c r="J949" s="4">
        <f t="shared" si="72"/>
        <v>10.621466156842063</v>
      </c>
      <c r="K949" s="4">
        <f t="shared" si="71"/>
        <v>2124.2932313684128</v>
      </c>
      <c r="L949">
        <v>5</v>
      </c>
    </row>
    <row r="950" spans="1:12" x14ac:dyDescent="0.3">
      <c r="A950" t="s">
        <v>145</v>
      </c>
      <c r="B950" t="s">
        <v>16</v>
      </c>
      <c r="C950" s="4">
        <v>0.89361000000000002</v>
      </c>
      <c r="D950" s="4">
        <v>0.61247410899999999</v>
      </c>
      <c r="E950">
        <v>3</v>
      </c>
      <c r="F950" s="1">
        <v>3.1847133757961781</v>
      </c>
      <c r="G950" s="2">
        <f t="shared" si="73"/>
        <v>7.9658217716484252</v>
      </c>
      <c r="H950" s="2">
        <f t="shared" si="74"/>
        <v>1.1691665044901833</v>
      </c>
      <c r="I950" s="2">
        <f t="shared" si="70"/>
        <v>233.83330089803667</v>
      </c>
      <c r="J950" s="4">
        <f t="shared" si="72"/>
        <v>9.0921951925027376</v>
      </c>
      <c r="K950" s="4">
        <f t="shared" si="71"/>
        <v>1818.4390385005474</v>
      </c>
      <c r="L950">
        <v>5</v>
      </c>
    </row>
    <row r="951" spans="1:12" x14ac:dyDescent="0.3">
      <c r="A951" t="s">
        <v>145</v>
      </c>
      <c r="B951" t="s">
        <v>66</v>
      </c>
      <c r="C951" s="4">
        <v>0.62643652800000005</v>
      </c>
      <c r="D951" s="4">
        <v>0.57808694400000005</v>
      </c>
      <c r="E951">
        <v>11</v>
      </c>
      <c r="F951" s="1">
        <v>15.923566878980891</v>
      </c>
      <c r="G951" s="2">
        <f t="shared" si="73"/>
        <v>199.14554429121063</v>
      </c>
      <c r="H951" s="2">
        <f t="shared" si="74"/>
        <v>90.887137505553852</v>
      </c>
      <c r="I951" s="2">
        <f t="shared" si="70"/>
        <v>18177.427501110771</v>
      </c>
      <c r="J951" s="4">
        <f t="shared" si="72"/>
        <v>18.747759312751022</v>
      </c>
      <c r="K951" s="4">
        <f t="shared" si="71"/>
        <v>3749.5518625502045</v>
      </c>
      <c r="L951">
        <v>5</v>
      </c>
    </row>
    <row r="952" spans="1:12" x14ac:dyDescent="0.3">
      <c r="A952" t="s">
        <v>145</v>
      </c>
      <c r="B952" t="s">
        <v>66</v>
      </c>
      <c r="C952" s="4">
        <v>0.62643652800000005</v>
      </c>
      <c r="D952" s="4">
        <v>0.57808694400000005</v>
      </c>
      <c r="E952">
        <v>4</v>
      </c>
      <c r="F952" s="1">
        <v>5.7324840764331206</v>
      </c>
      <c r="G952" s="2">
        <f t="shared" si="73"/>
        <v>25.809262540140899</v>
      </c>
      <c r="H952" s="2">
        <f t="shared" si="74"/>
        <v>4.6091007117282423</v>
      </c>
      <c r="I952" s="2">
        <f t="shared" si="70"/>
        <v>921.82014234564849</v>
      </c>
      <c r="J952" s="4">
        <f t="shared" si="72"/>
        <v>9.4457592316118291</v>
      </c>
      <c r="K952" s="4">
        <f t="shared" si="71"/>
        <v>1889.1518463223661</v>
      </c>
      <c r="L952">
        <v>5</v>
      </c>
    </row>
    <row r="953" spans="1:12" x14ac:dyDescent="0.3">
      <c r="A953" t="s">
        <v>145</v>
      </c>
      <c r="B953" t="s">
        <v>118</v>
      </c>
      <c r="C953" s="4">
        <v>0.56023871300000005</v>
      </c>
      <c r="D953" s="4">
        <v>0.74103703700000001</v>
      </c>
      <c r="E953">
        <v>11</v>
      </c>
      <c r="F953" s="1">
        <v>9.0764331210191074</v>
      </c>
      <c r="G953" s="2">
        <f t="shared" si="73"/>
        <v>64.702387340214344</v>
      </c>
      <c r="H953" s="2">
        <f t="shared" si="74"/>
        <v>38.65703808926672</v>
      </c>
      <c r="I953" s="2">
        <f t="shared" si="70"/>
        <v>7731.4076178533451</v>
      </c>
      <c r="J953" s="4">
        <f t="shared" si="72"/>
        <v>12.157393070712807</v>
      </c>
      <c r="K953" s="4">
        <f t="shared" si="71"/>
        <v>2431.4786141425616</v>
      </c>
      <c r="L953">
        <v>5</v>
      </c>
    </row>
    <row r="954" spans="1:12" x14ac:dyDescent="0.3">
      <c r="A954" t="s">
        <v>145</v>
      </c>
      <c r="B954" t="s">
        <v>119</v>
      </c>
      <c r="C954" s="4">
        <v>0.432770245</v>
      </c>
      <c r="D954" s="4">
        <v>0.61247410899999999</v>
      </c>
      <c r="E954">
        <v>10</v>
      </c>
      <c r="F954" s="1">
        <v>21.337579617834393</v>
      </c>
      <c r="G954" s="2">
        <f t="shared" si="73"/>
        <v>357.58573932929778</v>
      </c>
      <c r="H954" s="2">
        <f t="shared" si="74"/>
        <v>155.13294425383708</v>
      </c>
      <c r="I954" s="2">
        <f t="shared" si="70"/>
        <v>31026.588850767417</v>
      </c>
      <c r="J954" s="4">
        <f t="shared" si="72"/>
        <v>24.92093063815976</v>
      </c>
      <c r="K954" s="4">
        <f t="shared" si="71"/>
        <v>4984.1861276319523</v>
      </c>
      <c r="L954">
        <v>5</v>
      </c>
    </row>
    <row r="955" spans="1:12" x14ac:dyDescent="0.3">
      <c r="A955" t="s">
        <v>145</v>
      </c>
      <c r="B955" t="s">
        <v>22</v>
      </c>
      <c r="C955" s="4">
        <v>0.43836446099999998</v>
      </c>
      <c r="D955" s="4">
        <v>0.58666666700000003</v>
      </c>
      <c r="E955">
        <v>4</v>
      </c>
      <c r="F955" s="1">
        <v>9.2356687898089174</v>
      </c>
      <c r="G955" s="2">
        <f t="shared" si="73"/>
        <v>66.992561099563275</v>
      </c>
      <c r="H955" s="2">
        <f t="shared" si="74"/>
        <v>11.862325970362146</v>
      </c>
      <c r="I955" s="2">
        <f t="shared" si="70"/>
        <v>2372.4651940724293</v>
      </c>
      <c r="J955" s="4">
        <f t="shared" si="72"/>
        <v>10.179866091930707</v>
      </c>
      <c r="K955" s="4">
        <f t="shared" si="71"/>
        <v>2035.9732183861415</v>
      </c>
      <c r="L955">
        <v>5</v>
      </c>
    </row>
    <row r="956" spans="1:12" x14ac:dyDescent="0.3">
      <c r="A956" t="s">
        <v>146</v>
      </c>
      <c r="B956" t="s">
        <v>69</v>
      </c>
      <c r="C956" s="4">
        <v>0.31264018999999998</v>
      </c>
      <c r="D956" s="4">
        <v>0.356821212</v>
      </c>
      <c r="E956">
        <v>14</v>
      </c>
      <c r="F956" s="1">
        <v>25.477707006369425</v>
      </c>
      <c r="G956" s="2">
        <f t="shared" si="73"/>
        <v>509.81259338549921</v>
      </c>
      <c r="H956" s="2">
        <f t="shared" si="74"/>
        <v>179.74336036349547</v>
      </c>
      <c r="I956" s="2">
        <f t="shared" si="70"/>
        <v>35948.672072699097</v>
      </c>
      <c r="J956" s="4">
        <f t="shared" si="72"/>
        <v>40.792264160817879</v>
      </c>
      <c r="K956" s="4">
        <f t="shared" si="71"/>
        <v>8158.4528321635762</v>
      </c>
      <c r="L956">
        <v>5</v>
      </c>
    </row>
    <row r="957" spans="1:12" x14ac:dyDescent="0.3">
      <c r="A957" t="s">
        <v>146</v>
      </c>
      <c r="B957" t="s">
        <v>69</v>
      </c>
      <c r="C957" s="4">
        <v>0.31264018999999998</v>
      </c>
      <c r="D957" s="4">
        <v>0.356821212</v>
      </c>
      <c r="E957">
        <v>13</v>
      </c>
      <c r="F957" s="1">
        <v>21.97452229299363</v>
      </c>
      <c r="G957" s="2">
        <f t="shared" si="73"/>
        <v>379.25277454818155</v>
      </c>
      <c r="H957" s="2">
        <f t="shared" si="74"/>
        <v>125.26864397947459</v>
      </c>
      <c r="I957" s="2">
        <f t="shared" si="70"/>
        <v>25053.72879589492</v>
      </c>
      <c r="J957" s="4">
        <f t="shared" si="72"/>
        <v>30.956723165239971</v>
      </c>
      <c r="K957" s="4">
        <f t="shared" si="71"/>
        <v>6191.3446330479946</v>
      </c>
      <c r="L957">
        <v>5</v>
      </c>
    </row>
    <row r="958" spans="1:12" x14ac:dyDescent="0.3">
      <c r="A958" t="s">
        <v>146</v>
      </c>
      <c r="B958" t="s">
        <v>69</v>
      </c>
      <c r="C958" s="4">
        <v>0.31264018999999998</v>
      </c>
      <c r="D958" s="4">
        <v>0.356821212</v>
      </c>
      <c r="E958">
        <v>13</v>
      </c>
      <c r="F958" s="1">
        <v>28.662420382165603</v>
      </c>
      <c r="G958" s="2">
        <f t="shared" si="73"/>
        <v>645.23156350352247</v>
      </c>
      <c r="H958" s="2">
        <f t="shared" si="74"/>
        <v>210.42160533092499</v>
      </c>
      <c r="I958" s="2">
        <f t="shared" si="70"/>
        <v>42084.321066185003</v>
      </c>
      <c r="J958" s="4">
        <f t="shared" si="72"/>
        <v>46.365512568461185</v>
      </c>
      <c r="K958" s="4">
        <f t="shared" si="71"/>
        <v>9273.1025136922362</v>
      </c>
      <c r="L958">
        <v>5</v>
      </c>
    </row>
    <row r="959" spans="1:12" x14ac:dyDescent="0.3">
      <c r="A959" t="s">
        <v>146</v>
      </c>
      <c r="B959" t="s">
        <v>14</v>
      </c>
      <c r="C959" s="4">
        <v>0.766138345</v>
      </c>
      <c r="D959" s="4">
        <v>0.90500000000000003</v>
      </c>
      <c r="E959">
        <v>9</v>
      </c>
      <c r="F959" s="1">
        <v>21.656050955414013</v>
      </c>
      <c r="G959" s="2">
        <f t="shared" si="73"/>
        <v>368.33959872102326</v>
      </c>
      <c r="H959" s="2">
        <f t="shared" si="74"/>
        <v>210.90918394340522</v>
      </c>
      <c r="I959" s="2">
        <f t="shared" si="70"/>
        <v>42181.836788681045</v>
      </c>
      <c r="J959" s="4">
        <f t="shared" si="72"/>
        <v>23.758713103979879</v>
      </c>
      <c r="K959" s="4">
        <f t="shared" si="71"/>
        <v>4751.7426207959761</v>
      </c>
      <c r="L959">
        <v>5</v>
      </c>
    </row>
    <row r="960" spans="1:12" x14ac:dyDescent="0.3">
      <c r="A960" t="s">
        <v>146</v>
      </c>
      <c r="B960" t="s">
        <v>14</v>
      </c>
      <c r="C960" s="4">
        <v>0.766138345</v>
      </c>
      <c r="D960" s="4">
        <v>0.90500000000000003</v>
      </c>
      <c r="E960">
        <v>11</v>
      </c>
      <c r="F960" s="1">
        <v>15.605095541401273</v>
      </c>
      <c r="G960" s="2">
        <f t="shared" si="73"/>
        <v>191.25938073727869</v>
      </c>
      <c r="H960" s="2">
        <f t="shared" si="74"/>
        <v>135.31919745188199</v>
      </c>
      <c r="I960" s="2">
        <f t="shared" si="70"/>
        <v>27063.839490376395</v>
      </c>
      <c r="J960" s="4">
        <f t="shared" si="72"/>
        <v>18.36118176396608</v>
      </c>
      <c r="K960" s="4">
        <f t="shared" si="71"/>
        <v>3672.2363527932162</v>
      </c>
      <c r="L960">
        <v>5</v>
      </c>
    </row>
    <row r="961" spans="1:12" x14ac:dyDescent="0.3">
      <c r="A961" t="s">
        <v>146</v>
      </c>
      <c r="B961" t="s">
        <v>14</v>
      </c>
      <c r="C961" s="4">
        <v>0.766138345</v>
      </c>
      <c r="D961" s="4">
        <v>0.90500000000000003</v>
      </c>
      <c r="E961">
        <v>6.5</v>
      </c>
      <c r="F961" s="1">
        <v>9.872611464968152</v>
      </c>
      <c r="G961" s="2">
        <f t="shared" si="73"/>
        <v>76.55154722554137</v>
      </c>
      <c r="H961" s="2">
        <f t="shared" si="74"/>
        <v>33.131329748536459</v>
      </c>
      <c r="I961" s="2">
        <f t="shared" si="70"/>
        <v>6626.2659497072918</v>
      </c>
      <c r="J961" s="4">
        <f t="shared" si="72"/>
        <v>11.203107399894519</v>
      </c>
      <c r="K961" s="4">
        <f t="shared" si="71"/>
        <v>2240.6214799789041</v>
      </c>
      <c r="L961">
        <v>5</v>
      </c>
    </row>
    <row r="962" spans="1:12" x14ac:dyDescent="0.3">
      <c r="A962" t="s">
        <v>146</v>
      </c>
      <c r="B962" t="s">
        <v>37</v>
      </c>
      <c r="C962" s="4">
        <v>0.39790071399999999</v>
      </c>
      <c r="D962" s="4">
        <v>0.50565277799999997</v>
      </c>
      <c r="E962">
        <v>13</v>
      </c>
      <c r="F962" s="1">
        <v>9.0764331210191074</v>
      </c>
      <c r="G962" s="2">
        <f t="shared" si="73"/>
        <v>64.702387340214344</v>
      </c>
      <c r="H962" s="2">
        <f t="shared" si="74"/>
        <v>31.335325458701767</v>
      </c>
      <c r="I962" s="2">
        <f t="shared" ref="I962:I1025" si="75">(H962*1000)/L962</f>
        <v>6267.0650917403536</v>
      </c>
      <c r="J962" s="4">
        <f t="shared" si="72"/>
        <v>12.734064538115137</v>
      </c>
      <c r="K962" s="4">
        <f t="shared" ref="K962:K1025" si="76">(J962*1000)/L962</f>
        <v>2546.8129076230275</v>
      </c>
      <c r="L962">
        <v>5</v>
      </c>
    </row>
    <row r="963" spans="1:12" x14ac:dyDescent="0.3">
      <c r="A963" t="s">
        <v>146</v>
      </c>
      <c r="B963" t="s">
        <v>66</v>
      </c>
      <c r="C963" s="4">
        <v>0.62643652800000005</v>
      </c>
      <c r="D963" s="4">
        <v>0.57808694400000005</v>
      </c>
      <c r="E963">
        <v>13</v>
      </c>
      <c r="F963" s="1">
        <v>15.923566878980891</v>
      </c>
      <c r="G963" s="2">
        <f t="shared" si="73"/>
        <v>199.14554429121063</v>
      </c>
      <c r="H963" s="2">
        <f t="shared" si="74"/>
        <v>106.98228673373076</v>
      </c>
      <c r="I963" s="2">
        <f t="shared" si="75"/>
        <v>21396.457346746152</v>
      </c>
      <c r="J963" s="4">
        <f t="shared" ref="J963:J1026" si="77">8.9857 + 0.0035 * F963^2 * E963</f>
        <v>20.522679187796662</v>
      </c>
      <c r="K963" s="4">
        <f t="shared" si="76"/>
        <v>4104.5358375593323</v>
      </c>
      <c r="L963">
        <v>5</v>
      </c>
    </row>
    <row r="964" spans="1:12" x14ac:dyDescent="0.3">
      <c r="A964" t="s">
        <v>146</v>
      </c>
      <c r="B964" t="s">
        <v>66</v>
      </c>
      <c r="C964" s="4">
        <v>0.62643652800000005</v>
      </c>
      <c r="D964" s="4">
        <v>0.57808694400000005</v>
      </c>
      <c r="E964">
        <v>5</v>
      </c>
      <c r="F964" s="1">
        <v>5.7324840764331206</v>
      </c>
      <c r="G964" s="2">
        <f t="shared" ref="G964:G1027" si="78">PI()*(F964/2)^2</f>
        <v>25.809262540140899</v>
      </c>
      <c r="H964" s="2">
        <f t="shared" ref="H964:H1027" si="79">0.0673 * ((D964 * F964^2 * E964)^0.976)</f>
        <v>5.7306036297489085</v>
      </c>
      <c r="I964" s="2">
        <f t="shared" si="75"/>
        <v>1146.1207259497817</v>
      </c>
      <c r="J964" s="4">
        <f t="shared" si="77"/>
        <v>9.5607740395147864</v>
      </c>
      <c r="K964" s="4">
        <f t="shared" si="76"/>
        <v>1912.1548079029574</v>
      </c>
      <c r="L964">
        <v>5</v>
      </c>
    </row>
    <row r="965" spans="1:12" x14ac:dyDescent="0.3">
      <c r="A965" t="s">
        <v>146</v>
      </c>
      <c r="B965" t="s">
        <v>66</v>
      </c>
      <c r="C965" s="4">
        <v>0.62643652800000005</v>
      </c>
      <c r="D965" s="4">
        <v>0.57808694400000005</v>
      </c>
      <c r="E965">
        <v>12</v>
      </c>
      <c r="F965" s="1">
        <v>19.745222929936304</v>
      </c>
      <c r="G965" s="2">
        <f t="shared" si="78"/>
        <v>306.20618890216548</v>
      </c>
      <c r="H965" s="2">
        <f t="shared" si="79"/>
        <v>150.57164336025434</v>
      </c>
      <c r="I965" s="2">
        <f t="shared" si="75"/>
        <v>30114.328672050869</v>
      </c>
      <c r="J965" s="4">
        <f t="shared" si="77"/>
        <v>25.360400799221061</v>
      </c>
      <c r="K965" s="4">
        <f t="shared" si="76"/>
        <v>5072.0801598442122</v>
      </c>
      <c r="L965">
        <v>5</v>
      </c>
    </row>
    <row r="966" spans="1:12" x14ac:dyDescent="0.3">
      <c r="A966" t="s">
        <v>146</v>
      </c>
      <c r="B966" t="s">
        <v>66</v>
      </c>
      <c r="C966" s="4">
        <v>0.62643652800000005</v>
      </c>
      <c r="D966" s="4">
        <v>0.57808694400000005</v>
      </c>
      <c r="E966">
        <v>6</v>
      </c>
      <c r="F966" s="1">
        <v>13.694267515923567</v>
      </c>
      <c r="G966" s="2">
        <f t="shared" si="78"/>
        <v>147.28804455777941</v>
      </c>
      <c r="H966" s="2">
        <f t="shared" si="79"/>
        <v>37.473112077550844</v>
      </c>
      <c r="I966" s="2">
        <f t="shared" si="75"/>
        <v>7494.622415510169</v>
      </c>
      <c r="J966" s="4">
        <f t="shared" si="77"/>
        <v>12.923892218751266</v>
      </c>
      <c r="K966" s="4">
        <f t="shared" si="76"/>
        <v>2584.7784437502532</v>
      </c>
      <c r="L966">
        <v>5</v>
      </c>
    </row>
    <row r="967" spans="1:12" x14ac:dyDescent="0.3">
      <c r="A967" t="s">
        <v>146</v>
      </c>
      <c r="B967" t="s">
        <v>66</v>
      </c>
      <c r="C967" s="4">
        <v>0.62643652800000005</v>
      </c>
      <c r="D967" s="4">
        <v>0.57808694400000005</v>
      </c>
      <c r="E967">
        <v>4.5</v>
      </c>
      <c r="F967" s="1">
        <v>13.694267515923567</v>
      </c>
      <c r="G967" s="2">
        <f t="shared" si="78"/>
        <v>147.28804455777941</v>
      </c>
      <c r="H967" s="2">
        <f t="shared" si="79"/>
        <v>28.299551651559007</v>
      </c>
      <c r="I967" s="2">
        <f t="shared" si="75"/>
        <v>5659.9103303118009</v>
      </c>
      <c r="J967" s="4">
        <f t="shared" si="77"/>
        <v>11.939344164063451</v>
      </c>
      <c r="K967" s="4">
        <f t="shared" si="76"/>
        <v>2387.8688328126905</v>
      </c>
      <c r="L967">
        <v>5</v>
      </c>
    </row>
    <row r="968" spans="1:12" x14ac:dyDescent="0.3">
      <c r="A968" t="s">
        <v>146</v>
      </c>
      <c r="B968" t="s">
        <v>31</v>
      </c>
      <c r="C968" s="4">
        <v>0.63400000000000001</v>
      </c>
      <c r="D968" s="4">
        <v>0.73247777800000002</v>
      </c>
      <c r="E968">
        <v>10</v>
      </c>
      <c r="F968" s="1">
        <v>14.808917197452228</v>
      </c>
      <c r="G968" s="2">
        <f t="shared" si="78"/>
        <v>172.24098125746809</v>
      </c>
      <c r="H968" s="2">
        <f t="shared" si="79"/>
        <v>90.555731245246392</v>
      </c>
      <c r="I968" s="2">
        <f t="shared" si="75"/>
        <v>18111.146249049278</v>
      </c>
      <c r="J968" s="4">
        <f t="shared" si="77"/>
        <v>16.661340999634874</v>
      </c>
      <c r="K968" s="4">
        <f t="shared" si="76"/>
        <v>3332.2681999269748</v>
      </c>
      <c r="L968">
        <v>5</v>
      </c>
    </row>
    <row r="969" spans="1:12" x14ac:dyDescent="0.3">
      <c r="A969" t="s">
        <v>146</v>
      </c>
      <c r="B969" t="s">
        <v>119</v>
      </c>
      <c r="C969" s="4">
        <v>0.432770245</v>
      </c>
      <c r="D969" s="4">
        <v>0.61247410899999999</v>
      </c>
      <c r="E969">
        <v>13</v>
      </c>
      <c r="F969" s="1">
        <v>29.29936305732484</v>
      </c>
      <c r="G969" s="2">
        <f t="shared" si="78"/>
        <v>674.2271547523228</v>
      </c>
      <c r="H969" s="2">
        <f t="shared" si="79"/>
        <v>372.159038452424</v>
      </c>
      <c r="I969" s="2">
        <f t="shared" si="75"/>
        <v>74431.807690484799</v>
      </c>
      <c r="J969" s="4">
        <f t="shared" si="77"/>
        <v>48.045296738204392</v>
      </c>
      <c r="K969" s="4">
        <f t="shared" si="76"/>
        <v>9609.0593476408794</v>
      </c>
      <c r="L969">
        <v>5</v>
      </c>
    </row>
    <row r="970" spans="1:12" x14ac:dyDescent="0.3">
      <c r="A970" t="s">
        <v>146</v>
      </c>
      <c r="B970" t="s">
        <v>119</v>
      </c>
      <c r="C970" s="4">
        <v>0.432770245</v>
      </c>
      <c r="D970" s="4">
        <v>0.61247410899999999</v>
      </c>
      <c r="E970">
        <v>12</v>
      </c>
      <c r="F970" s="1">
        <v>27.388535031847134</v>
      </c>
      <c r="G970" s="2">
        <f t="shared" si="78"/>
        <v>589.15217823111766</v>
      </c>
      <c r="H970" s="2">
        <f t="shared" si="79"/>
        <v>301.73653104151066</v>
      </c>
      <c r="I970" s="2">
        <f t="shared" si="75"/>
        <v>60347.306208302129</v>
      </c>
      <c r="J970" s="4">
        <f t="shared" si="77"/>
        <v>40.491237750010143</v>
      </c>
      <c r="K970" s="4">
        <f t="shared" si="76"/>
        <v>8098.2475500020282</v>
      </c>
      <c r="L970">
        <v>5</v>
      </c>
    </row>
    <row r="971" spans="1:12" x14ac:dyDescent="0.3">
      <c r="A971" t="s">
        <v>146</v>
      </c>
      <c r="B971" t="s">
        <v>119</v>
      </c>
      <c r="C971" s="4">
        <v>0.432770245</v>
      </c>
      <c r="D971" s="4">
        <v>0.61247410899999999</v>
      </c>
      <c r="E971">
        <v>11</v>
      </c>
      <c r="F971" s="1">
        <v>21.019108280254777</v>
      </c>
      <c r="G971" s="2">
        <f t="shared" si="78"/>
        <v>346.99119637300544</v>
      </c>
      <c r="H971" s="2">
        <f t="shared" si="79"/>
        <v>165.33128568949004</v>
      </c>
      <c r="I971" s="2">
        <f t="shared" si="75"/>
        <v>33066.257137898006</v>
      </c>
      <c r="J971" s="4">
        <f t="shared" si="77"/>
        <v>25.995112146537387</v>
      </c>
      <c r="K971" s="4">
        <f t="shared" si="76"/>
        <v>5199.0224293074771</v>
      </c>
      <c r="L971">
        <v>5</v>
      </c>
    </row>
    <row r="972" spans="1:12" x14ac:dyDescent="0.3">
      <c r="A972" t="s">
        <v>146</v>
      </c>
      <c r="B972" t="s">
        <v>119</v>
      </c>
      <c r="C972" s="4">
        <v>0.432770245</v>
      </c>
      <c r="D972" s="4">
        <v>0.61247410899999999</v>
      </c>
      <c r="E972">
        <v>8</v>
      </c>
      <c r="F972" s="1">
        <v>16.560509554140125</v>
      </c>
      <c r="G972" s="2">
        <f t="shared" si="78"/>
        <v>215.39582070537341</v>
      </c>
      <c r="H972" s="2">
        <f t="shared" si="79"/>
        <v>76.078225490000762</v>
      </c>
      <c r="I972" s="2">
        <f t="shared" si="75"/>
        <v>15215.645098000154</v>
      </c>
      <c r="J972" s="4">
        <f t="shared" si="77"/>
        <v>16.664713347397459</v>
      </c>
      <c r="K972" s="4">
        <f t="shared" si="76"/>
        <v>3332.942669479492</v>
      </c>
      <c r="L972">
        <v>5</v>
      </c>
    </row>
    <row r="973" spans="1:12" x14ac:dyDescent="0.3">
      <c r="A973" t="s">
        <v>146</v>
      </c>
      <c r="B973" t="s">
        <v>22</v>
      </c>
      <c r="C973" s="4">
        <v>0.43836446099999998</v>
      </c>
      <c r="D973" s="4">
        <v>0.58666666700000003</v>
      </c>
      <c r="E973">
        <v>6</v>
      </c>
      <c r="F973" s="1">
        <v>12.420382165605096</v>
      </c>
      <c r="G973" s="2">
        <f t="shared" si="78"/>
        <v>121.16014914677258</v>
      </c>
      <c r="H973" s="2">
        <f t="shared" si="79"/>
        <v>31.418984492347377</v>
      </c>
      <c r="I973" s="2">
        <f t="shared" si="75"/>
        <v>6283.7968984694753</v>
      </c>
      <c r="J973" s="4">
        <f t="shared" si="77"/>
        <v>12.225283755933305</v>
      </c>
      <c r="K973" s="4">
        <f t="shared" si="76"/>
        <v>2445.0567511866607</v>
      </c>
      <c r="L973">
        <v>5</v>
      </c>
    </row>
    <row r="974" spans="1:12" x14ac:dyDescent="0.3">
      <c r="A974" t="s">
        <v>147</v>
      </c>
      <c r="B974" t="s">
        <v>26</v>
      </c>
      <c r="C974" s="4">
        <v>0.80908761900000004</v>
      </c>
      <c r="D974" s="4">
        <v>0.87473809499999999</v>
      </c>
      <c r="E974">
        <v>7</v>
      </c>
      <c r="F974" s="1">
        <v>15.286624203821656</v>
      </c>
      <c r="G974" s="2">
        <f t="shared" si="78"/>
        <v>183.53253361877975</v>
      </c>
      <c r="H974" s="2">
        <f t="shared" si="79"/>
        <v>80.887225901831158</v>
      </c>
      <c r="I974" s="2">
        <f t="shared" si="75"/>
        <v>20221.80647545779</v>
      </c>
      <c r="J974" s="4">
        <f t="shared" si="77"/>
        <v>14.710881548947217</v>
      </c>
      <c r="K974" s="4">
        <f t="shared" si="76"/>
        <v>3677.7203872368041</v>
      </c>
      <c r="L974">
        <v>4</v>
      </c>
    </row>
    <row r="975" spans="1:12" x14ac:dyDescent="0.3">
      <c r="A975" t="s">
        <v>147</v>
      </c>
      <c r="B975" t="s">
        <v>60</v>
      </c>
      <c r="C975" s="4">
        <v>0.41</v>
      </c>
      <c r="D975" s="4">
        <v>0.33983503399999998</v>
      </c>
      <c r="E975">
        <v>7</v>
      </c>
      <c r="F975" s="1">
        <v>9.872611464968152</v>
      </c>
      <c r="G975" s="2">
        <f t="shared" si="78"/>
        <v>76.55154722554137</v>
      </c>
      <c r="H975" s="2">
        <f t="shared" si="79"/>
        <v>13.692407566419806</v>
      </c>
      <c r="I975" s="2">
        <f t="shared" si="75"/>
        <v>3423.1018916049516</v>
      </c>
      <c r="J975" s="4">
        <f t="shared" si="77"/>
        <v>11.373677199886405</v>
      </c>
      <c r="K975" s="4">
        <f t="shared" si="76"/>
        <v>2843.419299971601</v>
      </c>
      <c r="L975">
        <v>4</v>
      </c>
    </row>
    <row r="976" spans="1:12" x14ac:dyDescent="0.3">
      <c r="A976" t="s">
        <v>147</v>
      </c>
      <c r="B976" t="s">
        <v>14</v>
      </c>
      <c r="C976" s="4">
        <v>0.766138345</v>
      </c>
      <c r="D976" s="4">
        <v>0.90500000000000003</v>
      </c>
      <c r="E976">
        <v>4</v>
      </c>
      <c r="F976" s="1">
        <v>5.8917197452229297</v>
      </c>
      <c r="G976" s="2">
        <f t="shared" si="78"/>
        <v>27.263025013466741</v>
      </c>
      <c r="H976" s="2">
        <f t="shared" si="79"/>
        <v>7.5305582094892261</v>
      </c>
      <c r="I976" s="2">
        <f t="shared" si="75"/>
        <v>1882.6395523723065</v>
      </c>
      <c r="J976" s="4">
        <f t="shared" si="77"/>
        <v>9.4716730617874951</v>
      </c>
      <c r="K976" s="4">
        <f t="shared" si="76"/>
        <v>2367.9182654468736</v>
      </c>
      <c r="L976">
        <v>4</v>
      </c>
    </row>
    <row r="977" spans="1:12" x14ac:dyDescent="0.3">
      <c r="A977" t="s">
        <v>147</v>
      </c>
      <c r="B977" t="s">
        <v>85</v>
      </c>
      <c r="C977" s="4">
        <v>0.6</v>
      </c>
      <c r="D977" s="4">
        <v>0.66674999999999995</v>
      </c>
      <c r="E977">
        <v>8</v>
      </c>
      <c r="F977" s="1">
        <v>21.019108280254777</v>
      </c>
      <c r="G977" s="2">
        <f t="shared" si="78"/>
        <v>346.99119637300544</v>
      </c>
      <c r="H977" s="2">
        <f t="shared" si="79"/>
        <v>131.63212502083996</v>
      </c>
      <c r="I977" s="2">
        <f t="shared" si="75"/>
        <v>32908.031255209993</v>
      </c>
      <c r="J977" s="4">
        <f t="shared" si="77"/>
        <v>21.356181561118099</v>
      </c>
      <c r="K977" s="4">
        <f t="shared" si="76"/>
        <v>5339.0453902795243</v>
      </c>
      <c r="L977">
        <v>4</v>
      </c>
    </row>
    <row r="978" spans="1:12" x14ac:dyDescent="0.3">
      <c r="A978" t="s">
        <v>147</v>
      </c>
      <c r="B978" t="s">
        <v>85</v>
      </c>
      <c r="C978" s="4">
        <v>0.6</v>
      </c>
      <c r="D978" s="4">
        <v>0.66674999999999995</v>
      </c>
      <c r="E978">
        <v>8</v>
      </c>
      <c r="F978" s="1">
        <v>10.987261146496815</v>
      </c>
      <c r="G978" s="2">
        <f t="shared" si="78"/>
        <v>94.813193637045387</v>
      </c>
      <c r="H978" s="2">
        <f t="shared" si="79"/>
        <v>37.105219397493919</v>
      </c>
      <c r="I978" s="2">
        <f t="shared" si="75"/>
        <v>9276.3048493734805</v>
      </c>
      <c r="J978" s="4">
        <f t="shared" si="77"/>
        <v>12.365857410036918</v>
      </c>
      <c r="K978" s="4">
        <f t="shared" si="76"/>
        <v>3091.4643525092297</v>
      </c>
      <c r="L978">
        <v>4</v>
      </c>
    </row>
    <row r="979" spans="1:12" x14ac:dyDescent="0.3">
      <c r="A979" t="s">
        <v>147</v>
      </c>
      <c r="B979" t="s">
        <v>85</v>
      </c>
      <c r="C979" s="4">
        <v>0.6</v>
      </c>
      <c r="D979" s="4">
        <v>0.66674999999999995</v>
      </c>
      <c r="E979">
        <v>6.5</v>
      </c>
      <c r="F979" s="1">
        <v>8.2802547770700627</v>
      </c>
      <c r="G979" s="2">
        <f t="shared" si="78"/>
        <v>53.848955176343352</v>
      </c>
      <c r="H979" s="2">
        <f t="shared" si="79"/>
        <v>17.443262413146194</v>
      </c>
      <c r="I979" s="2">
        <f t="shared" si="75"/>
        <v>4360.8156032865481</v>
      </c>
      <c r="J979" s="4">
        <f t="shared" si="77"/>
        <v>10.545499586190108</v>
      </c>
      <c r="K979" s="4">
        <f t="shared" si="76"/>
        <v>2636.374896547527</v>
      </c>
      <c r="L979">
        <v>4</v>
      </c>
    </row>
    <row r="980" spans="1:12" x14ac:dyDescent="0.3">
      <c r="A980" t="s">
        <v>147</v>
      </c>
      <c r="B980" t="s">
        <v>15</v>
      </c>
      <c r="C980" s="4">
        <v>0.47982689899999997</v>
      </c>
      <c r="D980" s="4">
        <v>0.51</v>
      </c>
      <c r="E980">
        <v>1.2</v>
      </c>
      <c r="F980" s="1">
        <v>2.0700636942675157</v>
      </c>
      <c r="G980" s="2">
        <f t="shared" si="78"/>
        <v>3.3655596985214595</v>
      </c>
      <c r="H980" s="2">
        <f t="shared" si="79"/>
        <v>0.17245851865079584</v>
      </c>
      <c r="I980" s="2">
        <f t="shared" si="75"/>
        <v>43.11462966269896</v>
      </c>
      <c r="J980" s="4">
        <f t="shared" si="77"/>
        <v>9.0036976875329628</v>
      </c>
      <c r="K980" s="4">
        <f t="shared" si="76"/>
        <v>2250.9244218832409</v>
      </c>
      <c r="L980">
        <v>4</v>
      </c>
    </row>
    <row r="981" spans="1:12" x14ac:dyDescent="0.3">
      <c r="A981" t="s">
        <v>147</v>
      </c>
      <c r="B981" t="s">
        <v>126</v>
      </c>
      <c r="C981" s="4">
        <v>0.490852183</v>
      </c>
      <c r="D981" s="4">
        <v>0.607288889</v>
      </c>
      <c r="E981">
        <v>6.5</v>
      </c>
      <c r="F981" s="1">
        <v>20.541401273885349</v>
      </c>
      <c r="G981" s="2">
        <f t="shared" si="78"/>
        <v>331.39810025500361</v>
      </c>
      <c r="H981" s="2">
        <f t="shared" si="79"/>
        <v>93.813694099441264</v>
      </c>
      <c r="I981" s="2">
        <f t="shared" si="75"/>
        <v>23453.423524860315</v>
      </c>
      <c r="J981" s="4">
        <f t="shared" si="77"/>
        <v>18.585043533206214</v>
      </c>
      <c r="K981" s="4">
        <f t="shared" si="76"/>
        <v>4646.2608833015538</v>
      </c>
      <c r="L981">
        <v>4</v>
      </c>
    </row>
    <row r="982" spans="1:12" x14ac:dyDescent="0.3">
      <c r="A982" t="s">
        <v>147</v>
      </c>
      <c r="B982" t="s">
        <v>16</v>
      </c>
      <c r="C982" s="4">
        <v>0.89361000000000002</v>
      </c>
      <c r="D982" s="4">
        <v>0.61247410899999999</v>
      </c>
      <c r="E982">
        <v>5</v>
      </c>
      <c r="F982" s="1">
        <v>4.2993630573248405</v>
      </c>
      <c r="G982" s="2">
        <f t="shared" si="78"/>
        <v>14.517710178829255</v>
      </c>
      <c r="H982" s="2">
        <f t="shared" si="79"/>
        <v>3.4578986530820592</v>
      </c>
      <c r="I982" s="2">
        <f t="shared" si="75"/>
        <v>864.47466327051484</v>
      </c>
      <c r="J982" s="4">
        <f t="shared" si="77"/>
        <v>9.3091791472270682</v>
      </c>
      <c r="K982" s="4">
        <f t="shared" si="76"/>
        <v>2327.2947868067672</v>
      </c>
      <c r="L982">
        <v>4</v>
      </c>
    </row>
    <row r="983" spans="1:12" x14ac:dyDescent="0.3">
      <c r="A983" t="s">
        <v>147</v>
      </c>
      <c r="B983" t="s">
        <v>38</v>
      </c>
      <c r="C983" s="4">
        <v>1082380952</v>
      </c>
      <c r="D983" s="4">
        <v>0.61247410899999999</v>
      </c>
      <c r="E983">
        <v>3</v>
      </c>
      <c r="F983" s="1">
        <v>1.910828025477707</v>
      </c>
      <c r="G983" s="2">
        <f t="shared" si="78"/>
        <v>2.8676958377934336</v>
      </c>
      <c r="H983" s="2">
        <f t="shared" si="79"/>
        <v>0.43134781801443484</v>
      </c>
      <c r="I983" s="2">
        <f t="shared" si="75"/>
        <v>107.83695450360871</v>
      </c>
      <c r="J983" s="4">
        <f t="shared" si="77"/>
        <v>9.024038269300986</v>
      </c>
      <c r="K983" s="4">
        <f t="shared" si="76"/>
        <v>2256.0095673252463</v>
      </c>
      <c r="L983">
        <v>4</v>
      </c>
    </row>
    <row r="984" spans="1:12" x14ac:dyDescent="0.3">
      <c r="A984" t="s">
        <v>147</v>
      </c>
      <c r="B984" t="s">
        <v>122</v>
      </c>
      <c r="C984" s="4">
        <v>0.85750000000000004</v>
      </c>
      <c r="D984" s="4">
        <v>0.61247410899999999</v>
      </c>
      <c r="E984">
        <v>8.6999999999999993</v>
      </c>
      <c r="F984" s="1">
        <v>17.67515923566879</v>
      </c>
      <c r="G984" s="2">
        <f t="shared" si="78"/>
        <v>245.36722512120065</v>
      </c>
      <c r="H984" s="2">
        <f t="shared" si="79"/>
        <v>93.764126850526395</v>
      </c>
      <c r="I984" s="2">
        <f t="shared" si="75"/>
        <v>23441.0317126316</v>
      </c>
      <c r="J984" s="4">
        <f t="shared" si="77"/>
        <v>18.498622684490243</v>
      </c>
      <c r="K984" s="4">
        <f t="shared" si="76"/>
        <v>4624.6556711225612</v>
      </c>
      <c r="L984">
        <v>4</v>
      </c>
    </row>
    <row r="985" spans="1:12" x14ac:dyDescent="0.3">
      <c r="A985" t="s">
        <v>147</v>
      </c>
      <c r="B985" t="s">
        <v>122</v>
      </c>
      <c r="C985" s="4">
        <v>0.85750000000000004</v>
      </c>
      <c r="D985" s="4">
        <v>0.61247410899999999</v>
      </c>
      <c r="E985">
        <v>6</v>
      </c>
      <c r="F985" s="1">
        <v>5.4140127388535033</v>
      </c>
      <c r="G985" s="2">
        <f t="shared" si="78"/>
        <v>23.021224920063954</v>
      </c>
      <c r="H985" s="2">
        <f t="shared" si="79"/>
        <v>6.4791485162377525</v>
      </c>
      <c r="I985" s="2">
        <f t="shared" si="75"/>
        <v>1619.787129059438</v>
      </c>
      <c r="J985" s="4">
        <f t="shared" si="77"/>
        <v>9.6012422126658272</v>
      </c>
      <c r="K985" s="4">
        <f t="shared" si="76"/>
        <v>2400.3105531664569</v>
      </c>
      <c r="L985">
        <v>4</v>
      </c>
    </row>
    <row r="986" spans="1:12" x14ac:dyDescent="0.3">
      <c r="A986" t="s">
        <v>147</v>
      </c>
      <c r="B986" t="s">
        <v>122</v>
      </c>
      <c r="C986" s="4">
        <v>0.85750000000000004</v>
      </c>
      <c r="D986" s="4">
        <v>0.61247410899999999</v>
      </c>
      <c r="E986">
        <v>6</v>
      </c>
      <c r="F986" s="1">
        <v>4.4585987261146496</v>
      </c>
      <c r="G986" s="2">
        <f t="shared" si="78"/>
        <v>15.613010672430914</v>
      </c>
      <c r="H986" s="2">
        <f t="shared" si="79"/>
        <v>4.4353057770243076</v>
      </c>
      <c r="I986" s="2">
        <f t="shared" si="75"/>
        <v>1108.8264442560769</v>
      </c>
      <c r="J986" s="4">
        <f t="shared" si="77"/>
        <v>9.4031611546107339</v>
      </c>
      <c r="K986" s="4">
        <f t="shared" si="76"/>
        <v>2350.7902886526836</v>
      </c>
      <c r="L986">
        <v>4</v>
      </c>
    </row>
    <row r="987" spans="1:12" x14ac:dyDescent="0.3">
      <c r="A987" t="s">
        <v>147</v>
      </c>
      <c r="B987" t="s">
        <v>122</v>
      </c>
      <c r="C987" s="4">
        <v>0.85750000000000004</v>
      </c>
      <c r="D987" s="4">
        <v>0.61247410899999999</v>
      </c>
      <c r="E987">
        <v>5.7</v>
      </c>
      <c r="F987" s="1">
        <v>7.3248407643312099</v>
      </c>
      <c r="G987" s="2">
        <f t="shared" si="78"/>
        <v>42.139197172020175</v>
      </c>
      <c r="H987" s="2">
        <f t="shared" si="79"/>
        <v>11.118152205989176</v>
      </c>
      <c r="I987" s="2">
        <f t="shared" si="75"/>
        <v>2779.538051497294</v>
      </c>
      <c r="J987" s="4">
        <f t="shared" si="77"/>
        <v>10.056083179845023</v>
      </c>
      <c r="K987" s="4">
        <f t="shared" si="76"/>
        <v>2514.0207949612559</v>
      </c>
      <c r="L987">
        <v>4</v>
      </c>
    </row>
    <row r="988" spans="1:12" x14ac:dyDescent="0.3">
      <c r="A988" t="s">
        <v>147</v>
      </c>
      <c r="B988" t="s">
        <v>122</v>
      </c>
      <c r="C988" s="4">
        <v>0.85750000000000004</v>
      </c>
      <c r="D988" s="4">
        <v>0.61247410899999999</v>
      </c>
      <c r="E988">
        <v>5.5</v>
      </c>
      <c r="F988" s="1">
        <v>5.4140127388535033</v>
      </c>
      <c r="G988" s="2">
        <f t="shared" si="78"/>
        <v>23.021224920063954</v>
      </c>
      <c r="H988" s="2">
        <f t="shared" si="79"/>
        <v>5.9516351443122542</v>
      </c>
      <c r="I988" s="2">
        <f t="shared" si="75"/>
        <v>1487.9087860780635</v>
      </c>
      <c r="J988" s="4">
        <f t="shared" si="77"/>
        <v>9.5499470282770087</v>
      </c>
      <c r="K988" s="4">
        <f t="shared" si="76"/>
        <v>2387.4867570692522</v>
      </c>
      <c r="L988">
        <v>4</v>
      </c>
    </row>
    <row r="989" spans="1:12" x14ac:dyDescent="0.3">
      <c r="A989" t="s">
        <v>147</v>
      </c>
      <c r="B989" t="s">
        <v>148</v>
      </c>
      <c r="C989" s="4">
        <v>0.93384615400000004</v>
      </c>
      <c r="D989" s="4">
        <v>0.61247410899999999</v>
      </c>
      <c r="E989">
        <v>2</v>
      </c>
      <c r="F989" s="1">
        <v>3.5031847133757958</v>
      </c>
      <c r="G989" s="2">
        <f t="shared" si="78"/>
        <v>9.6386443436945939</v>
      </c>
      <c r="H989" s="2">
        <f t="shared" si="79"/>
        <v>0.94800323060632496</v>
      </c>
      <c r="I989" s="2">
        <f t="shared" si="75"/>
        <v>237.00080765158125</v>
      </c>
      <c r="J989" s="4">
        <f t="shared" si="77"/>
        <v>9.0716061219522093</v>
      </c>
      <c r="K989" s="4">
        <f t="shared" si="76"/>
        <v>2267.9015304880522</v>
      </c>
      <c r="L989">
        <v>4</v>
      </c>
    </row>
    <row r="990" spans="1:12" x14ac:dyDescent="0.3">
      <c r="A990" t="s">
        <v>147</v>
      </c>
      <c r="B990" t="s">
        <v>39</v>
      </c>
      <c r="C990" s="4">
        <v>0.590536375</v>
      </c>
      <c r="D990" s="4">
        <v>0.61247410899999999</v>
      </c>
      <c r="E990">
        <v>8</v>
      </c>
      <c r="F990" s="1">
        <v>18.789808917197451</v>
      </c>
      <c r="G990" s="2">
        <f t="shared" si="78"/>
        <v>277.29025587108168</v>
      </c>
      <c r="H990" s="2">
        <f t="shared" si="79"/>
        <v>97.347538411375666</v>
      </c>
      <c r="I990" s="2">
        <f t="shared" si="75"/>
        <v>24336.884602843915</v>
      </c>
      <c r="J990" s="4">
        <f t="shared" si="77"/>
        <v>18.871293736054199</v>
      </c>
      <c r="K990" s="4">
        <f t="shared" si="76"/>
        <v>4717.8234340135496</v>
      </c>
      <c r="L990">
        <v>4</v>
      </c>
    </row>
    <row r="991" spans="1:12" x14ac:dyDescent="0.3">
      <c r="A991" t="s">
        <v>147</v>
      </c>
      <c r="B991" t="s">
        <v>27</v>
      </c>
      <c r="C991" s="4">
        <v>0.50857142899999996</v>
      </c>
      <c r="D991" s="4">
        <v>0.49666666700000001</v>
      </c>
      <c r="E991">
        <v>10</v>
      </c>
      <c r="F991" s="1">
        <v>47.452229299363054</v>
      </c>
      <c r="G991" s="2">
        <f t="shared" si="78"/>
        <v>1768.4920915236669</v>
      </c>
      <c r="H991" s="2">
        <f t="shared" si="79"/>
        <v>601.765715220738</v>
      </c>
      <c r="I991" s="2">
        <f t="shared" si="75"/>
        <v>150441.42880518449</v>
      </c>
      <c r="J991" s="4">
        <f t="shared" si="77"/>
        <v>87.795692291776518</v>
      </c>
      <c r="K991" s="4">
        <f t="shared" si="76"/>
        <v>21948.92307294413</v>
      </c>
      <c r="L991">
        <v>4</v>
      </c>
    </row>
    <row r="992" spans="1:12" x14ac:dyDescent="0.3">
      <c r="A992" t="s">
        <v>147</v>
      </c>
      <c r="B992" t="s">
        <v>73</v>
      </c>
      <c r="C992" s="4">
        <v>0.39</v>
      </c>
      <c r="D992" s="4">
        <v>0.28861111099999998</v>
      </c>
      <c r="E992">
        <v>8</v>
      </c>
      <c r="F992" s="1">
        <v>20.859872611464969</v>
      </c>
      <c r="G992" s="2">
        <f t="shared" si="78"/>
        <v>341.75366855814667</v>
      </c>
      <c r="H992" s="2">
        <f t="shared" si="79"/>
        <v>57.278649477630537</v>
      </c>
      <c r="I992" s="2">
        <f t="shared" si="75"/>
        <v>14319.662369407635</v>
      </c>
      <c r="J992" s="4">
        <f t="shared" si="77"/>
        <v>21.169459990263299</v>
      </c>
      <c r="K992" s="4">
        <f t="shared" si="76"/>
        <v>5292.3649975658245</v>
      </c>
      <c r="L992">
        <v>4</v>
      </c>
    </row>
    <row r="993" spans="1:12" x14ac:dyDescent="0.3">
      <c r="A993" t="s">
        <v>147</v>
      </c>
      <c r="B993" t="s">
        <v>46</v>
      </c>
      <c r="C993" s="4">
        <v>1.1200000000000001</v>
      </c>
      <c r="D993" s="4">
        <v>0.85527777800000004</v>
      </c>
      <c r="E993">
        <v>2.5</v>
      </c>
      <c r="F993" s="1">
        <v>1.910828025477707</v>
      </c>
      <c r="G993" s="2">
        <f t="shared" si="78"/>
        <v>2.8676958377934336</v>
      </c>
      <c r="H993" s="2">
        <f t="shared" si="79"/>
        <v>0.50013321284102652</v>
      </c>
      <c r="I993" s="2">
        <f t="shared" si="75"/>
        <v>125.03330321025663</v>
      </c>
      <c r="J993" s="4">
        <f t="shared" si="77"/>
        <v>9.017648557750821</v>
      </c>
      <c r="K993" s="4">
        <f t="shared" si="76"/>
        <v>2254.4121394377053</v>
      </c>
      <c r="L993">
        <v>4</v>
      </c>
    </row>
    <row r="994" spans="1:12" x14ac:dyDescent="0.3">
      <c r="A994" t="s">
        <v>147</v>
      </c>
      <c r="B994" t="s">
        <v>21</v>
      </c>
      <c r="C994" s="4">
        <v>0.66608171000000005</v>
      </c>
      <c r="D994" s="4">
        <v>0.68661666700000001</v>
      </c>
      <c r="E994">
        <v>6.5</v>
      </c>
      <c r="F994" s="1">
        <v>4.4585987261146496</v>
      </c>
      <c r="G994" s="2">
        <f t="shared" si="78"/>
        <v>15.613010672430914</v>
      </c>
      <c r="H994" s="2">
        <f t="shared" si="79"/>
        <v>5.3615078975518626</v>
      </c>
      <c r="I994" s="2">
        <f t="shared" si="75"/>
        <v>1340.3769743879657</v>
      </c>
      <c r="J994" s="4">
        <f t="shared" si="77"/>
        <v>9.437949584161629</v>
      </c>
      <c r="K994" s="4">
        <f t="shared" si="76"/>
        <v>2359.4873960404075</v>
      </c>
      <c r="L994">
        <v>4</v>
      </c>
    </row>
    <row r="995" spans="1:12" x14ac:dyDescent="0.3">
      <c r="A995" t="s">
        <v>147</v>
      </c>
      <c r="B995" t="s">
        <v>49</v>
      </c>
      <c r="C995" s="4">
        <v>0.57917600000000002</v>
      </c>
      <c r="D995" s="4">
        <v>0.60285714300000004</v>
      </c>
      <c r="E995">
        <v>10</v>
      </c>
      <c r="F995" s="1">
        <v>35.031847133757964</v>
      </c>
      <c r="G995" s="2">
        <f t="shared" si="78"/>
        <v>963.86443436945979</v>
      </c>
      <c r="H995" s="2">
        <f t="shared" si="79"/>
        <v>402.06491542595677</v>
      </c>
      <c r="I995" s="2">
        <f t="shared" si="75"/>
        <v>100516.22885648919</v>
      </c>
      <c r="J995" s="4">
        <f t="shared" si="77"/>
        <v>51.938760976104511</v>
      </c>
      <c r="K995" s="4">
        <f t="shared" si="76"/>
        <v>12984.690244026127</v>
      </c>
      <c r="L995">
        <v>4</v>
      </c>
    </row>
    <row r="996" spans="1:12" x14ac:dyDescent="0.3">
      <c r="A996" t="s">
        <v>147</v>
      </c>
      <c r="B996" t="s">
        <v>149</v>
      </c>
      <c r="C996" s="4">
        <v>0.41185709999999998</v>
      </c>
      <c r="D996" s="4">
        <v>0.41185714299999998</v>
      </c>
      <c r="E996">
        <v>2.8</v>
      </c>
      <c r="F996" s="1">
        <v>2.7070063694267517</v>
      </c>
      <c r="G996" s="2">
        <f t="shared" si="78"/>
        <v>5.7553062300159885</v>
      </c>
      <c r="H996" s="2">
        <f t="shared" si="79"/>
        <v>0.54032250511944668</v>
      </c>
      <c r="I996" s="2">
        <f t="shared" si="75"/>
        <v>135.08062627986166</v>
      </c>
      <c r="J996" s="4">
        <f t="shared" si="77"/>
        <v>9.0575132581443469</v>
      </c>
      <c r="K996" s="4">
        <f t="shared" si="76"/>
        <v>2264.3783145360867</v>
      </c>
      <c r="L996">
        <v>4</v>
      </c>
    </row>
    <row r="997" spans="1:12" x14ac:dyDescent="0.3">
      <c r="A997" t="s">
        <v>150</v>
      </c>
      <c r="B997" t="s">
        <v>85</v>
      </c>
      <c r="C997" s="4">
        <v>0.6</v>
      </c>
      <c r="D997" s="4">
        <v>0.66674999999999995</v>
      </c>
      <c r="E997">
        <v>4</v>
      </c>
      <c r="F997" s="1">
        <v>6.3694267515923562</v>
      </c>
      <c r="G997" s="2">
        <f t="shared" si="78"/>
        <v>31.863287086593701</v>
      </c>
      <c r="H997" s="2">
        <f t="shared" si="79"/>
        <v>6.5075483875439177</v>
      </c>
      <c r="I997" s="2">
        <f t="shared" si="75"/>
        <v>1626.8870968859794</v>
      </c>
      <c r="J997" s="4">
        <f t="shared" si="77"/>
        <v>9.5536743600146039</v>
      </c>
      <c r="K997" s="4">
        <f t="shared" si="76"/>
        <v>2388.4185900036509</v>
      </c>
      <c r="L997">
        <v>4</v>
      </c>
    </row>
    <row r="998" spans="1:12" x14ac:dyDescent="0.3">
      <c r="A998" t="s">
        <v>150</v>
      </c>
      <c r="B998" t="s">
        <v>126</v>
      </c>
      <c r="C998" s="4">
        <v>0.490852183</v>
      </c>
      <c r="D998" s="4">
        <v>0.607288889</v>
      </c>
      <c r="E998">
        <v>2.5</v>
      </c>
      <c r="F998" s="1">
        <v>5.2547770700636942</v>
      </c>
      <c r="G998" s="2">
        <f t="shared" si="78"/>
        <v>21.68694977331284</v>
      </c>
      <c r="H998" s="2">
        <f t="shared" si="79"/>
        <v>2.5794098029285504</v>
      </c>
      <c r="I998" s="2">
        <f t="shared" si="75"/>
        <v>644.85245073213764</v>
      </c>
      <c r="J998" s="4">
        <f t="shared" si="77"/>
        <v>9.2273109679905883</v>
      </c>
      <c r="K998" s="4">
        <f t="shared" si="76"/>
        <v>2306.8277419976471</v>
      </c>
      <c r="L998">
        <v>4</v>
      </c>
    </row>
    <row r="999" spans="1:12" x14ac:dyDescent="0.3">
      <c r="A999" t="s">
        <v>150</v>
      </c>
      <c r="B999" t="s">
        <v>16</v>
      </c>
      <c r="C999" s="4">
        <v>0.89361000000000002</v>
      </c>
      <c r="D999" s="4">
        <v>0.61247410899999999</v>
      </c>
      <c r="E999">
        <v>2.1</v>
      </c>
      <c r="F999" s="1">
        <v>3.8216560509554141</v>
      </c>
      <c r="G999" s="2">
        <f t="shared" si="78"/>
        <v>11.470783351173734</v>
      </c>
      <c r="H999" s="2">
        <f t="shared" si="79"/>
        <v>1.178294482570877</v>
      </c>
      <c r="I999" s="2">
        <f t="shared" si="75"/>
        <v>294.57362064271922</v>
      </c>
      <c r="J999" s="4">
        <f t="shared" si="77"/>
        <v>9.0930471540427593</v>
      </c>
      <c r="K999" s="4">
        <f t="shared" si="76"/>
        <v>2273.2617885106897</v>
      </c>
      <c r="L999">
        <v>4</v>
      </c>
    </row>
    <row r="1000" spans="1:12" x14ac:dyDescent="0.3">
      <c r="A1000" t="s">
        <v>150</v>
      </c>
      <c r="B1000" t="s">
        <v>17</v>
      </c>
      <c r="C1000" s="4">
        <v>0.708787469</v>
      </c>
      <c r="D1000" s="4">
        <v>0.80167708299999996</v>
      </c>
      <c r="E1000">
        <v>3.7</v>
      </c>
      <c r="F1000" s="1">
        <v>11.783439490445859</v>
      </c>
      <c r="G1000" s="2">
        <f t="shared" si="78"/>
        <v>109.05210005386697</v>
      </c>
      <c r="H1000" s="2">
        <f t="shared" si="79"/>
        <v>23.988689375489496</v>
      </c>
      <c r="I1000" s="2">
        <f t="shared" si="75"/>
        <v>5997.1723438723739</v>
      </c>
      <c r="J1000" s="4">
        <f t="shared" si="77"/>
        <v>10.783800328613736</v>
      </c>
      <c r="K1000" s="4">
        <f t="shared" si="76"/>
        <v>2695.9500821534343</v>
      </c>
      <c r="L1000">
        <v>4</v>
      </c>
    </row>
    <row r="1001" spans="1:12" x14ac:dyDescent="0.3">
      <c r="A1001" t="s">
        <v>150</v>
      </c>
      <c r="B1001" t="s">
        <v>17</v>
      </c>
      <c r="C1001" s="4">
        <v>0.708787469</v>
      </c>
      <c r="D1001" s="4">
        <v>0.80167708299999996</v>
      </c>
      <c r="E1001">
        <v>2.2000000000000002</v>
      </c>
      <c r="F1001" s="1">
        <v>4.2993630573248405</v>
      </c>
      <c r="G1001" s="2">
        <f t="shared" si="78"/>
        <v>14.517710178829255</v>
      </c>
      <c r="H1001" s="2">
        <f t="shared" si="79"/>
        <v>2.0180314276740154</v>
      </c>
      <c r="I1001" s="2">
        <f t="shared" si="75"/>
        <v>504.50785691850388</v>
      </c>
      <c r="J1001" s="4">
        <f t="shared" si="77"/>
        <v>9.1280308247799091</v>
      </c>
      <c r="K1001" s="4">
        <f t="shared" si="76"/>
        <v>2282.0077061949773</v>
      </c>
      <c r="L1001">
        <v>4</v>
      </c>
    </row>
    <row r="1002" spans="1:12" x14ac:dyDescent="0.3">
      <c r="A1002" t="s">
        <v>150</v>
      </c>
      <c r="B1002" t="s">
        <v>151</v>
      </c>
      <c r="C1002" s="4">
        <v>0.13069240100000001</v>
      </c>
      <c r="D1002" s="4">
        <v>0.26500000000000001</v>
      </c>
      <c r="E1002">
        <v>6</v>
      </c>
      <c r="F1002" s="1">
        <v>12.738853503184712</v>
      </c>
      <c r="G1002" s="2">
        <f t="shared" si="78"/>
        <v>127.4531483463748</v>
      </c>
      <c r="H1002" s="2">
        <f t="shared" si="79"/>
        <v>15.198232626164284</v>
      </c>
      <c r="I1002" s="2">
        <f t="shared" si="75"/>
        <v>3799.5581565410712</v>
      </c>
      <c r="J1002" s="4">
        <f t="shared" si="77"/>
        <v>12.393546160087629</v>
      </c>
      <c r="K1002" s="4">
        <f t="shared" si="76"/>
        <v>3098.3865400219074</v>
      </c>
      <c r="L1002">
        <v>4</v>
      </c>
    </row>
    <row r="1003" spans="1:12" x14ac:dyDescent="0.3">
      <c r="A1003" t="s">
        <v>150</v>
      </c>
      <c r="B1003" t="s">
        <v>151</v>
      </c>
      <c r="C1003" s="4">
        <v>0.13069240100000001</v>
      </c>
      <c r="D1003" s="4">
        <v>0.26500000000000001</v>
      </c>
      <c r="E1003">
        <v>4.5</v>
      </c>
      <c r="F1003" s="1">
        <v>12.101910828025478</v>
      </c>
      <c r="G1003" s="2">
        <f t="shared" si="78"/>
        <v>115.02646638260329</v>
      </c>
      <c r="H1003" s="2">
        <f t="shared" si="79"/>
        <v>10.38411186928492</v>
      </c>
      <c r="I1003" s="2">
        <f t="shared" si="75"/>
        <v>2596.0279673212299</v>
      </c>
      <c r="J1003" s="4">
        <f t="shared" si="77"/>
        <v>11.292385869609316</v>
      </c>
      <c r="K1003" s="4">
        <f t="shared" si="76"/>
        <v>2823.0964674023289</v>
      </c>
      <c r="L1003">
        <v>4</v>
      </c>
    </row>
    <row r="1004" spans="1:12" x14ac:dyDescent="0.3">
      <c r="A1004" t="s">
        <v>150</v>
      </c>
      <c r="B1004" t="s">
        <v>151</v>
      </c>
      <c r="C1004" s="4">
        <v>0.13069240100000001</v>
      </c>
      <c r="D1004" s="4">
        <v>0.26500000000000001</v>
      </c>
      <c r="E1004">
        <v>4.5</v>
      </c>
      <c r="F1004" s="1">
        <v>9.5541401273885338</v>
      </c>
      <c r="G1004" s="2">
        <f t="shared" si="78"/>
        <v>71.692395944835823</v>
      </c>
      <c r="H1004" s="2">
        <f t="shared" si="79"/>
        <v>6.5459467306987262</v>
      </c>
      <c r="I1004" s="2">
        <f t="shared" si="75"/>
        <v>1636.4866826746816</v>
      </c>
      <c r="J1004" s="4">
        <f t="shared" si="77"/>
        <v>10.423385098786968</v>
      </c>
      <c r="K1004" s="4">
        <f t="shared" si="76"/>
        <v>2605.8462746967421</v>
      </c>
      <c r="L1004">
        <v>4</v>
      </c>
    </row>
    <row r="1005" spans="1:12" x14ac:dyDescent="0.3">
      <c r="A1005" t="s">
        <v>150</v>
      </c>
      <c r="B1005" t="s">
        <v>122</v>
      </c>
      <c r="C1005" s="4">
        <v>0.85750000000000004</v>
      </c>
      <c r="D1005" s="4">
        <v>0.61247410899999999</v>
      </c>
      <c r="E1005">
        <v>3.5</v>
      </c>
      <c r="F1005" s="1">
        <v>9.7133757961783438</v>
      </c>
      <c r="G1005" s="2">
        <f t="shared" si="78"/>
        <v>74.102057030759482</v>
      </c>
      <c r="H1005" s="2">
        <f t="shared" si="79"/>
        <v>11.98311474155043</v>
      </c>
      <c r="I1005" s="2">
        <f t="shared" si="75"/>
        <v>2995.7786853876078</v>
      </c>
      <c r="J1005" s="4">
        <f t="shared" si="77"/>
        <v>10.141483449632844</v>
      </c>
      <c r="K1005" s="4">
        <f t="shared" si="76"/>
        <v>2535.370862408211</v>
      </c>
      <c r="L1005">
        <v>4</v>
      </c>
    </row>
    <row r="1006" spans="1:12" x14ac:dyDescent="0.3">
      <c r="A1006" t="s">
        <v>150</v>
      </c>
      <c r="B1006" t="s">
        <v>118</v>
      </c>
      <c r="C1006" s="4">
        <v>0.56023871300000005</v>
      </c>
      <c r="D1006" s="4">
        <v>0.74103703700000001</v>
      </c>
      <c r="E1006">
        <v>6</v>
      </c>
      <c r="F1006" s="1">
        <v>7.9617834394904454</v>
      </c>
      <c r="G1006" s="2">
        <f t="shared" si="78"/>
        <v>49.786386072802657</v>
      </c>
      <c r="H1006" s="2">
        <f t="shared" si="79"/>
        <v>16.566343612522704</v>
      </c>
      <c r="I1006" s="2">
        <f t="shared" si="75"/>
        <v>4141.5859031306763</v>
      </c>
      <c r="J1006" s="4">
        <f t="shared" si="77"/>
        <v>10.31688990628423</v>
      </c>
      <c r="K1006" s="4">
        <f t="shared" si="76"/>
        <v>2579.2224765710575</v>
      </c>
      <c r="L1006">
        <v>4</v>
      </c>
    </row>
    <row r="1007" spans="1:12" x14ac:dyDescent="0.3">
      <c r="A1007" t="s">
        <v>150</v>
      </c>
      <c r="B1007" t="s">
        <v>118</v>
      </c>
      <c r="C1007" s="4">
        <v>0.56023871300000005</v>
      </c>
      <c r="D1007" s="4">
        <v>0.74103703700000001</v>
      </c>
      <c r="E1007">
        <v>4.2</v>
      </c>
      <c r="F1007" s="1">
        <v>7.484076433121019</v>
      </c>
      <c r="G1007" s="2">
        <f t="shared" si="78"/>
        <v>43.991250733928432</v>
      </c>
      <c r="H1007" s="2">
        <f t="shared" si="79"/>
        <v>10.365444302806964</v>
      </c>
      <c r="I1007" s="2">
        <f t="shared" si="75"/>
        <v>2591.3610757017409</v>
      </c>
      <c r="J1007" s="4">
        <f t="shared" si="77"/>
        <v>9.8090675808349221</v>
      </c>
      <c r="K1007" s="4">
        <f t="shared" si="76"/>
        <v>2452.2668952087306</v>
      </c>
      <c r="L1007">
        <v>4</v>
      </c>
    </row>
    <row r="1008" spans="1:12" x14ac:dyDescent="0.3">
      <c r="A1008" t="s">
        <v>150</v>
      </c>
      <c r="B1008" t="s">
        <v>33</v>
      </c>
      <c r="C1008" s="4">
        <v>0.69835862100000001</v>
      </c>
      <c r="D1008" s="4">
        <v>0.69262500000000005</v>
      </c>
      <c r="E1008">
        <v>8.9</v>
      </c>
      <c r="F1008" s="1">
        <v>7.6433121019108281</v>
      </c>
      <c r="G1008" s="2">
        <f t="shared" si="78"/>
        <v>45.883133404694938</v>
      </c>
      <c r="H1008" s="2">
        <f t="shared" si="79"/>
        <v>21.043190594719597</v>
      </c>
      <c r="I1008" s="2">
        <f t="shared" si="75"/>
        <v>5260.7976486798989</v>
      </c>
      <c r="J1008" s="4">
        <f t="shared" si="77"/>
        <v>10.805489849486793</v>
      </c>
      <c r="K1008" s="4">
        <f t="shared" si="76"/>
        <v>2701.3724623716985</v>
      </c>
      <c r="L1008">
        <v>4</v>
      </c>
    </row>
    <row r="1009" spans="1:12" x14ac:dyDescent="0.3">
      <c r="A1009" t="s">
        <v>150</v>
      </c>
      <c r="B1009" t="s">
        <v>33</v>
      </c>
      <c r="C1009" s="4">
        <v>0.69835862100000001</v>
      </c>
      <c r="D1009" s="4">
        <v>0.69262500000000005</v>
      </c>
      <c r="E1009">
        <v>7.2</v>
      </c>
      <c r="F1009" s="1">
        <v>4.936305732484076</v>
      </c>
      <c r="G1009" s="2">
        <f t="shared" si="78"/>
        <v>19.137886806385342</v>
      </c>
      <c r="H1009" s="2">
        <f t="shared" si="79"/>
        <v>7.2881716039174531</v>
      </c>
      <c r="I1009" s="2">
        <f t="shared" si="75"/>
        <v>1822.0429009793634</v>
      </c>
      <c r="J1009" s="4">
        <f t="shared" si="77"/>
        <v>9.5997512799707891</v>
      </c>
      <c r="K1009" s="4">
        <f t="shared" si="76"/>
        <v>2399.9378199926973</v>
      </c>
      <c r="L1009">
        <v>4</v>
      </c>
    </row>
    <row r="1010" spans="1:12" x14ac:dyDescent="0.3">
      <c r="A1010" t="s">
        <v>150</v>
      </c>
      <c r="B1010" t="s">
        <v>22</v>
      </c>
      <c r="C1010" s="4">
        <v>0.43836446099999998</v>
      </c>
      <c r="D1010" s="4">
        <v>0.58666666700000003</v>
      </c>
      <c r="E1010">
        <v>2.7</v>
      </c>
      <c r="F1010" s="1">
        <v>10.668789808917197</v>
      </c>
      <c r="G1010" s="2">
        <f t="shared" si="78"/>
        <v>89.396434832324445</v>
      </c>
      <c r="H1010" s="2">
        <f t="shared" si="79"/>
        <v>10.711663170087533</v>
      </c>
      <c r="I1010" s="2">
        <f t="shared" si="75"/>
        <v>2677.9157925218833</v>
      </c>
      <c r="J1010" s="4">
        <f t="shared" si="77"/>
        <v>10.061328068075783</v>
      </c>
      <c r="K1010" s="4">
        <f t="shared" si="76"/>
        <v>2515.3320170189459</v>
      </c>
      <c r="L1010">
        <v>4</v>
      </c>
    </row>
    <row r="1011" spans="1:12" x14ac:dyDescent="0.3">
      <c r="A1011" t="s">
        <v>150</v>
      </c>
      <c r="B1011" t="s">
        <v>22</v>
      </c>
      <c r="C1011" s="4">
        <v>0.43836446099999998</v>
      </c>
      <c r="D1011" s="4">
        <v>0.58666666700000003</v>
      </c>
      <c r="E1011">
        <v>1.9</v>
      </c>
      <c r="F1011" s="1">
        <v>6.3694267515923562</v>
      </c>
      <c r="G1011" s="2">
        <f t="shared" si="78"/>
        <v>31.863287086593701</v>
      </c>
      <c r="H1011" s="2">
        <f t="shared" si="79"/>
        <v>2.7773619200801689</v>
      </c>
      <c r="I1011" s="2">
        <f t="shared" si="75"/>
        <v>694.34048002004226</v>
      </c>
      <c r="J1011" s="4">
        <f t="shared" si="77"/>
        <v>9.2554878210069376</v>
      </c>
      <c r="K1011" s="4">
        <f t="shared" si="76"/>
        <v>2313.8719552517346</v>
      </c>
      <c r="L1011">
        <v>4</v>
      </c>
    </row>
    <row r="1012" spans="1:12" x14ac:dyDescent="0.3">
      <c r="A1012" t="s">
        <v>150</v>
      </c>
      <c r="B1012" t="s">
        <v>49</v>
      </c>
      <c r="C1012" s="4">
        <v>0.57917600000000002</v>
      </c>
      <c r="D1012" s="4">
        <v>0.60285714300000004</v>
      </c>
      <c r="E1012">
        <v>8</v>
      </c>
      <c r="F1012" s="1">
        <v>30.254777070063692</v>
      </c>
      <c r="G1012" s="2">
        <f t="shared" si="78"/>
        <v>718.91541489127042</v>
      </c>
      <c r="H1012" s="2">
        <f t="shared" si="79"/>
        <v>242.90136826637942</v>
      </c>
      <c r="I1012" s="2">
        <f t="shared" si="75"/>
        <v>60725.342066594858</v>
      </c>
      <c r="J1012" s="4">
        <f t="shared" si="77"/>
        <v>34.615542995659048</v>
      </c>
      <c r="K1012" s="4">
        <f t="shared" si="76"/>
        <v>8653.8857489147613</v>
      </c>
      <c r="L1012">
        <v>4</v>
      </c>
    </row>
    <row r="1013" spans="1:12" x14ac:dyDescent="0.3">
      <c r="A1013" t="s">
        <v>150</v>
      </c>
      <c r="B1013" t="s">
        <v>94</v>
      </c>
      <c r="C1013" s="4">
        <v>0.28577490700000002</v>
      </c>
      <c r="D1013" s="4">
        <v>0.3422</v>
      </c>
      <c r="E1013">
        <v>8</v>
      </c>
      <c r="F1013" s="1">
        <v>31.369426751592357</v>
      </c>
      <c r="G1013" s="2">
        <f t="shared" si="78"/>
        <v>772.86394283975949</v>
      </c>
      <c r="H1013" s="2">
        <f t="shared" si="79"/>
        <v>149.99232099872245</v>
      </c>
      <c r="I1013" s="2">
        <f t="shared" si="75"/>
        <v>37498.080249680614</v>
      </c>
      <c r="J1013" s="4">
        <f t="shared" si="77"/>
        <v>36.538846172258509</v>
      </c>
      <c r="K1013" s="4">
        <f t="shared" si="76"/>
        <v>9134.7115430646281</v>
      </c>
      <c r="L1013">
        <v>4</v>
      </c>
    </row>
    <row r="1014" spans="1:12" x14ac:dyDescent="0.3">
      <c r="A1014" t="s">
        <v>152</v>
      </c>
      <c r="B1014" t="s">
        <v>26</v>
      </c>
      <c r="C1014" s="4">
        <v>0.80908761900000004</v>
      </c>
      <c r="D1014" s="4">
        <v>0.87473809499999999</v>
      </c>
      <c r="E1014">
        <v>7</v>
      </c>
      <c r="F1014" s="1">
        <v>13.216560509554139</v>
      </c>
      <c r="G1014" s="2">
        <f t="shared" si="78"/>
        <v>137.191365462215</v>
      </c>
      <c r="H1014" s="2">
        <f t="shared" si="79"/>
        <v>60.887330080533481</v>
      </c>
      <c r="I1014" s="2">
        <f t="shared" si="75"/>
        <v>15221.83252013337</v>
      </c>
      <c r="J1014" s="4">
        <f t="shared" si="77"/>
        <v>13.265298056716295</v>
      </c>
      <c r="K1014" s="4">
        <f t="shared" si="76"/>
        <v>3316.324514179074</v>
      </c>
      <c r="L1014">
        <v>4</v>
      </c>
    </row>
    <row r="1015" spans="1:12" x14ac:dyDescent="0.3">
      <c r="A1015" t="s">
        <v>152</v>
      </c>
      <c r="B1015" t="s">
        <v>153</v>
      </c>
      <c r="C1015" s="4">
        <v>0.57550000000000001</v>
      </c>
      <c r="D1015" s="4">
        <v>0.57550000000000001</v>
      </c>
      <c r="E1015">
        <v>3</v>
      </c>
      <c r="F1015" s="1">
        <v>2.3885350318471334</v>
      </c>
      <c r="G1015" s="2">
        <f t="shared" si="78"/>
        <v>4.480774746552239</v>
      </c>
      <c r="H1015" s="2">
        <f t="shared" si="79"/>
        <v>0.62748386369272946</v>
      </c>
      <c r="I1015" s="2">
        <f t="shared" si="75"/>
        <v>156.87096592318235</v>
      </c>
      <c r="J1015" s="4">
        <f t="shared" si="77"/>
        <v>9.0456035457827895</v>
      </c>
      <c r="K1015" s="4">
        <f t="shared" si="76"/>
        <v>2261.4008864456973</v>
      </c>
      <c r="L1015">
        <v>4</v>
      </c>
    </row>
    <row r="1016" spans="1:12" x14ac:dyDescent="0.3">
      <c r="A1016" t="s">
        <v>152</v>
      </c>
      <c r="B1016" t="s">
        <v>85</v>
      </c>
      <c r="C1016" s="4">
        <v>0.6</v>
      </c>
      <c r="D1016" s="4">
        <v>0.66674999999999995</v>
      </c>
      <c r="E1016">
        <v>8</v>
      </c>
      <c r="F1016" s="1">
        <v>15.445859872611464</v>
      </c>
      <c r="G1016" s="2">
        <f t="shared" si="78"/>
        <v>187.37604262360011</v>
      </c>
      <c r="H1016" s="2">
        <f t="shared" si="79"/>
        <v>72.14064218420539</v>
      </c>
      <c r="I1016" s="2">
        <f t="shared" si="75"/>
        <v>18035.160546051349</v>
      </c>
      <c r="J1016" s="4">
        <f t="shared" si="77"/>
        <v>15.665788441721773</v>
      </c>
      <c r="K1016" s="4">
        <f t="shared" si="76"/>
        <v>3916.4471104304434</v>
      </c>
      <c r="L1016">
        <v>4</v>
      </c>
    </row>
    <row r="1017" spans="1:12" x14ac:dyDescent="0.3">
      <c r="A1017" t="s">
        <v>152</v>
      </c>
      <c r="B1017" t="s">
        <v>45</v>
      </c>
      <c r="C1017" s="4">
        <v>0.81991655299999999</v>
      </c>
      <c r="D1017" s="4">
        <v>0.72276027399999998</v>
      </c>
      <c r="E1017">
        <v>2.2999999999999998</v>
      </c>
      <c r="F1017" s="1">
        <v>6.2101910828025479</v>
      </c>
      <c r="G1017" s="2">
        <f t="shared" si="78"/>
        <v>30.290037286693146</v>
      </c>
      <c r="H1017" s="2">
        <f t="shared" si="79"/>
        <v>3.9046375979303711</v>
      </c>
      <c r="I1017" s="2">
        <f t="shared" si="75"/>
        <v>976.15939948259279</v>
      </c>
      <c r="J1017" s="4">
        <f t="shared" si="77"/>
        <v>9.2961601099436084</v>
      </c>
      <c r="K1017" s="4">
        <f t="shared" si="76"/>
        <v>2324.0400274859021</v>
      </c>
      <c r="L1017">
        <v>4</v>
      </c>
    </row>
    <row r="1018" spans="1:12" x14ac:dyDescent="0.3">
      <c r="A1018" t="s">
        <v>152</v>
      </c>
      <c r="B1018" t="s">
        <v>15</v>
      </c>
      <c r="C1018" s="4">
        <v>0.47982689899999997</v>
      </c>
      <c r="D1018" s="4">
        <v>0.51</v>
      </c>
      <c r="E1018">
        <v>3.5</v>
      </c>
      <c r="F1018" s="1">
        <v>9.5541401273885338</v>
      </c>
      <c r="G1018" s="2">
        <f t="shared" si="78"/>
        <v>71.692395944835823</v>
      </c>
      <c r="H1018" s="2">
        <f t="shared" si="79"/>
        <v>9.7039373400498601</v>
      </c>
      <c r="I1018" s="2">
        <f t="shared" si="75"/>
        <v>2425.9843350124652</v>
      </c>
      <c r="J1018" s="4">
        <f t="shared" si="77"/>
        <v>10.103899521278754</v>
      </c>
      <c r="K1018" s="4">
        <f t="shared" si="76"/>
        <v>2525.9748803196885</v>
      </c>
      <c r="L1018">
        <v>4</v>
      </c>
    </row>
    <row r="1019" spans="1:12" x14ac:dyDescent="0.3">
      <c r="A1019" t="s">
        <v>152</v>
      </c>
      <c r="B1019" t="s">
        <v>15</v>
      </c>
      <c r="C1019" s="4">
        <v>0.47982689899999997</v>
      </c>
      <c r="D1019" s="4">
        <v>0.51</v>
      </c>
      <c r="E1019">
        <v>2.7</v>
      </c>
      <c r="F1019" s="1">
        <v>6.8471337579617835</v>
      </c>
      <c r="G1019" s="2">
        <f t="shared" si="78"/>
        <v>36.822011139444854</v>
      </c>
      <c r="H1019" s="2">
        <f t="shared" si="79"/>
        <v>3.931224001201238</v>
      </c>
      <c r="I1019" s="2">
        <f t="shared" si="75"/>
        <v>982.80600030030951</v>
      </c>
      <c r="J1019" s="4">
        <f t="shared" si="77"/>
        <v>9.4287466246095164</v>
      </c>
      <c r="K1019" s="4">
        <f t="shared" si="76"/>
        <v>2357.1866561523793</v>
      </c>
      <c r="L1019">
        <v>4</v>
      </c>
    </row>
    <row r="1020" spans="1:12" x14ac:dyDescent="0.3">
      <c r="A1020" t="s">
        <v>152</v>
      </c>
      <c r="B1020" t="s">
        <v>126</v>
      </c>
      <c r="C1020" s="4">
        <v>0.490852183</v>
      </c>
      <c r="D1020" s="4">
        <v>0.607288889</v>
      </c>
      <c r="E1020">
        <v>4.7</v>
      </c>
      <c r="F1020" s="1">
        <v>7.0063694267515917</v>
      </c>
      <c r="G1020" s="2">
        <f t="shared" si="78"/>
        <v>38.554577374778376</v>
      </c>
      <c r="H1020" s="2">
        <f t="shared" si="79"/>
        <v>8.3748843933185722</v>
      </c>
      <c r="I1020" s="2">
        <f t="shared" si="75"/>
        <v>2093.7210983296432</v>
      </c>
      <c r="J1020" s="4">
        <f t="shared" si="77"/>
        <v>9.793217546350764</v>
      </c>
      <c r="K1020" s="4">
        <f t="shared" si="76"/>
        <v>2448.3043865876912</v>
      </c>
      <c r="L1020">
        <v>4</v>
      </c>
    </row>
    <row r="1021" spans="1:12" x14ac:dyDescent="0.3">
      <c r="A1021" t="s">
        <v>152</v>
      </c>
      <c r="B1021" t="s">
        <v>126</v>
      </c>
      <c r="C1021" s="4">
        <v>0.490852183</v>
      </c>
      <c r="D1021" s="4">
        <v>0.607288889</v>
      </c>
      <c r="E1021">
        <v>4.5</v>
      </c>
      <c r="F1021" s="1">
        <v>8.9171974522292992</v>
      </c>
      <c r="G1021" s="2">
        <f t="shared" si="78"/>
        <v>62.452042689723655</v>
      </c>
      <c r="H1021" s="2">
        <f t="shared" si="79"/>
        <v>12.852574474526451</v>
      </c>
      <c r="I1021" s="2">
        <f t="shared" si="75"/>
        <v>3213.1436186316128</v>
      </c>
      <c r="J1021" s="4">
        <f t="shared" si="77"/>
        <v>10.238083463832204</v>
      </c>
      <c r="K1021" s="4">
        <f t="shared" si="76"/>
        <v>2559.5208659580512</v>
      </c>
      <c r="L1021">
        <v>4</v>
      </c>
    </row>
    <row r="1022" spans="1:12" x14ac:dyDescent="0.3">
      <c r="A1022" t="s">
        <v>152</v>
      </c>
      <c r="B1022" t="s">
        <v>18</v>
      </c>
      <c r="C1022" s="4">
        <v>0.45255480399999998</v>
      </c>
      <c r="D1022" s="4">
        <v>0.57808694400000005</v>
      </c>
      <c r="E1022">
        <v>5.7</v>
      </c>
      <c r="F1022" s="1">
        <v>12.420382165605096</v>
      </c>
      <c r="G1022" s="2">
        <f t="shared" si="78"/>
        <v>121.16014914677258</v>
      </c>
      <c r="H1022" s="2">
        <f t="shared" si="79"/>
        <v>29.458164863842544</v>
      </c>
      <c r="I1022" s="2">
        <f t="shared" si="75"/>
        <v>7364.5412159606358</v>
      </c>
      <c r="J1022" s="4">
        <f t="shared" si="77"/>
        <v>12.063304568136639</v>
      </c>
      <c r="K1022" s="4">
        <f t="shared" si="76"/>
        <v>3015.8261420341596</v>
      </c>
      <c r="L1022">
        <v>4</v>
      </c>
    </row>
    <row r="1023" spans="1:12" x14ac:dyDescent="0.3">
      <c r="A1023" t="s">
        <v>152</v>
      </c>
      <c r="B1023" t="s">
        <v>151</v>
      </c>
      <c r="C1023" s="4">
        <v>0.13069240100000001</v>
      </c>
      <c r="D1023" s="4">
        <v>0.26500000000000001</v>
      </c>
      <c r="E1023">
        <v>7</v>
      </c>
      <c r="F1023" s="1">
        <v>27.547770700636942</v>
      </c>
      <c r="G1023" s="2">
        <f t="shared" si="78"/>
        <v>596.02269950916434</v>
      </c>
      <c r="H1023" s="2">
        <f t="shared" si="79"/>
        <v>79.609975996356724</v>
      </c>
      <c r="I1023" s="2">
        <f t="shared" si="75"/>
        <v>19902.49399908918</v>
      </c>
      <c r="J1023" s="4">
        <f t="shared" si="77"/>
        <v>27.578251929084345</v>
      </c>
      <c r="K1023" s="4">
        <f t="shared" si="76"/>
        <v>6894.5629822710862</v>
      </c>
      <c r="L1023">
        <v>4</v>
      </c>
    </row>
    <row r="1024" spans="1:12" x14ac:dyDescent="0.3">
      <c r="A1024" t="s">
        <v>152</v>
      </c>
      <c r="B1024" t="s">
        <v>38</v>
      </c>
      <c r="C1024" s="4">
        <v>1082380952</v>
      </c>
      <c r="D1024" s="4">
        <v>0.61247410899999999</v>
      </c>
      <c r="E1024">
        <v>3.7</v>
      </c>
      <c r="F1024" s="1">
        <v>5.4140127388535033</v>
      </c>
      <c r="G1024" s="2">
        <f t="shared" si="78"/>
        <v>23.021224920063954</v>
      </c>
      <c r="H1024" s="2">
        <f t="shared" si="79"/>
        <v>4.0421013380324702</v>
      </c>
      <c r="I1024" s="2">
        <f t="shared" si="75"/>
        <v>1010.5253345081176</v>
      </c>
      <c r="J1024" s="4">
        <f t="shared" si="77"/>
        <v>9.3652843644772599</v>
      </c>
      <c r="K1024" s="4">
        <f t="shared" si="76"/>
        <v>2341.321091119315</v>
      </c>
      <c r="L1024">
        <v>4</v>
      </c>
    </row>
    <row r="1025" spans="1:12" x14ac:dyDescent="0.3">
      <c r="A1025" t="s">
        <v>152</v>
      </c>
      <c r="B1025" t="s">
        <v>122</v>
      </c>
      <c r="C1025" s="4">
        <v>0.85750000000000004</v>
      </c>
      <c r="D1025" s="4">
        <v>0.61247410899999999</v>
      </c>
      <c r="E1025">
        <v>6</v>
      </c>
      <c r="F1025" s="1">
        <v>9.3949044585987256</v>
      </c>
      <c r="G1025" s="2">
        <f t="shared" si="78"/>
        <v>69.322563967770421</v>
      </c>
      <c r="H1025" s="2">
        <f t="shared" si="79"/>
        <v>19.000901898239782</v>
      </c>
      <c r="I1025" s="2">
        <f t="shared" si="75"/>
        <v>4750.2254745599457</v>
      </c>
      <c r="J1025" s="4">
        <f t="shared" si="77"/>
        <v>10.839248825510163</v>
      </c>
      <c r="K1025" s="4">
        <f t="shared" si="76"/>
        <v>2709.8122063775409</v>
      </c>
      <c r="L1025">
        <v>4</v>
      </c>
    </row>
    <row r="1026" spans="1:12" x14ac:dyDescent="0.3">
      <c r="A1026" t="s">
        <v>152</v>
      </c>
      <c r="B1026" t="s">
        <v>122</v>
      </c>
      <c r="C1026" s="4">
        <v>0.85750000000000004</v>
      </c>
      <c r="D1026" s="4">
        <v>0.61247410899999999</v>
      </c>
      <c r="E1026">
        <v>3.5</v>
      </c>
      <c r="F1026" s="1">
        <v>4.7770700636942669</v>
      </c>
      <c r="G1026" s="2">
        <f t="shared" si="78"/>
        <v>17.923098986208956</v>
      </c>
      <c r="H1026" s="2">
        <f t="shared" si="79"/>
        <v>2.9987935571059765</v>
      </c>
      <c r="I1026" s="2">
        <f t="shared" ref="I1026:I1089" si="80">(H1026*1000)/L1026</f>
        <v>749.69838927649414</v>
      </c>
      <c r="J1026" s="4">
        <f t="shared" si="77"/>
        <v>9.2652498803196881</v>
      </c>
      <c r="K1026" s="4">
        <f t="shared" ref="K1026:K1089" si="81">(J1026*1000)/L1026</f>
        <v>2316.3124700799222</v>
      </c>
      <c r="L1026">
        <v>4</v>
      </c>
    </row>
    <row r="1027" spans="1:12" x14ac:dyDescent="0.3">
      <c r="A1027" t="s">
        <v>152</v>
      </c>
      <c r="B1027" t="s">
        <v>39</v>
      </c>
      <c r="C1027" s="4">
        <v>0.590536375</v>
      </c>
      <c r="D1027" s="4">
        <v>0.61247410899999999</v>
      </c>
      <c r="E1027">
        <v>10</v>
      </c>
      <c r="F1027" s="1">
        <v>42.834394904458598</v>
      </c>
      <c r="G1027" s="2">
        <f t="shared" si="78"/>
        <v>1441.0370730456295</v>
      </c>
      <c r="H1027" s="2">
        <f t="shared" si="79"/>
        <v>604.60525719962732</v>
      </c>
      <c r="I1027" s="2">
        <f t="shared" si="80"/>
        <v>151151.31429990684</v>
      </c>
      <c r="J1027" s="4">
        <f t="shared" ref="J1027:J1090" si="82">8.9857 + 0.0035 * F1027^2 * E1027</f>
        <v>73.203188539088799</v>
      </c>
      <c r="K1027" s="4">
        <f t="shared" si="81"/>
        <v>18300.797134772201</v>
      </c>
      <c r="L1027">
        <v>4</v>
      </c>
    </row>
    <row r="1028" spans="1:12" x14ac:dyDescent="0.3">
      <c r="A1028" t="s">
        <v>152</v>
      </c>
      <c r="B1028" t="s">
        <v>73</v>
      </c>
      <c r="C1028" s="4">
        <v>0.39</v>
      </c>
      <c r="D1028" s="4">
        <v>0.28861111099999998</v>
      </c>
      <c r="E1028">
        <v>7.5</v>
      </c>
      <c r="F1028" s="1">
        <v>16.401273885350317</v>
      </c>
      <c r="G1028" s="2">
        <f t="shared" ref="G1028:G1091" si="83">PI()*(F1028/2)^2</f>
        <v>211.27350793854535</v>
      </c>
      <c r="H1028" s="2">
        <f t="shared" ref="H1028:H1091" si="84">0.0673 * ((D1028 * F1028^2 * E1028)^0.976)</f>
        <v>33.634225288816374</v>
      </c>
      <c r="I1028" s="2">
        <f t="shared" si="80"/>
        <v>8408.5563222040928</v>
      </c>
      <c r="J1028" s="4">
        <f t="shared" si="82"/>
        <v>16.0469968578847</v>
      </c>
      <c r="K1028" s="4">
        <f t="shared" si="81"/>
        <v>4011.749214471175</v>
      </c>
      <c r="L1028">
        <v>4</v>
      </c>
    </row>
    <row r="1029" spans="1:12" x14ac:dyDescent="0.3">
      <c r="A1029" t="s">
        <v>152</v>
      </c>
      <c r="B1029" t="s">
        <v>47</v>
      </c>
      <c r="C1029" s="4">
        <v>0.40238543599999999</v>
      </c>
      <c r="D1029" s="4">
        <v>0.40883333300000002</v>
      </c>
      <c r="E1029">
        <v>9</v>
      </c>
      <c r="F1029" s="1">
        <v>16.082802547770701</v>
      </c>
      <c r="G1029" s="2">
        <f t="shared" si="83"/>
        <v>203.14836973146402</v>
      </c>
      <c r="H1029" s="2">
        <f t="shared" si="84"/>
        <v>54.330416805581926</v>
      </c>
      <c r="I1029" s="2">
        <f t="shared" si="80"/>
        <v>13582.604201395481</v>
      </c>
      <c r="J1029" s="4">
        <f t="shared" si="82"/>
        <v>17.133380940403264</v>
      </c>
      <c r="K1029" s="4">
        <f t="shared" si="81"/>
        <v>4283.3452351008154</v>
      </c>
      <c r="L1029">
        <v>4</v>
      </c>
    </row>
    <row r="1030" spans="1:12" x14ac:dyDescent="0.3">
      <c r="A1030" t="s">
        <v>152</v>
      </c>
      <c r="B1030" t="s">
        <v>94</v>
      </c>
      <c r="C1030" s="4">
        <v>0.28577490700000002</v>
      </c>
      <c r="D1030" s="4">
        <v>0.3422</v>
      </c>
      <c r="E1030">
        <v>8.5</v>
      </c>
      <c r="F1030" s="1">
        <v>27.70700636942675</v>
      </c>
      <c r="G1030" s="2">
        <f t="shared" si="83"/>
        <v>602.93304989606929</v>
      </c>
      <c r="H1030" s="2">
        <f t="shared" si="84"/>
        <v>124.88783268174672</v>
      </c>
      <c r="I1030" s="2">
        <f t="shared" si="80"/>
        <v>31221.958170436679</v>
      </c>
      <c r="J1030" s="4">
        <f t="shared" si="82"/>
        <v>31.824126508174771</v>
      </c>
      <c r="K1030" s="4">
        <f t="shared" si="81"/>
        <v>7956.0316270436924</v>
      </c>
      <c r="L1030">
        <v>4</v>
      </c>
    </row>
    <row r="1031" spans="1:12" x14ac:dyDescent="0.3">
      <c r="A1031" t="s">
        <v>154</v>
      </c>
      <c r="B1031" t="s">
        <v>26</v>
      </c>
      <c r="C1031" s="4">
        <v>0.80908761900000004</v>
      </c>
      <c r="D1031" s="4">
        <v>0.87473809499999999</v>
      </c>
      <c r="E1031">
        <v>4.5</v>
      </c>
      <c r="F1031" s="1">
        <v>12.738853503184712</v>
      </c>
      <c r="G1031" s="2">
        <f t="shared" si="83"/>
        <v>127.4531483463748</v>
      </c>
      <c r="H1031" s="2">
        <f t="shared" si="84"/>
        <v>36.81610799488903</v>
      </c>
      <c r="I1031" s="2">
        <f t="shared" si="80"/>
        <v>9204.0269987222582</v>
      </c>
      <c r="J1031" s="4">
        <f t="shared" si="82"/>
        <v>11.541584620065722</v>
      </c>
      <c r="K1031" s="4">
        <f t="shared" si="81"/>
        <v>2885.3961550164304</v>
      </c>
      <c r="L1031">
        <v>4</v>
      </c>
    </row>
    <row r="1032" spans="1:12" x14ac:dyDescent="0.3">
      <c r="A1032" t="s">
        <v>154</v>
      </c>
      <c r="B1032" t="s">
        <v>26</v>
      </c>
      <c r="C1032" s="4">
        <v>0.80908761900000004</v>
      </c>
      <c r="D1032" s="4">
        <v>0.87473809499999999</v>
      </c>
      <c r="E1032">
        <v>3.7</v>
      </c>
      <c r="F1032" s="1">
        <v>6.0509554140127388</v>
      </c>
      <c r="G1032" s="2">
        <f t="shared" si="83"/>
        <v>28.756616595650822</v>
      </c>
      <c r="H1032" s="2">
        <f t="shared" si="84"/>
        <v>7.1116974198030736</v>
      </c>
      <c r="I1032" s="2">
        <f t="shared" si="80"/>
        <v>1777.9243549507685</v>
      </c>
      <c r="J1032" s="4">
        <f t="shared" si="82"/>
        <v>9.4598520954196914</v>
      </c>
      <c r="K1032" s="4">
        <f t="shared" si="81"/>
        <v>2364.963023854923</v>
      </c>
      <c r="L1032">
        <v>4</v>
      </c>
    </row>
    <row r="1033" spans="1:12" x14ac:dyDescent="0.3">
      <c r="A1033" t="s">
        <v>154</v>
      </c>
      <c r="B1033" t="s">
        <v>69</v>
      </c>
      <c r="C1033" s="4">
        <v>0.31264018999999998</v>
      </c>
      <c r="D1033" s="4">
        <v>0.356821212</v>
      </c>
      <c r="E1033">
        <v>5.7</v>
      </c>
      <c r="F1033" s="1">
        <v>49.681528662420384</v>
      </c>
      <c r="G1033" s="2">
        <f t="shared" si="83"/>
        <v>1938.5623863483613</v>
      </c>
      <c r="H1033" s="2">
        <f t="shared" si="84"/>
        <v>275.36790115296247</v>
      </c>
      <c r="I1033" s="2">
        <f t="shared" si="80"/>
        <v>68841.975288240617</v>
      </c>
      <c r="J1033" s="4">
        <f t="shared" si="82"/>
        <v>58.227373090186219</v>
      </c>
      <c r="K1033" s="4">
        <f t="shared" si="81"/>
        <v>14556.843272546555</v>
      </c>
      <c r="L1033">
        <v>4</v>
      </c>
    </row>
    <row r="1034" spans="1:12" x14ac:dyDescent="0.3">
      <c r="A1034" t="s">
        <v>154</v>
      </c>
      <c r="B1034" t="s">
        <v>85</v>
      </c>
      <c r="C1034" s="4">
        <v>0.6</v>
      </c>
      <c r="D1034" s="4">
        <v>0.66674999999999995</v>
      </c>
      <c r="E1034">
        <v>7.5</v>
      </c>
      <c r="F1034" s="1">
        <v>15.764331210191083</v>
      </c>
      <c r="G1034" s="2">
        <f t="shared" si="83"/>
        <v>195.18254795981557</v>
      </c>
      <c r="H1034" s="2">
        <f t="shared" si="84"/>
        <v>70.48966463472793</v>
      </c>
      <c r="I1034" s="2">
        <f t="shared" si="80"/>
        <v>17622.416158681983</v>
      </c>
      <c r="J1034" s="4">
        <f t="shared" si="82"/>
        <v>15.509196135745871</v>
      </c>
      <c r="K1034" s="4">
        <f t="shared" si="81"/>
        <v>3877.2990339364678</v>
      </c>
      <c r="L1034">
        <v>4</v>
      </c>
    </row>
    <row r="1035" spans="1:12" x14ac:dyDescent="0.3">
      <c r="A1035" t="s">
        <v>154</v>
      </c>
      <c r="B1035" t="s">
        <v>141</v>
      </c>
      <c r="C1035" s="4">
        <v>0.83069230800000005</v>
      </c>
      <c r="D1035" s="4">
        <v>0.78683697699999999</v>
      </c>
      <c r="E1035">
        <v>5.7</v>
      </c>
      <c r="F1035" s="1">
        <v>17.834394904458598</v>
      </c>
      <c r="G1035" s="2">
        <f t="shared" si="83"/>
        <v>249.80817075889462</v>
      </c>
      <c r="H1035" s="2">
        <f t="shared" si="84"/>
        <v>80.647109431719272</v>
      </c>
      <c r="I1035" s="2">
        <f t="shared" si="80"/>
        <v>20161.777357929819</v>
      </c>
      <c r="J1035" s="4">
        <f t="shared" si="82"/>
        <v>15.331109550083166</v>
      </c>
      <c r="K1035" s="4">
        <f t="shared" si="81"/>
        <v>3832.7773875207918</v>
      </c>
      <c r="L1035">
        <v>4</v>
      </c>
    </row>
    <row r="1036" spans="1:12" x14ac:dyDescent="0.3">
      <c r="A1036" t="s">
        <v>154</v>
      </c>
      <c r="B1036" t="s">
        <v>45</v>
      </c>
      <c r="C1036" s="4">
        <v>0.81991655299999999</v>
      </c>
      <c r="D1036" s="4">
        <v>0.72276027399999998</v>
      </c>
      <c r="E1036">
        <v>1.7</v>
      </c>
      <c r="F1036" s="1">
        <v>2.2292993630573248</v>
      </c>
      <c r="G1036" s="2">
        <f t="shared" si="83"/>
        <v>3.9032526681077284</v>
      </c>
      <c r="H1036" s="2">
        <f t="shared" si="84"/>
        <v>0.39349237746662563</v>
      </c>
      <c r="I1036" s="2">
        <f t="shared" si="80"/>
        <v>98.373094366656403</v>
      </c>
      <c r="J1036" s="4">
        <f t="shared" si="82"/>
        <v>9.0152701651182596</v>
      </c>
      <c r="K1036" s="4">
        <f t="shared" si="81"/>
        <v>2253.8175412795649</v>
      </c>
      <c r="L1036">
        <v>4</v>
      </c>
    </row>
    <row r="1037" spans="1:12" x14ac:dyDescent="0.3">
      <c r="A1037" t="s">
        <v>154</v>
      </c>
      <c r="B1037" t="s">
        <v>45</v>
      </c>
      <c r="C1037" s="4">
        <v>0.81991655299999999</v>
      </c>
      <c r="D1037" s="4">
        <v>0.72276027399999998</v>
      </c>
      <c r="E1037">
        <v>1.7</v>
      </c>
      <c r="F1037" s="1">
        <v>5.0955414012738851</v>
      </c>
      <c r="G1037" s="2">
        <f t="shared" si="83"/>
        <v>20.392503735419968</v>
      </c>
      <c r="H1037" s="2">
        <f t="shared" si="84"/>
        <v>1.9758189930645009</v>
      </c>
      <c r="I1037" s="2">
        <f t="shared" si="80"/>
        <v>493.95474826612525</v>
      </c>
      <c r="J1037" s="4">
        <f t="shared" si="82"/>
        <v>9.1401890259239718</v>
      </c>
      <c r="K1037" s="4">
        <f t="shared" si="81"/>
        <v>2285.0472564809929</v>
      </c>
      <c r="L1037">
        <v>4</v>
      </c>
    </row>
    <row r="1038" spans="1:12" x14ac:dyDescent="0.3">
      <c r="A1038" t="s">
        <v>154</v>
      </c>
      <c r="B1038" t="s">
        <v>45</v>
      </c>
      <c r="C1038" s="4">
        <v>0.81991655299999999</v>
      </c>
      <c r="D1038" s="4">
        <v>0.72276027399999998</v>
      </c>
      <c r="E1038">
        <v>1.6</v>
      </c>
      <c r="F1038" s="1">
        <v>1.592356687898089</v>
      </c>
      <c r="G1038" s="2">
        <f t="shared" si="83"/>
        <v>1.9914554429121063</v>
      </c>
      <c r="H1038" s="2">
        <f t="shared" si="84"/>
        <v>0.19230800122786221</v>
      </c>
      <c r="I1038" s="2">
        <f t="shared" si="80"/>
        <v>48.077000306965552</v>
      </c>
      <c r="J1038" s="4">
        <f t="shared" si="82"/>
        <v>8.9998993590003646</v>
      </c>
      <c r="K1038" s="4">
        <f t="shared" si="81"/>
        <v>2249.9748397500912</v>
      </c>
      <c r="L1038">
        <v>4</v>
      </c>
    </row>
    <row r="1039" spans="1:12" x14ac:dyDescent="0.3">
      <c r="A1039" t="s">
        <v>154</v>
      </c>
      <c r="B1039" t="s">
        <v>16</v>
      </c>
      <c r="C1039" s="4">
        <v>0.89361000000000002</v>
      </c>
      <c r="D1039" s="4">
        <v>0.61247410899999999</v>
      </c>
      <c r="E1039">
        <v>3</v>
      </c>
      <c r="F1039" s="1">
        <v>3.9808917197452227</v>
      </c>
      <c r="G1039" s="2">
        <f t="shared" si="83"/>
        <v>12.446596518200664</v>
      </c>
      <c r="H1039" s="2">
        <f t="shared" si="84"/>
        <v>1.8073601821420351</v>
      </c>
      <c r="I1039" s="2">
        <f t="shared" si="80"/>
        <v>451.84004553550875</v>
      </c>
      <c r="J1039" s="4">
        <f t="shared" si="82"/>
        <v>9.1520987382855292</v>
      </c>
      <c r="K1039" s="4">
        <f t="shared" si="81"/>
        <v>2288.0246845713823</v>
      </c>
      <c r="L1039">
        <v>4</v>
      </c>
    </row>
    <row r="1040" spans="1:12" x14ac:dyDescent="0.3">
      <c r="A1040" t="s">
        <v>154</v>
      </c>
      <c r="B1040" t="s">
        <v>93</v>
      </c>
      <c r="C1040" s="4">
        <v>0.85449533600000005</v>
      </c>
      <c r="D1040" s="4">
        <v>0.81482857099999995</v>
      </c>
      <c r="E1040">
        <v>1.7</v>
      </c>
      <c r="F1040" s="1">
        <v>1.910828025477707</v>
      </c>
      <c r="G1040" s="2">
        <f t="shared" si="83"/>
        <v>2.8676958377934336</v>
      </c>
      <c r="H1040" s="2">
        <f t="shared" si="84"/>
        <v>0.32739982116318855</v>
      </c>
      <c r="I1040" s="2">
        <f t="shared" si="80"/>
        <v>81.849955290797141</v>
      </c>
      <c r="J1040" s="4">
        <f t="shared" si="82"/>
        <v>9.0074250192705581</v>
      </c>
      <c r="K1040" s="4">
        <f t="shared" si="81"/>
        <v>2251.8562548176396</v>
      </c>
      <c r="L1040">
        <v>4</v>
      </c>
    </row>
    <row r="1041" spans="1:12" x14ac:dyDescent="0.3">
      <c r="A1041" t="s">
        <v>154</v>
      </c>
      <c r="B1041" t="s">
        <v>122</v>
      </c>
      <c r="C1041" s="4">
        <v>0.85750000000000004</v>
      </c>
      <c r="D1041" s="4">
        <v>0.61247410899999999</v>
      </c>
      <c r="E1041">
        <v>6.8</v>
      </c>
      <c r="F1041" s="1">
        <v>20.700636942675157</v>
      </c>
      <c r="G1041" s="2">
        <f t="shared" si="83"/>
        <v>336.55596985214595</v>
      </c>
      <c r="H1041" s="2">
        <f t="shared" si="84"/>
        <v>100.35559521381832</v>
      </c>
      <c r="I1041" s="2">
        <f t="shared" si="80"/>
        <v>25088.89880345458</v>
      </c>
      <c r="J1041" s="4">
        <f t="shared" si="82"/>
        <v>19.184389602012253</v>
      </c>
      <c r="K1041" s="4">
        <f t="shared" si="81"/>
        <v>4796.097400503063</v>
      </c>
      <c r="L1041">
        <v>4</v>
      </c>
    </row>
    <row r="1042" spans="1:12" x14ac:dyDescent="0.3">
      <c r="A1042" t="s">
        <v>154</v>
      </c>
      <c r="B1042" t="s">
        <v>122</v>
      </c>
      <c r="C1042" s="4">
        <v>0.85750000000000004</v>
      </c>
      <c r="D1042" s="4">
        <v>0.61247410899999999</v>
      </c>
      <c r="E1042">
        <v>2.2000000000000002</v>
      </c>
      <c r="F1042" s="1">
        <v>5.5732484076433115</v>
      </c>
      <c r="G1042" s="2">
        <f t="shared" si="83"/>
        <v>24.395329175673304</v>
      </c>
      <c r="H1042" s="2">
        <f t="shared" si="84"/>
        <v>2.5752584902499169</v>
      </c>
      <c r="I1042" s="2">
        <f t="shared" si="80"/>
        <v>643.81462256247926</v>
      </c>
      <c r="J1042" s="4">
        <f t="shared" si="82"/>
        <v>9.2248704531623993</v>
      </c>
      <c r="K1042" s="4">
        <f t="shared" si="81"/>
        <v>2306.2176132905997</v>
      </c>
      <c r="L1042">
        <v>4</v>
      </c>
    </row>
    <row r="1043" spans="1:12" x14ac:dyDescent="0.3">
      <c r="A1043" t="s">
        <v>154</v>
      </c>
      <c r="B1043" t="s">
        <v>118</v>
      </c>
      <c r="C1043" s="4">
        <v>0.56023871300000005</v>
      </c>
      <c r="D1043" s="4">
        <v>0.74103703700000001</v>
      </c>
      <c r="E1043">
        <v>6</v>
      </c>
      <c r="F1043" s="1">
        <v>8.4394904458598727</v>
      </c>
      <c r="G1043" s="2">
        <f t="shared" si="83"/>
        <v>55.939983391401071</v>
      </c>
      <c r="H1043" s="2">
        <f t="shared" si="84"/>
        <v>18.561954940409922</v>
      </c>
      <c r="I1043" s="2">
        <f t="shared" si="80"/>
        <v>4640.4887351024809</v>
      </c>
      <c r="J1043" s="4">
        <f t="shared" si="82"/>
        <v>10.481424978700961</v>
      </c>
      <c r="K1043" s="4">
        <f t="shared" si="81"/>
        <v>2620.3562446752403</v>
      </c>
      <c r="L1043">
        <v>4</v>
      </c>
    </row>
    <row r="1044" spans="1:12" x14ac:dyDescent="0.3">
      <c r="A1044" t="s">
        <v>154</v>
      </c>
      <c r="B1044" t="s">
        <v>119</v>
      </c>
      <c r="C1044" s="4">
        <v>0.432770245</v>
      </c>
      <c r="D1044" s="4">
        <v>0.61247410899999999</v>
      </c>
      <c r="E1044">
        <v>5.5</v>
      </c>
      <c r="F1044" s="1">
        <v>18.789808917197451</v>
      </c>
      <c r="G1044" s="2">
        <f t="shared" si="83"/>
        <v>277.29025587108168</v>
      </c>
      <c r="H1044" s="2">
        <f t="shared" si="84"/>
        <v>67.530992380404186</v>
      </c>
      <c r="I1044" s="2">
        <f t="shared" si="80"/>
        <v>16882.748095101048</v>
      </c>
      <c r="J1044" s="4">
        <f t="shared" si="82"/>
        <v>15.782045693537263</v>
      </c>
      <c r="K1044" s="4">
        <f t="shared" si="81"/>
        <v>3945.511423384316</v>
      </c>
      <c r="L1044">
        <v>4</v>
      </c>
    </row>
    <row r="1045" spans="1:12" x14ac:dyDescent="0.3">
      <c r="A1045" t="s">
        <v>154</v>
      </c>
      <c r="B1045" t="s">
        <v>47</v>
      </c>
      <c r="C1045" s="4">
        <v>0.40238543599999999</v>
      </c>
      <c r="D1045" s="4">
        <v>0.40883333300000002</v>
      </c>
      <c r="E1045">
        <v>9.5</v>
      </c>
      <c r="F1045" s="1">
        <v>15.445859872611464</v>
      </c>
      <c r="G1045" s="2">
        <f t="shared" si="83"/>
        <v>187.37604262360011</v>
      </c>
      <c r="H1045" s="2">
        <f t="shared" si="84"/>
        <v>52.930218893917882</v>
      </c>
      <c r="I1045" s="2">
        <f t="shared" si="80"/>
        <v>13232.55472347947</v>
      </c>
      <c r="J1045" s="4">
        <f t="shared" si="82"/>
        <v>16.918305024544605</v>
      </c>
      <c r="K1045" s="4">
        <f t="shared" si="81"/>
        <v>4229.5762561361507</v>
      </c>
      <c r="L1045">
        <v>4</v>
      </c>
    </row>
    <row r="1046" spans="1:12" x14ac:dyDescent="0.3">
      <c r="A1046" t="s">
        <v>154</v>
      </c>
      <c r="B1046" t="s">
        <v>88</v>
      </c>
      <c r="C1046" s="4">
        <v>0.77</v>
      </c>
      <c r="D1046" s="4">
        <v>0.77</v>
      </c>
      <c r="E1046">
        <v>5</v>
      </c>
      <c r="F1046" s="1">
        <v>5.5732484076433115</v>
      </c>
      <c r="G1046" s="2">
        <f t="shared" si="83"/>
        <v>24.395329175673304</v>
      </c>
      <c r="H1046" s="2">
        <f t="shared" si="84"/>
        <v>7.1751062115471722</v>
      </c>
      <c r="I1046" s="2">
        <f t="shared" si="80"/>
        <v>1793.7765528867931</v>
      </c>
      <c r="J1046" s="4">
        <f t="shared" si="82"/>
        <v>9.5292692117327267</v>
      </c>
      <c r="K1046" s="4">
        <f t="shared" si="81"/>
        <v>2382.3173029331815</v>
      </c>
      <c r="L1046">
        <v>4</v>
      </c>
    </row>
    <row r="1047" spans="1:12" x14ac:dyDescent="0.3">
      <c r="A1047" t="s">
        <v>155</v>
      </c>
      <c r="B1047" t="s">
        <v>69</v>
      </c>
      <c r="C1047" s="4">
        <v>0.31264018999999998</v>
      </c>
      <c r="D1047" s="4">
        <v>0.356821212</v>
      </c>
      <c r="E1047">
        <v>5</v>
      </c>
      <c r="F1047" s="1">
        <v>17.834394904458598</v>
      </c>
      <c r="G1047" s="2">
        <f t="shared" si="83"/>
        <v>249.80817075889462</v>
      </c>
      <c r="H1047" s="2">
        <f t="shared" si="84"/>
        <v>32.798802842155169</v>
      </c>
      <c r="I1047" s="2">
        <f t="shared" si="80"/>
        <v>8199.7007105387929</v>
      </c>
      <c r="J1047" s="4">
        <f t="shared" si="82"/>
        <v>14.551848728143128</v>
      </c>
      <c r="K1047" s="4">
        <f t="shared" si="81"/>
        <v>3637.962182035782</v>
      </c>
      <c r="L1047">
        <v>4</v>
      </c>
    </row>
    <row r="1048" spans="1:12" x14ac:dyDescent="0.3">
      <c r="A1048" t="s">
        <v>155</v>
      </c>
      <c r="B1048" t="s">
        <v>85</v>
      </c>
      <c r="C1048" s="4">
        <v>0.6</v>
      </c>
      <c r="D1048" s="4">
        <v>0.66674999999999995</v>
      </c>
      <c r="E1048">
        <v>5.5</v>
      </c>
      <c r="F1048" s="1">
        <v>6.5286624203821653</v>
      </c>
      <c r="G1048" s="2">
        <f t="shared" si="83"/>
        <v>33.476365995352509</v>
      </c>
      <c r="H1048" s="2">
        <f t="shared" si="84"/>
        <v>9.3182385575544142</v>
      </c>
      <c r="I1048" s="2">
        <f t="shared" si="80"/>
        <v>2329.5596393886035</v>
      </c>
      <c r="J1048" s="4">
        <f t="shared" si="82"/>
        <v>9.8062010852367223</v>
      </c>
      <c r="K1048" s="4">
        <f t="shared" si="81"/>
        <v>2451.5502713091805</v>
      </c>
      <c r="L1048">
        <v>4</v>
      </c>
    </row>
    <row r="1049" spans="1:12" x14ac:dyDescent="0.3">
      <c r="A1049" t="s">
        <v>155</v>
      </c>
      <c r="B1049" t="s">
        <v>85</v>
      </c>
      <c r="C1049" s="4">
        <v>0.6</v>
      </c>
      <c r="D1049" s="4">
        <v>0.66674999999999995</v>
      </c>
      <c r="E1049">
        <v>5</v>
      </c>
      <c r="F1049" s="1">
        <v>13.375796178343949</v>
      </c>
      <c r="G1049" s="2">
        <f t="shared" si="83"/>
        <v>140.51709605187824</v>
      </c>
      <c r="H1049" s="2">
        <f t="shared" si="84"/>
        <v>34.432903231104994</v>
      </c>
      <c r="I1049" s="2">
        <f t="shared" si="80"/>
        <v>8608.225807776249</v>
      </c>
      <c r="J1049" s="4">
        <f t="shared" si="82"/>
        <v>12.116658659580509</v>
      </c>
      <c r="K1049" s="4">
        <f t="shared" si="81"/>
        <v>3029.1646648951273</v>
      </c>
      <c r="L1049">
        <v>4</v>
      </c>
    </row>
    <row r="1050" spans="1:12" x14ac:dyDescent="0.3">
      <c r="A1050" t="s">
        <v>155</v>
      </c>
      <c r="B1050" t="s">
        <v>44</v>
      </c>
      <c r="C1050" s="4">
        <v>0.54247040000000002</v>
      </c>
      <c r="D1050" s="4">
        <v>0.54247042099999998</v>
      </c>
      <c r="E1050">
        <v>2.7</v>
      </c>
      <c r="F1050" s="1">
        <v>11.305732484076433</v>
      </c>
      <c r="G1050" s="2">
        <f t="shared" si="83"/>
        <v>100.3892688771993</v>
      </c>
      <c r="H1050" s="2">
        <f t="shared" si="84"/>
        <v>11.112613437680197</v>
      </c>
      <c r="I1050" s="2">
        <f t="shared" si="80"/>
        <v>2778.1533594200496</v>
      </c>
      <c r="J1050" s="4">
        <f t="shared" si="82"/>
        <v>10.193595097164184</v>
      </c>
      <c r="K1050" s="4">
        <f t="shared" si="81"/>
        <v>2548.3987742910463</v>
      </c>
      <c r="L1050">
        <v>4</v>
      </c>
    </row>
    <row r="1051" spans="1:12" x14ac:dyDescent="0.3">
      <c r="A1051" t="s">
        <v>155</v>
      </c>
      <c r="B1051" t="s">
        <v>126</v>
      </c>
      <c r="C1051" s="4">
        <v>0.490852183</v>
      </c>
      <c r="D1051" s="4">
        <v>0.607288889</v>
      </c>
      <c r="E1051">
        <v>2.7</v>
      </c>
      <c r="F1051" s="1">
        <v>4.7770700636942669</v>
      </c>
      <c r="G1051" s="2">
        <f t="shared" si="83"/>
        <v>17.923098986208956</v>
      </c>
      <c r="H1051" s="2">
        <f t="shared" si="84"/>
        <v>2.3085719257053801</v>
      </c>
      <c r="I1051" s="2">
        <f t="shared" si="80"/>
        <v>577.14298142634505</v>
      </c>
      <c r="J1051" s="4">
        <f t="shared" si="82"/>
        <v>9.2013527648180453</v>
      </c>
      <c r="K1051" s="4">
        <f t="shared" si="81"/>
        <v>2300.3381912045115</v>
      </c>
      <c r="L1051">
        <v>4</v>
      </c>
    </row>
    <row r="1052" spans="1:12" x14ac:dyDescent="0.3">
      <c r="A1052" t="s">
        <v>155</v>
      </c>
      <c r="B1052" t="s">
        <v>122</v>
      </c>
      <c r="C1052" s="4">
        <v>0.85750000000000004</v>
      </c>
      <c r="D1052" s="4">
        <v>0.61247410899999999</v>
      </c>
      <c r="E1052">
        <v>6</v>
      </c>
      <c r="F1052" s="1">
        <v>17.993630573248407</v>
      </c>
      <c r="G1052" s="2">
        <f t="shared" si="83"/>
        <v>254.28894550544686</v>
      </c>
      <c r="H1052" s="2">
        <f t="shared" si="84"/>
        <v>67.558533021545372</v>
      </c>
      <c r="I1052" s="2">
        <f t="shared" si="80"/>
        <v>16889.633255386343</v>
      </c>
      <c r="J1052" s="4">
        <f t="shared" si="82"/>
        <v>15.784885565337333</v>
      </c>
      <c r="K1052" s="4">
        <f t="shared" si="81"/>
        <v>3946.2213913343335</v>
      </c>
      <c r="L1052">
        <v>4</v>
      </c>
    </row>
    <row r="1053" spans="1:12" x14ac:dyDescent="0.3">
      <c r="A1053" t="s">
        <v>155</v>
      </c>
      <c r="B1053" t="s">
        <v>122</v>
      </c>
      <c r="C1053" s="4">
        <v>0.85750000000000004</v>
      </c>
      <c r="D1053" s="4">
        <v>0.61247410899999999</v>
      </c>
      <c r="E1053">
        <v>5</v>
      </c>
      <c r="F1053" s="1">
        <v>18.949044585987259</v>
      </c>
      <c r="G1053" s="2">
        <f t="shared" si="83"/>
        <v>282.01000527078338</v>
      </c>
      <c r="H1053" s="2">
        <f t="shared" si="84"/>
        <v>62.554399801275267</v>
      </c>
      <c r="I1053" s="2">
        <f t="shared" si="80"/>
        <v>15638.599950318816</v>
      </c>
      <c r="J1053" s="4">
        <f t="shared" si="82"/>
        <v>15.269360087630329</v>
      </c>
      <c r="K1053" s="4">
        <f t="shared" si="81"/>
        <v>3817.340021907582</v>
      </c>
      <c r="L1053">
        <v>4</v>
      </c>
    </row>
    <row r="1054" spans="1:12" x14ac:dyDescent="0.3">
      <c r="A1054" t="s">
        <v>155</v>
      </c>
      <c r="B1054" t="s">
        <v>73</v>
      </c>
      <c r="C1054" s="4">
        <v>0.39</v>
      </c>
      <c r="D1054" s="4">
        <v>0.28861111099999998</v>
      </c>
      <c r="E1054">
        <v>6</v>
      </c>
      <c r="F1054" s="1">
        <v>10.19108280254777</v>
      </c>
      <c r="G1054" s="2">
        <f t="shared" si="83"/>
        <v>81.570014941679872</v>
      </c>
      <c r="H1054" s="2">
        <f t="shared" si="84"/>
        <v>10.685683404156585</v>
      </c>
      <c r="I1054" s="2">
        <f t="shared" si="80"/>
        <v>2671.4208510391463</v>
      </c>
      <c r="J1054" s="4">
        <f t="shared" si="82"/>
        <v>11.166721542456083</v>
      </c>
      <c r="K1054" s="4">
        <f t="shared" si="81"/>
        <v>2791.6803856140205</v>
      </c>
      <c r="L1054">
        <v>4</v>
      </c>
    </row>
    <row r="1055" spans="1:12" x14ac:dyDescent="0.3">
      <c r="A1055" t="s">
        <v>155</v>
      </c>
      <c r="B1055" t="s">
        <v>73</v>
      </c>
      <c r="C1055" s="4">
        <v>0.39</v>
      </c>
      <c r="D1055" s="4">
        <v>0.28861111099999998</v>
      </c>
      <c r="E1055">
        <v>6</v>
      </c>
      <c r="F1055" s="1">
        <v>17.834394904458598</v>
      </c>
      <c r="G1055" s="2">
        <f t="shared" si="83"/>
        <v>249.80817075889462</v>
      </c>
      <c r="H1055" s="2">
        <f t="shared" si="84"/>
        <v>31.85756469886493</v>
      </c>
      <c r="I1055" s="2">
        <f t="shared" si="80"/>
        <v>7964.3911747162329</v>
      </c>
      <c r="J1055" s="4">
        <f t="shared" si="82"/>
        <v>15.665078473771754</v>
      </c>
      <c r="K1055" s="4">
        <f t="shared" si="81"/>
        <v>3916.2696184429383</v>
      </c>
      <c r="L1055">
        <v>4</v>
      </c>
    </row>
    <row r="1056" spans="1:12" x14ac:dyDescent="0.3">
      <c r="A1056" t="s">
        <v>155</v>
      </c>
      <c r="B1056" t="s">
        <v>73</v>
      </c>
      <c r="C1056" s="4">
        <v>0.39</v>
      </c>
      <c r="D1056" s="4">
        <v>0.28861111099999998</v>
      </c>
      <c r="E1056">
        <v>5.5</v>
      </c>
      <c r="F1056" s="1">
        <v>7.9617834394904454</v>
      </c>
      <c r="G1056" s="2">
        <f t="shared" si="83"/>
        <v>49.786386072802657</v>
      </c>
      <c r="H1056" s="2">
        <f t="shared" si="84"/>
        <v>6.0624309703901513</v>
      </c>
      <c r="I1056" s="2">
        <f t="shared" si="80"/>
        <v>1515.6077425975379</v>
      </c>
      <c r="J1056" s="4">
        <f t="shared" si="82"/>
        <v>10.205957414093877</v>
      </c>
      <c r="K1056" s="4">
        <f t="shared" si="81"/>
        <v>2551.4893535234692</v>
      </c>
      <c r="L1056">
        <v>4</v>
      </c>
    </row>
    <row r="1057" spans="1:12" x14ac:dyDescent="0.3">
      <c r="A1057" t="s">
        <v>155</v>
      </c>
      <c r="B1057" t="s">
        <v>22</v>
      </c>
      <c r="C1057" s="4">
        <v>0.43836446099999998</v>
      </c>
      <c r="D1057" s="4">
        <v>0.58666666700000003</v>
      </c>
      <c r="E1057">
        <v>5</v>
      </c>
      <c r="F1057" s="1">
        <v>11.146496815286623</v>
      </c>
      <c r="G1057" s="2">
        <f t="shared" si="83"/>
        <v>97.581316702693215</v>
      </c>
      <c r="H1057" s="2">
        <f t="shared" si="84"/>
        <v>21.289916465215693</v>
      </c>
      <c r="I1057" s="2">
        <f t="shared" si="80"/>
        <v>5322.4791163039235</v>
      </c>
      <c r="J1057" s="4">
        <f t="shared" si="82"/>
        <v>11.15997684693091</v>
      </c>
      <c r="K1057" s="4">
        <f t="shared" si="81"/>
        <v>2789.9942117327273</v>
      </c>
      <c r="L1057">
        <v>4</v>
      </c>
    </row>
    <row r="1058" spans="1:12" x14ac:dyDescent="0.3">
      <c r="A1058" t="s">
        <v>155</v>
      </c>
      <c r="B1058" t="s">
        <v>22</v>
      </c>
      <c r="C1058" s="4">
        <v>0.43836446099999998</v>
      </c>
      <c r="D1058" s="4">
        <v>0.58666666700000003</v>
      </c>
      <c r="E1058">
        <v>4</v>
      </c>
      <c r="F1058" s="1">
        <v>11.305732484076433</v>
      </c>
      <c r="G1058" s="2">
        <f t="shared" si="83"/>
        <v>100.3892688771993</v>
      </c>
      <c r="H1058" s="2">
        <f t="shared" si="84"/>
        <v>17.604135687006128</v>
      </c>
      <c r="I1058" s="2">
        <f t="shared" si="80"/>
        <v>4401.033921751532</v>
      </c>
      <c r="J1058" s="4">
        <f t="shared" si="82"/>
        <v>10.775174218021014</v>
      </c>
      <c r="K1058" s="4">
        <f t="shared" si="81"/>
        <v>2693.7935545052537</v>
      </c>
      <c r="L1058">
        <v>4</v>
      </c>
    </row>
    <row r="1059" spans="1:12" x14ac:dyDescent="0.3">
      <c r="A1059" t="s">
        <v>155</v>
      </c>
      <c r="B1059" t="s">
        <v>22</v>
      </c>
      <c r="C1059" s="4">
        <v>0.43836446099999998</v>
      </c>
      <c r="D1059" s="4">
        <v>0.58666666700000003</v>
      </c>
      <c r="E1059">
        <v>3.9</v>
      </c>
      <c r="F1059" s="1">
        <v>11.146496815286623</v>
      </c>
      <c r="G1059" s="2">
        <f t="shared" si="83"/>
        <v>97.581316702693215</v>
      </c>
      <c r="H1059" s="2">
        <f t="shared" si="84"/>
        <v>16.705454261076383</v>
      </c>
      <c r="I1059" s="2">
        <f t="shared" si="80"/>
        <v>4176.3635652690955</v>
      </c>
      <c r="J1059" s="4">
        <f t="shared" si="82"/>
        <v>10.681635940606109</v>
      </c>
      <c r="K1059" s="4">
        <f t="shared" si="81"/>
        <v>2670.4089851515273</v>
      </c>
      <c r="L1059">
        <v>4</v>
      </c>
    </row>
    <row r="1060" spans="1:12" x14ac:dyDescent="0.3">
      <c r="A1060" t="s">
        <v>155</v>
      </c>
      <c r="B1060" t="s">
        <v>22</v>
      </c>
      <c r="C1060" s="4">
        <v>0.43836446099999998</v>
      </c>
      <c r="D1060" s="4">
        <v>0.58666666700000003</v>
      </c>
      <c r="E1060">
        <v>2.5</v>
      </c>
      <c r="F1060" s="1">
        <v>11.783439490445859</v>
      </c>
      <c r="G1060" s="2">
        <f t="shared" si="83"/>
        <v>109.05210005386697</v>
      </c>
      <c r="H1060" s="2">
        <f t="shared" si="84"/>
        <v>12.063619328860465</v>
      </c>
      <c r="I1060" s="2">
        <f t="shared" si="80"/>
        <v>3015.9048322151161</v>
      </c>
      <c r="J1060" s="4">
        <f t="shared" si="82"/>
        <v>10.200632654468741</v>
      </c>
      <c r="K1060" s="4">
        <f t="shared" si="81"/>
        <v>2550.1581636171854</v>
      </c>
      <c r="L1060">
        <v>4</v>
      </c>
    </row>
    <row r="1061" spans="1:12" x14ac:dyDescent="0.3">
      <c r="A1061" t="s">
        <v>155</v>
      </c>
      <c r="B1061" t="s">
        <v>49</v>
      </c>
      <c r="C1061" s="4">
        <v>0.57917600000000002</v>
      </c>
      <c r="D1061" s="4">
        <v>0.60285714300000004</v>
      </c>
      <c r="E1061">
        <v>7</v>
      </c>
      <c r="F1061" s="1">
        <v>14.490445859872612</v>
      </c>
      <c r="G1061" s="2">
        <f t="shared" si="83"/>
        <v>164.91242522755155</v>
      </c>
      <c r="H1061" s="2">
        <f t="shared" si="84"/>
        <v>50.670079967989068</v>
      </c>
      <c r="I1061" s="2">
        <f t="shared" si="80"/>
        <v>12667.519991997267</v>
      </c>
      <c r="J1061" s="4">
        <f t="shared" si="82"/>
        <v>14.130039019838533</v>
      </c>
      <c r="K1061" s="4">
        <f t="shared" si="81"/>
        <v>3532.509754959633</v>
      </c>
      <c r="L1061">
        <v>4</v>
      </c>
    </row>
    <row r="1062" spans="1:12" x14ac:dyDescent="0.3">
      <c r="A1062" t="s">
        <v>155</v>
      </c>
      <c r="B1062" t="s">
        <v>88</v>
      </c>
      <c r="C1062" s="4">
        <v>0.77</v>
      </c>
      <c r="D1062" s="4">
        <v>0.77</v>
      </c>
      <c r="E1062">
        <v>2</v>
      </c>
      <c r="F1062" s="1">
        <v>13.057324840764331</v>
      </c>
      <c r="G1062" s="2">
        <f t="shared" si="83"/>
        <v>133.90546398141004</v>
      </c>
      <c r="H1062" s="2">
        <f t="shared" si="84"/>
        <v>15.459046482938147</v>
      </c>
      <c r="I1062" s="2">
        <f t="shared" si="80"/>
        <v>3864.7616207345368</v>
      </c>
      <c r="J1062" s="4">
        <f t="shared" si="82"/>
        <v>10.179156123980688</v>
      </c>
      <c r="K1062" s="4">
        <f t="shared" si="81"/>
        <v>2544.7890309951717</v>
      </c>
      <c r="L1062">
        <v>4</v>
      </c>
    </row>
    <row r="1063" spans="1:12" x14ac:dyDescent="0.3">
      <c r="A1063" t="s">
        <v>156</v>
      </c>
      <c r="B1063" t="s">
        <v>60</v>
      </c>
      <c r="C1063" s="4">
        <v>0.41</v>
      </c>
      <c r="D1063" s="4">
        <v>0.33983503399999998</v>
      </c>
      <c r="E1063">
        <v>6</v>
      </c>
      <c r="F1063" s="1">
        <v>5.7324840764331206</v>
      </c>
      <c r="G1063" s="2">
        <f t="shared" si="83"/>
        <v>25.809262540140899</v>
      </c>
      <c r="H1063" s="2">
        <f t="shared" si="84"/>
        <v>4.0765582723808995</v>
      </c>
      <c r="I1063" s="2">
        <f t="shared" si="80"/>
        <v>1019.1395680952248</v>
      </c>
      <c r="J1063" s="4">
        <f t="shared" si="82"/>
        <v>9.6757888474177456</v>
      </c>
      <c r="K1063" s="4">
        <f t="shared" si="81"/>
        <v>2418.9472118544363</v>
      </c>
      <c r="L1063">
        <v>4</v>
      </c>
    </row>
    <row r="1064" spans="1:12" x14ac:dyDescent="0.3">
      <c r="A1064" t="s">
        <v>156</v>
      </c>
      <c r="B1064" t="s">
        <v>37</v>
      </c>
      <c r="C1064" s="4">
        <v>0.39790071399999999</v>
      </c>
      <c r="D1064" s="4">
        <v>0.50565277799999997</v>
      </c>
      <c r="E1064">
        <v>4.5</v>
      </c>
      <c r="F1064" s="1">
        <v>7.8025477707006363</v>
      </c>
      <c r="G1064" s="2">
        <f t="shared" si="83"/>
        <v>47.814845184319672</v>
      </c>
      <c r="H1064" s="2">
        <f t="shared" si="84"/>
        <v>8.2823950475436501</v>
      </c>
      <c r="I1064" s="2">
        <f t="shared" si="80"/>
        <v>2070.5987618859126</v>
      </c>
      <c r="J1064" s="4">
        <f t="shared" si="82"/>
        <v>9.9445560894965315</v>
      </c>
      <c r="K1064" s="4">
        <f t="shared" si="81"/>
        <v>2486.1390223741328</v>
      </c>
      <c r="L1064">
        <v>4</v>
      </c>
    </row>
    <row r="1065" spans="1:12" x14ac:dyDescent="0.3">
      <c r="A1065" t="s">
        <v>156</v>
      </c>
      <c r="B1065" t="s">
        <v>37</v>
      </c>
      <c r="C1065" s="4">
        <v>0.39790071399999999</v>
      </c>
      <c r="D1065" s="4">
        <v>0.50565277799999997</v>
      </c>
      <c r="E1065">
        <v>2.5</v>
      </c>
      <c r="F1065" s="1">
        <v>3.3439490445859872</v>
      </c>
      <c r="G1065" s="2">
        <f t="shared" si="83"/>
        <v>8.7823185032423901</v>
      </c>
      <c r="H1065" s="2">
        <f t="shared" si="84"/>
        <v>0.89272827752083095</v>
      </c>
      <c r="I1065" s="2">
        <f t="shared" si="80"/>
        <v>223.18206938020774</v>
      </c>
      <c r="J1065" s="4">
        <f t="shared" si="82"/>
        <v>9.0835424581118911</v>
      </c>
      <c r="K1065" s="4">
        <f t="shared" si="81"/>
        <v>2270.8856145279728</v>
      </c>
      <c r="L1065">
        <v>4</v>
      </c>
    </row>
    <row r="1066" spans="1:12" x14ac:dyDescent="0.3">
      <c r="A1066" t="s">
        <v>156</v>
      </c>
      <c r="B1066" t="s">
        <v>15</v>
      </c>
      <c r="C1066" s="4">
        <v>0.47982689899999997</v>
      </c>
      <c r="D1066" s="4">
        <v>0.51</v>
      </c>
      <c r="E1066">
        <v>1.8</v>
      </c>
      <c r="F1066" s="1">
        <v>3.8216560509554141</v>
      </c>
      <c r="G1066" s="2">
        <f t="shared" si="83"/>
        <v>11.470783351173734</v>
      </c>
      <c r="H1066" s="2">
        <f t="shared" si="84"/>
        <v>0.84782191899356762</v>
      </c>
      <c r="I1066" s="2">
        <f t="shared" si="80"/>
        <v>211.95547974839189</v>
      </c>
      <c r="J1066" s="4">
        <f t="shared" si="82"/>
        <v>9.0777118463223658</v>
      </c>
      <c r="K1066" s="4">
        <f t="shared" si="81"/>
        <v>2269.4279615805913</v>
      </c>
      <c r="L1066">
        <v>4</v>
      </c>
    </row>
    <row r="1067" spans="1:12" x14ac:dyDescent="0.3">
      <c r="A1067" t="s">
        <v>156</v>
      </c>
      <c r="B1067" t="s">
        <v>16</v>
      </c>
      <c r="C1067" s="4">
        <v>0.89361000000000002</v>
      </c>
      <c r="D1067" s="4">
        <v>0.61247410899999999</v>
      </c>
      <c r="E1067">
        <v>2.2000000000000002</v>
      </c>
      <c r="F1067" s="1">
        <v>2.3885350318471334</v>
      </c>
      <c r="G1067" s="2">
        <f t="shared" si="83"/>
        <v>4.480774746552239</v>
      </c>
      <c r="H1067" s="2">
        <f t="shared" si="84"/>
        <v>0.49264053450025874</v>
      </c>
      <c r="I1067" s="2">
        <f t="shared" si="80"/>
        <v>123.16013362506469</v>
      </c>
      <c r="J1067" s="4">
        <f t="shared" si="82"/>
        <v>9.0296292669073797</v>
      </c>
      <c r="K1067" s="4">
        <f t="shared" si="81"/>
        <v>2257.4073167268448</v>
      </c>
      <c r="L1067">
        <v>4</v>
      </c>
    </row>
    <row r="1068" spans="1:12" x14ac:dyDescent="0.3">
      <c r="A1068" t="s">
        <v>156</v>
      </c>
      <c r="B1068" t="s">
        <v>18</v>
      </c>
      <c r="C1068" s="4">
        <v>0.45255480399999998</v>
      </c>
      <c r="D1068" s="4">
        <v>0.57808694400000005</v>
      </c>
      <c r="E1068">
        <v>1.9</v>
      </c>
      <c r="F1068" s="1">
        <v>4.1401273885350314</v>
      </c>
      <c r="G1068" s="2">
        <f t="shared" si="83"/>
        <v>13.462238794085838</v>
      </c>
      <c r="H1068" s="2">
        <f t="shared" si="84"/>
        <v>1.1808497842153587</v>
      </c>
      <c r="I1068" s="2">
        <f t="shared" si="80"/>
        <v>295.2124460538397</v>
      </c>
      <c r="J1068" s="4">
        <f t="shared" si="82"/>
        <v>9.0996853543754312</v>
      </c>
      <c r="K1068" s="4">
        <f t="shared" si="81"/>
        <v>2274.9213385938579</v>
      </c>
      <c r="L1068">
        <v>4</v>
      </c>
    </row>
    <row r="1069" spans="1:12" x14ac:dyDescent="0.3">
      <c r="A1069" t="s">
        <v>156</v>
      </c>
      <c r="B1069" t="s">
        <v>66</v>
      </c>
      <c r="C1069" s="4">
        <v>0.62643652800000005</v>
      </c>
      <c r="D1069" s="4">
        <v>0.57808694400000005</v>
      </c>
      <c r="E1069">
        <v>5.3</v>
      </c>
      <c r="F1069" s="1">
        <v>20.541401273885349</v>
      </c>
      <c r="G1069" s="2">
        <f t="shared" si="83"/>
        <v>331.39810025500361</v>
      </c>
      <c r="H1069" s="2">
        <f t="shared" si="84"/>
        <v>73.260103524519508</v>
      </c>
      <c r="I1069" s="2">
        <f t="shared" si="80"/>
        <v>18315.025881129877</v>
      </c>
      <c r="J1069" s="4">
        <f t="shared" si="82"/>
        <v>16.812857034768143</v>
      </c>
      <c r="K1069" s="4">
        <f t="shared" si="81"/>
        <v>4203.2142586920354</v>
      </c>
      <c r="L1069">
        <v>4</v>
      </c>
    </row>
    <row r="1070" spans="1:12" x14ac:dyDescent="0.3">
      <c r="A1070" t="s">
        <v>156</v>
      </c>
      <c r="B1070" t="s">
        <v>66</v>
      </c>
      <c r="C1070" s="4">
        <v>0.62643652800000005</v>
      </c>
      <c r="D1070" s="4">
        <v>0.57808694400000005</v>
      </c>
      <c r="E1070">
        <v>4.9000000000000004</v>
      </c>
      <c r="F1070" s="1">
        <v>18.471337579617835</v>
      </c>
      <c r="G1070" s="2">
        <f t="shared" si="83"/>
        <v>267.9702443982531</v>
      </c>
      <c r="H1070" s="2">
        <f t="shared" si="84"/>
        <v>55.15139905279802</v>
      </c>
      <c r="I1070" s="2">
        <f t="shared" si="80"/>
        <v>13787.849763199505</v>
      </c>
      <c r="J1070" s="4">
        <f t="shared" si="82"/>
        <v>14.837113850460465</v>
      </c>
      <c r="K1070" s="4">
        <f t="shared" si="81"/>
        <v>3709.2784626151165</v>
      </c>
      <c r="L1070">
        <v>4</v>
      </c>
    </row>
    <row r="1071" spans="1:12" x14ac:dyDescent="0.3">
      <c r="A1071" t="s">
        <v>156</v>
      </c>
      <c r="B1071" t="s">
        <v>66</v>
      </c>
      <c r="C1071" s="4">
        <v>0.62643652800000005</v>
      </c>
      <c r="D1071" s="4">
        <v>0.57808694400000005</v>
      </c>
      <c r="E1071">
        <v>4.7</v>
      </c>
      <c r="F1071" s="1">
        <v>15.127388535031846</v>
      </c>
      <c r="G1071" s="2">
        <f t="shared" si="83"/>
        <v>179.7288537228176</v>
      </c>
      <c r="H1071" s="2">
        <f t="shared" si="84"/>
        <v>35.858089896834315</v>
      </c>
      <c r="I1071" s="2">
        <f t="shared" si="80"/>
        <v>8964.5224742085793</v>
      </c>
      <c r="J1071" s="4">
        <f t="shared" si="82"/>
        <v>12.750083189987423</v>
      </c>
      <c r="K1071" s="4">
        <f t="shared" si="81"/>
        <v>3187.5207974968557</v>
      </c>
      <c r="L1071">
        <v>4</v>
      </c>
    </row>
    <row r="1072" spans="1:12" x14ac:dyDescent="0.3">
      <c r="A1072" t="s">
        <v>156</v>
      </c>
      <c r="B1072" t="s">
        <v>66</v>
      </c>
      <c r="C1072" s="4">
        <v>0.62643652800000005</v>
      </c>
      <c r="D1072" s="4">
        <v>0.57808694400000005</v>
      </c>
      <c r="E1072">
        <v>3.9</v>
      </c>
      <c r="F1072" s="1">
        <v>8.2802547770700627</v>
      </c>
      <c r="G1072" s="2">
        <f t="shared" si="83"/>
        <v>53.848955176343352</v>
      </c>
      <c r="H1072" s="2">
        <f t="shared" si="84"/>
        <v>9.2176613416491531</v>
      </c>
      <c r="I1072" s="2">
        <f t="shared" si="80"/>
        <v>2304.4153354122882</v>
      </c>
      <c r="J1072" s="4">
        <f t="shared" si="82"/>
        <v>9.9215797517140647</v>
      </c>
      <c r="K1072" s="4">
        <f t="shared" si="81"/>
        <v>2480.3949379285164</v>
      </c>
      <c r="L1072">
        <v>4</v>
      </c>
    </row>
    <row r="1073" spans="1:12" x14ac:dyDescent="0.3">
      <c r="A1073" t="s">
        <v>156</v>
      </c>
      <c r="B1073" t="s">
        <v>151</v>
      </c>
      <c r="C1073" s="4">
        <v>0.13069240100000001</v>
      </c>
      <c r="D1073" s="4">
        <v>0.26500000000000001</v>
      </c>
      <c r="E1073">
        <v>3.5</v>
      </c>
      <c r="F1073" s="1">
        <v>8.7579617834394909</v>
      </c>
      <c r="G1073" s="2">
        <f t="shared" si="83"/>
        <v>60.241527148091237</v>
      </c>
      <c r="H1073" s="2">
        <f t="shared" si="84"/>
        <v>4.3219943398603453</v>
      </c>
      <c r="I1073" s="2">
        <f t="shared" si="80"/>
        <v>1080.4985849650864</v>
      </c>
      <c r="J1073" s="4">
        <f t="shared" si="82"/>
        <v>9.9252982088522863</v>
      </c>
      <c r="K1073" s="4">
        <f t="shared" si="81"/>
        <v>2481.3245522130715</v>
      </c>
      <c r="L1073">
        <v>4</v>
      </c>
    </row>
    <row r="1074" spans="1:12" x14ac:dyDescent="0.3">
      <c r="A1074" t="s">
        <v>156</v>
      </c>
      <c r="B1074" t="s">
        <v>157</v>
      </c>
      <c r="C1074" s="4">
        <v>0.63</v>
      </c>
      <c r="D1074" s="4">
        <v>0.629222222</v>
      </c>
      <c r="E1074">
        <v>2.8</v>
      </c>
      <c r="F1074" s="1">
        <v>6.8471337579617835</v>
      </c>
      <c r="G1074" s="2">
        <f t="shared" si="83"/>
        <v>36.822011139444854</v>
      </c>
      <c r="H1074" s="2">
        <f t="shared" si="84"/>
        <v>5.0001986477239075</v>
      </c>
      <c r="I1074" s="2">
        <f t="shared" si="80"/>
        <v>1250.049661930977</v>
      </c>
      <c r="J1074" s="4">
        <f t="shared" si="82"/>
        <v>9.4451557588543142</v>
      </c>
      <c r="K1074" s="4">
        <f t="shared" si="81"/>
        <v>2361.2889397135787</v>
      </c>
      <c r="L1074">
        <v>4</v>
      </c>
    </row>
    <row r="1075" spans="1:12" x14ac:dyDescent="0.3">
      <c r="A1075" t="s">
        <v>156</v>
      </c>
      <c r="B1075" t="s">
        <v>122</v>
      </c>
      <c r="C1075" s="4">
        <v>0.85750000000000004</v>
      </c>
      <c r="D1075" s="4">
        <v>0.61247410899999999</v>
      </c>
      <c r="E1075">
        <v>7</v>
      </c>
      <c r="F1075" s="1">
        <v>14.64968152866242</v>
      </c>
      <c r="G1075" s="2">
        <f t="shared" si="83"/>
        <v>168.5567886880807</v>
      </c>
      <c r="H1075" s="2">
        <f t="shared" si="84"/>
        <v>52.568428545537849</v>
      </c>
      <c r="I1075" s="2">
        <f t="shared" si="80"/>
        <v>13142.107136384462</v>
      </c>
      <c r="J1075" s="4">
        <f t="shared" si="82"/>
        <v>14.243722637835205</v>
      </c>
      <c r="K1075" s="4">
        <f t="shared" si="81"/>
        <v>3560.9306594588011</v>
      </c>
      <c r="L1075">
        <v>4</v>
      </c>
    </row>
    <row r="1076" spans="1:12" x14ac:dyDescent="0.3">
      <c r="A1076" t="s">
        <v>156</v>
      </c>
      <c r="B1076" t="s">
        <v>122</v>
      </c>
      <c r="C1076" s="4">
        <v>0.85750000000000004</v>
      </c>
      <c r="D1076" s="4">
        <v>0.61247410899999999</v>
      </c>
      <c r="E1076">
        <v>5.7</v>
      </c>
      <c r="F1076" s="1">
        <v>10.509554140127388</v>
      </c>
      <c r="G1076" s="2">
        <f t="shared" si="83"/>
        <v>86.747799093251359</v>
      </c>
      <c r="H1076" s="2">
        <f t="shared" si="84"/>
        <v>22.494642212773147</v>
      </c>
      <c r="I1076" s="2">
        <f t="shared" si="80"/>
        <v>5623.6605531932864</v>
      </c>
      <c r="J1076" s="4">
        <f t="shared" si="82"/>
        <v>11.18919202807416</v>
      </c>
      <c r="K1076" s="4">
        <f t="shared" si="81"/>
        <v>2797.2980070185399</v>
      </c>
      <c r="L1076">
        <v>4</v>
      </c>
    </row>
    <row r="1077" spans="1:12" x14ac:dyDescent="0.3">
      <c r="A1077" t="s">
        <v>156</v>
      </c>
      <c r="B1077" t="s">
        <v>73</v>
      </c>
      <c r="C1077" s="4">
        <v>0.39</v>
      </c>
      <c r="D1077" s="4">
        <v>0.28861111099999998</v>
      </c>
      <c r="E1077">
        <v>5</v>
      </c>
      <c r="F1077" s="1">
        <v>11.464968152866241</v>
      </c>
      <c r="G1077" s="2">
        <f t="shared" si="83"/>
        <v>103.2370501605636</v>
      </c>
      <c r="H1077" s="2">
        <f t="shared" si="84"/>
        <v>11.255664264346924</v>
      </c>
      <c r="I1077" s="2">
        <f t="shared" si="80"/>
        <v>2813.916066086731</v>
      </c>
      <c r="J1077" s="4">
        <f t="shared" si="82"/>
        <v>11.285996158059149</v>
      </c>
      <c r="K1077" s="4">
        <f t="shared" si="81"/>
        <v>2821.499039514787</v>
      </c>
      <c r="L1077">
        <v>4</v>
      </c>
    </row>
    <row r="1078" spans="1:12" x14ac:dyDescent="0.3">
      <c r="A1078" t="s">
        <v>156</v>
      </c>
      <c r="B1078" t="s">
        <v>22</v>
      </c>
      <c r="C1078" s="4">
        <v>0.43836446099999998</v>
      </c>
      <c r="D1078" s="4">
        <v>0.58666666700000003</v>
      </c>
      <c r="E1078">
        <v>4</v>
      </c>
      <c r="F1078" s="1">
        <v>16.560509554140125</v>
      </c>
      <c r="G1078" s="2">
        <f t="shared" si="83"/>
        <v>215.39582070537341</v>
      </c>
      <c r="H1078" s="2">
        <f t="shared" si="84"/>
        <v>37.085786084507504</v>
      </c>
      <c r="I1078" s="2">
        <f t="shared" si="80"/>
        <v>9271.4465211268762</v>
      </c>
      <c r="J1078" s="4">
        <f t="shared" si="82"/>
        <v>12.825206673698728</v>
      </c>
      <c r="K1078" s="4">
        <f t="shared" si="81"/>
        <v>3206.3016684246822</v>
      </c>
      <c r="L1078">
        <v>4</v>
      </c>
    </row>
    <row r="1079" spans="1:12" x14ac:dyDescent="0.3">
      <c r="A1079" t="s">
        <v>156</v>
      </c>
      <c r="B1079" t="s">
        <v>94</v>
      </c>
      <c r="C1079" s="4">
        <v>0.28577490700000002</v>
      </c>
      <c r="D1079" s="4">
        <v>0.3422</v>
      </c>
      <c r="E1079">
        <v>6.5</v>
      </c>
      <c r="F1079" s="1">
        <v>8.1210191082802545</v>
      </c>
      <c r="G1079" s="2">
        <f t="shared" si="83"/>
        <v>51.79775607014389</v>
      </c>
      <c r="H1079" s="2">
        <f t="shared" si="84"/>
        <v>8.758617177183444</v>
      </c>
      <c r="I1079" s="2">
        <f t="shared" si="80"/>
        <v>2189.6542942958608</v>
      </c>
      <c r="J1079" s="4">
        <f t="shared" si="82"/>
        <v>10.486084143372956</v>
      </c>
      <c r="K1079" s="4">
        <f t="shared" si="81"/>
        <v>2621.5210358432391</v>
      </c>
      <c r="L1079">
        <v>4</v>
      </c>
    </row>
    <row r="1080" spans="1:12" x14ac:dyDescent="0.3">
      <c r="A1080" t="s">
        <v>156</v>
      </c>
      <c r="B1080" t="s">
        <v>94</v>
      </c>
      <c r="C1080" s="4">
        <v>0.28577490700000002</v>
      </c>
      <c r="D1080" s="4">
        <v>0.3422</v>
      </c>
      <c r="E1080">
        <v>5</v>
      </c>
      <c r="F1080" s="1">
        <v>9.872611464968152</v>
      </c>
      <c r="G1080" s="2">
        <f t="shared" si="83"/>
        <v>76.55154722554137</v>
      </c>
      <c r="H1080" s="2">
        <f t="shared" si="84"/>
        <v>9.9265521118458029</v>
      </c>
      <c r="I1080" s="2">
        <f t="shared" si="80"/>
        <v>2481.6380279614509</v>
      </c>
      <c r="J1080" s="4">
        <f t="shared" si="82"/>
        <v>10.691397999918861</v>
      </c>
      <c r="K1080" s="4">
        <f t="shared" si="81"/>
        <v>2672.8494999797153</v>
      </c>
      <c r="L1080">
        <v>4</v>
      </c>
    </row>
    <row r="1081" spans="1:12" x14ac:dyDescent="0.3">
      <c r="A1081" t="s">
        <v>156</v>
      </c>
      <c r="B1081" t="s">
        <v>94</v>
      </c>
      <c r="C1081" s="4">
        <v>0.28577490700000002</v>
      </c>
      <c r="D1081" s="4">
        <v>0.3422</v>
      </c>
      <c r="E1081">
        <v>4.5</v>
      </c>
      <c r="F1081" s="1">
        <v>12.101910828025478</v>
      </c>
      <c r="G1081" s="2">
        <f t="shared" si="83"/>
        <v>115.02646638260329</v>
      </c>
      <c r="H1081" s="2">
        <f t="shared" si="84"/>
        <v>13.327192485421751</v>
      </c>
      <c r="I1081" s="2">
        <f t="shared" si="80"/>
        <v>3331.7981213554376</v>
      </c>
      <c r="J1081" s="4">
        <f t="shared" si="82"/>
        <v>11.292385869609316</v>
      </c>
      <c r="K1081" s="4">
        <f t="shared" si="81"/>
        <v>2823.0964674023289</v>
      </c>
      <c r="L1081">
        <v>4</v>
      </c>
    </row>
    <row r="1082" spans="1:12" x14ac:dyDescent="0.3">
      <c r="A1082" t="s">
        <v>158</v>
      </c>
      <c r="B1082" t="s">
        <v>60</v>
      </c>
      <c r="C1082" s="4">
        <v>0.41</v>
      </c>
      <c r="D1082" s="4">
        <v>0.33983503399999998</v>
      </c>
      <c r="E1082">
        <v>8</v>
      </c>
      <c r="F1082" s="1">
        <v>9.7133757961783438</v>
      </c>
      <c r="G1082" s="2">
        <f t="shared" si="83"/>
        <v>74.102057030759482</v>
      </c>
      <c r="H1082" s="2">
        <f t="shared" si="84"/>
        <v>15.111070024670264</v>
      </c>
      <c r="I1082" s="2">
        <f t="shared" si="80"/>
        <v>3777.7675061675659</v>
      </c>
      <c r="J1082" s="4">
        <f t="shared" si="82"/>
        <v>11.627490742017931</v>
      </c>
      <c r="K1082" s="4">
        <f t="shared" si="81"/>
        <v>2906.8726855044829</v>
      </c>
      <c r="L1082">
        <v>4</v>
      </c>
    </row>
    <row r="1083" spans="1:12" x14ac:dyDescent="0.3">
      <c r="A1083" t="s">
        <v>158</v>
      </c>
      <c r="B1083" t="s">
        <v>60</v>
      </c>
      <c r="C1083" s="4">
        <v>0.41</v>
      </c>
      <c r="D1083" s="4">
        <v>0.33983503399999998</v>
      </c>
      <c r="E1083">
        <v>7</v>
      </c>
      <c r="F1083" s="1">
        <v>7.0063694267515917</v>
      </c>
      <c r="G1083" s="2">
        <f t="shared" si="83"/>
        <v>38.554577374778376</v>
      </c>
      <c r="H1083" s="2">
        <f t="shared" si="84"/>
        <v>7.0105301985092154</v>
      </c>
      <c r="I1083" s="2">
        <f t="shared" si="80"/>
        <v>1752.6325496273039</v>
      </c>
      <c r="J1083" s="4">
        <f t="shared" si="82"/>
        <v>10.188385707330925</v>
      </c>
      <c r="K1083" s="4">
        <f t="shared" si="81"/>
        <v>2547.0964268327311</v>
      </c>
      <c r="L1083">
        <v>4</v>
      </c>
    </row>
    <row r="1084" spans="1:12" x14ac:dyDescent="0.3">
      <c r="A1084" t="s">
        <v>158</v>
      </c>
      <c r="B1084" t="s">
        <v>60</v>
      </c>
      <c r="C1084" s="4">
        <v>0.41</v>
      </c>
      <c r="D1084" s="4">
        <v>0.33983503399999998</v>
      </c>
      <c r="E1084">
        <v>7</v>
      </c>
      <c r="F1084" s="1">
        <v>10.031847133757962</v>
      </c>
      <c r="G1084" s="2">
        <f t="shared" si="83"/>
        <v>79.040866529181514</v>
      </c>
      <c r="H1084" s="2">
        <f t="shared" si="84"/>
        <v>14.126806367615263</v>
      </c>
      <c r="I1084" s="2">
        <f t="shared" si="80"/>
        <v>3531.7015919038158</v>
      </c>
      <c r="J1084" s="4">
        <f t="shared" si="82"/>
        <v>11.451329944419651</v>
      </c>
      <c r="K1084" s="4">
        <f t="shared" si="81"/>
        <v>2862.8324861049127</v>
      </c>
      <c r="L1084">
        <v>4</v>
      </c>
    </row>
    <row r="1085" spans="1:12" x14ac:dyDescent="0.3">
      <c r="A1085" t="s">
        <v>158</v>
      </c>
      <c r="B1085" t="s">
        <v>126</v>
      </c>
      <c r="C1085" s="4">
        <v>0.490852183</v>
      </c>
      <c r="D1085" s="4">
        <v>0.607288889</v>
      </c>
      <c r="E1085">
        <v>5.5</v>
      </c>
      <c r="F1085" s="1">
        <v>4.1401273885350314</v>
      </c>
      <c r="G1085" s="2">
        <f t="shared" si="83"/>
        <v>13.462238794085838</v>
      </c>
      <c r="H1085" s="2">
        <f t="shared" si="84"/>
        <v>3.4963399059182478</v>
      </c>
      <c r="I1085" s="2">
        <f t="shared" si="80"/>
        <v>874.08497647956199</v>
      </c>
      <c r="J1085" s="4">
        <f t="shared" si="82"/>
        <v>9.3156576047709834</v>
      </c>
      <c r="K1085" s="4">
        <f t="shared" si="81"/>
        <v>2328.914401192746</v>
      </c>
      <c r="L1085">
        <v>4</v>
      </c>
    </row>
    <row r="1086" spans="1:12" x14ac:dyDescent="0.3">
      <c r="A1086" t="s">
        <v>158</v>
      </c>
      <c r="B1086" t="s">
        <v>66</v>
      </c>
      <c r="C1086" s="4">
        <v>0.62643652800000005</v>
      </c>
      <c r="D1086" s="4">
        <v>0.57808694400000005</v>
      </c>
      <c r="E1086">
        <v>6</v>
      </c>
      <c r="F1086" s="1">
        <v>20.222929936305732</v>
      </c>
      <c r="G1086" s="2">
        <f t="shared" si="83"/>
        <v>321.20184838729369</v>
      </c>
      <c r="H1086" s="2">
        <f t="shared" si="84"/>
        <v>80.205407277777752</v>
      </c>
      <c r="I1086" s="2">
        <f t="shared" si="80"/>
        <v>20051.351819444437</v>
      </c>
      <c r="J1086" s="4">
        <f t="shared" si="82"/>
        <v>17.574004799383342</v>
      </c>
      <c r="K1086" s="4">
        <f t="shared" si="81"/>
        <v>4393.5011998458358</v>
      </c>
      <c r="L1086">
        <v>4</v>
      </c>
    </row>
    <row r="1087" spans="1:12" x14ac:dyDescent="0.3">
      <c r="A1087" t="s">
        <v>158</v>
      </c>
      <c r="B1087" t="s">
        <v>66</v>
      </c>
      <c r="C1087" s="4">
        <v>0.62643652800000005</v>
      </c>
      <c r="D1087" s="4">
        <v>0.57808694400000005</v>
      </c>
      <c r="E1087">
        <v>5</v>
      </c>
      <c r="F1087" s="1">
        <v>16.401273885350317</v>
      </c>
      <c r="G1087" s="2">
        <f t="shared" si="83"/>
        <v>211.27350793854535</v>
      </c>
      <c r="H1087" s="2">
        <f t="shared" si="84"/>
        <v>44.602186738800711</v>
      </c>
      <c r="I1087" s="2">
        <f t="shared" si="80"/>
        <v>11150.546684700177</v>
      </c>
      <c r="J1087" s="4">
        <f t="shared" si="82"/>
        <v>13.693231238589799</v>
      </c>
      <c r="K1087" s="4">
        <f t="shared" si="81"/>
        <v>3423.3078096474496</v>
      </c>
      <c r="L1087">
        <v>4</v>
      </c>
    </row>
    <row r="1088" spans="1:12" x14ac:dyDescent="0.3">
      <c r="A1088" t="s">
        <v>158</v>
      </c>
      <c r="B1088" t="s">
        <v>66</v>
      </c>
      <c r="C1088" s="4">
        <v>0.62643652800000005</v>
      </c>
      <c r="D1088" s="4">
        <v>0.57808694400000005</v>
      </c>
      <c r="E1088">
        <v>4.5</v>
      </c>
      <c r="F1088" s="1">
        <v>4.936305732484076</v>
      </c>
      <c r="G1088" s="2">
        <f t="shared" si="83"/>
        <v>19.137886806385342</v>
      </c>
      <c r="H1088" s="2">
        <f t="shared" si="84"/>
        <v>3.8616828605014257</v>
      </c>
      <c r="I1088" s="2">
        <f t="shared" si="80"/>
        <v>965.42071512535642</v>
      </c>
      <c r="J1088" s="4">
        <f t="shared" si="82"/>
        <v>9.3694820499817428</v>
      </c>
      <c r="K1088" s="4">
        <f t="shared" si="81"/>
        <v>2342.3705124954358</v>
      </c>
      <c r="L1088">
        <v>4</v>
      </c>
    </row>
    <row r="1089" spans="1:12" x14ac:dyDescent="0.3">
      <c r="A1089" t="s">
        <v>158</v>
      </c>
      <c r="B1089" t="s">
        <v>122</v>
      </c>
      <c r="C1089" s="4">
        <v>0.85750000000000004</v>
      </c>
      <c r="D1089" s="4">
        <v>0.61247410899999999</v>
      </c>
      <c r="E1089">
        <v>6.5</v>
      </c>
      <c r="F1089" s="1">
        <v>15.764331210191083</v>
      </c>
      <c r="G1089" s="2">
        <f t="shared" si="83"/>
        <v>195.18254795981557</v>
      </c>
      <c r="H1089" s="2">
        <f t="shared" si="84"/>
        <v>56.425940235257926</v>
      </c>
      <c r="I1089" s="2">
        <f t="shared" si="80"/>
        <v>14106.485058814482</v>
      </c>
      <c r="J1089" s="4">
        <f t="shared" si="82"/>
        <v>14.639396650979755</v>
      </c>
      <c r="K1089" s="4">
        <f t="shared" si="81"/>
        <v>3659.8491627449389</v>
      </c>
      <c r="L1089">
        <v>4</v>
      </c>
    </row>
    <row r="1090" spans="1:12" x14ac:dyDescent="0.3">
      <c r="A1090" t="s">
        <v>158</v>
      </c>
      <c r="B1090" t="s">
        <v>122</v>
      </c>
      <c r="C1090" s="4">
        <v>0.85750000000000004</v>
      </c>
      <c r="D1090" s="4">
        <v>0.61247410899999999</v>
      </c>
      <c r="E1090">
        <v>6.5</v>
      </c>
      <c r="F1090" s="1">
        <v>7.9617834394904454</v>
      </c>
      <c r="G1090" s="2">
        <f t="shared" si="83"/>
        <v>49.786386072802657</v>
      </c>
      <c r="H1090" s="2">
        <f t="shared" si="84"/>
        <v>14.872649842225801</v>
      </c>
      <c r="I1090" s="2">
        <f t="shared" ref="I1090:I1153" si="85">(H1090*1000)/L1090</f>
        <v>3718.1624605564502</v>
      </c>
      <c r="J1090" s="4">
        <f t="shared" si="82"/>
        <v>10.427822398474582</v>
      </c>
      <c r="K1090" s="4">
        <f t="shared" ref="K1090:K1153" si="86">(J1090*1000)/L1090</f>
        <v>2606.9555996186455</v>
      </c>
      <c r="L1090">
        <v>4</v>
      </c>
    </row>
    <row r="1091" spans="1:12" x14ac:dyDescent="0.3">
      <c r="A1091" t="s">
        <v>158</v>
      </c>
      <c r="B1091" t="s">
        <v>122</v>
      </c>
      <c r="C1091" s="4">
        <v>0.85750000000000004</v>
      </c>
      <c r="D1091" s="4">
        <v>0.61247410899999999</v>
      </c>
      <c r="E1091">
        <v>5.7</v>
      </c>
      <c r="F1091" s="1">
        <v>9.3949044585987256</v>
      </c>
      <c r="G1091" s="2">
        <f t="shared" si="83"/>
        <v>69.322563967770421</v>
      </c>
      <c r="H1091" s="2">
        <f t="shared" si="84"/>
        <v>18.07309179647941</v>
      </c>
      <c r="I1091" s="2">
        <f t="shared" si="85"/>
        <v>4518.2729491198525</v>
      </c>
      <c r="J1091" s="4">
        <f t="shared" ref="J1091:J1154" si="87">8.9857 + 0.0035 * F1091^2 * E1091</f>
        <v>10.746571384234654</v>
      </c>
      <c r="K1091" s="4">
        <f t="shared" si="86"/>
        <v>2686.6428460586635</v>
      </c>
      <c r="L1091">
        <v>4</v>
      </c>
    </row>
    <row r="1092" spans="1:12" x14ac:dyDescent="0.3">
      <c r="A1092" t="s">
        <v>158</v>
      </c>
      <c r="B1092" t="s">
        <v>122</v>
      </c>
      <c r="C1092" s="4">
        <v>0.85750000000000004</v>
      </c>
      <c r="D1092" s="4">
        <v>0.61247410899999999</v>
      </c>
      <c r="E1092">
        <v>5.6</v>
      </c>
      <c r="F1092" s="1">
        <v>9.5541401273885338</v>
      </c>
      <c r="G1092" s="2">
        <f t="shared" ref="G1092:G1155" si="88">PI()*(F1092/2)^2</f>
        <v>71.692395944835823</v>
      </c>
      <c r="H1092" s="2">
        <f t="shared" ref="H1092:H1155" si="89">0.0673 * ((D1092 * F1092^2 * E1092)^0.976)</f>
        <v>18.356007383114878</v>
      </c>
      <c r="I1092" s="2">
        <f t="shared" si="85"/>
        <v>4589.0018457787201</v>
      </c>
      <c r="J1092" s="4">
        <f t="shared" si="87"/>
        <v>10.774819234046005</v>
      </c>
      <c r="K1092" s="4">
        <f t="shared" si="86"/>
        <v>2693.7048085115011</v>
      </c>
      <c r="L1092">
        <v>4</v>
      </c>
    </row>
    <row r="1093" spans="1:12" x14ac:dyDescent="0.3">
      <c r="A1093" t="s">
        <v>158</v>
      </c>
      <c r="B1093" t="s">
        <v>122</v>
      </c>
      <c r="C1093" s="4">
        <v>0.85750000000000004</v>
      </c>
      <c r="D1093" s="4">
        <v>0.61247410899999999</v>
      </c>
      <c r="E1093">
        <v>5.5</v>
      </c>
      <c r="F1093" s="1">
        <v>9.5541401273885338</v>
      </c>
      <c r="G1093" s="2">
        <f t="shared" si="88"/>
        <v>71.692395944835823</v>
      </c>
      <c r="H1093" s="2">
        <f t="shared" si="89"/>
        <v>18.03601942155624</v>
      </c>
      <c r="I1093" s="2">
        <f t="shared" si="85"/>
        <v>4509.0048553890601</v>
      </c>
      <c r="J1093" s="4">
        <f t="shared" si="87"/>
        <v>10.742870676295183</v>
      </c>
      <c r="K1093" s="4">
        <f t="shared" si="86"/>
        <v>2685.7176690737961</v>
      </c>
      <c r="L1093">
        <v>4</v>
      </c>
    </row>
    <row r="1094" spans="1:12" x14ac:dyDescent="0.3">
      <c r="A1094" t="s">
        <v>158</v>
      </c>
      <c r="B1094" t="s">
        <v>122</v>
      </c>
      <c r="C1094" s="4">
        <v>0.85750000000000004</v>
      </c>
      <c r="D1094" s="4">
        <v>0.61247410899999999</v>
      </c>
      <c r="E1094">
        <v>5.5</v>
      </c>
      <c r="F1094" s="1">
        <v>7.3248407643312099</v>
      </c>
      <c r="G1094" s="2">
        <f t="shared" si="88"/>
        <v>42.139197172020175</v>
      </c>
      <c r="H1094" s="2">
        <f t="shared" si="89"/>
        <v>10.737241986974666</v>
      </c>
      <c r="I1094" s="2">
        <f t="shared" si="85"/>
        <v>2684.3104967436666</v>
      </c>
      <c r="J1094" s="4">
        <f t="shared" si="87"/>
        <v>10.018525875289058</v>
      </c>
      <c r="K1094" s="4">
        <f t="shared" si="86"/>
        <v>2504.6314688222642</v>
      </c>
      <c r="L1094">
        <v>4</v>
      </c>
    </row>
    <row r="1095" spans="1:12" x14ac:dyDescent="0.3">
      <c r="A1095" t="s">
        <v>158</v>
      </c>
      <c r="B1095" t="s">
        <v>122</v>
      </c>
      <c r="C1095" s="4">
        <v>0.85750000000000004</v>
      </c>
      <c r="D1095" s="4">
        <v>0.61247410899999999</v>
      </c>
      <c r="E1095">
        <v>4.5</v>
      </c>
      <c r="F1095" s="1">
        <v>15.286624203821656</v>
      </c>
      <c r="G1095" s="2">
        <f t="shared" si="88"/>
        <v>183.53253361877975</v>
      </c>
      <c r="H1095" s="2">
        <f t="shared" si="89"/>
        <v>37.112851932332291</v>
      </c>
      <c r="I1095" s="2">
        <f t="shared" si="85"/>
        <v>9278.2129830830727</v>
      </c>
      <c r="J1095" s="4">
        <f t="shared" si="87"/>
        <v>12.666173852894641</v>
      </c>
      <c r="K1095" s="4">
        <f t="shared" si="86"/>
        <v>3166.5434632236602</v>
      </c>
      <c r="L1095">
        <v>4</v>
      </c>
    </row>
    <row r="1096" spans="1:12" x14ac:dyDescent="0.3">
      <c r="A1096" t="s">
        <v>158</v>
      </c>
      <c r="B1096" t="s">
        <v>122</v>
      </c>
      <c r="C1096" s="4">
        <v>0.85750000000000004</v>
      </c>
      <c r="D1096" s="4">
        <v>0.61247410899999999</v>
      </c>
      <c r="E1096">
        <v>3</v>
      </c>
      <c r="F1096" s="1">
        <v>12.101910828025478</v>
      </c>
      <c r="G1096" s="2">
        <f t="shared" si="88"/>
        <v>115.02646638260329</v>
      </c>
      <c r="H1096" s="2">
        <f t="shared" si="89"/>
        <v>15.834849693089907</v>
      </c>
      <c r="I1096" s="2">
        <f t="shared" si="85"/>
        <v>3958.7124232724768</v>
      </c>
      <c r="J1096" s="4">
        <f t="shared" si="87"/>
        <v>10.523490579739542</v>
      </c>
      <c r="K1096" s="4">
        <f t="shared" si="86"/>
        <v>2630.8726449348856</v>
      </c>
      <c r="L1096">
        <v>4</v>
      </c>
    </row>
    <row r="1097" spans="1:12" x14ac:dyDescent="0.3">
      <c r="A1097" t="s">
        <v>158</v>
      </c>
      <c r="B1097" t="s">
        <v>73</v>
      </c>
      <c r="C1097" s="4">
        <v>0.39</v>
      </c>
      <c r="D1097" s="4">
        <v>0.28861111099999998</v>
      </c>
      <c r="E1097">
        <v>6.5</v>
      </c>
      <c r="F1097" s="1">
        <v>10.350318471337578</v>
      </c>
      <c r="G1097" s="2">
        <f t="shared" si="88"/>
        <v>84.138992463036487</v>
      </c>
      <c r="H1097" s="2">
        <f t="shared" si="89"/>
        <v>11.908955745729868</v>
      </c>
      <c r="I1097" s="2">
        <f t="shared" si="85"/>
        <v>2977.2389364324667</v>
      </c>
      <c r="J1097" s="4">
        <f t="shared" si="87"/>
        <v>11.422886853422044</v>
      </c>
      <c r="K1097" s="4">
        <f t="shared" si="86"/>
        <v>2855.7217133555109</v>
      </c>
      <c r="L1097">
        <v>4</v>
      </c>
    </row>
    <row r="1098" spans="1:12" x14ac:dyDescent="0.3">
      <c r="A1098" t="s">
        <v>158</v>
      </c>
      <c r="B1098" t="s">
        <v>46</v>
      </c>
      <c r="C1098" s="4">
        <v>1.1200000000000001</v>
      </c>
      <c r="D1098" s="4">
        <v>0.85527777800000004</v>
      </c>
      <c r="E1098">
        <v>1.8</v>
      </c>
      <c r="F1098" s="1">
        <v>3.9808917197452227</v>
      </c>
      <c r="G1098" s="2">
        <f t="shared" si="88"/>
        <v>12.446596518200664</v>
      </c>
      <c r="H1098" s="2">
        <f t="shared" si="89"/>
        <v>1.5207552250174203</v>
      </c>
      <c r="I1098" s="2">
        <f t="shared" si="85"/>
        <v>380.18880625435509</v>
      </c>
      <c r="J1098" s="4">
        <f t="shared" si="87"/>
        <v>9.0855392429713167</v>
      </c>
      <c r="K1098" s="4">
        <f t="shared" si="86"/>
        <v>2271.3848107428294</v>
      </c>
      <c r="L1098">
        <v>4</v>
      </c>
    </row>
    <row r="1099" spans="1:12" x14ac:dyDescent="0.3">
      <c r="A1099" t="s">
        <v>158</v>
      </c>
      <c r="B1099" t="s">
        <v>22</v>
      </c>
      <c r="C1099" s="4">
        <v>0.43836446099999998</v>
      </c>
      <c r="D1099" s="4">
        <v>0.58666666700000003</v>
      </c>
      <c r="E1099">
        <v>4</v>
      </c>
      <c r="F1099" s="1">
        <v>13.694267515923567</v>
      </c>
      <c r="G1099" s="2">
        <f t="shared" si="88"/>
        <v>147.28804455777941</v>
      </c>
      <c r="H1099" s="2">
        <f t="shared" si="89"/>
        <v>25.591714812309071</v>
      </c>
      <c r="I1099" s="2">
        <f t="shared" si="85"/>
        <v>6397.9287030772675</v>
      </c>
      <c r="J1099" s="4">
        <f t="shared" si="87"/>
        <v>11.611161479167512</v>
      </c>
      <c r="K1099" s="4">
        <f t="shared" si="86"/>
        <v>2902.7903697918778</v>
      </c>
      <c r="L1099">
        <v>4</v>
      </c>
    </row>
    <row r="1100" spans="1:12" x14ac:dyDescent="0.3">
      <c r="A1100" t="s">
        <v>158</v>
      </c>
      <c r="B1100" t="s">
        <v>22</v>
      </c>
      <c r="C1100" s="4">
        <v>0.43836446099999998</v>
      </c>
      <c r="D1100" s="4">
        <v>0.58666666700000003</v>
      </c>
      <c r="E1100">
        <v>3.8</v>
      </c>
      <c r="F1100" s="1">
        <v>12.261146496815286</v>
      </c>
      <c r="G1100" s="2">
        <f t="shared" si="88"/>
        <v>118.0733932102588</v>
      </c>
      <c r="H1100" s="2">
        <f t="shared" si="89"/>
        <v>19.617630256480737</v>
      </c>
      <c r="I1100" s="2">
        <f t="shared" si="85"/>
        <v>4904.4075641201844</v>
      </c>
      <c r="J1100" s="4">
        <f t="shared" si="87"/>
        <v>10.985164988437663</v>
      </c>
      <c r="K1100" s="4">
        <f t="shared" si="86"/>
        <v>2746.291247109416</v>
      </c>
      <c r="L1100">
        <v>4</v>
      </c>
    </row>
    <row r="1101" spans="1:12" x14ac:dyDescent="0.3">
      <c r="A1101" t="s">
        <v>158</v>
      </c>
      <c r="B1101" t="s">
        <v>22</v>
      </c>
      <c r="C1101" s="4">
        <v>0.43836446099999998</v>
      </c>
      <c r="D1101" s="4">
        <v>0.58666666700000003</v>
      </c>
      <c r="E1101">
        <v>3</v>
      </c>
      <c r="F1101" s="1">
        <v>14.331210191082802</v>
      </c>
      <c r="G1101" s="2">
        <f t="shared" si="88"/>
        <v>161.30789087588062</v>
      </c>
      <c r="H1101" s="2">
        <f t="shared" si="89"/>
        <v>21.120275651704809</v>
      </c>
      <c r="I1101" s="2">
        <f t="shared" si="85"/>
        <v>5280.0689129262018</v>
      </c>
      <c r="J1101" s="4">
        <f t="shared" si="87"/>
        <v>11.142227648180452</v>
      </c>
      <c r="K1101" s="4">
        <f t="shared" si="86"/>
        <v>2785.5569120451128</v>
      </c>
      <c r="L1101">
        <v>4</v>
      </c>
    </row>
    <row r="1102" spans="1:12" x14ac:dyDescent="0.3">
      <c r="A1102" t="s">
        <v>158</v>
      </c>
      <c r="B1102" t="s">
        <v>22</v>
      </c>
      <c r="C1102" s="4">
        <v>0.43836446099999998</v>
      </c>
      <c r="D1102" s="4">
        <v>0.58666666700000003</v>
      </c>
      <c r="E1102">
        <v>2.1</v>
      </c>
      <c r="F1102" s="1">
        <v>1.910828025477707</v>
      </c>
      <c r="G1102" s="2">
        <f t="shared" si="88"/>
        <v>2.8676958377934336</v>
      </c>
      <c r="H1102" s="2">
        <f t="shared" si="89"/>
        <v>0.29200862749363826</v>
      </c>
      <c r="I1102" s="2">
        <f t="shared" si="85"/>
        <v>73.002156873409561</v>
      </c>
      <c r="J1102" s="4">
        <f t="shared" si="87"/>
        <v>9.0125367885106904</v>
      </c>
      <c r="K1102" s="4">
        <f t="shared" si="86"/>
        <v>2253.1341971276725</v>
      </c>
      <c r="L1102">
        <v>4</v>
      </c>
    </row>
    <row r="1103" spans="1:12" x14ac:dyDescent="0.3">
      <c r="A1103" t="s">
        <v>159</v>
      </c>
      <c r="B1103" t="s">
        <v>60</v>
      </c>
      <c r="C1103" s="4">
        <v>0.41</v>
      </c>
      <c r="D1103" s="4">
        <v>0.33983503399999998</v>
      </c>
      <c r="E1103">
        <v>7.5</v>
      </c>
      <c r="F1103" s="1">
        <v>7.1656050955414008</v>
      </c>
      <c r="G1103" s="2">
        <f t="shared" si="88"/>
        <v>40.326972718970154</v>
      </c>
      <c r="H1103" s="2">
        <f t="shared" si="89"/>
        <v>7.8351293895715166</v>
      </c>
      <c r="I1103" s="2">
        <f t="shared" si="85"/>
        <v>1958.782347392879</v>
      </c>
      <c r="J1103" s="4">
        <f t="shared" si="87"/>
        <v>10.333529780112784</v>
      </c>
      <c r="K1103" s="4">
        <f t="shared" si="86"/>
        <v>2583.3824450281959</v>
      </c>
      <c r="L1103">
        <v>4</v>
      </c>
    </row>
    <row r="1104" spans="1:12" x14ac:dyDescent="0.3">
      <c r="A1104" t="s">
        <v>159</v>
      </c>
      <c r="B1104" t="s">
        <v>85</v>
      </c>
      <c r="C1104" s="4">
        <v>0.6</v>
      </c>
      <c r="D1104" s="4">
        <v>0.66674999999999995</v>
      </c>
      <c r="E1104">
        <v>5.5</v>
      </c>
      <c r="F1104" s="1">
        <v>8.598726114649681</v>
      </c>
      <c r="G1104" s="2">
        <f t="shared" si="88"/>
        <v>58.070840715317019</v>
      </c>
      <c r="H1104" s="2">
        <f t="shared" si="89"/>
        <v>15.951897689498171</v>
      </c>
      <c r="I1104" s="2">
        <f t="shared" si="85"/>
        <v>3987.9744223745429</v>
      </c>
      <c r="J1104" s="4">
        <f t="shared" si="87"/>
        <v>10.409008247799099</v>
      </c>
      <c r="K1104" s="4">
        <f t="shared" si="86"/>
        <v>2602.2520619497745</v>
      </c>
      <c r="L1104">
        <v>4</v>
      </c>
    </row>
    <row r="1105" spans="1:12" x14ac:dyDescent="0.3">
      <c r="A1105" t="s">
        <v>159</v>
      </c>
      <c r="B1105" t="s">
        <v>122</v>
      </c>
      <c r="C1105" s="4">
        <v>0.85750000000000004</v>
      </c>
      <c r="D1105" s="4">
        <v>0.61247410899999999</v>
      </c>
      <c r="E1105">
        <v>6</v>
      </c>
      <c r="F1105" s="1">
        <v>7.3248407643312099</v>
      </c>
      <c r="G1105" s="2">
        <f t="shared" si="88"/>
        <v>42.139197172020175</v>
      </c>
      <c r="H1105" s="2">
        <f t="shared" si="89"/>
        <v>11.688919734079493</v>
      </c>
      <c r="I1105" s="2">
        <f t="shared" si="85"/>
        <v>2922.2299335198732</v>
      </c>
      <c r="J1105" s="4">
        <f t="shared" si="87"/>
        <v>10.112419136678973</v>
      </c>
      <c r="K1105" s="4">
        <f t="shared" si="86"/>
        <v>2528.1047841697432</v>
      </c>
      <c r="L1105">
        <v>4</v>
      </c>
    </row>
    <row r="1106" spans="1:12" x14ac:dyDescent="0.3">
      <c r="A1106" t="s">
        <v>159</v>
      </c>
      <c r="B1106" t="s">
        <v>122</v>
      </c>
      <c r="C1106" s="4">
        <v>0.85750000000000004</v>
      </c>
      <c r="D1106" s="4">
        <v>0.61247410899999999</v>
      </c>
      <c r="E1106">
        <v>6</v>
      </c>
      <c r="F1106" s="1">
        <v>22.165605095541398</v>
      </c>
      <c r="G1106" s="2">
        <f t="shared" si="88"/>
        <v>385.87715193348436</v>
      </c>
      <c r="H1106" s="2">
        <f t="shared" si="89"/>
        <v>101.49739039586146</v>
      </c>
      <c r="I1106" s="2">
        <f t="shared" si="85"/>
        <v>25374.347598965363</v>
      </c>
      <c r="J1106" s="4">
        <f t="shared" si="87"/>
        <v>19.303295034281305</v>
      </c>
      <c r="K1106" s="4">
        <f t="shared" si="86"/>
        <v>4825.8237585703264</v>
      </c>
      <c r="L1106">
        <v>4</v>
      </c>
    </row>
    <row r="1107" spans="1:12" x14ac:dyDescent="0.3">
      <c r="A1107" t="s">
        <v>159</v>
      </c>
      <c r="B1107" t="s">
        <v>122</v>
      </c>
      <c r="C1107" s="4">
        <v>0.85750000000000004</v>
      </c>
      <c r="D1107" s="4">
        <v>0.61247410899999999</v>
      </c>
      <c r="E1107">
        <v>6</v>
      </c>
      <c r="F1107" s="1">
        <v>10.509554140127388</v>
      </c>
      <c r="G1107" s="2">
        <f t="shared" si="88"/>
        <v>86.747799093251359</v>
      </c>
      <c r="H1107" s="2">
        <f t="shared" si="89"/>
        <v>23.649439439253307</v>
      </c>
      <c r="I1107" s="2">
        <f t="shared" si="85"/>
        <v>5912.3598598133267</v>
      </c>
      <c r="J1107" s="4">
        <f t="shared" si="87"/>
        <v>11.305165292709642</v>
      </c>
      <c r="K1107" s="4">
        <f t="shared" si="86"/>
        <v>2826.2913231774105</v>
      </c>
      <c r="L1107">
        <v>4</v>
      </c>
    </row>
    <row r="1108" spans="1:12" x14ac:dyDescent="0.3">
      <c r="A1108" t="s">
        <v>159</v>
      </c>
      <c r="B1108" t="s">
        <v>122</v>
      </c>
      <c r="C1108" s="4">
        <v>0.85750000000000004</v>
      </c>
      <c r="D1108" s="4">
        <v>0.61247410899999999</v>
      </c>
      <c r="E1108">
        <v>5.5</v>
      </c>
      <c r="F1108" s="1">
        <v>24.363057324840764</v>
      </c>
      <c r="G1108" s="2">
        <f t="shared" si="88"/>
        <v>466.17980463129504</v>
      </c>
      <c r="H1108" s="2">
        <f t="shared" si="89"/>
        <v>112.12620581011383</v>
      </c>
      <c r="I1108" s="2">
        <f t="shared" si="85"/>
        <v>28031.551452528456</v>
      </c>
      <c r="J1108" s="4">
        <f t="shared" si="87"/>
        <v>20.411702322609436</v>
      </c>
      <c r="K1108" s="4">
        <f t="shared" si="86"/>
        <v>5102.9255806523588</v>
      </c>
      <c r="L1108">
        <v>4</v>
      </c>
    </row>
    <row r="1109" spans="1:12" x14ac:dyDescent="0.3">
      <c r="A1109" t="s">
        <v>159</v>
      </c>
      <c r="B1109" t="s">
        <v>122</v>
      </c>
      <c r="C1109" s="4">
        <v>0.85750000000000004</v>
      </c>
      <c r="D1109" s="4">
        <v>0.61247410899999999</v>
      </c>
      <c r="E1109">
        <v>4.5</v>
      </c>
      <c r="F1109" s="1">
        <v>13.694267515923567</v>
      </c>
      <c r="G1109" s="2">
        <f t="shared" si="88"/>
        <v>147.28804455777941</v>
      </c>
      <c r="H1109" s="2">
        <f t="shared" si="89"/>
        <v>29.941383153563141</v>
      </c>
      <c r="I1109" s="2">
        <f t="shared" si="85"/>
        <v>7485.3457883907849</v>
      </c>
      <c r="J1109" s="4">
        <f t="shared" si="87"/>
        <v>11.939344164063451</v>
      </c>
      <c r="K1109" s="4">
        <f t="shared" si="86"/>
        <v>2984.836041015863</v>
      </c>
      <c r="L1109">
        <v>4</v>
      </c>
    </row>
    <row r="1110" spans="1:12" x14ac:dyDescent="0.3">
      <c r="A1110" t="s">
        <v>159</v>
      </c>
      <c r="B1110" t="s">
        <v>118</v>
      </c>
      <c r="C1110" s="4">
        <v>0.56023871300000005</v>
      </c>
      <c r="D1110" s="4">
        <v>0.74103703700000001</v>
      </c>
      <c r="E1110">
        <v>6</v>
      </c>
      <c r="F1110" s="1">
        <v>7.484076433121019</v>
      </c>
      <c r="G1110" s="2">
        <f t="shared" si="88"/>
        <v>43.991250733928432</v>
      </c>
      <c r="H1110" s="2">
        <f t="shared" si="89"/>
        <v>14.681561047765641</v>
      </c>
      <c r="I1110" s="2">
        <f t="shared" si="85"/>
        <v>3670.3902619414102</v>
      </c>
      <c r="J1110" s="4">
        <f t="shared" si="87"/>
        <v>10.161939401192745</v>
      </c>
      <c r="K1110" s="4">
        <f t="shared" si="86"/>
        <v>2540.4848502981863</v>
      </c>
      <c r="L1110">
        <v>4</v>
      </c>
    </row>
    <row r="1111" spans="1:12" x14ac:dyDescent="0.3">
      <c r="A1111" t="s">
        <v>159</v>
      </c>
      <c r="B1111" t="s">
        <v>46</v>
      </c>
      <c r="C1111" s="4">
        <v>1.1200000000000001</v>
      </c>
      <c r="D1111" s="4">
        <v>0.85527777800000004</v>
      </c>
      <c r="E1111">
        <v>5</v>
      </c>
      <c r="F1111" s="1">
        <v>13.375796178343949</v>
      </c>
      <c r="G1111" s="2">
        <f t="shared" si="88"/>
        <v>140.51709605187824</v>
      </c>
      <c r="H1111" s="2">
        <f t="shared" si="89"/>
        <v>43.905845618777263</v>
      </c>
      <c r="I1111" s="2">
        <f t="shared" si="85"/>
        <v>10976.461404694315</v>
      </c>
      <c r="J1111" s="4">
        <f t="shared" si="87"/>
        <v>12.116658659580509</v>
      </c>
      <c r="K1111" s="4">
        <f t="shared" si="86"/>
        <v>3029.1646648951273</v>
      </c>
      <c r="L1111">
        <v>4</v>
      </c>
    </row>
    <row r="1112" spans="1:12" x14ac:dyDescent="0.3">
      <c r="A1112" t="s">
        <v>159</v>
      </c>
      <c r="B1112" t="s">
        <v>46</v>
      </c>
      <c r="C1112" s="4">
        <v>1.1200000000000001</v>
      </c>
      <c r="D1112" s="4">
        <v>0.85527777800000004</v>
      </c>
      <c r="E1112">
        <v>2.5</v>
      </c>
      <c r="F1112" s="1">
        <v>6.6878980891719744</v>
      </c>
      <c r="G1112" s="2">
        <f t="shared" si="88"/>
        <v>35.12927401296956</v>
      </c>
      <c r="H1112" s="2">
        <f t="shared" si="89"/>
        <v>5.7690794331307318</v>
      </c>
      <c r="I1112" s="2">
        <f t="shared" si="85"/>
        <v>1442.2698582826829</v>
      </c>
      <c r="J1112" s="4">
        <f t="shared" si="87"/>
        <v>9.3770698324475639</v>
      </c>
      <c r="K1112" s="4">
        <f t="shared" si="86"/>
        <v>2344.2674581118908</v>
      </c>
      <c r="L1112">
        <v>4</v>
      </c>
    </row>
    <row r="1113" spans="1:12" x14ac:dyDescent="0.3">
      <c r="A1113" t="s">
        <v>159</v>
      </c>
      <c r="B1113" t="s">
        <v>46</v>
      </c>
      <c r="C1113" s="4">
        <v>1.1200000000000001</v>
      </c>
      <c r="D1113" s="4">
        <v>0.85527777800000004</v>
      </c>
      <c r="E1113">
        <v>2.2999999999999998</v>
      </c>
      <c r="F1113" s="1">
        <v>2.8662420382165603</v>
      </c>
      <c r="G1113" s="2">
        <f t="shared" si="88"/>
        <v>6.4523156350352249</v>
      </c>
      <c r="H1113" s="2">
        <f t="shared" si="89"/>
        <v>1.0173555374714025</v>
      </c>
      <c r="I1113" s="2">
        <f t="shared" si="85"/>
        <v>254.33888436785062</v>
      </c>
      <c r="J1113" s="4">
        <f t="shared" si="87"/>
        <v>9.0518335145441995</v>
      </c>
      <c r="K1113" s="4">
        <f t="shared" si="86"/>
        <v>2262.9583786360499</v>
      </c>
      <c r="L1113">
        <v>4</v>
      </c>
    </row>
    <row r="1114" spans="1:12" x14ac:dyDescent="0.3">
      <c r="A1114" t="s">
        <v>159</v>
      </c>
      <c r="B1114" t="s">
        <v>160</v>
      </c>
      <c r="C1114" s="4">
        <v>0.53</v>
      </c>
      <c r="D1114" s="4">
        <v>0.41185714299999998</v>
      </c>
      <c r="E1114">
        <v>5.5</v>
      </c>
      <c r="F1114" s="1">
        <v>5.7324840764331206</v>
      </c>
      <c r="G1114" s="2">
        <f t="shared" si="88"/>
        <v>25.809262540140899</v>
      </c>
      <c r="H1114" s="2">
        <f t="shared" si="89"/>
        <v>4.5173838007657983</v>
      </c>
      <c r="I1114" s="2">
        <f t="shared" si="85"/>
        <v>1129.3459501914497</v>
      </c>
      <c r="J1114" s="4">
        <f t="shared" si="87"/>
        <v>9.618281443466266</v>
      </c>
      <c r="K1114" s="4">
        <f t="shared" si="86"/>
        <v>2404.5703608665667</v>
      </c>
      <c r="L1114">
        <v>4</v>
      </c>
    </row>
    <row r="1115" spans="1:12" x14ac:dyDescent="0.3">
      <c r="A1115" t="s">
        <v>159</v>
      </c>
      <c r="B1115" t="s">
        <v>160</v>
      </c>
      <c r="C1115" s="4">
        <v>0.53</v>
      </c>
      <c r="D1115" s="4">
        <v>0.41185714299999998</v>
      </c>
      <c r="E1115">
        <v>5</v>
      </c>
      <c r="F1115" s="1">
        <v>5.8917197452229297</v>
      </c>
      <c r="G1115" s="2">
        <f t="shared" si="88"/>
        <v>27.263025013466741</v>
      </c>
      <c r="H1115" s="2">
        <f t="shared" si="89"/>
        <v>4.3422518945486814</v>
      </c>
      <c r="I1115" s="2">
        <f t="shared" si="85"/>
        <v>1085.5629736371704</v>
      </c>
      <c r="J1115" s="4">
        <f t="shared" si="87"/>
        <v>9.5931663272343695</v>
      </c>
      <c r="K1115" s="4">
        <f t="shared" si="86"/>
        <v>2398.2915818085926</v>
      </c>
      <c r="L1115">
        <v>4</v>
      </c>
    </row>
    <row r="1116" spans="1:12" x14ac:dyDescent="0.3">
      <c r="A1116" t="s">
        <v>159</v>
      </c>
      <c r="B1116" t="s">
        <v>160</v>
      </c>
      <c r="C1116" s="4">
        <v>0.53</v>
      </c>
      <c r="D1116" s="4">
        <v>0.41185714299999998</v>
      </c>
      <c r="E1116">
        <v>2.5</v>
      </c>
      <c r="F1116" s="1">
        <v>3.5031847133757958</v>
      </c>
      <c r="G1116" s="2">
        <f t="shared" si="88"/>
        <v>9.6386443436945939</v>
      </c>
      <c r="H1116" s="2">
        <f t="shared" si="89"/>
        <v>0.80018249266697505</v>
      </c>
      <c r="I1116" s="2">
        <f t="shared" si="85"/>
        <v>200.04562316674375</v>
      </c>
      <c r="J1116" s="4">
        <f t="shared" si="87"/>
        <v>9.0930826524402608</v>
      </c>
      <c r="K1116" s="4">
        <f t="shared" si="86"/>
        <v>2273.270663110065</v>
      </c>
      <c r="L1116">
        <v>4</v>
      </c>
    </row>
    <row r="1117" spans="1:12" x14ac:dyDescent="0.3">
      <c r="A1117" t="s">
        <v>159</v>
      </c>
      <c r="B1117" t="s">
        <v>58</v>
      </c>
      <c r="C1117" s="4">
        <v>0.371297506</v>
      </c>
      <c r="D1117" s="4">
        <v>0.35258402799999999</v>
      </c>
      <c r="E1117">
        <v>4.5</v>
      </c>
      <c r="F1117" s="1">
        <v>4.2993630573248405</v>
      </c>
      <c r="G1117" s="2">
        <f t="shared" si="88"/>
        <v>14.517710178829255</v>
      </c>
      <c r="H1117" s="2">
        <f t="shared" si="89"/>
        <v>1.8200513974029371</v>
      </c>
      <c r="I1117" s="2">
        <f t="shared" si="85"/>
        <v>455.01284935073426</v>
      </c>
      <c r="J1117" s="4">
        <f t="shared" si="87"/>
        <v>9.2768312325043603</v>
      </c>
      <c r="K1117" s="4">
        <f t="shared" si="86"/>
        <v>2319.2078081260902</v>
      </c>
      <c r="L1117">
        <v>4</v>
      </c>
    </row>
    <row r="1118" spans="1:12" x14ac:dyDescent="0.3">
      <c r="A1118" t="s">
        <v>159</v>
      </c>
      <c r="B1118" t="s">
        <v>58</v>
      </c>
      <c r="C1118" s="4">
        <v>0.371297506</v>
      </c>
      <c r="D1118" s="4">
        <v>0.35258402799999999</v>
      </c>
      <c r="E1118">
        <v>4</v>
      </c>
      <c r="F1118" s="1">
        <v>3.3439490445859872</v>
      </c>
      <c r="G1118" s="2">
        <f t="shared" si="88"/>
        <v>8.7823185032423901</v>
      </c>
      <c r="H1118" s="2">
        <f t="shared" si="89"/>
        <v>0.99336484471776687</v>
      </c>
      <c r="I1118" s="2">
        <f t="shared" si="85"/>
        <v>248.34121117944173</v>
      </c>
      <c r="J1118" s="4">
        <f t="shared" si="87"/>
        <v>9.1422479329790249</v>
      </c>
      <c r="K1118" s="4">
        <f t="shared" si="86"/>
        <v>2285.5619832447564</v>
      </c>
      <c r="L1118">
        <v>4</v>
      </c>
    </row>
    <row r="1119" spans="1:12" hidden="1" x14ac:dyDescent="0.3">
      <c r="A1119" t="s">
        <v>161</v>
      </c>
      <c r="B1119" t="s">
        <v>75</v>
      </c>
      <c r="C1119" s="4">
        <v>0.86</v>
      </c>
      <c r="D1119" s="4">
        <v>0.65666666699999998</v>
      </c>
      <c r="E1119">
        <v>9</v>
      </c>
      <c r="F1119" s="1">
        <v>17.32484076433121</v>
      </c>
      <c r="G1119" s="2">
        <f t="shared" si="88"/>
        <v>235.73734318145486</v>
      </c>
      <c r="H1119" s="2">
        <f t="shared" si="89"/>
        <v>99.762385404886388</v>
      </c>
      <c r="I1119" s="2">
        <f t="shared" si="85"/>
        <v>19952.477080977278</v>
      </c>
      <c r="J1119" s="4">
        <f t="shared" si="87"/>
        <v>18.440428386547122</v>
      </c>
      <c r="K1119" s="4">
        <f t="shared" si="86"/>
        <v>3688.0856773094247</v>
      </c>
      <c r="L1119">
        <v>5</v>
      </c>
    </row>
    <row r="1120" spans="1:12" hidden="1" x14ac:dyDescent="0.3">
      <c r="A1120" t="s">
        <v>161</v>
      </c>
      <c r="B1120" t="s">
        <v>75</v>
      </c>
      <c r="C1120" s="4">
        <v>0.86</v>
      </c>
      <c r="D1120" s="4">
        <v>0.65666666699999998</v>
      </c>
      <c r="E1120">
        <v>7</v>
      </c>
      <c r="F1120" s="1">
        <v>10.063694267515924</v>
      </c>
      <c r="G1120" s="2">
        <f t="shared" si="88"/>
        <v>79.543509882972543</v>
      </c>
      <c r="H1120" s="2">
        <f t="shared" si="89"/>
        <v>27.035969999270456</v>
      </c>
      <c r="I1120" s="2">
        <f t="shared" si="85"/>
        <v>5407.1939998540911</v>
      </c>
      <c r="J1120" s="4">
        <f t="shared" si="87"/>
        <v>11.467009586595804</v>
      </c>
      <c r="K1120" s="4">
        <f t="shared" si="86"/>
        <v>2293.4019173191609</v>
      </c>
      <c r="L1120">
        <v>5</v>
      </c>
    </row>
    <row r="1121" spans="1:12" hidden="1" x14ac:dyDescent="0.3">
      <c r="A1121" t="s">
        <v>161</v>
      </c>
      <c r="B1121" t="s">
        <v>60</v>
      </c>
      <c r="C1121" s="4">
        <v>0.41</v>
      </c>
      <c r="D1121" s="4">
        <v>0.33983503399999998</v>
      </c>
      <c r="E1121">
        <v>9</v>
      </c>
      <c r="F1121" s="1">
        <v>10.828025477707007</v>
      </c>
      <c r="G1121" s="2">
        <f t="shared" si="88"/>
        <v>92.084899680255816</v>
      </c>
      <c r="H1121" s="2">
        <f t="shared" si="89"/>
        <v>20.956253324629213</v>
      </c>
      <c r="I1121" s="2">
        <f t="shared" si="85"/>
        <v>4191.2506649258421</v>
      </c>
      <c r="J1121" s="4">
        <f t="shared" si="87"/>
        <v>12.678953275994969</v>
      </c>
      <c r="K1121" s="4">
        <f t="shared" si="86"/>
        <v>2535.7906551989936</v>
      </c>
      <c r="L1121">
        <v>5</v>
      </c>
    </row>
    <row r="1122" spans="1:12" hidden="1" x14ac:dyDescent="0.3">
      <c r="A1122" t="s">
        <v>161</v>
      </c>
      <c r="B1122" t="s">
        <v>60</v>
      </c>
      <c r="C1122" s="4">
        <v>0.41</v>
      </c>
      <c r="D1122" s="4">
        <v>0.33983503399999998</v>
      </c>
      <c r="E1122">
        <v>6.8</v>
      </c>
      <c r="F1122" s="1">
        <v>13.566878980891719</v>
      </c>
      <c r="G1122" s="2">
        <f t="shared" si="88"/>
        <v>144.56054718316696</v>
      </c>
      <c r="H1122" s="2">
        <f t="shared" si="89"/>
        <v>24.754966368311116</v>
      </c>
      <c r="I1122" s="2">
        <f t="shared" si="85"/>
        <v>4950.9932736622231</v>
      </c>
      <c r="J1122" s="4">
        <f t="shared" si="87"/>
        <v>13.366332885715444</v>
      </c>
      <c r="K1122" s="4">
        <f t="shared" si="86"/>
        <v>2673.2665771430889</v>
      </c>
      <c r="L1122">
        <v>5</v>
      </c>
    </row>
    <row r="1123" spans="1:12" hidden="1" x14ac:dyDescent="0.3">
      <c r="A1123" t="s">
        <v>161</v>
      </c>
      <c r="B1123" t="s">
        <v>60</v>
      </c>
      <c r="C1123" s="4">
        <v>0.41</v>
      </c>
      <c r="D1123" s="4">
        <v>0.33983503399999998</v>
      </c>
      <c r="E1123">
        <v>6</v>
      </c>
      <c r="F1123" s="1">
        <v>4.4267515923566876</v>
      </c>
      <c r="G1123" s="2">
        <f t="shared" si="88"/>
        <v>15.390764245001924</v>
      </c>
      <c r="H1123" s="2">
        <f t="shared" si="89"/>
        <v>2.4613116927176866</v>
      </c>
      <c r="I1123" s="2">
        <f t="shared" si="85"/>
        <v>492.26233854353734</v>
      </c>
      <c r="J1123" s="4">
        <f t="shared" si="87"/>
        <v>9.3972187228690807</v>
      </c>
      <c r="K1123" s="4">
        <f t="shared" si="86"/>
        <v>1879.443744573816</v>
      </c>
      <c r="L1123">
        <v>5</v>
      </c>
    </row>
    <row r="1124" spans="1:12" hidden="1" x14ac:dyDescent="0.3">
      <c r="A1124" t="s">
        <v>161</v>
      </c>
      <c r="B1124" t="s">
        <v>69</v>
      </c>
      <c r="C1124" s="4">
        <v>0.31264018999999998</v>
      </c>
      <c r="D1124" s="4">
        <v>0.356821212</v>
      </c>
      <c r="E1124">
        <v>3</v>
      </c>
      <c r="F1124" s="1">
        <v>17.515923566878982</v>
      </c>
      <c r="G1124" s="2">
        <f t="shared" si="88"/>
        <v>240.96610859236495</v>
      </c>
      <c r="H1124" s="2">
        <f t="shared" si="89"/>
        <v>19.233510273629133</v>
      </c>
      <c r="I1124" s="2">
        <f t="shared" si="85"/>
        <v>3846.7020547258267</v>
      </c>
      <c r="J1124" s="4">
        <f t="shared" si="87"/>
        <v>12.207179573207839</v>
      </c>
      <c r="K1124" s="4">
        <f t="shared" si="86"/>
        <v>2441.4359146415677</v>
      </c>
      <c r="L1124">
        <v>5</v>
      </c>
    </row>
    <row r="1125" spans="1:12" hidden="1" x14ac:dyDescent="0.3">
      <c r="A1125" t="s">
        <v>161</v>
      </c>
      <c r="B1125" t="s">
        <v>162</v>
      </c>
      <c r="C1125" s="4">
        <v>0.52800000000000002</v>
      </c>
      <c r="D1125" s="4">
        <v>0.51040266700000003</v>
      </c>
      <c r="E1125">
        <v>5</v>
      </c>
      <c r="F1125" s="1">
        <v>3.6624203821656049</v>
      </c>
      <c r="G1125" s="2">
        <f t="shared" si="88"/>
        <v>10.534799293005044</v>
      </c>
      <c r="H1125" s="2">
        <f t="shared" si="89"/>
        <v>2.1164515176566194</v>
      </c>
      <c r="I1125" s="2">
        <f t="shared" si="85"/>
        <v>423.29030353132384</v>
      </c>
      <c r="J1125" s="4">
        <f t="shared" si="87"/>
        <v>9.2204331534747848</v>
      </c>
      <c r="K1125" s="4">
        <f t="shared" si="86"/>
        <v>1844.086630694957</v>
      </c>
      <c r="L1125">
        <v>5</v>
      </c>
    </row>
    <row r="1126" spans="1:12" hidden="1" x14ac:dyDescent="0.3">
      <c r="A1126" t="s">
        <v>161</v>
      </c>
      <c r="B1126" t="s">
        <v>45</v>
      </c>
      <c r="C1126" s="4">
        <v>0.81991655299999999</v>
      </c>
      <c r="D1126" s="4">
        <v>0.72276027399999998</v>
      </c>
      <c r="E1126">
        <v>4.5</v>
      </c>
      <c r="F1126" s="1">
        <v>11.146496815286623</v>
      </c>
      <c r="G1126" s="2">
        <f t="shared" si="88"/>
        <v>97.581316702693215</v>
      </c>
      <c r="H1126" s="2">
        <f t="shared" si="89"/>
        <v>23.547404188882517</v>
      </c>
      <c r="I1126" s="2">
        <f t="shared" si="85"/>
        <v>4709.480837776503</v>
      </c>
      <c r="J1126" s="4">
        <f t="shared" si="87"/>
        <v>10.942549162237817</v>
      </c>
      <c r="K1126" s="4">
        <f t="shared" si="86"/>
        <v>2188.5098324475634</v>
      </c>
      <c r="L1126">
        <v>5</v>
      </c>
    </row>
    <row r="1127" spans="1:12" hidden="1" x14ac:dyDescent="0.3">
      <c r="A1127" t="s">
        <v>161</v>
      </c>
      <c r="B1127" t="s">
        <v>41</v>
      </c>
      <c r="C1127" s="4">
        <v>0.56193137999999998</v>
      </c>
      <c r="D1127" s="4">
        <v>0.57808694400000005</v>
      </c>
      <c r="E1127">
        <v>8</v>
      </c>
      <c r="F1127" s="1">
        <v>28.280254777070063</v>
      </c>
      <c r="G1127" s="2">
        <f t="shared" si="88"/>
        <v>628.14009631027375</v>
      </c>
      <c r="H1127" s="2">
        <f t="shared" si="89"/>
        <v>204.3768272350087</v>
      </c>
      <c r="I1127" s="2">
        <f t="shared" si="85"/>
        <v>40875.365447001743</v>
      </c>
      <c r="J1127" s="4">
        <f t="shared" si="87"/>
        <v>31.379338687167838</v>
      </c>
      <c r="K1127" s="4">
        <f t="shared" si="86"/>
        <v>6275.8677374335675</v>
      </c>
      <c r="L1127">
        <v>5</v>
      </c>
    </row>
    <row r="1128" spans="1:12" hidden="1" x14ac:dyDescent="0.3">
      <c r="A1128" t="s">
        <v>161</v>
      </c>
      <c r="B1128" t="s">
        <v>41</v>
      </c>
      <c r="C1128" s="4">
        <v>0.56193137999999998</v>
      </c>
      <c r="D1128" s="4">
        <v>0.57808694400000005</v>
      </c>
      <c r="E1128">
        <v>8</v>
      </c>
      <c r="F1128" s="1">
        <v>25.445859872611464</v>
      </c>
      <c r="G1128" s="2">
        <f t="shared" si="88"/>
        <v>508.53885848421271</v>
      </c>
      <c r="H1128" s="2">
        <f t="shared" si="89"/>
        <v>166.30329606991887</v>
      </c>
      <c r="I1128" s="2">
        <f t="shared" si="85"/>
        <v>33260.659213983774</v>
      </c>
      <c r="J1128" s="4">
        <f t="shared" si="87"/>
        <v>27.115469970384197</v>
      </c>
      <c r="K1128" s="4">
        <f t="shared" si="86"/>
        <v>5423.0939940768394</v>
      </c>
      <c r="L1128">
        <v>5</v>
      </c>
    </row>
    <row r="1129" spans="1:12" hidden="1" x14ac:dyDescent="0.3">
      <c r="A1129" t="s">
        <v>161</v>
      </c>
      <c r="B1129" t="s">
        <v>157</v>
      </c>
      <c r="C1129" s="4">
        <v>0.63</v>
      </c>
      <c r="D1129" s="4">
        <v>0.629222222</v>
      </c>
      <c r="E1129">
        <v>2.5</v>
      </c>
      <c r="F1129" s="1">
        <v>4.6815286624203818</v>
      </c>
      <c r="G1129" s="2">
        <f t="shared" si="88"/>
        <v>17.213344266355083</v>
      </c>
      <c r="H1129" s="2">
        <f t="shared" si="89"/>
        <v>2.1312482113859614</v>
      </c>
      <c r="I1129" s="2">
        <f t="shared" si="85"/>
        <v>426.24964227719227</v>
      </c>
      <c r="J1129" s="4">
        <f t="shared" si="87"/>
        <v>9.1774712178993063</v>
      </c>
      <c r="K1129" s="4">
        <f t="shared" si="86"/>
        <v>1835.4942435798614</v>
      </c>
      <c r="L1129">
        <v>5</v>
      </c>
    </row>
    <row r="1130" spans="1:12" hidden="1" x14ac:dyDescent="0.3">
      <c r="A1130" t="s">
        <v>161</v>
      </c>
      <c r="B1130" t="s">
        <v>20</v>
      </c>
      <c r="C1130" s="4">
        <v>0.74387999999999999</v>
      </c>
      <c r="D1130" s="4">
        <v>0.59130000000000005</v>
      </c>
      <c r="E1130">
        <v>6.5</v>
      </c>
      <c r="F1130" s="1">
        <v>5.1592356687898082</v>
      </c>
      <c r="G1130" s="2">
        <f t="shared" si="88"/>
        <v>20.905502657514127</v>
      </c>
      <c r="H1130" s="2">
        <f t="shared" si="89"/>
        <v>6.1612612699501046</v>
      </c>
      <c r="I1130" s="2">
        <f t="shared" si="85"/>
        <v>1232.2522539900208</v>
      </c>
      <c r="J1130" s="4">
        <f t="shared" si="87"/>
        <v>9.5912529636090706</v>
      </c>
      <c r="K1130" s="4">
        <f t="shared" si="86"/>
        <v>1918.2505927218142</v>
      </c>
      <c r="L1130">
        <v>5</v>
      </c>
    </row>
    <row r="1131" spans="1:12" hidden="1" x14ac:dyDescent="0.3">
      <c r="A1131" t="s">
        <v>161</v>
      </c>
      <c r="B1131" t="s">
        <v>20</v>
      </c>
      <c r="C1131" s="4">
        <v>0.74387999999999999</v>
      </c>
      <c r="D1131" s="4">
        <v>0.59130000000000005</v>
      </c>
      <c r="E1131">
        <v>6.5</v>
      </c>
      <c r="F1131" s="1">
        <v>8.3121019108280247</v>
      </c>
      <c r="G1131" s="2">
        <f t="shared" si="88"/>
        <v>54.263974490646241</v>
      </c>
      <c r="H1131" s="2">
        <f t="shared" si="89"/>
        <v>15.63070574933383</v>
      </c>
      <c r="I1131" s="2">
        <f t="shared" si="85"/>
        <v>3126.1411498667658</v>
      </c>
      <c r="J1131" s="4">
        <f t="shared" si="87"/>
        <v>10.557521118503793</v>
      </c>
      <c r="K1131" s="4">
        <f t="shared" si="86"/>
        <v>2111.5042237007588</v>
      </c>
      <c r="L1131">
        <v>5</v>
      </c>
    </row>
    <row r="1132" spans="1:12" hidden="1" x14ac:dyDescent="0.3">
      <c r="A1132" t="s">
        <v>161</v>
      </c>
      <c r="B1132" t="s">
        <v>163</v>
      </c>
      <c r="C1132" s="4">
        <v>0.65</v>
      </c>
      <c r="D1132" s="4">
        <v>0.65</v>
      </c>
      <c r="E1132">
        <v>8</v>
      </c>
      <c r="F1132" s="1">
        <v>18.694267515923567</v>
      </c>
      <c r="G1132" s="2">
        <f t="shared" si="88"/>
        <v>274.47752420351264</v>
      </c>
      <c r="H1132" s="2">
        <f t="shared" si="89"/>
        <v>102.14314558846695</v>
      </c>
      <c r="I1132" s="2">
        <f t="shared" si="85"/>
        <v>20428.629117693392</v>
      </c>
      <c r="J1132" s="4">
        <f t="shared" si="87"/>
        <v>18.77101786279362</v>
      </c>
      <c r="K1132" s="4">
        <f t="shared" si="86"/>
        <v>3754.2035725587239</v>
      </c>
      <c r="L1132">
        <v>5</v>
      </c>
    </row>
    <row r="1133" spans="1:12" hidden="1" x14ac:dyDescent="0.3">
      <c r="A1133" t="s">
        <v>161</v>
      </c>
      <c r="B1133" t="s">
        <v>163</v>
      </c>
      <c r="C1133" s="4">
        <v>0.65</v>
      </c>
      <c r="D1133" s="4">
        <v>0.65</v>
      </c>
      <c r="E1133">
        <v>7.1</v>
      </c>
      <c r="F1133" s="1">
        <v>12.86624203821656</v>
      </c>
      <c r="G1133" s="2">
        <f t="shared" si="88"/>
        <v>130.01495662813696</v>
      </c>
      <c r="H1133" s="2">
        <f t="shared" si="89"/>
        <v>43.842610002845468</v>
      </c>
      <c r="I1133" s="2">
        <f t="shared" si="85"/>
        <v>8768.5220005690935</v>
      </c>
      <c r="J1133" s="4">
        <f t="shared" si="87"/>
        <v>13.099373577021378</v>
      </c>
      <c r="K1133" s="4">
        <f t="shared" si="86"/>
        <v>2619.8747154042758</v>
      </c>
      <c r="L1133">
        <v>5</v>
      </c>
    </row>
    <row r="1134" spans="1:12" hidden="1" x14ac:dyDescent="0.3">
      <c r="A1134" t="s">
        <v>161</v>
      </c>
      <c r="B1134" t="s">
        <v>163</v>
      </c>
      <c r="C1134" s="4">
        <v>0.65</v>
      </c>
      <c r="D1134" s="4">
        <v>0.65</v>
      </c>
      <c r="E1134">
        <v>7</v>
      </c>
      <c r="F1134" s="1">
        <v>23.917197452229296</v>
      </c>
      <c r="G1134" s="2">
        <f t="shared" si="88"/>
        <v>449.27314450314827</v>
      </c>
      <c r="H1134" s="2">
        <f t="shared" si="89"/>
        <v>145.03628642434612</v>
      </c>
      <c r="I1134" s="2">
        <f t="shared" si="85"/>
        <v>29007.257284869225</v>
      </c>
      <c r="J1134" s="4">
        <f t="shared" si="87"/>
        <v>23.000492182238624</v>
      </c>
      <c r="K1134" s="4">
        <f t="shared" si="86"/>
        <v>4600.0984364477245</v>
      </c>
      <c r="L1134">
        <v>5</v>
      </c>
    </row>
    <row r="1135" spans="1:12" hidden="1" x14ac:dyDescent="0.3">
      <c r="A1135" t="s">
        <v>161</v>
      </c>
      <c r="B1135" t="s">
        <v>163</v>
      </c>
      <c r="C1135" s="4">
        <v>0.65</v>
      </c>
      <c r="D1135" s="4">
        <v>0.65</v>
      </c>
      <c r="E1135">
        <v>7</v>
      </c>
      <c r="F1135" s="1">
        <v>12.579617834394904</v>
      </c>
      <c r="G1135" s="2">
        <f t="shared" si="88"/>
        <v>124.28673419214456</v>
      </c>
      <c r="H1135" s="2">
        <f t="shared" si="89"/>
        <v>41.37948154666315</v>
      </c>
      <c r="I1135" s="2">
        <f t="shared" si="85"/>
        <v>8275.8963093326292</v>
      </c>
      <c r="J1135" s="4">
        <f t="shared" si="87"/>
        <v>12.862746229055944</v>
      </c>
      <c r="K1135" s="4">
        <f t="shared" si="86"/>
        <v>2572.5492458111885</v>
      </c>
      <c r="L1135">
        <v>5</v>
      </c>
    </row>
    <row r="1136" spans="1:12" hidden="1" x14ac:dyDescent="0.3">
      <c r="A1136" t="s">
        <v>161</v>
      </c>
      <c r="B1136" t="s">
        <v>22</v>
      </c>
      <c r="C1136" s="4">
        <v>0.43836446099999998</v>
      </c>
      <c r="D1136" s="4">
        <v>0.58666666700000003</v>
      </c>
      <c r="E1136">
        <v>4.7</v>
      </c>
      <c r="F1136" s="1">
        <v>12.547770700636942</v>
      </c>
      <c r="G1136" s="2">
        <f t="shared" si="88"/>
        <v>123.65823085436149</v>
      </c>
      <c r="H1136" s="2">
        <f t="shared" si="89"/>
        <v>25.25425404609415</v>
      </c>
      <c r="I1136" s="2">
        <f t="shared" si="85"/>
        <v>5050.8508092188295</v>
      </c>
      <c r="J1136" s="4">
        <f t="shared" si="87"/>
        <v>11.5756957401923</v>
      </c>
      <c r="K1136" s="4">
        <f t="shared" si="86"/>
        <v>2315.13914803846</v>
      </c>
      <c r="L1136">
        <v>5</v>
      </c>
    </row>
    <row r="1137" spans="1:12" hidden="1" x14ac:dyDescent="0.3">
      <c r="A1137" t="s">
        <v>161</v>
      </c>
      <c r="B1137" t="s">
        <v>22</v>
      </c>
      <c r="C1137" s="4">
        <v>0.43836446099999998</v>
      </c>
      <c r="D1137" s="4">
        <v>0.58666666700000003</v>
      </c>
      <c r="E1137">
        <v>2</v>
      </c>
      <c r="F1137" s="1">
        <v>5.8280254777070066</v>
      </c>
      <c r="G1137" s="2">
        <f t="shared" si="88"/>
        <v>26.676740531073417</v>
      </c>
      <c r="H1137" s="2">
        <f t="shared" si="89"/>
        <v>2.4550945008419953</v>
      </c>
      <c r="I1137" s="2">
        <f t="shared" si="85"/>
        <v>491.01890016839906</v>
      </c>
      <c r="J1137" s="4">
        <f t="shared" si="87"/>
        <v>9.2234611667816129</v>
      </c>
      <c r="K1137" s="4">
        <f t="shared" si="86"/>
        <v>1844.6922333563227</v>
      </c>
      <c r="L1137">
        <v>5</v>
      </c>
    </row>
    <row r="1138" spans="1:12" hidden="1" x14ac:dyDescent="0.3">
      <c r="A1138" t="s">
        <v>161</v>
      </c>
      <c r="B1138" t="s">
        <v>23</v>
      </c>
      <c r="C1138" s="4">
        <v>0.76500000000000001</v>
      </c>
      <c r="D1138" s="4">
        <v>0.61247410899999999</v>
      </c>
      <c r="E1138">
        <v>7</v>
      </c>
      <c r="F1138" s="1">
        <v>15.35031847133758</v>
      </c>
      <c r="G1138" s="2">
        <f t="shared" si="88"/>
        <v>185.06515772764493</v>
      </c>
      <c r="H1138" s="2">
        <f t="shared" si="89"/>
        <v>57.587672455763631</v>
      </c>
      <c r="I1138" s="2">
        <f t="shared" si="85"/>
        <v>11517.534491152726</v>
      </c>
      <c r="J1138" s="4">
        <f t="shared" si="87"/>
        <v>14.758690790701449</v>
      </c>
      <c r="K1138" s="4">
        <f t="shared" si="86"/>
        <v>2951.7381581402897</v>
      </c>
      <c r="L1138">
        <v>5</v>
      </c>
    </row>
    <row r="1139" spans="1:12" hidden="1" x14ac:dyDescent="0.3">
      <c r="A1139" t="s">
        <v>164</v>
      </c>
      <c r="B1139" t="s">
        <v>75</v>
      </c>
      <c r="C1139" s="4">
        <v>0.86</v>
      </c>
      <c r="D1139" s="4">
        <v>0.65666666699999998</v>
      </c>
      <c r="E1139">
        <v>5.5</v>
      </c>
      <c r="F1139" s="1">
        <v>5.1910828025477711</v>
      </c>
      <c r="G1139" s="2">
        <f t="shared" si="88"/>
        <v>21.164391865092711</v>
      </c>
      <c r="H1139" s="2">
        <f t="shared" si="89"/>
        <v>5.8684211315327239</v>
      </c>
      <c r="I1139" s="2">
        <f t="shared" si="85"/>
        <v>1173.6842263065448</v>
      </c>
      <c r="J1139" s="4">
        <f t="shared" si="87"/>
        <v>9.5044363077609635</v>
      </c>
      <c r="K1139" s="4">
        <f t="shared" si="86"/>
        <v>1900.8872615521927</v>
      </c>
      <c r="L1139">
        <v>5</v>
      </c>
    </row>
    <row r="1140" spans="1:12" hidden="1" x14ac:dyDescent="0.3">
      <c r="A1140" t="s">
        <v>164</v>
      </c>
      <c r="B1140" t="s">
        <v>26</v>
      </c>
      <c r="C1140" s="4">
        <v>0.80908761900000004</v>
      </c>
      <c r="D1140" s="4">
        <v>0.87473809499999999</v>
      </c>
      <c r="E1140">
        <v>5.7</v>
      </c>
      <c r="F1140" s="1">
        <v>8.9171974522292992</v>
      </c>
      <c r="G1140" s="2">
        <f t="shared" si="88"/>
        <v>62.452042689723655</v>
      </c>
      <c r="H1140" s="2">
        <f t="shared" si="89"/>
        <v>23.113605422565517</v>
      </c>
      <c r="I1140" s="2">
        <f t="shared" si="85"/>
        <v>4622.7210845131031</v>
      </c>
      <c r="J1140" s="4">
        <f t="shared" si="87"/>
        <v>10.572052387520792</v>
      </c>
      <c r="K1140" s="4">
        <f t="shared" si="86"/>
        <v>2114.4104775041583</v>
      </c>
      <c r="L1140">
        <v>5</v>
      </c>
    </row>
    <row r="1141" spans="1:12" hidden="1" x14ac:dyDescent="0.3">
      <c r="A1141" t="s">
        <v>164</v>
      </c>
      <c r="B1141" t="s">
        <v>60</v>
      </c>
      <c r="C1141" s="4">
        <v>0.41</v>
      </c>
      <c r="D1141" s="4">
        <v>0.33983503399999998</v>
      </c>
      <c r="E1141">
        <v>6.5</v>
      </c>
      <c r="F1141" s="1">
        <v>6.3694267515923562</v>
      </c>
      <c r="G1141" s="2">
        <f t="shared" si="88"/>
        <v>31.863287086593701</v>
      </c>
      <c r="H1141" s="2">
        <f t="shared" si="89"/>
        <v>5.41427227576348</v>
      </c>
      <c r="I1141" s="2">
        <f t="shared" si="85"/>
        <v>1082.8544551526961</v>
      </c>
      <c r="J1141" s="4">
        <f t="shared" si="87"/>
        <v>9.9086583350237323</v>
      </c>
      <c r="K1141" s="4">
        <f t="shared" si="86"/>
        <v>1981.7316670047464</v>
      </c>
      <c r="L1141">
        <v>5</v>
      </c>
    </row>
    <row r="1142" spans="1:12" hidden="1" x14ac:dyDescent="0.3">
      <c r="A1142" t="s">
        <v>164</v>
      </c>
      <c r="B1142" t="s">
        <v>16</v>
      </c>
      <c r="C1142" s="4">
        <v>0.89361000000000002</v>
      </c>
      <c r="D1142" s="4">
        <v>0.61247410899999999</v>
      </c>
      <c r="E1142">
        <v>3.5</v>
      </c>
      <c r="F1142" s="1">
        <v>6.5286624203821653</v>
      </c>
      <c r="G1142" s="2">
        <f t="shared" si="88"/>
        <v>33.476365995352509</v>
      </c>
      <c r="H1142" s="2">
        <f t="shared" si="89"/>
        <v>5.5177239389428951</v>
      </c>
      <c r="I1142" s="2">
        <f t="shared" si="85"/>
        <v>1103.544787788579</v>
      </c>
      <c r="J1142" s="4">
        <f t="shared" si="87"/>
        <v>9.5078370542415502</v>
      </c>
      <c r="K1142" s="4">
        <f t="shared" si="86"/>
        <v>1901.5674108483101</v>
      </c>
      <c r="L1142">
        <v>5</v>
      </c>
    </row>
    <row r="1143" spans="1:12" hidden="1" x14ac:dyDescent="0.3">
      <c r="A1143" t="s">
        <v>164</v>
      </c>
      <c r="B1143" t="s">
        <v>18</v>
      </c>
      <c r="C1143" s="4">
        <v>0.45255480399999998</v>
      </c>
      <c r="D1143" s="4">
        <v>0.57808694400000005</v>
      </c>
      <c r="E1143">
        <v>6</v>
      </c>
      <c r="F1143" s="1">
        <v>2.5796178343949041</v>
      </c>
      <c r="G1143" s="2">
        <f t="shared" si="88"/>
        <v>5.2263756643785317</v>
      </c>
      <c r="H1143" s="2">
        <f t="shared" si="89"/>
        <v>1.4406288031038275</v>
      </c>
      <c r="I1143" s="2">
        <f t="shared" si="85"/>
        <v>288.1257606207655</v>
      </c>
      <c r="J1143" s="4">
        <f t="shared" si="87"/>
        <v>9.1254429916020925</v>
      </c>
      <c r="K1143" s="4">
        <f t="shared" si="86"/>
        <v>1825.0885983204184</v>
      </c>
      <c r="L1143">
        <v>5</v>
      </c>
    </row>
    <row r="1144" spans="1:12" hidden="1" x14ac:dyDescent="0.3">
      <c r="A1144" t="s">
        <v>164</v>
      </c>
      <c r="B1144" t="s">
        <v>31</v>
      </c>
      <c r="C1144" s="4">
        <v>0.63400000000000001</v>
      </c>
      <c r="D1144" s="4">
        <v>0.73247777800000002</v>
      </c>
      <c r="E1144">
        <v>3.7</v>
      </c>
      <c r="F1144" s="1">
        <v>14.076433121019109</v>
      </c>
      <c r="G1144" s="2">
        <f t="shared" si="88"/>
        <v>155.62348045963233</v>
      </c>
      <c r="H1144" s="2">
        <f t="shared" si="89"/>
        <v>31.079708031512745</v>
      </c>
      <c r="I1144" s="2">
        <f t="shared" si="85"/>
        <v>6215.9416063025492</v>
      </c>
      <c r="J1144" s="4">
        <f t="shared" si="87"/>
        <v>11.551690303866282</v>
      </c>
      <c r="K1144" s="4">
        <f t="shared" si="86"/>
        <v>2310.3380607732565</v>
      </c>
      <c r="L1144">
        <v>5</v>
      </c>
    </row>
    <row r="1145" spans="1:12" hidden="1" x14ac:dyDescent="0.3">
      <c r="A1145" t="s">
        <v>164</v>
      </c>
      <c r="B1145" t="s">
        <v>19</v>
      </c>
      <c r="C1145" s="4">
        <v>0.374</v>
      </c>
      <c r="D1145" s="4">
        <v>0.47945833300000001</v>
      </c>
      <c r="E1145">
        <v>4</v>
      </c>
      <c r="F1145" s="1">
        <v>6.2101910828025479</v>
      </c>
      <c r="G1145" s="2">
        <f t="shared" si="88"/>
        <v>30.290037286693146</v>
      </c>
      <c r="H1145" s="2">
        <f t="shared" si="89"/>
        <v>4.4893075039462937</v>
      </c>
      <c r="I1145" s="2">
        <f t="shared" si="85"/>
        <v>897.8615007892588</v>
      </c>
      <c r="J1145" s="4">
        <f t="shared" si="87"/>
        <v>9.5256306259888834</v>
      </c>
      <c r="K1145" s="4">
        <f t="shared" si="86"/>
        <v>1905.1261251977769</v>
      </c>
      <c r="L1145">
        <v>5</v>
      </c>
    </row>
    <row r="1146" spans="1:12" hidden="1" x14ac:dyDescent="0.3">
      <c r="A1146" t="s">
        <v>164</v>
      </c>
      <c r="B1146" t="s">
        <v>20</v>
      </c>
      <c r="C1146" s="4">
        <v>0.74387999999999999</v>
      </c>
      <c r="D1146" s="4">
        <v>0.59130000000000005</v>
      </c>
      <c r="E1146">
        <v>6</v>
      </c>
      <c r="F1146" s="1">
        <v>8.2165605095541405</v>
      </c>
      <c r="G1146" s="2">
        <f t="shared" si="88"/>
        <v>53.023696040800587</v>
      </c>
      <c r="H1146" s="2">
        <f t="shared" si="89"/>
        <v>14.133514457911701</v>
      </c>
      <c r="I1146" s="2">
        <f t="shared" si="85"/>
        <v>2826.7028915823403</v>
      </c>
      <c r="J1146" s="4">
        <f t="shared" si="87"/>
        <v>10.403449198750456</v>
      </c>
      <c r="K1146" s="4">
        <f t="shared" si="86"/>
        <v>2080.6898397500913</v>
      </c>
      <c r="L1146">
        <v>5</v>
      </c>
    </row>
    <row r="1147" spans="1:12" hidden="1" x14ac:dyDescent="0.3">
      <c r="A1147" t="s">
        <v>164</v>
      </c>
      <c r="B1147" t="s">
        <v>163</v>
      </c>
      <c r="C1147" s="4">
        <v>0.65</v>
      </c>
      <c r="D1147" s="4">
        <v>0.65</v>
      </c>
      <c r="E1147">
        <v>8.5</v>
      </c>
      <c r="F1147" s="1">
        <v>14.904458598726114</v>
      </c>
      <c r="G1147" s="2">
        <f t="shared" si="88"/>
        <v>174.4706147713525</v>
      </c>
      <c r="H1147" s="2">
        <f t="shared" si="89"/>
        <v>69.637729696221953</v>
      </c>
      <c r="I1147" s="2">
        <f t="shared" si="85"/>
        <v>13927.545939244392</v>
      </c>
      <c r="J1147" s="4">
        <f t="shared" si="87"/>
        <v>15.594450862103939</v>
      </c>
      <c r="K1147" s="4">
        <f t="shared" si="86"/>
        <v>3118.8901724207876</v>
      </c>
      <c r="L1147">
        <v>5</v>
      </c>
    </row>
    <row r="1148" spans="1:12" hidden="1" x14ac:dyDescent="0.3">
      <c r="A1148" t="s">
        <v>164</v>
      </c>
      <c r="B1148" t="s">
        <v>163</v>
      </c>
      <c r="C1148" s="4">
        <v>0.65</v>
      </c>
      <c r="D1148" s="4">
        <v>0.65</v>
      </c>
      <c r="E1148">
        <v>8</v>
      </c>
      <c r="F1148" s="1">
        <v>8.2802547770700627</v>
      </c>
      <c r="G1148" s="2">
        <f t="shared" si="88"/>
        <v>53.848955176343352</v>
      </c>
      <c r="H1148" s="2">
        <f t="shared" si="89"/>
        <v>20.837980621202739</v>
      </c>
      <c r="I1148" s="2">
        <f t="shared" si="85"/>
        <v>4167.5961242405483</v>
      </c>
      <c r="J1148" s="4">
        <f t="shared" si="87"/>
        <v>10.905453336849364</v>
      </c>
      <c r="K1148" s="4">
        <f t="shared" si="86"/>
        <v>2181.0906673698728</v>
      </c>
      <c r="L1148">
        <v>5</v>
      </c>
    </row>
    <row r="1149" spans="1:12" hidden="1" x14ac:dyDescent="0.3">
      <c r="A1149" t="s">
        <v>164</v>
      </c>
      <c r="B1149" t="s">
        <v>23</v>
      </c>
      <c r="C1149" s="4">
        <v>0.76500000000000001</v>
      </c>
      <c r="D1149" s="4">
        <v>0.61247410899999999</v>
      </c>
      <c r="E1149">
        <v>8</v>
      </c>
      <c r="F1149" s="1">
        <v>12.13375796178344</v>
      </c>
      <c r="G1149" s="2">
        <f t="shared" si="88"/>
        <v>115.63266541942573</v>
      </c>
      <c r="H1149" s="2">
        <f t="shared" si="89"/>
        <v>41.456000411800701</v>
      </c>
      <c r="I1149" s="2">
        <f t="shared" si="85"/>
        <v>8291.2000823601393</v>
      </c>
      <c r="J1149" s="4">
        <f t="shared" si="87"/>
        <v>13.108086303704004</v>
      </c>
      <c r="K1149" s="4">
        <f t="shared" si="86"/>
        <v>2621.6172607408007</v>
      </c>
      <c r="L1149">
        <v>5</v>
      </c>
    </row>
    <row r="1150" spans="1:12" hidden="1" x14ac:dyDescent="0.3">
      <c r="A1150" t="s">
        <v>164</v>
      </c>
      <c r="B1150" t="s">
        <v>23</v>
      </c>
      <c r="C1150" s="4">
        <v>0.76500000000000001</v>
      </c>
      <c r="D1150" s="4">
        <v>0.61247410899999999</v>
      </c>
      <c r="E1150">
        <v>7</v>
      </c>
      <c r="F1150" s="1">
        <v>28.057324840764327</v>
      </c>
      <c r="G1150" s="2">
        <f t="shared" si="88"/>
        <v>618.27601921044129</v>
      </c>
      <c r="H1150" s="2">
        <f t="shared" si="89"/>
        <v>186.90231489610454</v>
      </c>
      <c r="I1150" s="2">
        <f t="shared" si="85"/>
        <v>37380.462979220909</v>
      </c>
      <c r="J1150" s="4">
        <f t="shared" si="87"/>
        <v>28.272430191894188</v>
      </c>
      <c r="K1150" s="4">
        <f t="shared" si="86"/>
        <v>5654.4860383788382</v>
      </c>
      <c r="L1150">
        <v>5</v>
      </c>
    </row>
    <row r="1151" spans="1:12" hidden="1" x14ac:dyDescent="0.3">
      <c r="A1151" t="s">
        <v>165</v>
      </c>
      <c r="B1151" t="s">
        <v>75</v>
      </c>
      <c r="C1151" s="4">
        <v>0.86</v>
      </c>
      <c r="D1151" s="4">
        <v>0.65666666699999998</v>
      </c>
      <c r="E1151">
        <v>7</v>
      </c>
      <c r="F1151" s="1">
        <v>7.0063694267515917</v>
      </c>
      <c r="G1151" s="2">
        <f t="shared" si="88"/>
        <v>38.554577374778376</v>
      </c>
      <c r="H1151" s="2">
        <f t="shared" si="89"/>
        <v>13.334042761422451</v>
      </c>
      <c r="I1151" s="2">
        <f t="shared" si="85"/>
        <v>2666.8085522844899</v>
      </c>
      <c r="J1151" s="4">
        <f t="shared" si="87"/>
        <v>10.188385707330925</v>
      </c>
      <c r="K1151" s="4">
        <f t="shared" si="86"/>
        <v>2037.6771414661848</v>
      </c>
      <c r="L1151">
        <v>5</v>
      </c>
    </row>
    <row r="1152" spans="1:12" hidden="1" x14ac:dyDescent="0.3">
      <c r="A1152" t="s">
        <v>165</v>
      </c>
      <c r="B1152" t="s">
        <v>51</v>
      </c>
      <c r="C1152" s="4">
        <v>0.40257753800000001</v>
      </c>
      <c r="D1152" s="4">
        <v>0.40843333300000001</v>
      </c>
      <c r="E1152">
        <v>7</v>
      </c>
      <c r="F1152" s="1">
        <v>10.19108280254777</v>
      </c>
      <c r="G1152" s="2">
        <f t="shared" si="88"/>
        <v>81.570014941679872</v>
      </c>
      <c r="H1152" s="2">
        <f t="shared" si="89"/>
        <v>17.43135333141527</v>
      </c>
      <c r="I1152" s="2">
        <f t="shared" si="85"/>
        <v>3486.2706662830542</v>
      </c>
      <c r="J1152" s="4">
        <f t="shared" si="87"/>
        <v>11.53022513286543</v>
      </c>
      <c r="K1152" s="4">
        <f t="shared" si="86"/>
        <v>2306.045026573086</v>
      </c>
      <c r="L1152">
        <v>5</v>
      </c>
    </row>
    <row r="1153" spans="1:12" hidden="1" x14ac:dyDescent="0.3">
      <c r="A1153" t="s">
        <v>165</v>
      </c>
      <c r="B1153" t="s">
        <v>60</v>
      </c>
      <c r="C1153" s="4">
        <v>0.41</v>
      </c>
      <c r="D1153" s="4">
        <v>0.33983503399999998</v>
      </c>
      <c r="E1153">
        <v>6</v>
      </c>
      <c r="F1153" s="1">
        <v>4.7770700636942669</v>
      </c>
      <c r="G1153" s="2">
        <f t="shared" si="88"/>
        <v>17.923098986208956</v>
      </c>
      <c r="H1153" s="2">
        <f t="shared" si="89"/>
        <v>2.8558267842503433</v>
      </c>
      <c r="I1153" s="2">
        <f t="shared" si="85"/>
        <v>571.16535685006863</v>
      </c>
      <c r="J1153" s="4">
        <f t="shared" si="87"/>
        <v>9.4649283662623223</v>
      </c>
      <c r="K1153" s="4">
        <f t="shared" si="86"/>
        <v>1892.9856732524645</v>
      </c>
      <c r="L1153">
        <v>5</v>
      </c>
    </row>
    <row r="1154" spans="1:12" hidden="1" x14ac:dyDescent="0.3">
      <c r="A1154" t="s">
        <v>165</v>
      </c>
      <c r="B1154" t="s">
        <v>162</v>
      </c>
      <c r="C1154" s="4">
        <v>0.52800000000000002</v>
      </c>
      <c r="D1154" s="4">
        <v>0.51040266700000003</v>
      </c>
      <c r="E1154">
        <v>8</v>
      </c>
      <c r="F1154" s="1">
        <v>3.9808917197452227</v>
      </c>
      <c r="G1154" s="2">
        <f t="shared" si="88"/>
        <v>12.446596518200664</v>
      </c>
      <c r="H1154" s="2">
        <f t="shared" si="89"/>
        <v>3.9401757017232075</v>
      </c>
      <c r="I1154" s="2">
        <f t="shared" ref="I1154:I1217" si="90">(H1154*1000)/L1154</f>
        <v>788.03514034464149</v>
      </c>
      <c r="J1154" s="4">
        <f t="shared" si="87"/>
        <v>9.4294299687614096</v>
      </c>
      <c r="K1154" s="4">
        <f t="shared" ref="K1154:K1217" si="91">(J1154*1000)/L1154</f>
        <v>1885.8859937522818</v>
      </c>
      <c r="L1154">
        <v>5</v>
      </c>
    </row>
    <row r="1155" spans="1:12" hidden="1" x14ac:dyDescent="0.3">
      <c r="A1155" t="s">
        <v>165</v>
      </c>
      <c r="B1155" t="s">
        <v>166</v>
      </c>
      <c r="C1155" s="4">
        <v>0.28905069999999999</v>
      </c>
      <c r="D1155" s="4">
        <v>0.28905072500000001</v>
      </c>
      <c r="E1155">
        <v>4</v>
      </c>
      <c r="F1155" s="1">
        <v>3.6624203821656049</v>
      </c>
      <c r="G1155" s="2">
        <f t="shared" si="88"/>
        <v>10.534799293005044</v>
      </c>
      <c r="H1155" s="2">
        <f t="shared" si="89"/>
        <v>0.97726380168262439</v>
      </c>
      <c r="I1155" s="2">
        <f t="shared" si="90"/>
        <v>195.45276033652488</v>
      </c>
      <c r="J1155" s="4">
        <f t="shared" ref="J1155:J1218" si="92">8.9857 + 0.0035 * F1155^2 * E1155</f>
        <v>9.1734865227798288</v>
      </c>
      <c r="K1155" s="4">
        <f t="shared" si="91"/>
        <v>1834.6973045559657</v>
      </c>
      <c r="L1155">
        <v>5</v>
      </c>
    </row>
    <row r="1156" spans="1:12" hidden="1" x14ac:dyDescent="0.3">
      <c r="A1156" t="s">
        <v>165</v>
      </c>
      <c r="B1156" t="s">
        <v>70</v>
      </c>
      <c r="C1156" s="4">
        <v>0.55560299999999996</v>
      </c>
      <c r="D1156" s="4">
        <v>0.55961111100000005</v>
      </c>
      <c r="E1156">
        <v>2.7</v>
      </c>
      <c r="F1156" s="1">
        <v>4.1401273885350314</v>
      </c>
      <c r="G1156" s="2">
        <f t="shared" ref="G1156:G1219" si="93">PI()*(F1156/2)^2</f>
        <v>13.462238794085838</v>
      </c>
      <c r="H1156" s="2">
        <f t="shared" ref="H1156:H1219" si="94">0.0673 * ((D1156 * F1156^2 * E1156)^0.976)</f>
        <v>1.6120329166925151</v>
      </c>
      <c r="I1156" s="2">
        <f t="shared" si="90"/>
        <v>322.40658333850303</v>
      </c>
      <c r="J1156" s="4">
        <f t="shared" si="92"/>
        <v>9.1476791877966654</v>
      </c>
      <c r="K1156" s="4">
        <f t="shared" si="91"/>
        <v>1829.5358375593332</v>
      </c>
      <c r="L1156">
        <v>5</v>
      </c>
    </row>
    <row r="1157" spans="1:12" hidden="1" x14ac:dyDescent="0.3">
      <c r="A1157" t="s">
        <v>165</v>
      </c>
      <c r="B1157" t="s">
        <v>41</v>
      </c>
      <c r="C1157" s="4">
        <v>0.56193137999999998</v>
      </c>
      <c r="D1157" s="4">
        <v>0.57808694400000005</v>
      </c>
      <c r="E1157">
        <v>6.5</v>
      </c>
      <c r="F1157" s="1">
        <v>14.012738853503183</v>
      </c>
      <c r="G1157" s="2">
        <f t="shared" si="93"/>
        <v>154.2183094991135</v>
      </c>
      <c r="H1157" s="2">
        <f t="shared" si="94"/>
        <v>42.377640938858413</v>
      </c>
      <c r="I1157" s="2">
        <f t="shared" si="90"/>
        <v>8475.5281877716825</v>
      </c>
      <c r="J1157" s="4">
        <f t="shared" si="92"/>
        <v>13.452818341514867</v>
      </c>
      <c r="K1157" s="4">
        <f t="shared" si="91"/>
        <v>2690.5636683029734</v>
      </c>
      <c r="L1157">
        <v>5</v>
      </c>
    </row>
    <row r="1158" spans="1:12" hidden="1" x14ac:dyDescent="0.3">
      <c r="A1158" t="s">
        <v>165</v>
      </c>
      <c r="B1158" t="s">
        <v>57</v>
      </c>
      <c r="C1158" s="4">
        <v>0.61</v>
      </c>
      <c r="D1158" s="4">
        <v>0.84088888900000003</v>
      </c>
      <c r="E1158">
        <v>6.5</v>
      </c>
      <c r="F1158" s="1">
        <v>26.751592356687897</v>
      </c>
      <c r="G1158" s="2">
        <f t="shared" si="93"/>
        <v>562.06838420751296</v>
      </c>
      <c r="H1158" s="2">
        <f t="shared" si="94"/>
        <v>215.84892046290057</v>
      </c>
      <c r="I1158" s="2">
        <f t="shared" si="90"/>
        <v>43169.784092580114</v>
      </c>
      <c r="J1158" s="4">
        <f t="shared" si="92"/>
        <v>25.266685029818653</v>
      </c>
      <c r="K1158" s="4">
        <f t="shared" si="91"/>
        <v>5053.3370059637309</v>
      </c>
      <c r="L1158">
        <v>5</v>
      </c>
    </row>
    <row r="1159" spans="1:12" hidden="1" x14ac:dyDescent="0.3">
      <c r="A1159" t="s">
        <v>165</v>
      </c>
      <c r="B1159" t="s">
        <v>135</v>
      </c>
      <c r="C1159" s="4">
        <v>0.84088890000000005</v>
      </c>
      <c r="D1159" s="4">
        <v>0.84088888900000003</v>
      </c>
      <c r="E1159">
        <v>6.5</v>
      </c>
      <c r="F1159" s="1">
        <v>26.114649681528661</v>
      </c>
      <c r="G1159" s="2">
        <f t="shared" si="93"/>
        <v>535.62185592564015</v>
      </c>
      <c r="H1159" s="2">
        <f t="shared" si="94"/>
        <v>205.93082264242753</v>
      </c>
      <c r="I1159" s="2">
        <f t="shared" si="90"/>
        <v>41186.164528485504</v>
      </c>
      <c r="J1159" s="4">
        <f t="shared" si="92"/>
        <v>24.500629611748952</v>
      </c>
      <c r="K1159" s="4">
        <f t="shared" si="91"/>
        <v>4900.12592234979</v>
      </c>
      <c r="L1159">
        <v>5</v>
      </c>
    </row>
    <row r="1160" spans="1:12" hidden="1" x14ac:dyDescent="0.3">
      <c r="A1160" t="s">
        <v>165</v>
      </c>
      <c r="B1160" t="s">
        <v>32</v>
      </c>
      <c r="C1160" s="4">
        <v>0.65716857299999998</v>
      </c>
      <c r="D1160" s="4">
        <v>0.85527777800000004</v>
      </c>
      <c r="E1160">
        <v>4.5</v>
      </c>
      <c r="F1160" s="1">
        <v>10.477707006369426</v>
      </c>
      <c r="G1160" s="2">
        <f t="shared" si="93"/>
        <v>86.222851438499731</v>
      </c>
      <c r="H1160" s="2">
        <f t="shared" si="94"/>
        <v>24.594999222077849</v>
      </c>
      <c r="I1160" s="2">
        <f t="shared" si="90"/>
        <v>4918.9998444155699</v>
      </c>
      <c r="J1160" s="4">
        <f t="shared" si="92"/>
        <v>10.714771919753336</v>
      </c>
      <c r="K1160" s="4">
        <f t="shared" si="91"/>
        <v>2142.9543839506669</v>
      </c>
      <c r="L1160">
        <v>5</v>
      </c>
    </row>
    <row r="1161" spans="1:12" hidden="1" x14ac:dyDescent="0.3">
      <c r="A1161" t="s">
        <v>165</v>
      </c>
      <c r="B1161" t="s">
        <v>22</v>
      </c>
      <c r="C1161" s="4">
        <v>0.43836446099999998</v>
      </c>
      <c r="D1161" s="4">
        <v>0.58666666700000003</v>
      </c>
      <c r="E1161">
        <v>5</v>
      </c>
      <c r="F1161" s="1">
        <v>12.579617834394904</v>
      </c>
      <c r="G1161" s="2">
        <f t="shared" si="93"/>
        <v>124.28673419214456</v>
      </c>
      <c r="H1161" s="2">
        <f t="shared" si="94"/>
        <v>26.959427503089003</v>
      </c>
      <c r="I1161" s="2">
        <f t="shared" si="90"/>
        <v>5391.8855006178001</v>
      </c>
      <c r="J1161" s="4">
        <f t="shared" si="92"/>
        <v>11.755018735039961</v>
      </c>
      <c r="K1161" s="4">
        <f t="shared" si="91"/>
        <v>2351.0037470079924</v>
      </c>
      <c r="L1161">
        <v>5</v>
      </c>
    </row>
    <row r="1162" spans="1:12" hidden="1" x14ac:dyDescent="0.3">
      <c r="A1162" t="s">
        <v>165</v>
      </c>
      <c r="B1162" t="s">
        <v>22</v>
      </c>
      <c r="C1162" s="4">
        <v>0.43836446099999998</v>
      </c>
      <c r="D1162" s="4">
        <v>0.58666666700000003</v>
      </c>
      <c r="E1162">
        <v>4.5</v>
      </c>
      <c r="F1162" s="1">
        <v>1.910828025477707</v>
      </c>
      <c r="G1162" s="2">
        <f t="shared" si="93"/>
        <v>2.8676958377934336</v>
      </c>
      <c r="H1162" s="2">
        <f t="shared" si="94"/>
        <v>0.61439131060667052</v>
      </c>
      <c r="I1162" s="2">
        <f t="shared" si="90"/>
        <v>122.87826212133409</v>
      </c>
      <c r="J1162" s="4">
        <f t="shared" si="92"/>
        <v>9.0432074039514792</v>
      </c>
      <c r="K1162" s="4">
        <f t="shared" si="91"/>
        <v>1808.6414807902959</v>
      </c>
      <c r="L1162">
        <v>5</v>
      </c>
    </row>
    <row r="1163" spans="1:12" hidden="1" x14ac:dyDescent="0.3">
      <c r="A1163" t="s">
        <v>165</v>
      </c>
      <c r="B1163" t="s">
        <v>167</v>
      </c>
      <c r="C1163" s="4">
        <v>0.52607139999999997</v>
      </c>
      <c r="D1163" s="4">
        <v>0.52607142900000003</v>
      </c>
      <c r="E1163">
        <v>4.5999999999999996</v>
      </c>
      <c r="F1163" s="1">
        <v>3.8216560509554141</v>
      </c>
      <c r="G1163" s="2">
        <f t="shared" si="93"/>
        <v>11.470783351173734</v>
      </c>
      <c r="H1163" s="2">
        <f t="shared" si="94"/>
        <v>2.1835415975680585</v>
      </c>
      <c r="I1163" s="2">
        <f t="shared" si="90"/>
        <v>436.70831951361168</v>
      </c>
      <c r="J1163" s="4">
        <f t="shared" si="92"/>
        <v>9.2208413850460467</v>
      </c>
      <c r="K1163" s="4">
        <f t="shared" si="91"/>
        <v>1844.1682770092095</v>
      </c>
      <c r="L1163">
        <v>5</v>
      </c>
    </row>
    <row r="1164" spans="1:12" hidden="1" x14ac:dyDescent="0.3">
      <c r="A1164" t="s">
        <v>165</v>
      </c>
      <c r="B1164" t="s">
        <v>167</v>
      </c>
      <c r="C1164" s="4">
        <v>0.52607139999999997</v>
      </c>
      <c r="D1164" s="4">
        <v>0.52607142900000003</v>
      </c>
      <c r="E1164">
        <v>4.5999999999999996</v>
      </c>
      <c r="F1164" s="1">
        <v>7.8025477707006363</v>
      </c>
      <c r="G1164" s="2">
        <f t="shared" si="93"/>
        <v>47.814845184319672</v>
      </c>
      <c r="H1164" s="2">
        <f t="shared" si="94"/>
        <v>8.7953246427415372</v>
      </c>
      <c r="I1164" s="2">
        <f t="shared" si="90"/>
        <v>1759.0649285483075</v>
      </c>
      <c r="J1164" s="4">
        <f t="shared" si="92"/>
        <v>9.9658640025964544</v>
      </c>
      <c r="K1164" s="4">
        <f t="shared" si="91"/>
        <v>1993.1728005192908</v>
      </c>
      <c r="L1164">
        <v>5</v>
      </c>
    </row>
    <row r="1165" spans="1:12" hidden="1" x14ac:dyDescent="0.3">
      <c r="A1165" t="s">
        <v>165</v>
      </c>
      <c r="B1165" t="s">
        <v>167</v>
      </c>
      <c r="C1165" s="4">
        <v>0.52607139999999997</v>
      </c>
      <c r="D1165" s="4">
        <v>0.52607142900000003</v>
      </c>
      <c r="E1165">
        <v>2.2000000000000002</v>
      </c>
      <c r="F1165" s="1">
        <v>6.3694267515923562</v>
      </c>
      <c r="G1165" s="2">
        <f t="shared" si="93"/>
        <v>31.863287086593701</v>
      </c>
      <c r="H1165" s="2">
        <f t="shared" si="94"/>
        <v>2.8811317731029669</v>
      </c>
      <c r="I1165" s="2">
        <f t="shared" si="90"/>
        <v>576.22635462059338</v>
      </c>
      <c r="J1165" s="4">
        <f t="shared" si="92"/>
        <v>9.2980858980080328</v>
      </c>
      <c r="K1165" s="4">
        <f t="shared" si="91"/>
        <v>1859.6171796016065</v>
      </c>
      <c r="L1165">
        <v>5</v>
      </c>
    </row>
    <row r="1166" spans="1:12" hidden="1" x14ac:dyDescent="0.3">
      <c r="A1166" t="s">
        <v>165</v>
      </c>
      <c r="B1166" t="s">
        <v>132</v>
      </c>
      <c r="C1166" s="4">
        <v>0.68500000000000005</v>
      </c>
      <c r="D1166" s="4">
        <v>0.54</v>
      </c>
      <c r="E1166">
        <v>4</v>
      </c>
      <c r="F1166" s="1">
        <v>3.3439490445859872</v>
      </c>
      <c r="G1166" s="2">
        <f t="shared" si="93"/>
        <v>8.7823185032423901</v>
      </c>
      <c r="H1166" s="2">
        <f t="shared" si="94"/>
        <v>1.5059021872795169</v>
      </c>
      <c r="I1166" s="2">
        <f t="shared" si="90"/>
        <v>301.18043745590342</v>
      </c>
      <c r="J1166" s="4">
        <f t="shared" si="92"/>
        <v>9.1422479329790249</v>
      </c>
      <c r="K1166" s="4">
        <f t="shared" si="91"/>
        <v>1828.4495865958052</v>
      </c>
      <c r="L1166">
        <v>5</v>
      </c>
    </row>
    <row r="1167" spans="1:12" hidden="1" x14ac:dyDescent="0.3">
      <c r="A1167" t="s">
        <v>165</v>
      </c>
      <c r="B1167" t="s">
        <v>132</v>
      </c>
      <c r="C1167" s="4">
        <v>0.68500000000000005</v>
      </c>
      <c r="D1167" s="4">
        <v>0.54</v>
      </c>
      <c r="E1167">
        <v>4</v>
      </c>
      <c r="F1167" s="1">
        <v>2.5477707006369426</v>
      </c>
      <c r="G1167" s="2">
        <f t="shared" si="93"/>
        <v>5.098125933854992</v>
      </c>
      <c r="H1167" s="2">
        <f t="shared" si="94"/>
        <v>0.88565974773216039</v>
      </c>
      <c r="I1167" s="2">
        <f t="shared" si="90"/>
        <v>177.13194954643208</v>
      </c>
      <c r="J1167" s="4">
        <f t="shared" si="92"/>
        <v>9.0765758976023356</v>
      </c>
      <c r="K1167" s="4">
        <f t="shared" si="91"/>
        <v>1815.3151795204672</v>
      </c>
      <c r="L1167">
        <v>5</v>
      </c>
    </row>
    <row r="1168" spans="1:12" hidden="1" x14ac:dyDescent="0.3">
      <c r="A1168" t="s">
        <v>165</v>
      </c>
      <c r="B1168" t="s">
        <v>132</v>
      </c>
      <c r="C1168" s="4">
        <v>0.68500000000000005</v>
      </c>
      <c r="D1168" s="4">
        <v>0.54</v>
      </c>
      <c r="E1168">
        <v>3</v>
      </c>
      <c r="F1168" s="1">
        <v>2.8662420382165603</v>
      </c>
      <c r="G1168" s="2">
        <f t="shared" si="93"/>
        <v>6.4523156350352249</v>
      </c>
      <c r="H1168" s="2">
        <f t="shared" si="94"/>
        <v>0.8417370117193157</v>
      </c>
      <c r="I1168" s="2">
        <f t="shared" si="90"/>
        <v>168.34740234386314</v>
      </c>
      <c r="J1168" s="4">
        <f t="shared" si="92"/>
        <v>9.0719611059272172</v>
      </c>
      <c r="K1168" s="4">
        <f t="shared" si="91"/>
        <v>1814.3922211854435</v>
      </c>
      <c r="L1168">
        <v>5</v>
      </c>
    </row>
    <row r="1169" spans="1:12" hidden="1" x14ac:dyDescent="0.3">
      <c r="A1169" t="s">
        <v>168</v>
      </c>
      <c r="B1169" t="s">
        <v>75</v>
      </c>
      <c r="C1169" s="4">
        <v>0.86</v>
      </c>
      <c r="D1169" s="4">
        <v>0.65666666699999998</v>
      </c>
      <c r="E1169">
        <v>6</v>
      </c>
      <c r="F1169" s="1">
        <v>20.541401273885349</v>
      </c>
      <c r="G1169" s="2">
        <f t="shared" si="93"/>
        <v>331.39810025500361</v>
      </c>
      <c r="H1169" s="2">
        <f t="shared" si="94"/>
        <v>93.642557615678527</v>
      </c>
      <c r="I1169" s="2">
        <f t="shared" si="90"/>
        <v>18728.511523135705</v>
      </c>
      <c r="J1169" s="4">
        <f t="shared" si="92"/>
        <v>17.846632492190352</v>
      </c>
      <c r="K1169" s="4">
        <f t="shared" si="91"/>
        <v>3569.3264984380703</v>
      </c>
      <c r="L1169">
        <v>5</v>
      </c>
    </row>
    <row r="1170" spans="1:12" hidden="1" x14ac:dyDescent="0.3">
      <c r="A1170" t="s">
        <v>168</v>
      </c>
      <c r="B1170" t="s">
        <v>75</v>
      </c>
      <c r="C1170" s="4">
        <v>0.86</v>
      </c>
      <c r="D1170" s="4">
        <v>0.65666666699999998</v>
      </c>
      <c r="E1170">
        <v>4.5</v>
      </c>
      <c r="F1170" s="1">
        <v>5.7324840764331206</v>
      </c>
      <c r="G1170" s="2">
        <f t="shared" si="93"/>
        <v>25.809262540140899</v>
      </c>
      <c r="H1170" s="2">
        <f t="shared" si="94"/>
        <v>5.8555059542885131</v>
      </c>
      <c r="I1170" s="2">
        <f t="shared" si="90"/>
        <v>1171.1011908577025</v>
      </c>
      <c r="J1170" s="4">
        <f t="shared" si="92"/>
        <v>9.5032666355633086</v>
      </c>
      <c r="K1170" s="4">
        <f t="shared" si="91"/>
        <v>1900.6533271126616</v>
      </c>
      <c r="L1170">
        <v>5</v>
      </c>
    </row>
    <row r="1171" spans="1:12" hidden="1" x14ac:dyDescent="0.3">
      <c r="A1171" t="s">
        <v>168</v>
      </c>
      <c r="B1171" t="s">
        <v>75</v>
      </c>
      <c r="C1171" s="4">
        <v>0.86</v>
      </c>
      <c r="D1171" s="4">
        <v>0.65666666699999998</v>
      </c>
      <c r="E1171">
        <v>3</v>
      </c>
      <c r="F1171" s="1">
        <v>2.8662420382165603</v>
      </c>
      <c r="G1171" s="2">
        <f t="shared" si="93"/>
        <v>6.4523156350352249</v>
      </c>
      <c r="H1171" s="2">
        <f t="shared" si="94"/>
        <v>1.0187996956649805</v>
      </c>
      <c r="I1171" s="2">
        <f t="shared" si="90"/>
        <v>203.7599391329961</v>
      </c>
      <c r="J1171" s="4">
        <f t="shared" si="92"/>
        <v>9.0719611059272172</v>
      </c>
      <c r="K1171" s="4">
        <f t="shared" si="91"/>
        <v>1814.3922211854435</v>
      </c>
      <c r="L1171">
        <v>5</v>
      </c>
    </row>
    <row r="1172" spans="1:12" hidden="1" x14ac:dyDescent="0.3">
      <c r="A1172" t="s">
        <v>168</v>
      </c>
      <c r="B1172" t="s">
        <v>57</v>
      </c>
      <c r="C1172" s="4">
        <v>0.61</v>
      </c>
      <c r="D1172" s="4">
        <v>0.84088888900000003</v>
      </c>
      <c r="E1172">
        <v>5</v>
      </c>
      <c r="F1172" s="1">
        <v>32.484076433121018</v>
      </c>
      <c r="G1172" s="2">
        <f t="shared" si="93"/>
        <v>828.76409712230225</v>
      </c>
      <c r="H1172" s="2">
        <f t="shared" si="94"/>
        <v>244.08187901292308</v>
      </c>
      <c r="I1172" s="2">
        <f t="shared" si="90"/>
        <v>48816.375802584618</v>
      </c>
      <c r="J1172" s="4">
        <f t="shared" si="92"/>
        <v>27.451966379974841</v>
      </c>
      <c r="K1172" s="4">
        <f t="shared" si="91"/>
        <v>5490.3932759949685</v>
      </c>
      <c r="L1172">
        <v>5</v>
      </c>
    </row>
    <row r="1173" spans="1:12" hidden="1" x14ac:dyDescent="0.3">
      <c r="A1173" t="s">
        <v>168</v>
      </c>
      <c r="B1173" t="s">
        <v>135</v>
      </c>
      <c r="C1173" s="4">
        <v>0.84088890000000005</v>
      </c>
      <c r="D1173" s="4">
        <v>0.84088888900000003</v>
      </c>
      <c r="E1173">
        <v>8</v>
      </c>
      <c r="F1173" s="1">
        <v>10.19108280254777</v>
      </c>
      <c r="G1173" s="2">
        <f t="shared" si="93"/>
        <v>81.570014941679872</v>
      </c>
      <c r="H1173" s="2">
        <f t="shared" si="94"/>
        <v>40.181103848905387</v>
      </c>
      <c r="I1173" s="2">
        <f t="shared" si="90"/>
        <v>8036.2207697810782</v>
      </c>
      <c r="J1173" s="4">
        <f t="shared" si="92"/>
        <v>11.893728723274776</v>
      </c>
      <c r="K1173" s="4">
        <f t="shared" si="91"/>
        <v>2378.7457446549552</v>
      </c>
      <c r="L1173">
        <v>5</v>
      </c>
    </row>
    <row r="1174" spans="1:12" hidden="1" x14ac:dyDescent="0.3">
      <c r="A1174" t="s">
        <v>168</v>
      </c>
      <c r="B1174" t="s">
        <v>23</v>
      </c>
      <c r="C1174" s="4">
        <v>0.76500000000000001</v>
      </c>
      <c r="D1174" s="4">
        <v>0.61247410899999999</v>
      </c>
      <c r="E1174">
        <v>8.5</v>
      </c>
      <c r="F1174" s="1">
        <v>16.401273885350317</v>
      </c>
      <c r="G1174" s="2">
        <f t="shared" si="93"/>
        <v>211.27350793854535</v>
      </c>
      <c r="H1174" s="2">
        <f t="shared" si="94"/>
        <v>79.2075541136102</v>
      </c>
      <c r="I1174" s="2">
        <f t="shared" si="90"/>
        <v>15841.510822722039</v>
      </c>
      <c r="J1174" s="4">
        <f t="shared" si="92"/>
        <v>16.988503105602661</v>
      </c>
      <c r="K1174" s="4">
        <f t="shared" si="91"/>
        <v>3397.7006211205321</v>
      </c>
      <c r="L1174">
        <v>5</v>
      </c>
    </row>
    <row r="1175" spans="1:12" hidden="1" x14ac:dyDescent="0.3">
      <c r="A1175" t="s">
        <v>168</v>
      </c>
      <c r="B1175" t="s">
        <v>23</v>
      </c>
      <c r="C1175" s="4">
        <v>0.76500000000000001</v>
      </c>
      <c r="D1175" s="4">
        <v>0.61247410899999999</v>
      </c>
      <c r="E1175">
        <v>7</v>
      </c>
      <c r="F1175" s="1">
        <v>26.273885350318469</v>
      </c>
      <c r="G1175" s="2">
        <f t="shared" si="93"/>
        <v>542.173744332821</v>
      </c>
      <c r="H1175" s="2">
        <f t="shared" si="94"/>
        <v>164.41438592655055</v>
      </c>
      <c r="I1175" s="2">
        <f t="shared" si="90"/>
        <v>32882.877185310106</v>
      </c>
      <c r="J1175" s="4">
        <f t="shared" si="92"/>
        <v>25.898467759341145</v>
      </c>
      <c r="K1175" s="4">
        <f t="shared" si="91"/>
        <v>5179.6935518682285</v>
      </c>
      <c r="L1175">
        <v>5</v>
      </c>
    </row>
    <row r="1176" spans="1:12" hidden="1" x14ac:dyDescent="0.3">
      <c r="A1176" t="s">
        <v>168</v>
      </c>
      <c r="B1176" t="s">
        <v>23</v>
      </c>
      <c r="C1176" s="4">
        <v>0.76500000000000001</v>
      </c>
      <c r="D1176" s="4">
        <v>0.61247410899999999</v>
      </c>
      <c r="E1176">
        <v>6</v>
      </c>
      <c r="F1176" s="1">
        <v>14.968152866242038</v>
      </c>
      <c r="G1176" s="2">
        <f t="shared" si="93"/>
        <v>175.96500293571373</v>
      </c>
      <c r="H1176" s="2">
        <f t="shared" si="94"/>
        <v>47.164654694674283</v>
      </c>
      <c r="I1176" s="2">
        <f t="shared" si="90"/>
        <v>9432.9309389348564</v>
      </c>
      <c r="J1176" s="4">
        <f t="shared" si="92"/>
        <v>13.690657604770983</v>
      </c>
      <c r="K1176" s="4">
        <f t="shared" si="91"/>
        <v>2738.1315209541967</v>
      </c>
      <c r="L1176">
        <v>5</v>
      </c>
    </row>
    <row r="1177" spans="1:12" hidden="1" x14ac:dyDescent="0.3">
      <c r="A1177" t="s">
        <v>169</v>
      </c>
      <c r="B1177" t="s">
        <v>75</v>
      </c>
      <c r="C1177" s="4">
        <v>0.86</v>
      </c>
      <c r="D1177" s="4">
        <v>0.65666666699999998</v>
      </c>
      <c r="E1177">
        <v>3.5</v>
      </c>
      <c r="F1177" s="1">
        <v>6.0509554140127388</v>
      </c>
      <c r="G1177" s="2">
        <f t="shared" si="93"/>
        <v>28.756616595650822</v>
      </c>
      <c r="H1177" s="2">
        <f t="shared" si="94"/>
        <v>5.0918373671360291</v>
      </c>
      <c r="I1177" s="2">
        <f t="shared" si="90"/>
        <v>1018.3674734272057</v>
      </c>
      <c r="J1177" s="4">
        <f t="shared" si="92"/>
        <v>9.4342222524240338</v>
      </c>
      <c r="K1177" s="4">
        <f t="shared" si="91"/>
        <v>1886.8444504848067</v>
      </c>
      <c r="L1177">
        <v>5</v>
      </c>
    </row>
    <row r="1178" spans="1:12" hidden="1" x14ac:dyDescent="0.3">
      <c r="A1178" t="s">
        <v>169</v>
      </c>
      <c r="B1178" t="s">
        <v>51</v>
      </c>
      <c r="C1178" s="4">
        <v>0.40257753800000001</v>
      </c>
      <c r="D1178" s="4">
        <v>0.40843333300000001</v>
      </c>
      <c r="E1178">
        <v>12</v>
      </c>
      <c r="F1178" s="1">
        <v>30.095541401273884</v>
      </c>
      <c r="G1178" s="2">
        <f t="shared" si="93"/>
        <v>711.36779876263358</v>
      </c>
      <c r="H1178" s="2">
        <f t="shared" si="94"/>
        <v>244.22293586082694</v>
      </c>
      <c r="I1178" s="2">
        <f t="shared" si="90"/>
        <v>48844.587172165382</v>
      </c>
      <c r="J1178" s="4">
        <f t="shared" si="92"/>
        <v>47.026847713903202</v>
      </c>
      <c r="K1178" s="4">
        <f t="shared" si="91"/>
        <v>9405.3695427806415</v>
      </c>
      <c r="L1178">
        <v>5</v>
      </c>
    </row>
    <row r="1179" spans="1:12" hidden="1" x14ac:dyDescent="0.3">
      <c r="A1179" t="s">
        <v>169</v>
      </c>
      <c r="B1179" t="s">
        <v>60</v>
      </c>
      <c r="C1179" s="4">
        <v>0.41</v>
      </c>
      <c r="D1179" s="4">
        <v>0.33983503399999998</v>
      </c>
      <c r="E1179">
        <v>6.5</v>
      </c>
      <c r="F1179" s="1">
        <v>10.828025477707007</v>
      </c>
      <c r="G1179" s="2">
        <f t="shared" si="93"/>
        <v>92.084899680255816</v>
      </c>
      <c r="H1179" s="2">
        <f t="shared" si="94"/>
        <v>15.253741649954179</v>
      </c>
      <c r="I1179" s="2">
        <f t="shared" si="90"/>
        <v>3050.7483299908358</v>
      </c>
      <c r="J1179" s="4">
        <f t="shared" si="92"/>
        <v>11.65304958821859</v>
      </c>
      <c r="K1179" s="4">
        <f t="shared" si="91"/>
        <v>2330.6099176437178</v>
      </c>
      <c r="L1179">
        <v>5</v>
      </c>
    </row>
    <row r="1180" spans="1:12" hidden="1" x14ac:dyDescent="0.3">
      <c r="A1180" t="s">
        <v>169</v>
      </c>
      <c r="B1180" t="s">
        <v>60</v>
      </c>
      <c r="C1180" s="4">
        <v>0.41</v>
      </c>
      <c r="D1180" s="4">
        <v>0.33983503399999998</v>
      </c>
      <c r="E1180">
        <v>12</v>
      </c>
      <c r="F1180" s="1">
        <v>9.872611464968152</v>
      </c>
      <c r="G1180" s="2">
        <f t="shared" si="93"/>
        <v>76.55154722554137</v>
      </c>
      <c r="H1180" s="2">
        <f t="shared" si="94"/>
        <v>23.171013321594806</v>
      </c>
      <c r="I1180" s="2">
        <f t="shared" si="90"/>
        <v>4634.2026643189611</v>
      </c>
      <c r="J1180" s="4">
        <f t="shared" si="92"/>
        <v>13.079375199805266</v>
      </c>
      <c r="K1180" s="4">
        <f t="shared" si="91"/>
        <v>2615.8750399610535</v>
      </c>
      <c r="L1180">
        <v>5</v>
      </c>
    </row>
    <row r="1181" spans="1:12" hidden="1" x14ac:dyDescent="0.3">
      <c r="A1181" t="s">
        <v>169</v>
      </c>
      <c r="B1181" t="s">
        <v>41</v>
      </c>
      <c r="C1181" s="4">
        <v>0.56193137999999998</v>
      </c>
      <c r="D1181" s="4">
        <v>0.57808694400000005</v>
      </c>
      <c r="E1181">
        <v>4.5</v>
      </c>
      <c r="F1181" s="1">
        <v>10.19108280254777</v>
      </c>
      <c r="G1181" s="2">
        <f t="shared" si="93"/>
        <v>81.570014941679872</v>
      </c>
      <c r="H1181" s="2">
        <f t="shared" si="94"/>
        <v>15.896513655815452</v>
      </c>
      <c r="I1181" s="2">
        <f t="shared" si="90"/>
        <v>3179.3027311630904</v>
      </c>
      <c r="J1181" s="4">
        <f t="shared" si="92"/>
        <v>10.621466156842063</v>
      </c>
      <c r="K1181" s="4">
        <f t="shared" si="91"/>
        <v>2124.2932313684128</v>
      </c>
      <c r="L1181">
        <v>5</v>
      </c>
    </row>
    <row r="1182" spans="1:12" hidden="1" x14ac:dyDescent="0.3">
      <c r="A1182" t="s">
        <v>169</v>
      </c>
      <c r="B1182" t="s">
        <v>163</v>
      </c>
      <c r="C1182" s="4">
        <v>0.65</v>
      </c>
      <c r="D1182" s="4">
        <v>0.65</v>
      </c>
      <c r="E1182">
        <v>7</v>
      </c>
      <c r="F1182" s="4">
        <v>3.0254777070063694</v>
      </c>
      <c r="G1182" s="2">
        <f t="shared" si="93"/>
        <v>7.1891541489127055</v>
      </c>
      <c r="H1182" s="2">
        <f t="shared" si="94"/>
        <v>2.5629727685108032</v>
      </c>
      <c r="I1182" s="2">
        <f t="shared" si="90"/>
        <v>512.59455370216062</v>
      </c>
      <c r="J1182" s="4">
        <f t="shared" si="92"/>
        <v>9.2099611262120167</v>
      </c>
      <c r="K1182" s="4">
        <f t="shared" si="91"/>
        <v>1841.9922252424033</v>
      </c>
      <c r="L1182">
        <v>5</v>
      </c>
    </row>
    <row r="1183" spans="1:12" hidden="1" x14ac:dyDescent="0.3">
      <c r="A1183" t="s">
        <v>169</v>
      </c>
      <c r="B1183" t="s">
        <v>32</v>
      </c>
      <c r="C1183" s="4">
        <v>0.65716857299999998</v>
      </c>
      <c r="D1183" s="4">
        <v>0.85527777800000004</v>
      </c>
      <c r="E1183">
        <v>3.5</v>
      </c>
      <c r="F1183" s="1">
        <v>5.8917197452229297</v>
      </c>
      <c r="G1183" s="2">
        <f t="shared" si="93"/>
        <v>27.263025013466741</v>
      </c>
      <c r="H1183" s="2">
        <f t="shared" si="94"/>
        <v>6.255681542870601</v>
      </c>
      <c r="I1183" s="2">
        <f t="shared" si="90"/>
        <v>1251.1363085741202</v>
      </c>
      <c r="J1183" s="4">
        <f t="shared" si="92"/>
        <v>9.4109264290640589</v>
      </c>
      <c r="K1183" s="4">
        <f t="shared" si="91"/>
        <v>1882.1852858128118</v>
      </c>
      <c r="L1183">
        <v>5</v>
      </c>
    </row>
    <row r="1184" spans="1:12" hidden="1" x14ac:dyDescent="0.3">
      <c r="A1184" t="s">
        <v>169</v>
      </c>
      <c r="B1184" t="s">
        <v>47</v>
      </c>
      <c r="C1184" s="4">
        <v>0.40238543599999999</v>
      </c>
      <c r="D1184" s="4">
        <v>0.40883333300000002</v>
      </c>
      <c r="E1184">
        <v>16</v>
      </c>
      <c r="F1184" s="1">
        <v>17.834394904458598</v>
      </c>
      <c r="G1184" s="2">
        <f t="shared" si="93"/>
        <v>249.80817075889462</v>
      </c>
      <c r="H1184" s="2">
        <f t="shared" si="94"/>
        <v>116.56326648892382</v>
      </c>
      <c r="I1184" s="2">
        <f t="shared" si="90"/>
        <v>23312.653297784764</v>
      </c>
      <c r="J1184" s="4">
        <f t="shared" si="92"/>
        <v>26.79737593005801</v>
      </c>
      <c r="K1184" s="4">
        <f t="shared" si="91"/>
        <v>5359.4751860116021</v>
      </c>
      <c r="L1184">
        <v>5</v>
      </c>
    </row>
    <row r="1185" spans="1:12" hidden="1" x14ac:dyDescent="0.3">
      <c r="A1185" t="s">
        <v>169</v>
      </c>
      <c r="B1185" t="s">
        <v>49</v>
      </c>
      <c r="C1185" s="4">
        <v>0.57917600000000002</v>
      </c>
      <c r="D1185" s="4">
        <v>0.60285714300000004</v>
      </c>
      <c r="E1185">
        <v>6</v>
      </c>
      <c r="F1185" s="1">
        <v>25.318471337579616</v>
      </c>
      <c r="G1185" s="2">
        <f t="shared" si="93"/>
        <v>503.45985052260966</v>
      </c>
      <c r="H1185" s="2">
        <f t="shared" si="94"/>
        <v>129.56566006841905</v>
      </c>
      <c r="I1185" s="2">
        <f t="shared" si="90"/>
        <v>25913.132013683811</v>
      </c>
      <c r="J1185" s="4">
        <f t="shared" si="92"/>
        <v>22.447224808308654</v>
      </c>
      <c r="K1185" s="4">
        <f t="shared" si="91"/>
        <v>4489.4449616617303</v>
      </c>
      <c r="L1185">
        <v>5</v>
      </c>
    </row>
    <row r="1186" spans="1:12" hidden="1" x14ac:dyDescent="0.3">
      <c r="A1186" t="s">
        <v>169</v>
      </c>
      <c r="B1186" t="s">
        <v>167</v>
      </c>
      <c r="C1186" s="4">
        <v>0.52607139999999997</v>
      </c>
      <c r="D1186" s="4">
        <v>0.52607142900000003</v>
      </c>
      <c r="E1186">
        <v>5</v>
      </c>
      <c r="F1186" s="6">
        <v>9.872611464968152</v>
      </c>
      <c r="G1186" s="2">
        <f t="shared" si="93"/>
        <v>76.55154722554137</v>
      </c>
      <c r="H1186" s="2">
        <f t="shared" si="94"/>
        <v>15.103610749548945</v>
      </c>
      <c r="I1186" s="2">
        <f t="shared" si="90"/>
        <v>3020.7221499097891</v>
      </c>
      <c r="J1186" s="4">
        <f t="shared" si="92"/>
        <v>10.691397999918861</v>
      </c>
      <c r="K1186" s="4">
        <f t="shared" si="91"/>
        <v>2138.2795999837722</v>
      </c>
      <c r="L1186">
        <v>5</v>
      </c>
    </row>
    <row r="1187" spans="1:12" hidden="1" x14ac:dyDescent="0.3">
      <c r="A1187" t="s">
        <v>170</v>
      </c>
      <c r="B1187" t="s">
        <v>60</v>
      </c>
      <c r="C1187" s="4">
        <v>0.41</v>
      </c>
      <c r="D1187" s="4">
        <v>0.33983503399999998</v>
      </c>
      <c r="E1187">
        <v>8</v>
      </c>
      <c r="F1187" s="1">
        <v>7.7070063694267512</v>
      </c>
      <c r="G1187" s="2">
        <f t="shared" si="93"/>
        <v>46.651038623481838</v>
      </c>
      <c r="H1187" s="2">
        <f t="shared" si="94"/>
        <v>9.6194341517253044</v>
      </c>
      <c r="I1187" s="2">
        <f t="shared" si="90"/>
        <v>1923.8868303450611</v>
      </c>
      <c r="J1187" s="4">
        <f t="shared" si="92"/>
        <v>10.648842520994766</v>
      </c>
      <c r="K1187" s="4">
        <f t="shared" si="91"/>
        <v>2129.768504198953</v>
      </c>
      <c r="L1187">
        <v>5</v>
      </c>
    </row>
    <row r="1188" spans="1:12" hidden="1" x14ac:dyDescent="0.3">
      <c r="A1188" t="s">
        <v>170</v>
      </c>
      <c r="B1188" t="s">
        <v>60</v>
      </c>
      <c r="C1188" s="4">
        <v>0.41</v>
      </c>
      <c r="D1188" s="4">
        <v>0.33983503399999998</v>
      </c>
      <c r="E1188">
        <v>7</v>
      </c>
      <c r="F1188" s="1">
        <v>4.7770700636942669</v>
      </c>
      <c r="G1188" s="2">
        <f t="shared" si="93"/>
        <v>17.923098986208956</v>
      </c>
      <c r="H1188" s="2">
        <f t="shared" si="94"/>
        <v>3.3194943143656173</v>
      </c>
      <c r="I1188" s="2">
        <f t="shared" si="90"/>
        <v>663.89886287312345</v>
      </c>
      <c r="J1188" s="4">
        <f t="shared" si="92"/>
        <v>9.5447997606393766</v>
      </c>
      <c r="K1188" s="4">
        <f t="shared" si="91"/>
        <v>1908.9599521278753</v>
      </c>
      <c r="L1188">
        <v>5</v>
      </c>
    </row>
    <row r="1189" spans="1:12" hidden="1" x14ac:dyDescent="0.3">
      <c r="A1189" t="s">
        <v>170</v>
      </c>
      <c r="B1189" t="s">
        <v>60</v>
      </c>
      <c r="C1189" s="4">
        <v>0.41</v>
      </c>
      <c r="D1189" s="4">
        <v>0.33983503399999998</v>
      </c>
      <c r="E1189">
        <v>7</v>
      </c>
      <c r="F1189" s="1">
        <v>7.3248407643312099</v>
      </c>
      <c r="G1189" s="2">
        <f t="shared" si="93"/>
        <v>42.139197172020175</v>
      </c>
      <c r="H1189" s="2">
        <f t="shared" si="94"/>
        <v>7.6460041138943016</v>
      </c>
      <c r="I1189" s="2">
        <f t="shared" si="90"/>
        <v>1529.2008227788604</v>
      </c>
      <c r="J1189" s="4">
        <f t="shared" si="92"/>
        <v>10.300205659458801</v>
      </c>
      <c r="K1189" s="4">
        <f t="shared" si="91"/>
        <v>2060.0411318917604</v>
      </c>
      <c r="L1189">
        <v>5</v>
      </c>
    </row>
    <row r="1190" spans="1:12" hidden="1" x14ac:dyDescent="0.3">
      <c r="A1190" t="s">
        <v>170</v>
      </c>
      <c r="B1190" t="s">
        <v>60</v>
      </c>
      <c r="C1190" s="4">
        <v>0.41</v>
      </c>
      <c r="D1190" s="4">
        <v>0.33983503399999998</v>
      </c>
      <c r="E1190">
        <v>7</v>
      </c>
      <c r="F1190" s="1">
        <v>5.8917197452229297</v>
      </c>
      <c r="G1190" s="2">
        <f t="shared" si="93"/>
        <v>27.263025013466741</v>
      </c>
      <c r="H1190" s="2">
        <f t="shared" si="94"/>
        <v>4.9987452595641058</v>
      </c>
      <c r="I1190" s="2">
        <f t="shared" si="90"/>
        <v>999.74905191282119</v>
      </c>
      <c r="J1190" s="4">
        <f t="shared" si="92"/>
        <v>9.8361528581281181</v>
      </c>
      <c r="K1190" s="4">
        <f t="shared" si="91"/>
        <v>1967.2305716256237</v>
      </c>
      <c r="L1190">
        <v>5</v>
      </c>
    </row>
    <row r="1191" spans="1:12" hidden="1" x14ac:dyDescent="0.3">
      <c r="A1191" t="s">
        <v>170</v>
      </c>
      <c r="B1191" t="s">
        <v>60</v>
      </c>
      <c r="C1191" s="4">
        <v>0.41</v>
      </c>
      <c r="D1191" s="4">
        <v>0.33983503399999998</v>
      </c>
      <c r="E1191">
        <v>5</v>
      </c>
      <c r="F1191" s="1">
        <v>2.5477707006369426</v>
      </c>
      <c r="G1191" s="2">
        <f t="shared" si="93"/>
        <v>5.098125933854992</v>
      </c>
      <c r="H1191" s="2">
        <f t="shared" si="94"/>
        <v>0.70073285928977369</v>
      </c>
      <c r="I1191" s="2">
        <f t="shared" si="90"/>
        <v>140.14657185795474</v>
      </c>
      <c r="J1191" s="4">
        <f t="shared" si="92"/>
        <v>9.0992948720029201</v>
      </c>
      <c r="K1191" s="4">
        <f t="shared" si="91"/>
        <v>1819.858974400584</v>
      </c>
      <c r="L1191">
        <v>5</v>
      </c>
    </row>
    <row r="1192" spans="1:12" hidden="1" x14ac:dyDescent="0.3">
      <c r="A1192" t="s">
        <v>170</v>
      </c>
      <c r="B1192" t="s">
        <v>60</v>
      </c>
      <c r="C1192" s="4">
        <v>0.41</v>
      </c>
      <c r="D1192" s="4">
        <v>0.33983503399999998</v>
      </c>
      <c r="E1192">
        <v>5</v>
      </c>
      <c r="F1192" s="1">
        <v>2.2292993630573248</v>
      </c>
      <c r="G1192" s="2">
        <f t="shared" si="93"/>
        <v>3.9032526681077284</v>
      </c>
      <c r="H1192" s="2">
        <f t="shared" si="94"/>
        <v>0.53994833055423386</v>
      </c>
      <c r="I1192" s="2">
        <f t="shared" si="90"/>
        <v>107.98966611084677</v>
      </c>
      <c r="J1192" s="4">
        <f t="shared" si="92"/>
        <v>9.0726710738772365</v>
      </c>
      <c r="K1192" s="4">
        <f t="shared" si="91"/>
        <v>1814.5342147754473</v>
      </c>
      <c r="L1192">
        <v>5</v>
      </c>
    </row>
    <row r="1193" spans="1:12" hidden="1" x14ac:dyDescent="0.3">
      <c r="A1193" t="s">
        <v>170</v>
      </c>
      <c r="B1193" t="s">
        <v>60</v>
      </c>
      <c r="C1193" s="4">
        <v>0.41</v>
      </c>
      <c r="D1193" s="4">
        <v>0.33983503399999998</v>
      </c>
      <c r="E1193">
        <v>4.5</v>
      </c>
      <c r="F1193" s="1">
        <v>2.2292993630573248</v>
      </c>
      <c r="G1193" s="2">
        <f t="shared" si="93"/>
        <v>3.9032526681077284</v>
      </c>
      <c r="H1193" s="2">
        <f t="shared" si="94"/>
        <v>0.48718385988858659</v>
      </c>
      <c r="I1193" s="2">
        <f t="shared" si="90"/>
        <v>97.436771977717314</v>
      </c>
      <c r="J1193" s="4">
        <f t="shared" si="92"/>
        <v>9.0639739664895131</v>
      </c>
      <c r="K1193" s="4">
        <f t="shared" si="91"/>
        <v>1812.7947932979027</v>
      </c>
      <c r="L1193">
        <v>5</v>
      </c>
    </row>
    <row r="1194" spans="1:12" hidden="1" x14ac:dyDescent="0.3">
      <c r="A1194" t="s">
        <v>170</v>
      </c>
      <c r="B1194" t="s">
        <v>60</v>
      </c>
      <c r="C1194" s="4">
        <v>0.41</v>
      </c>
      <c r="D1194" s="4">
        <v>0.33983503399999998</v>
      </c>
      <c r="E1194">
        <v>4</v>
      </c>
      <c r="F1194" s="1">
        <v>2.7070063694267517</v>
      </c>
      <c r="G1194" s="2">
        <f t="shared" si="93"/>
        <v>5.7553062300159885</v>
      </c>
      <c r="H1194" s="2">
        <f t="shared" si="94"/>
        <v>0.63439886734763773</v>
      </c>
      <c r="I1194" s="2">
        <f t="shared" si="90"/>
        <v>126.87977346952755</v>
      </c>
      <c r="J1194" s="4">
        <f t="shared" si="92"/>
        <v>9.0882903687776384</v>
      </c>
      <c r="K1194" s="4">
        <f t="shared" si="91"/>
        <v>1817.6580737555275</v>
      </c>
      <c r="L1194">
        <v>5</v>
      </c>
    </row>
    <row r="1195" spans="1:12" hidden="1" x14ac:dyDescent="0.3">
      <c r="A1195" t="s">
        <v>170</v>
      </c>
      <c r="B1195" t="s">
        <v>171</v>
      </c>
      <c r="C1195" s="4">
        <v>0.6671667</v>
      </c>
      <c r="D1195" s="4">
        <v>0.66716666700000005</v>
      </c>
      <c r="E1195">
        <v>3.5</v>
      </c>
      <c r="F1195" s="1">
        <v>2.2611464968152863</v>
      </c>
      <c r="G1195" s="2">
        <f t="shared" si="93"/>
        <v>4.0155707550879711</v>
      </c>
      <c r="H1195" s="2">
        <f t="shared" si="94"/>
        <v>0.75705566735439278</v>
      </c>
      <c r="I1195" s="2">
        <f t="shared" si="90"/>
        <v>151.41113347087855</v>
      </c>
      <c r="J1195" s="4">
        <f t="shared" si="92"/>
        <v>9.0483315976307352</v>
      </c>
      <c r="K1195" s="4">
        <f t="shared" si="91"/>
        <v>1809.6663195261469</v>
      </c>
      <c r="L1195">
        <v>5</v>
      </c>
    </row>
    <row r="1196" spans="1:12" hidden="1" x14ac:dyDescent="0.3">
      <c r="A1196" t="s">
        <v>170</v>
      </c>
      <c r="B1196" t="s">
        <v>141</v>
      </c>
      <c r="C1196" s="4">
        <v>0.83069230800000005</v>
      </c>
      <c r="D1196" s="4">
        <v>0.78683697699999999</v>
      </c>
      <c r="E1196">
        <v>6</v>
      </c>
      <c r="F1196" s="1">
        <v>8.2802547770700627</v>
      </c>
      <c r="G1196" s="2">
        <f t="shared" si="93"/>
        <v>53.848955176343352</v>
      </c>
      <c r="H1196" s="2">
        <f t="shared" si="94"/>
        <v>18.962496502996935</v>
      </c>
      <c r="I1196" s="2">
        <f t="shared" si="90"/>
        <v>3792.499300599387</v>
      </c>
      <c r="J1196" s="4">
        <f t="shared" si="92"/>
        <v>10.425515002637024</v>
      </c>
      <c r="K1196" s="4">
        <f t="shared" si="91"/>
        <v>2085.1030005274047</v>
      </c>
      <c r="L1196">
        <v>5</v>
      </c>
    </row>
    <row r="1197" spans="1:12" hidden="1" x14ac:dyDescent="0.3">
      <c r="A1197" t="s">
        <v>170</v>
      </c>
      <c r="B1197" t="s">
        <v>56</v>
      </c>
      <c r="C1197" s="4">
        <v>0.39984676499999999</v>
      </c>
      <c r="D1197" s="4">
        <v>0.450333333</v>
      </c>
      <c r="E1197">
        <v>7</v>
      </c>
      <c r="F1197" s="1">
        <v>9.872611464968152</v>
      </c>
      <c r="G1197" s="2">
        <f t="shared" si="93"/>
        <v>76.55154722554137</v>
      </c>
      <c r="H1197" s="2">
        <f t="shared" si="94"/>
        <v>18.022348371233353</v>
      </c>
      <c r="I1197" s="2">
        <f t="shared" si="90"/>
        <v>3604.4696742466704</v>
      </c>
      <c r="J1197" s="4">
        <f t="shared" si="92"/>
        <v>11.373677199886405</v>
      </c>
      <c r="K1197" s="4">
        <f t="shared" si="91"/>
        <v>2274.7354399772807</v>
      </c>
      <c r="L1197">
        <v>5</v>
      </c>
    </row>
    <row r="1198" spans="1:12" hidden="1" x14ac:dyDescent="0.3">
      <c r="A1198" t="s">
        <v>170</v>
      </c>
      <c r="B1198" t="s">
        <v>157</v>
      </c>
      <c r="C1198" s="4">
        <v>0.63</v>
      </c>
      <c r="D1198" s="4">
        <v>0.629222222</v>
      </c>
      <c r="E1198">
        <v>4.5</v>
      </c>
      <c r="F1198" s="1">
        <v>2.6751592356687897</v>
      </c>
      <c r="G1198" s="2">
        <f t="shared" si="93"/>
        <v>5.6206838420751293</v>
      </c>
      <c r="H1198" s="2">
        <f t="shared" si="94"/>
        <v>1.2687315092498181</v>
      </c>
      <c r="I1198" s="2">
        <f t="shared" si="90"/>
        <v>253.74630184996363</v>
      </c>
      <c r="J1198" s="4">
        <f t="shared" si="92"/>
        <v>9.0984145117448971</v>
      </c>
      <c r="K1198" s="4">
        <f t="shared" si="91"/>
        <v>1819.6829023489795</v>
      </c>
      <c r="L1198">
        <v>5</v>
      </c>
    </row>
    <row r="1199" spans="1:12" hidden="1" x14ac:dyDescent="0.3">
      <c r="A1199" t="s">
        <v>170</v>
      </c>
      <c r="B1199" t="s">
        <v>157</v>
      </c>
      <c r="C1199" s="4">
        <v>0.63</v>
      </c>
      <c r="D1199" s="4">
        <v>0.629222222</v>
      </c>
      <c r="E1199">
        <v>4.5</v>
      </c>
      <c r="F1199" s="1">
        <v>1.910828025477707</v>
      </c>
      <c r="G1199" s="2">
        <f t="shared" si="93"/>
        <v>2.8676958377934336</v>
      </c>
      <c r="H1199" s="2">
        <f t="shared" si="94"/>
        <v>0.65785139529945458</v>
      </c>
      <c r="I1199" s="2">
        <f t="shared" si="90"/>
        <v>131.57027905989091</v>
      </c>
      <c r="J1199" s="4">
        <f t="shared" si="92"/>
        <v>9.0432074039514792</v>
      </c>
      <c r="K1199" s="4">
        <f t="shared" si="91"/>
        <v>1808.6414807902959</v>
      </c>
      <c r="L1199">
        <v>5</v>
      </c>
    </row>
    <row r="1200" spans="1:12" hidden="1" x14ac:dyDescent="0.3">
      <c r="A1200" t="s">
        <v>170</v>
      </c>
      <c r="B1200" t="s">
        <v>157</v>
      </c>
      <c r="C1200" s="4">
        <v>0.63</v>
      </c>
      <c r="D1200" s="4">
        <v>0.629222222</v>
      </c>
      <c r="E1200">
        <v>3</v>
      </c>
      <c r="F1200" s="1">
        <v>1.910828025477707</v>
      </c>
      <c r="G1200" s="2">
        <f t="shared" si="93"/>
        <v>2.8676958377934336</v>
      </c>
      <c r="H1200" s="2">
        <f t="shared" si="94"/>
        <v>0.44285620217532223</v>
      </c>
      <c r="I1200" s="2">
        <f t="shared" si="90"/>
        <v>88.571240435064439</v>
      </c>
      <c r="J1200" s="4">
        <f t="shared" si="92"/>
        <v>9.024038269300986</v>
      </c>
      <c r="K1200" s="4">
        <f t="shared" si="91"/>
        <v>1804.807653860197</v>
      </c>
      <c r="L1200">
        <v>5</v>
      </c>
    </row>
    <row r="1201" spans="1:12" hidden="1" x14ac:dyDescent="0.3">
      <c r="A1201" t="s">
        <v>170</v>
      </c>
      <c r="B1201" t="s">
        <v>157</v>
      </c>
      <c r="C1201" s="4">
        <v>0.63</v>
      </c>
      <c r="D1201" s="4">
        <v>0.629222222</v>
      </c>
      <c r="E1201">
        <v>2.2000000000000002</v>
      </c>
      <c r="F1201" s="1">
        <v>1.2738853503184713</v>
      </c>
      <c r="G1201" s="2">
        <f t="shared" si="93"/>
        <v>1.274531483463748</v>
      </c>
      <c r="H1201" s="2">
        <f t="shared" si="94"/>
        <v>0.14827460833491515</v>
      </c>
      <c r="I1201" s="2">
        <f t="shared" si="90"/>
        <v>29.654921666983029</v>
      </c>
      <c r="J1201" s="4">
        <f t="shared" si="92"/>
        <v>8.9981954359203211</v>
      </c>
      <c r="K1201" s="4">
        <f t="shared" si="91"/>
        <v>1799.6390871840642</v>
      </c>
      <c r="L1201">
        <v>5</v>
      </c>
    </row>
    <row r="1202" spans="1:12" hidden="1" x14ac:dyDescent="0.3">
      <c r="A1202" t="s">
        <v>170</v>
      </c>
      <c r="B1202" t="s">
        <v>172</v>
      </c>
      <c r="C1202" s="4">
        <v>0.62922219999999995</v>
      </c>
      <c r="D1202" s="4">
        <v>0.629222222</v>
      </c>
      <c r="E1202">
        <v>1.6</v>
      </c>
      <c r="F1202" s="1">
        <v>1.2738853503184713</v>
      </c>
      <c r="G1202" s="2">
        <f t="shared" si="93"/>
        <v>1.274531483463748</v>
      </c>
      <c r="H1202" s="2">
        <f t="shared" si="94"/>
        <v>0.10866341562308156</v>
      </c>
      <c r="I1202" s="2">
        <f t="shared" si="90"/>
        <v>21.732683124616312</v>
      </c>
      <c r="J1202" s="4">
        <f t="shared" si="92"/>
        <v>8.9947875897602341</v>
      </c>
      <c r="K1202" s="4">
        <f t="shared" si="91"/>
        <v>1798.9575179520466</v>
      </c>
      <c r="L1202">
        <v>5</v>
      </c>
    </row>
    <row r="1203" spans="1:12" hidden="1" x14ac:dyDescent="0.3">
      <c r="A1203" t="s">
        <v>170</v>
      </c>
      <c r="B1203" t="s">
        <v>172</v>
      </c>
      <c r="C1203" s="4">
        <v>0.62922219999999995</v>
      </c>
      <c r="D1203" s="4">
        <v>0.629222222</v>
      </c>
      <c r="E1203">
        <v>1.5</v>
      </c>
      <c r="F1203" s="1">
        <v>1.592356687898089</v>
      </c>
      <c r="G1203" s="2">
        <f t="shared" si="93"/>
        <v>1.9914554429121063</v>
      </c>
      <c r="H1203" s="2">
        <f t="shared" si="94"/>
        <v>0.15772323032758095</v>
      </c>
      <c r="I1203" s="2">
        <f t="shared" si="90"/>
        <v>31.54464606551619</v>
      </c>
      <c r="J1203" s="4">
        <f t="shared" si="92"/>
        <v>8.9990118990628414</v>
      </c>
      <c r="K1203" s="4">
        <f t="shared" si="91"/>
        <v>1799.8023798125682</v>
      </c>
      <c r="L1203">
        <v>5</v>
      </c>
    </row>
    <row r="1204" spans="1:12" hidden="1" x14ac:dyDescent="0.3">
      <c r="A1204" t="s">
        <v>170</v>
      </c>
      <c r="B1204" t="s">
        <v>135</v>
      </c>
      <c r="C1204" s="4">
        <v>0.84088890000000005</v>
      </c>
      <c r="D1204" s="4">
        <v>0.84088888900000003</v>
      </c>
      <c r="E1204">
        <v>10</v>
      </c>
      <c r="F1204" s="1">
        <v>10.764331210191081</v>
      </c>
      <c r="G1204" s="2">
        <f t="shared" si="93"/>
        <v>91.004734248020256</v>
      </c>
      <c r="H1204" s="2">
        <f t="shared" si="94"/>
        <v>55.590256432596128</v>
      </c>
      <c r="I1204" s="2">
        <f t="shared" si="90"/>
        <v>11118.051286519225</v>
      </c>
      <c r="J1204" s="4">
        <f t="shared" si="92"/>
        <v>13.041178924094282</v>
      </c>
      <c r="K1204" s="4">
        <f t="shared" si="91"/>
        <v>2608.2357848188562</v>
      </c>
      <c r="L1204">
        <v>5</v>
      </c>
    </row>
    <row r="1205" spans="1:12" hidden="1" x14ac:dyDescent="0.3">
      <c r="A1205" t="s">
        <v>170</v>
      </c>
      <c r="B1205" t="s">
        <v>135</v>
      </c>
      <c r="C1205" s="4">
        <v>0.84088890000000005</v>
      </c>
      <c r="D1205" s="4">
        <v>0.84088888900000003</v>
      </c>
      <c r="E1205">
        <v>10</v>
      </c>
      <c r="F1205" s="1">
        <v>16.560509554140125</v>
      </c>
      <c r="G1205" s="2">
        <f t="shared" si="93"/>
        <v>215.39582070537341</v>
      </c>
      <c r="H1205" s="2">
        <f t="shared" si="94"/>
        <v>128.88186300288953</v>
      </c>
      <c r="I1205" s="2">
        <f t="shared" si="90"/>
        <v>25776.372600577906</v>
      </c>
      <c r="J1205" s="4">
        <f t="shared" si="92"/>
        <v>18.584466684246824</v>
      </c>
      <c r="K1205" s="4">
        <f t="shared" si="91"/>
        <v>3716.8933368493649</v>
      </c>
      <c r="L1205">
        <v>5</v>
      </c>
    </row>
    <row r="1206" spans="1:12" hidden="1" x14ac:dyDescent="0.3">
      <c r="A1206" t="s">
        <v>170</v>
      </c>
      <c r="B1206" t="s">
        <v>163</v>
      </c>
      <c r="C1206" s="4">
        <v>0.65</v>
      </c>
      <c r="D1206" s="4">
        <v>0.65</v>
      </c>
      <c r="E1206">
        <v>10</v>
      </c>
      <c r="F1206" s="1">
        <v>6.7515923566878975</v>
      </c>
      <c r="G1206" s="2">
        <f t="shared" si="93"/>
        <v>35.801589370496679</v>
      </c>
      <c r="H1206" s="2">
        <f t="shared" si="94"/>
        <v>17.394799522246508</v>
      </c>
      <c r="I1206" s="2">
        <f t="shared" si="90"/>
        <v>3478.9599044493016</v>
      </c>
      <c r="J1206" s="4">
        <f t="shared" si="92"/>
        <v>10.581139977281024</v>
      </c>
      <c r="K1206" s="4">
        <f t="shared" si="91"/>
        <v>2116.2279954562046</v>
      </c>
      <c r="L1206">
        <v>5</v>
      </c>
    </row>
    <row r="1207" spans="1:12" hidden="1" x14ac:dyDescent="0.3">
      <c r="A1207" t="s">
        <v>170</v>
      </c>
      <c r="B1207" t="s">
        <v>163</v>
      </c>
      <c r="C1207" s="4">
        <v>0.65</v>
      </c>
      <c r="D1207" s="4">
        <v>0.65</v>
      </c>
      <c r="E1207">
        <v>9</v>
      </c>
      <c r="F1207" s="1">
        <v>6.114649681528662</v>
      </c>
      <c r="G1207" s="2">
        <f t="shared" si="93"/>
        <v>29.365205379004752</v>
      </c>
      <c r="H1207" s="2">
        <f t="shared" si="94"/>
        <v>12.934704602045969</v>
      </c>
      <c r="I1207" s="2">
        <f t="shared" si="90"/>
        <v>2586.940920409194</v>
      </c>
      <c r="J1207" s="4">
        <f t="shared" si="92"/>
        <v>10.163451632926284</v>
      </c>
      <c r="K1207" s="4">
        <f t="shared" si="91"/>
        <v>2032.6903265852568</v>
      </c>
      <c r="L1207">
        <v>5</v>
      </c>
    </row>
    <row r="1208" spans="1:12" hidden="1" x14ac:dyDescent="0.3">
      <c r="A1208" t="s">
        <v>170</v>
      </c>
      <c r="B1208" t="s">
        <v>163</v>
      </c>
      <c r="C1208" s="4">
        <v>0.65</v>
      </c>
      <c r="D1208" s="4">
        <v>0.65</v>
      </c>
      <c r="E1208">
        <v>8</v>
      </c>
      <c r="F1208" s="1">
        <v>10.254777070063694</v>
      </c>
      <c r="G1208" s="2">
        <f t="shared" si="93"/>
        <v>82.592826457159546</v>
      </c>
      <c r="H1208" s="2">
        <f t="shared" si="94"/>
        <v>31.634597718520414</v>
      </c>
      <c r="I1208" s="2">
        <f t="shared" si="90"/>
        <v>6326.9195437040826</v>
      </c>
      <c r="J1208" s="4">
        <f t="shared" si="92"/>
        <v>11.930192677187716</v>
      </c>
      <c r="K1208" s="4">
        <f t="shared" si="91"/>
        <v>2386.038535437543</v>
      </c>
      <c r="L1208">
        <v>5</v>
      </c>
    </row>
    <row r="1209" spans="1:12" hidden="1" x14ac:dyDescent="0.3">
      <c r="A1209" t="s">
        <v>170</v>
      </c>
      <c r="B1209" t="s">
        <v>163</v>
      </c>
      <c r="C1209" s="4">
        <v>0.65</v>
      </c>
      <c r="D1209" s="4">
        <v>0.65</v>
      </c>
      <c r="E1209">
        <v>8</v>
      </c>
      <c r="F1209" s="1">
        <v>14.840764331210192</v>
      </c>
      <c r="G1209" s="2">
        <f t="shared" si="93"/>
        <v>172.98259926440858</v>
      </c>
      <c r="H1209" s="2">
        <f t="shared" si="94"/>
        <v>65.090403526852967</v>
      </c>
      <c r="I1209" s="2">
        <f t="shared" si="90"/>
        <v>13018.080705370594</v>
      </c>
      <c r="J1209" s="4">
        <f t="shared" si="92"/>
        <v>15.15265200616658</v>
      </c>
      <c r="K1209" s="4">
        <f t="shared" si="91"/>
        <v>3030.5304012333158</v>
      </c>
      <c r="L1209">
        <v>5</v>
      </c>
    </row>
    <row r="1210" spans="1:12" hidden="1" x14ac:dyDescent="0.3">
      <c r="A1210" t="s">
        <v>170</v>
      </c>
      <c r="B1210" t="s">
        <v>163</v>
      </c>
      <c r="C1210" s="4">
        <v>0.65</v>
      </c>
      <c r="D1210" s="4">
        <v>0.65</v>
      </c>
      <c r="E1210">
        <v>7.5</v>
      </c>
      <c r="F1210" s="1">
        <v>20.700636942675157</v>
      </c>
      <c r="G1210" s="2">
        <f t="shared" si="93"/>
        <v>336.55596985214595</v>
      </c>
      <c r="H1210" s="2">
        <f t="shared" si="94"/>
        <v>117.02495761560679</v>
      </c>
      <c r="I1210" s="2">
        <f t="shared" si="90"/>
        <v>23404.99152312136</v>
      </c>
      <c r="J1210" s="4">
        <f t="shared" si="92"/>
        <v>20.234254708101744</v>
      </c>
      <c r="K1210" s="4">
        <f t="shared" si="91"/>
        <v>4046.8509416203487</v>
      </c>
      <c r="L1210">
        <v>5</v>
      </c>
    </row>
    <row r="1211" spans="1:12" hidden="1" x14ac:dyDescent="0.3">
      <c r="A1211" t="s">
        <v>170</v>
      </c>
      <c r="B1211" t="s">
        <v>163</v>
      </c>
      <c r="C1211" s="4">
        <v>0.65</v>
      </c>
      <c r="D1211" s="4">
        <v>0.65</v>
      </c>
      <c r="E1211">
        <v>7</v>
      </c>
      <c r="F1211" s="1">
        <v>16.082802547770701</v>
      </c>
      <c r="G1211" s="2">
        <f t="shared" si="93"/>
        <v>203.14836973146402</v>
      </c>
      <c r="H1211" s="2">
        <f t="shared" si="94"/>
        <v>66.842438387064647</v>
      </c>
      <c r="I1211" s="2">
        <f t="shared" si="90"/>
        <v>13368.487677412928</v>
      </c>
      <c r="J1211" s="4">
        <f t="shared" si="92"/>
        <v>15.322785175869203</v>
      </c>
      <c r="K1211" s="4">
        <f t="shared" si="91"/>
        <v>3064.5570351738406</v>
      </c>
      <c r="L1211">
        <v>5</v>
      </c>
    </row>
    <row r="1212" spans="1:12" hidden="1" x14ac:dyDescent="0.3">
      <c r="A1212" t="s">
        <v>170</v>
      </c>
      <c r="B1212" t="s">
        <v>163</v>
      </c>
      <c r="C1212" s="4">
        <v>0.65</v>
      </c>
      <c r="D1212" s="4">
        <v>0.65</v>
      </c>
      <c r="E1212">
        <v>7</v>
      </c>
      <c r="F1212" s="1">
        <v>5.2547770700636942</v>
      </c>
      <c r="G1212" s="2">
        <f t="shared" si="93"/>
        <v>21.68694977331284</v>
      </c>
      <c r="H1212" s="2">
        <f t="shared" si="94"/>
        <v>7.529327249508075</v>
      </c>
      <c r="I1212" s="2">
        <f t="shared" si="90"/>
        <v>1505.865449901615</v>
      </c>
      <c r="J1212" s="4">
        <f t="shared" si="92"/>
        <v>9.6622107103736461</v>
      </c>
      <c r="K1212" s="4">
        <f t="shared" si="91"/>
        <v>1932.442142074729</v>
      </c>
      <c r="L1212">
        <v>5</v>
      </c>
    </row>
    <row r="1213" spans="1:12" hidden="1" x14ac:dyDescent="0.3">
      <c r="A1213" t="s">
        <v>170</v>
      </c>
      <c r="B1213" t="s">
        <v>163</v>
      </c>
      <c r="C1213" s="4">
        <v>0.65</v>
      </c>
      <c r="D1213" s="4">
        <v>0.65</v>
      </c>
      <c r="E1213">
        <v>7</v>
      </c>
      <c r="F1213" s="1">
        <v>7.0063694267515917</v>
      </c>
      <c r="G1213" s="2">
        <f t="shared" si="93"/>
        <v>38.554577374778376</v>
      </c>
      <c r="H1213" s="2">
        <f t="shared" si="94"/>
        <v>13.201904514041781</v>
      </c>
      <c r="I1213" s="2">
        <f t="shared" si="90"/>
        <v>2640.380902808356</v>
      </c>
      <c r="J1213" s="4">
        <f t="shared" si="92"/>
        <v>10.188385707330925</v>
      </c>
      <c r="K1213" s="4">
        <f t="shared" si="91"/>
        <v>2037.6771414661848</v>
      </c>
      <c r="L1213">
        <v>5</v>
      </c>
    </row>
    <row r="1214" spans="1:12" hidden="1" x14ac:dyDescent="0.3">
      <c r="A1214" t="s">
        <v>170</v>
      </c>
      <c r="B1214" t="s">
        <v>163</v>
      </c>
      <c r="C1214" s="4">
        <v>0.65</v>
      </c>
      <c r="D1214" s="4">
        <v>0.65</v>
      </c>
      <c r="E1214">
        <v>7</v>
      </c>
      <c r="F1214" s="1">
        <v>11.783439490445859</v>
      </c>
      <c r="G1214" s="2">
        <f t="shared" si="93"/>
        <v>109.05210005386697</v>
      </c>
      <c r="H1214" s="2">
        <f t="shared" si="94"/>
        <v>36.421454016606162</v>
      </c>
      <c r="I1214" s="2">
        <f t="shared" si="90"/>
        <v>7284.2908033212325</v>
      </c>
      <c r="J1214" s="4">
        <f t="shared" si="92"/>
        <v>12.387511432512476</v>
      </c>
      <c r="K1214" s="4">
        <f t="shared" si="91"/>
        <v>2477.5022865024953</v>
      </c>
      <c r="L1214">
        <v>5</v>
      </c>
    </row>
    <row r="1215" spans="1:12" hidden="1" x14ac:dyDescent="0.3">
      <c r="A1215" t="s">
        <v>170</v>
      </c>
      <c r="B1215" t="s">
        <v>163</v>
      </c>
      <c r="C1215" s="4">
        <v>0.65</v>
      </c>
      <c r="D1215" s="4">
        <v>0.65</v>
      </c>
      <c r="E1215">
        <v>5.5</v>
      </c>
      <c r="F1215" s="1">
        <v>3.1847133757961781</v>
      </c>
      <c r="G1215" s="2">
        <f t="shared" si="93"/>
        <v>7.9658217716484252</v>
      </c>
      <c r="H1215" s="2">
        <f t="shared" si="94"/>
        <v>2.2387510998409428</v>
      </c>
      <c r="I1215" s="2">
        <f t="shared" si="90"/>
        <v>447.75021996818862</v>
      </c>
      <c r="J1215" s="4">
        <f t="shared" si="92"/>
        <v>9.1809411862550192</v>
      </c>
      <c r="K1215" s="4">
        <f t="shared" si="91"/>
        <v>1836.1882372510038</v>
      </c>
      <c r="L1215">
        <v>5</v>
      </c>
    </row>
    <row r="1216" spans="1:12" hidden="1" x14ac:dyDescent="0.3">
      <c r="A1216" t="s">
        <v>170</v>
      </c>
      <c r="B1216" t="s">
        <v>163</v>
      </c>
      <c r="C1216" s="4">
        <v>0.65</v>
      </c>
      <c r="D1216" s="4">
        <v>0.65</v>
      </c>
      <c r="E1216">
        <v>5</v>
      </c>
      <c r="F1216" s="1">
        <v>4.2993630573248405</v>
      </c>
      <c r="G1216" s="2">
        <f t="shared" si="93"/>
        <v>14.517710178829255</v>
      </c>
      <c r="H1216" s="2">
        <f t="shared" si="94"/>
        <v>3.6645281957150972</v>
      </c>
      <c r="I1216" s="2">
        <f t="shared" si="90"/>
        <v>732.90563914301947</v>
      </c>
      <c r="J1216" s="4">
        <f t="shared" si="92"/>
        <v>9.3091791472270682</v>
      </c>
      <c r="K1216" s="4">
        <f t="shared" si="91"/>
        <v>1861.8358294454138</v>
      </c>
      <c r="L1216">
        <v>5</v>
      </c>
    </row>
    <row r="1217" spans="1:12" hidden="1" x14ac:dyDescent="0.3">
      <c r="A1217" t="s">
        <v>170</v>
      </c>
      <c r="B1217" t="s">
        <v>163</v>
      </c>
      <c r="C1217" s="4">
        <v>0.65</v>
      </c>
      <c r="D1217" s="4">
        <v>0.65</v>
      </c>
      <c r="E1217">
        <v>4</v>
      </c>
      <c r="F1217" s="1">
        <v>2.2292993630573248</v>
      </c>
      <c r="G1217" s="2">
        <f t="shared" si="93"/>
        <v>3.9032526681077284</v>
      </c>
      <c r="H1217" s="2">
        <f t="shared" si="94"/>
        <v>0.81781251618026507</v>
      </c>
      <c r="I1217" s="2">
        <f t="shared" si="90"/>
        <v>163.56250323605303</v>
      </c>
      <c r="J1217" s="4">
        <f t="shared" si="92"/>
        <v>9.055276859101788</v>
      </c>
      <c r="K1217" s="4">
        <f t="shared" si="91"/>
        <v>1811.0553718203578</v>
      </c>
      <c r="L1217">
        <v>5</v>
      </c>
    </row>
    <row r="1218" spans="1:12" hidden="1" x14ac:dyDescent="0.3">
      <c r="A1218" t="s">
        <v>170</v>
      </c>
      <c r="B1218" t="s">
        <v>173</v>
      </c>
      <c r="C1218" s="4">
        <v>0.56572270000000002</v>
      </c>
      <c r="D1218" s="4">
        <v>0.61247410899999999</v>
      </c>
      <c r="E1218">
        <v>3</v>
      </c>
      <c r="F1218" s="1">
        <v>1.910828025477707</v>
      </c>
      <c r="G1218" s="2">
        <f t="shared" si="93"/>
        <v>2.8676958377934336</v>
      </c>
      <c r="H1218" s="2">
        <f t="shared" si="94"/>
        <v>0.43134781801443484</v>
      </c>
      <c r="I1218" s="2">
        <f t="shared" ref="I1218:I1281" si="95">(H1218*1000)/L1218</f>
        <v>86.269563602886961</v>
      </c>
      <c r="J1218" s="4">
        <f t="shared" si="92"/>
        <v>9.024038269300986</v>
      </c>
      <c r="K1218" s="4">
        <f t="shared" ref="K1218:K1281" si="96">(J1218*1000)/L1218</f>
        <v>1804.807653860197</v>
      </c>
      <c r="L1218">
        <v>5</v>
      </c>
    </row>
    <row r="1219" spans="1:12" hidden="1" x14ac:dyDescent="0.3">
      <c r="A1219" t="s">
        <v>170</v>
      </c>
      <c r="B1219" t="s">
        <v>22</v>
      </c>
      <c r="C1219" s="4">
        <v>0.43836446099999998</v>
      </c>
      <c r="D1219" s="4">
        <v>0.58666666700000003</v>
      </c>
      <c r="E1219">
        <v>4.5</v>
      </c>
      <c r="F1219" s="1">
        <v>3.2484076433121016</v>
      </c>
      <c r="G1219" s="2">
        <f t="shared" si="93"/>
        <v>8.2876409712230217</v>
      </c>
      <c r="H1219" s="2">
        <f t="shared" si="94"/>
        <v>1.7309373904084571</v>
      </c>
      <c r="I1219" s="2">
        <f t="shared" si="95"/>
        <v>346.18747808169144</v>
      </c>
      <c r="J1219" s="4">
        <f t="shared" ref="J1219:J1282" si="97">8.9857 + 0.0035 * F1219^2 * E1219</f>
        <v>9.1518963974197725</v>
      </c>
      <c r="K1219" s="4">
        <f t="shared" si="96"/>
        <v>1830.3792794839544</v>
      </c>
      <c r="L1219">
        <v>5</v>
      </c>
    </row>
    <row r="1220" spans="1:12" hidden="1" x14ac:dyDescent="0.3">
      <c r="A1220" t="s">
        <v>170</v>
      </c>
      <c r="B1220" t="s">
        <v>22</v>
      </c>
      <c r="C1220" s="4">
        <v>0.43836446099999998</v>
      </c>
      <c r="D1220" s="4">
        <v>0.58666666700000003</v>
      </c>
      <c r="E1220">
        <v>4.5</v>
      </c>
      <c r="F1220" s="1">
        <v>2.7070063694267517</v>
      </c>
      <c r="G1220" s="2">
        <f t="shared" ref="G1220:G1283" si="98">PI()*(F1220/2)^2</f>
        <v>5.7553062300159885</v>
      </c>
      <c r="H1220" s="2">
        <f t="shared" ref="H1220:H1283" si="99">0.0673 * ((D1220 * F1220^2 * E1220)^0.976)</f>
        <v>1.2126055930268294</v>
      </c>
      <c r="I1220" s="2">
        <f t="shared" si="95"/>
        <v>242.52111860536587</v>
      </c>
      <c r="J1220" s="4">
        <f t="shared" si="97"/>
        <v>9.1011141648748417</v>
      </c>
      <c r="K1220" s="4">
        <f t="shared" si="96"/>
        <v>1820.2228329749682</v>
      </c>
      <c r="L1220">
        <v>5</v>
      </c>
    </row>
    <row r="1221" spans="1:12" hidden="1" x14ac:dyDescent="0.3">
      <c r="A1221" t="s">
        <v>170</v>
      </c>
      <c r="B1221" t="s">
        <v>22</v>
      </c>
      <c r="C1221" s="4">
        <v>0.43836446099999998</v>
      </c>
      <c r="D1221" s="4">
        <v>0.58666666700000003</v>
      </c>
      <c r="E1221">
        <v>3.6</v>
      </c>
      <c r="F1221" s="1">
        <v>1.7834394904458597</v>
      </c>
      <c r="G1221" s="2">
        <f t="shared" si="98"/>
        <v>2.4980817075889461</v>
      </c>
      <c r="H1221" s="2">
        <f t="shared" si="99"/>
        <v>0.43188953417432668</v>
      </c>
      <c r="I1221" s="2">
        <f t="shared" si="95"/>
        <v>86.377906834865342</v>
      </c>
      <c r="J1221" s="4">
        <f t="shared" si="97"/>
        <v>9.0257762708426306</v>
      </c>
      <c r="K1221" s="4">
        <f t="shared" si="96"/>
        <v>1805.1552541685262</v>
      </c>
      <c r="L1221">
        <v>5</v>
      </c>
    </row>
    <row r="1222" spans="1:12" hidden="1" x14ac:dyDescent="0.3">
      <c r="A1222" t="s">
        <v>170</v>
      </c>
      <c r="B1222" t="s">
        <v>22</v>
      </c>
      <c r="C1222" s="4">
        <v>0.43836446099999998</v>
      </c>
      <c r="D1222" s="4">
        <v>0.58666666700000003</v>
      </c>
      <c r="E1222">
        <v>3.4</v>
      </c>
      <c r="F1222" s="1">
        <v>3.4713375796178343</v>
      </c>
      <c r="G1222" s="2">
        <f t="shared" si="98"/>
        <v>9.4641928468954948</v>
      </c>
      <c r="H1222" s="2">
        <f t="shared" si="99"/>
        <v>1.4987816167078667</v>
      </c>
      <c r="I1222" s="2">
        <f t="shared" si="95"/>
        <v>299.75632334157336</v>
      </c>
      <c r="J1222" s="4">
        <f t="shared" si="97"/>
        <v>9.1290971966408367</v>
      </c>
      <c r="K1222" s="4">
        <f t="shared" si="96"/>
        <v>1825.8194393281672</v>
      </c>
      <c r="L1222">
        <v>5</v>
      </c>
    </row>
    <row r="1223" spans="1:12" hidden="1" x14ac:dyDescent="0.3">
      <c r="A1223" t="s">
        <v>174</v>
      </c>
      <c r="B1223" t="s">
        <v>60</v>
      </c>
      <c r="C1223" s="4">
        <v>0.41</v>
      </c>
      <c r="D1223" s="4">
        <v>0.33983503399999998</v>
      </c>
      <c r="E1223">
        <v>8</v>
      </c>
      <c r="F1223" s="4">
        <v>7.6751592356687901</v>
      </c>
      <c r="G1223" s="2">
        <f t="shared" si="98"/>
        <v>46.266289431911233</v>
      </c>
      <c r="H1223" s="2">
        <f t="shared" si="99"/>
        <v>9.5419953108969739</v>
      </c>
      <c r="I1223" s="2">
        <f t="shared" si="95"/>
        <v>1908.3990621793951</v>
      </c>
      <c r="J1223" s="4">
        <f t="shared" si="97"/>
        <v>10.635125940200414</v>
      </c>
      <c r="K1223" s="4">
        <f t="shared" si="96"/>
        <v>2127.0251880400829</v>
      </c>
      <c r="L1223">
        <v>5</v>
      </c>
    </row>
    <row r="1224" spans="1:12" hidden="1" x14ac:dyDescent="0.3">
      <c r="A1224" t="s">
        <v>174</v>
      </c>
      <c r="B1224" t="s">
        <v>113</v>
      </c>
      <c r="C1224" s="4">
        <v>0.6</v>
      </c>
      <c r="D1224" s="4">
        <v>0.51040266700000003</v>
      </c>
      <c r="E1224">
        <v>7.5</v>
      </c>
      <c r="F1224" s="4">
        <v>23.089171974522291</v>
      </c>
      <c r="G1224" s="2">
        <f t="shared" si="98"/>
        <v>418.70350687227034</v>
      </c>
      <c r="H1224" s="2">
        <f t="shared" si="99"/>
        <v>114.38550599755081</v>
      </c>
      <c r="I1224" s="2">
        <f t="shared" si="95"/>
        <v>22877.101199510162</v>
      </c>
      <c r="J1224" s="4">
        <f t="shared" si="97"/>
        <v>22.979833889812973</v>
      </c>
      <c r="K1224" s="4">
        <f t="shared" si="96"/>
        <v>4595.9667779625943</v>
      </c>
      <c r="L1224">
        <v>5</v>
      </c>
    </row>
    <row r="1225" spans="1:12" hidden="1" x14ac:dyDescent="0.3">
      <c r="A1225" t="s">
        <v>174</v>
      </c>
      <c r="B1225" t="s">
        <v>37</v>
      </c>
      <c r="C1225" s="4">
        <v>0.39790071399999999</v>
      </c>
      <c r="D1225" s="4">
        <v>0.50565277799999997</v>
      </c>
      <c r="E1225">
        <v>6.3</v>
      </c>
      <c r="F1225" s="4">
        <v>9.3949044585987256</v>
      </c>
      <c r="G1225" s="2">
        <f t="shared" si="98"/>
        <v>69.322563967770421</v>
      </c>
      <c r="H1225" s="2">
        <f t="shared" si="99"/>
        <v>16.527885009768802</v>
      </c>
      <c r="I1225" s="2">
        <f t="shared" si="95"/>
        <v>3305.5770019537604</v>
      </c>
      <c r="J1225" s="4">
        <f t="shared" si="97"/>
        <v>10.93192626678567</v>
      </c>
      <c r="K1225" s="4">
        <f t="shared" si="96"/>
        <v>2186.3852533571339</v>
      </c>
      <c r="L1225">
        <v>5</v>
      </c>
    </row>
    <row r="1226" spans="1:12" hidden="1" x14ac:dyDescent="0.3">
      <c r="A1226" t="s">
        <v>174</v>
      </c>
      <c r="B1226" t="s">
        <v>37</v>
      </c>
      <c r="C1226" s="4">
        <v>0.39790071399999999</v>
      </c>
      <c r="D1226" s="4">
        <v>0.50565277799999997</v>
      </c>
      <c r="E1226">
        <v>5.5</v>
      </c>
      <c r="F1226" s="4">
        <v>8.4713375796178347</v>
      </c>
      <c r="G1226" s="2">
        <f t="shared" si="98"/>
        <v>56.362968527475616</v>
      </c>
      <c r="H1226" s="2">
        <f t="shared" si="99"/>
        <v>11.82854348613442</v>
      </c>
      <c r="I1226" s="2">
        <f t="shared" si="95"/>
        <v>2365.7086972268839</v>
      </c>
      <c r="J1226" s="4">
        <f t="shared" si="97"/>
        <v>10.367148537466022</v>
      </c>
      <c r="K1226" s="4">
        <f t="shared" si="96"/>
        <v>2073.4297074932047</v>
      </c>
      <c r="L1226">
        <v>5</v>
      </c>
    </row>
    <row r="1227" spans="1:12" hidden="1" x14ac:dyDescent="0.3">
      <c r="A1227" t="s">
        <v>174</v>
      </c>
      <c r="B1227" t="s">
        <v>70</v>
      </c>
      <c r="C1227" s="4">
        <v>0.55560299999999996</v>
      </c>
      <c r="D1227" s="4">
        <v>0.55961111100000005</v>
      </c>
      <c r="E1227">
        <v>6.5</v>
      </c>
      <c r="F1227" s="4">
        <v>9.0764331210191074</v>
      </c>
      <c r="G1227" s="2">
        <f t="shared" si="98"/>
        <v>64.702387340214344</v>
      </c>
      <c r="H1227" s="2">
        <f t="shared" si="99"/>
        <v>17.587578581352645</v>
      </c>
      <c r="I1227" s="2">
        <f t="shared" si="95"/>
        <v>3517.5157162705291</v>
      </c>
      <c r="J1227" s="4">
        <f t="shared" si="97"/>
        <v>10.859882269057568</v>
      </c>
      <c r="K1227" s="4">
        <f t="shared" si="96"/>
        <v>2171.9764538115137</v>
      </c>
      <c r="L1227">
        <v>5</v>
      </c>
    </row>
    <row r="1228" spans="1:12" hidden="1" x14ac:dyDescent="0.3">
      <c r="A1228" t="s">
        <v>174</v>
      </c>
      <c r="B1228" t="s">
        <v>70</v>
      </c>
      <c r="C1228" s="4">
        <v>0.55560299999999996</v>
      </c>
      <c r="D1228" s="4">
        <v>0.55961111100000005</v>
      </c>
      <c r="E1228">
        <v>3.5</v>
      </c>
      <c r="F1228" s="4">
        <v>4.936305732484076</v>
      </c>
      <c r="G1228" s="2">
        <f t="shared" si="98"/>
        <v>19.137886806385342</v>
      </c>
      <c r="H1228" s="2">
        <f t="shared" si="99"/>
        <v>2.9274085314021656</v>
      </c>
      <c r="I1228" s="2">
        <f t="shared" si="95"/>
        <v>585.48170628043306</v>
      </c>
      <c r="J1228" s="4">
        <f t="shared" si="97"/>
        <v>9.2841971499858005</v>
      </c>
      <c r="K1228" s="4">
        <f t="shared" si="96"/>
        <v>1856.8394299971601</v>
      </c>
      <c r="L1228">
        <v>5</v>
      </c>
    </row>
    <row r="1229" spans="1:12" hidden="1" x14ac:dyDescent="0.3">
      <c r="A1229" t="s">
        <v>174</v>
      </c>
      <c r="B1229" t="s">
        <v>41</v>
      </c>
      <c r="C1229" s="4">
        <v>0.56193137999999998</v>
      </c>
      <c r="D1229" s="4">
        <v>0.57808694400000005</v>
      </c>
      <c r="E1229">
        <v>6</v>
      </c>
      <c r="F1229" s="4">
        <v>3.9490445859872612</v>
      </c>
      <c r="G1229" s="2">
        <f t="shared" si="98"/>
        <v>12.248247556086621</v>
      </c>
      <c r="H1229" s="2">
        <f t="shared" si="99"/>
        <v>3.3078702498071046</v>
      </c>
      <c r="I1229" s="2">
        <f t="shared" si="95"/>
        <v>661.574049961421</v>
      </c>
      <c r="J1229" s="4">
        <f t="shared" si="97"/>
        <v>9.3131940159844202</v>
      </c>
      <c r="K1229" s="4">
        <f t="shared" si="96"/>
        <v>1862.6388031968841</v>
      </c>
      <c r="L1229">
        <v>5</v>
      </c>
    </row>
    <row r="1230" spans="1:12" hidden="1" x14ac:dyDescent="0.3">
      <c r="A1230" t="s">
        <v>174</v>
      </c>
      <c r="B1230" t="s">
        <v>41</v>
      </c>
      <c r="C1230" s="4">
        <v>0.56193137999999998</v>
      </c>
      <c r="D1230" s="4">
        <v>0.57808694400000005</v>
      </c>
      <c r="E1230">
        <v>5.5</v>
      </c>
      <c r="F1230" s="4">
        <v>21.496815286624201</v>
      </c>
      <c r="G1230" s="2">
        <f t="shared" si="98"/>
        <v>362.94275447073136</v>
      </c>
      <c r="H1230" s="2">
        <f t="shared" si="99"/>
        <v>83.005843241502248</v>
      </c>
      <c r="I1230" s="2">
        <f t="shared" si="95"/>
        <v>16601.168648300452</v>
      </c>
      <c r="J1230" s="4">
        <f t="shared" si="97"/>
        <v>17.88137654874437</v>
      </c>
      <c r="K1230" s="4">
        <f t="shared" si="96"/>
        <v>3576.275309748874</v>
      </c>
      <c r="L1230">
        <v>5</v>
      </c>
    </row>
    <row r="1231" spans="1:12" hidden="1" x14ac:dyDescent="0.3">
      <c r="A1231" t="s">
        <v>174</v>
      </c>
      <c r="B1231" t="s">
        <v>157</v>
      </c>
      <c r="C1231" s="4">
        <v>0.63</v>
      </c>
      <c r="D1231" s="4">
        <v>0.629222222</v>
      </c>
      <c r="E1231">
        <v>2.2000000000000002</v>
      </c>
      <c r="F1231" s="4">
        <v>4.5859872611464967</v>
      </c>
      <c r="G1231" s="2">
        <f t="shared" si="98"/>
        <v>16.517928025690178</v>
      </c>
      <c r="H1231" s="2">
        <f t="shared" si="99"/>
        <v>1.807046245323944</v>
      </c>
      <c r="I1231" s="2">
        <f t="shared" si="95"/>
        <v>361.40924906478881</v>
      </c>
      <c r="J1231" s="4">
        <f t="shared" si="97"/>
        <v>9.1476408495273631</v>
      </c>
      <c r="K1231" s="4">
        <f t="shared" si="96"/>
        <v>1829.5281699054726</v>
      </c>
      <c r="L1231">
        <v>5</v>
      </c>
    </row>
    <row r="1232" spans="1:12" hidden="1" x14ac:dyDescent="0.3">
      <c r="A1232" t="s">
        <v>174</v>
      </c>
      <c r="B1232" t="s">
        <v>157</v>
      </c>
      <c r="C1232" s="4">
        <v>0.63</v>
      </c>
      <c r="D1232" s="4">
        <v>0.629222222</v>
      </c>
      <c r="E1232">
        <v>1.3</v>
      </c>
      <c r="F1232" s="4">
        <v>1.1146496815286624</v>
      </c>
      <c r="G1232" s="2">
        <f t="shared" si="98"/>
        <v>0.9758131670269321</v>
      </c>
      <c r="H1232" s="2">
        <f t="shared" si="99"/>
        <v>6.8370802963854158E-2</v>
      </c>
      <c r="I1232" s="2">
        <f t="shared" si="95"/>
        <v>13.674160592770832</v>
      </c>
      <c r="J1232" s="4">
        <f t="shared" si="97"/>
        <v>8.9913531198020191</v>
      </c>
      <c r="K1232" s="4">
        <f t="shared" si="96"/>
        <v>1798.2706239604038</v>
      </c>
      <c r="L1232">
        <v>5</v>
      </c>
    </row>
    <row r="1233" spans="1:12" hidden="1" x14ac:dyDescent="0.3">
      <c r="A1233" t="s">
        <v>174</v>
      </c>
      <c r="B1233" t="s">
        <v>57</v>
      </c>
      <c r="C1233" s="4">
        <v>0.61</v>
      </c>
      <c r="D1233" s="4">
        <v>0.84088888900000003</v>
      </c>
      <c r="E1233">
        <v>6.5</v>
      </c>
      <c r="F1233" s="4">
        <v>53.025477707006367</v>
      </c>
      <c r="G1233" s="2">
        <f t="shared" si="98"/>
        <v>2208.3050260908058</v>
      </c>
      <c r="H1233" s="2">
        <f t="shared" si="99"/>
        <v>820.64873958729186</v>
      </c>
      <c r="I1233" s="2">
        <f t="shared" si="95"/>
        <v>164129.74791745836</v>
      </c>
      <c r="J1233" s="4">
        <f t="shared" si="97"/>
        <v>72.951904257779205</v>
      </c>
      <c r="K1233" s="4">
        <f t="shared" si="96"/>
        <v>14590.380851555839</v>
      </c>
      <c r="L1233">
        <v>5</v>
      </c>
    </row>
    <row r="1234" spans="1:12" hidden="1" x14ac:dyDescent="0.3">
      <c r="A1234" t="s">
        <v>174</v>
      </c>
      <c r="B1234" t="s">
        <v>135</v>
      </c>
      <c r="C1234" s="4">
        <v>0.84088890000000005</v>
      </c>
      <c r="D1234" s="4">
        <v>0.84088888900000003</v>
      </c>
      <c r="E1234">
        <v>10</v>
      </c>
      <c r="F1234" s="4">
        <v>33.312101910828019</v>
      </c>
      <c r="G1234" s="2">
        <f t="shared" si="98"/>
        <v>871.55330535088876</v>
      </c>
      <c r="H1234" s="2">
        <f t="shared" si="99"/>
        <v>504.28857224954567</v>
      </c>
      <c r="I1234" s="2">
        <f t="shared" si="95"/>
        <v>100857.71444990914</v>
      </c>
      <c r="J1234" s="4">
        <f t="shared" si="97"/>
        <v>47.825064680108717</v>
      </c>
      <c r="K1234" s="4">
        <f t="shared" si="96"/>
        <v>9565.0129360217434</v>
      </c>
      <c r="L1234">
        <v>5</v>
      </c>
    </row>
    <row r="1235" spans="1:12" hidden="1" x14ac:dyDescent="0.3">
      <c r="A1235" t="s">
        <v>174</v>
      </c>
      <c r="B1235" t="s">
        <v>135</v>
      </c>
      <c r="C1235" s="4">
        <v>0.84088890000000005</v>
      </c>
      <c r="D1235" s="4">
        <v>0.84088888900000003</v>
      </c>
      <c r="E1235">
        <v>9</v>
      </c>
      <c r="F1235" s="4">
        <v>5.5732484076433115</v>
      </c>
      <c r="G1235" s="2">
        <f t="shared" si="98"/>
        <v>24.395329175673304</v>
      </c>
      <c r="H1235" s="2">
        <f t="shared" si="99"/>
        <v>13.877276409368095</v>
      </c>
      <c r="I1235" s="2">
        <f t="shared" si="95"/>
        <v>2775.4552818736188</v>
      </c>
      <c r="J1235" s="4">
        <f t="shared" si="97"/>
        <v>9.9641245811189094</v>
      </c>
      <c r="K1235" s="4">
        <f t="shared" si="96"/>
        <v>1992.8249162237819</v>
      </c>
      <c r="L1235">
        <v>5</v>
      </c>
    </row>
    <row r="1236" spans="1:12" hidden="1" x14ac:dyDescent="0.3">
      <c r="A1236" t="s">
        <v>174</v>
      </c>
      <c r="B1236" t="s">
        <v>135</v>
      </c>
      <c r="C1236" s="4">
        <v>0.84088890000000005</v>
      </c>
      <c r="D1236" s="4">
        <v>0.84088888900000003</v>
      </c>
      <c r="E1236">
        <v>9</v>
      </c>
      <c r="F1236" s="4">
        <v>13.248407643312103</v>
      </c>
      <c r="G1236" s="2">
        <f t="shared" si="98"/>
        <v>137.85332525143903</v>
      </c>
      <c r="H1236" s="2">
        <f t="shared" si="99"/>
        <v>75.225338222172667</v>
      </c>
      <c r="I1236" s="2">
        <f t="shared" si="95"/>
        <v>15045.067644434534</v>
      </c>
      <c r="J1236" s="4">
        <f t="shared" si="97"/>
        <v>14.514589610126173</v>
      </c>
      <c r="K1236" s="4">
        <f t="shared" si="96"/>
        <v>2902.9179220252345</v>
      </c>
      <c r="L1236">
        <v>5</v>
      </c>
    </row>
    <row r="1237" spans="1:12" hidden="1" x14ac:dyDescent="0.3">
      <c r="A1237" t="s">
        <v>174</v>
      </c>
      <c r="B1237" t="s">
        <v>175</v>
      </c>
      <c r="C1237" s="4">
        <v>0.78713326400000005</v>
      </c>
      <c r="D1237" s="4">
        <v>0.8155</v>
      </c>
      <c r="E1237">
        <v>3.5</v>
      </c>
      <c r="F1237" s="4">
        <v>6.6878980891719744</v>
      </c>
      <c r="G1237" s="2">
        <f t="shared" si="98"/>
        <v>35.12927401296956</v>
      </c>
      <c r="H1237" s="2">
        <f t="shared" si="99"/>
        <v>7.6478727980528429</v>
      </c>
      <c r="I1237" s="2">
        <f t="shared" si="95"/>
        <v>1529.5745596105685</v>
      </c>
      <c r="J1237" s="4">
        <f t="shared" si="97"/>
        <v>9.5336177654265892</v>
      </c>
      <c r="K1237" s="4">
        <f t="shared" si="96"/>
        <v>1906.7235530853177</v>
      </c>
      <c r="L1237">
        <v>5</v>
      </c>
    </row>
    <row r="1238" spans="1:12" hidden="1" x14ac:dyDescent="0.3">
      <c r="A1238" t="s">
        <v>174</v>
      </c>
      <c r="B1238" t="s">
        <v>118</v>
      </c>
      <c r="C1238" s="4">
        <v>0.56023871300000005</v>
      </c>
      <c r="D1238" s="4">
        <v>0.74103703700000001</v>
      </c>
      <c r="E1238">
        <v>7</v>
      </c>
      <c r="F1238" s="4">
        <v>14.29936305732484</v>
      </c>
      <c r="G1238" s="2">
        <f t="shared" si="98"/>
        <v>160.59176349860942</v>
      </c>
      <c r="H1238" s="2">
        <f t="shared" si="99"/>
        <v>60.391065554207593</v>
      </c>
      <c r="I1238" s="2">
        <f t="shared" si="95"/>
        <v>12078.213110841518</v>
      </c>
      <c r="J1238" s="4">
        <f t="shared" si="97"/>
        <v>13.995258704207066</v>
      </c>
      <c r="K1238" s="4">
        <f t="shared" si="96"/>
        <v>2799.0517408414134</v>
      </c>
      <c r="L1238">
        <v>5</v>
      </c>
    </row>
    <row r="1239" spans="1:12" hidden="1" x14ac:dyDescent="0.3">
      <c r="A1239" t="s">
        <v>176</v>
      </c>
      <c r="B1239" t="s">
        <v>75</v>
      </c>
      <c r="C1239" s="4">
        <v>0.86</v>
      </c>
      <c r="D1239" s="4">
        <v>0.65666666699999998</v>
      </c>
      <c r="E1239">
        <v>7</v>
      </c>
      <c r="F1239" s="1">
        <v>9.2356687898089174</v>
      </c>
      <c r="G1239" s="2">
        <f t="shared" si="98"/>
        <v>66.992561099563275</v>
      </c>
      <c r="H1239" s="2">
        <f t="shared" si="99"/>
        <v>22.864076391671723</v>
      </c>
      <c r="I1239" s="2">
        <f t="shared" si="95"/>
        <v>4572.8152783343448</v>
      </c>
      <c r="J1239" s="4">
        <f t="shared" si="97"/>
        <v>11.075490660878737</v>
      </c>
      <c r="K1239" s="4">
        <f t="shared" si="96"/>
        <v>2215.0981321757472</v>
      </c>
      <c r="L1239">
        <v>5</v>
      </c>
    </row>
    <row r="1240" spans="1:12" hidden="1" x14ac:dyDescent="0.3">
      <c r="A1240" t="s">
        <v>176</v>
      </c>
      <c r="B1240" t="s">
        <v>75</v>
      </c>
      <c r="C1240" s="4">
        <v>0.86</v>
      </c>
      <c r="D1240" s="4">
        <v>0.65666666699999998</v>
      </c>
      <c r="E1240">
        <v>6</v>
      </c>
      <c r="F1240" s="1">
        <v>6.8471337579617835</v>
      </c>
      <c r="G1240" s="2">
        <f t="shared" si="98"/>
        <v>36.822011139444854</v>
      </c>
      <c r="H1240" s="2">
        <f t="shared" si="99"/>
        <v>10.968129706042994</v>
      </c>
      <c r="I1240" s="2">
        <f t="shared" si="95"/>
        <v>2193.6259412085988</v>
      </c>
      <c r="J1240" s="4">
        <f t="shared" si="97"/>
        <v>9.9702480546878167</v>
      </c>
      <c r="K1240" s="4">
        <f t="shared" si="96"/>
        <v>1994.0496109375631</v>
      </c>
      <c r="L1240">
        <v>5</v>
      </c>
    </row>
    <row r="1241" spans="1:12" hidden="1" x14ac:dyDescent="0.3">
      <c r="A1241" t="s">
        <v>176</v>
      </c>
      <c r="B1241" t="s">
        <v>75</v>
      </c>
      <c r="C1241" s="4">
        <v>0.86</v>
      </c>
      <c r="D1241" s="4">
        <v>0.65666666699999998</v>
      </c>
      <c r="E1241">
        <v>5</v>
      </c>
      <c r="F1241" s="1">
        <v>7.1656050955414008</v>
      </c>
      <c r="G1241" s="2">
        <f t="shared" si="98"/>
        <v>40.326972718970154</v>
      </c>
      <c r="H1241" s="2">
        <f t="shared" si="99"/>
        <v>10.032105325792706</v>
      </c>
      <c r="I1241" s="2">
        <f t="shared" si="95"/>
        <v>2006.4210651585413</v>
      </c>
      <c r="J1241" s="4">
        <f t="shared" si="97"/>
        <v>9.884253186741855</v>
      </c>
      <c r="K1241" s="4">
        <f t="shared" si="96"/>
        <v>1976.850637348371</v>
      </c>
      <c r="L1241">
        <v>5</v>
      </c>
    </row>
    <row r="1242" spans="1:12" hidden="1" x14ac:dyDescent="0.3">
      <c r="A1242" t="s">
        <v>176</v>
      </c>
      <c r="B1242" t="s">
        <v>75</v>
      </c>
      <c r="C1242" s="4">
        <v>0.86</v>
      </c>
      <c r="D1242" s="4">
        <v>0.65666666699999998</v>
      </c>
      <c r="E1242">
        <v>4.5</v>
      </c>
      <c r="F1242" s="1">
        <v>9.2356687898089174</v>
      </c>
      <c r="G1242" s="2">
        <f t="shared" si="98"/>
        <v>66.992561099563275</v>
      </c>
      <c r="H1242" s="2">
        <f t="shared" si="99"/>
        <v>14.855025063025295</v>
      </c>
      <c r="I1242" s="2">
        <f t="shared" si="95"/>
        <v>2971.0050126050587</v>
      </c>
      <c r="J1242" s="4">
        <f t="shared" si="97"/>
        <v>10.329136853422046</v>
      </c>
      <c r="K1242" s="4">
        <f t="shared" si="96"/>
        <v>2065.8273706844093</v>
      </c>
      <c r="L1242">
        <v>5</v>
      </c>
    </row>
    <row r="1243" spans="1:12" hidden="1" x14ac:dyDescent="0.3">
      <c r="A1243" t="s">
        <v>176</v>
      </c>
      <c r="B1243" t="s">
        <v>26</v>
      </c>
      <c r="C1243" s="4">
        <v>0.80908761900000004</v>
      </c>
      <c r="D1243" s="4">
        <v>0.87473809499999999</v>
      </c>
      <c r="E1243">
        <v>8</v>
      </c>
      <c r="F1243" s="1">
        <v>16.560509554140125</v>
      </c>
      <c r="G1243" s="2">
        <f t="shared" si="98"/>
        <v>215.39582070537341</v>
      </c>
      <c r="H1243" s="2">
        <f t="shared" si="99"/>
        <v>107.72976508608947</v>
      </c>
      <c r="I1243" s="2">
        <f t="shared" si="95"/>
        <v>21545.953017217897</v>
      </c>
      <c r="J1243" s="4">
        <f t="shared" si="97"/>
        <v>16.664713347397459</v>
      </c>
      <c r="K1243" s="4">
        <f t="shared" si="96"/>
        <v>3332.942669479492</v>
      </c>
      <c r="L1243">
        <v>5</v>
      </c>
    </row>
    <row r="1244" spans="1:12" hidden="1" x14ac:dyDescent="0.3">
      <c r="A1244" t="s">
        <v>176</v>
      </c>
      <c r="B1244" t="s">
        <v>60</v>
      </c>
      <c r="C1244" s="4">
        <v>0.41</v>
      </c>
      <c r="D1244" s="4">
        <v>0.33983503399999998</v>
      </c>
      <c r="E1244">
        <v>8</v>
      </c>
      <c r="F1244" s="1">
        <v>15.286624203821656</v>
      </c>
      <c r="G1244" s="2">
        <f t="shared" si="98"/>
        <v>183.53253361877975</v>
      </c>
      <c r="H1244" s="2">
        <f t="shared" si="99"/>
        <v>36.620546999700032</v>
      </c>
      <c r="I1244" s="2">
        <f t="shared" si="95"/>
        <v>7324.1093999400064</v>
      </c>
      <c r="J1244" s="4">
        <f t="shared" si="97"/>
        <v>15.52876462736825</v>
      </c>
      <c r="K1244" s="4">
        <f t="shared" si="96"/>
        <v>3105.7529254736501</v>
      </c>
      <c r="L1244">
        <v>5</v>
      </c>
    </row>
    <row r="1245" spans="1:12" hidden="1" x14ac:dyDescent="0.3">
      <c r="A1245" t="s">
        <v>176</v>
      </c>
      <c r="B1245" t="s">
        <v>17</v>
      </c>
      <c r="C1245" s="4">
        <v>0.708787469</v>
      </c>
      <c r="D1245" s="4">
        <v>0.80167708299999996</v>
      </c>
      <c r="E1245">
        <v>2</v>
      </c>
      <c r="F1245" s="1">
        <v>4.0999999999999996</v>
      </c>
      <c r="G1245" s="2">
        <f t="shared" si="98"/>
        <v>13.202543126711104</v>
      </c>
      <c r="H1245" s="2">
        <f t="shared" si="99"/>
        <v>1.6760150339120039</v>
      </c>
      <c r="I1245" s="2">
        <f t="shared" si="95"/>
        <v>335.20300678240079</v>
      </c>
      <c r="J1245" s="4">
        <f t="shared" si="97"/>
        <v>9.10337</v>
      </c>
      <c r="K1245" s="4">
        <f t="shared" si="96"/>
        <v>1820.6740000000002</v>
      </c>
      <c r="L1245">
        <v>5</v>
      </c>
    </row>
    <row r="1246" spans="1:12" hidden="1" x14ac:dyDescent="0.3">
      <c r="A1246" t="s">
        <v>176</v>
      </c>
      <c r="B1246" t="s">
        <v>157</v>
      </c>
      <c r="C1246" s="4">
        <v>0.63</v>
      </c>
      <c r="D1246" s="4">
        <v>0.629222222</v>
      </c>
      <c r="E1246">
        <v>2.6</v>
      </c>
      <c r="F1246" s="1">
        <v>2.3885350318471334</v>
      </c>
      <c r="G1246" s="2">
        <f t="shared" si="98"/>
        <v>4.480774746552239</v>
      </c>
      <c r="H1246" s="2">
        <f t="shared" si="99"/>
        <v>0.59535323762348202</v>
      </c>
      <c r="I1246" s="2">
        <f t="shared" si="95"/>
        <v>119.07064752469641</v>
      </c>
      <c r="J1246" s="4">
        <f t="shared" si="97"/>
        <v>9.0376164063450837</v>
      </c>
      <c r="K1246" s="4">
        <f t="shared" si="96"/>
        <v>1807.5232812690167</v>
      </c>
      <c r="L1246">
        <v>5</v>
      </c>
    </row>
    <row r="1247" spans="1:12" hidden="1" x14ac:dyDescent="0.3">
      <c r="A1247" t="s">
        <v>176</v>
      </c>
      <c r="B1247" t="s">
        <v>157</v>
      </c>
      <c r="C1247" s="4">
        <v>0.63</v>
      </c>
      <c r="D1247" s="4">
        <v>0.629222222</v>
      </c>
      <c r="E1247">
        <v>2.2000000000000002</v>
      </c>
      <c r="F1247" s="1">
        <v>1.910828025477707</v>
      </c>
      <c r="G1247" s="2">
        <f t="shared" si="98"/>
        <v>2.8676958377934336</v>
      </c>
      <c r="H1247" s="2">
        <f t="shared" si="99"/>
        <v>0.32718766562432566</v>
      </c>
      <c r="I1247" s="2">
        <f t="shared" si="95"/>
        <v>65.437533124865141</v>
      </c>
      <c r="J1247" s="4">
        <f t="shared" si="97"/>
        <v>9.013814730820723</v>
      </c>
      <c r="K1247" s="4">
        <f t="shared" si="96"/>
        <v>1802.7629461641445</v>
      </c>
      <c r="L1247">
        <v>5</v>
      </c>
    </row>
    <row r="1248" spans="1:12" hidden="1" x14ac:dyDescent="0.3">
      <c r="A1248" t="s">
        <v>176</v>
      </c>
      <c r="B1248" t="s">
        <v>157</v>
      </c>
      <c r="C1248" s="4">
        <v>0.63</v>
      </c>
      <c r="D1248" s="4">
        <v>0.629222222</v>
      </c>
      <c r="E1248">
        <v>1.45</v>
      </c>
      <c r="F1248" s="1">
        <v>0.46178343949044581</v>
      </c>
      <c r="G1248" s="2">
        <f t="shared" si="98"/>
        <v>0.16748140274890813</v>
      </c>
      <c r="H1248" s="2">
        <f t="shared" si="99"/>
        <v>1.361841788557773E-2</v>
      </c>
      <c r="I1248" s="2">
        <f t="shared" si="95"/>
        <v>2.7236835771155459</v>
      </c>
      <c r="J1248" s="4">
        <f t="shared" si="97"/>
        <v>8.9867822130208115</v>
      </c>
      <c r="K1248" s="4">
        <f t="shared" si="96"/>
        <v>1797.3564426041623</v>
      </c>
      <c r="L1248">
        <v>5</v>
      </c>
    </row>
    <row r="1249" spans="1:12" hidden="1" x14ac:dyDescent="0.3">
      <c r="A1249" t="s">
        <v>176</v>
      </c>
      <c r="B1249" t="s">
        <v>157</v>
      </c>
      <c r="C1249" s="4">
        <v>0.63</v>
      </c>
      <c r="D1249" s="4">
        <v>0.629222222</v>
      </c>
      <c r="E1249">
        <v>2.2000000000000002</v>
      </c>
      <c r="F1249" s="1">
        <v>1.592356687898089</v>
      </c>
      <c r="G1249" s="2">
        <f t="shared" si="98"/>
        <v>1.9914554429121063</v>
      </c>
      <c r="H1249" s="2">
        <f t="shared" si="99"/>
        <v>0.22921082848168559</v>
      </c>
      <c r="I1249" s="2">
        <f t="shared" si="95"/>
        <v>45.842165696337119</v>
      </c>
      <c r="J1249" s="4">
        <f t="shared" si="97"/>
        <v>9.0052241186255024</v>
      </c>
      <c r="K1249" s="4">
        <f t="shared" si="96"/>
        <v>1801.0448237251007</v>
      </c>
      <c r="L1249">
        <v>5</v>
      </c>
    </row>
    <row r="1250" spans="1:12" hidden="1" x14ac:dyDescent="0.3">
      <c r="A1250" t="s">
        <v>176</v>
      </c>
      <c r="B1250" t="s">
        <v>39</v>
      </c>
      <c r="C1250" s="4">
        <v>0.590536375</v>
      </c>
      <c r="D1250" s="4">
        <v>0.61247410899999999</v>
      </c>
      <c r="E1250">
        <v>9</v>
      </c>
      <c r="F1250" s="1">
        <v>43.630573248407643</v>
      </c>
      <c r="G1250" s="2">
        <f t="shared" si="98"/>
        <v>1495.1050883206933</v>
      </c>
      <c r="H1250" s="2">
        <f t="shared" si="99"/>
        <v>565.49042587832514</v>
      </c>
      <c r="I1250" s="2">
        <f t="shared" si="95"/>
        <v>113098.08517566502</v>
      </c>
      <c r="J1250" s="4">
        <f t="shared" si="97"/>
        <v>68.949948042516937</v>
      </c>
      <c r="K1250" s="4">
        <f t="shared" si="96"/>
        <v>13789.989608503387</v>
      </c>
      <c r="L1250">
        <v>5</v>
      </c>
    </row>
    <row r="1251" spans="1:12" hidden="1" x14ac:dyDescent="0.3">
      <c r="A1251" t="s">
        <v>176</v>
      </c>
      <c r="B1251" t="s">
        <v>22</v>
      </c>
      <c r="C1251" s="4">
        <v>0.43836446099999998</v>
      </c>
      <c r="D1251" s="4">
        <v>0.58666666700000003</v>
      </c>
      <c r="E1251">
        <v>4.5</v>
      </c>
      <c r="F1251" s="1">
        <v>3.5031847133757958</v>
      </c>
      <c r="G1251" s="2">
        <f t="shared" si="98"/>
        <v>9.6386443436945939</v>
      </c>
      <c r="H1251" s="2">
        <f t="shared" si="99"/>
        <v>2.0058217926455892</v>
      </c>
      <c r="I1251" s="2">
        <f t="shared" si="95"/>
        <v>401.16435852911786</v>
      </c>
      <c r="J1251" s="4">
        <f t="shared" si="97"/>
        <v>9.1789887743924705</v>
      </c>
      <c r="K1251" s="4">
        <f t="shared" si="96"/>
        <v>1835.7977548784941</v>
      </c>
      <c r="L1251">
        <v>5</v>
      </c>
    </row>
    <row r="1252" spans="1:12" hidden="1" x14ac:dyDescent="0.3">
      <c r="A1252" t="s">
        <v>176</v>
      </c>
      <c r="B1252" t="s">
        <v>22</v>
      </c>
      <c r="C1252" s="4">
        <v>0.43836446099999998</v>
      </c>
      <c r="D1252" s="4">
        <v>0.58666666700000003</v>
      </c>
      <c r="E1252">
        <v>1.8</v>
      </c>
      <c r="F1252" s="1">
        <v>1.1146496815286624</v>
      </c>
      <c r="G1252" s="2">
        <f t="shared" si="98"/>
        <v>0.9758131670269321</v>
      </c>
      <c r="H1252" s="2">
        <f t="shared" si="99"/>
        <v>8.7725367887138847E-2</v>
      </c>
      <c r="I1252" s="2">
        <f t="shared" si="95"/>
        <v>17.545073577427768</v>
      </c>
      <c r="J1252" s="4">
        <f t="shared" si="97"/>
        <v>8.9935273966489504</v>
      </c>
      <c r="K1252" s="4">
        <f t="shared" si="96"/>
        <v>1798.7054793297903</v>
      </c>
      <c r="L1252">
        <v>5</v>
      </c>
    </row>
    <row r="1253" spans="1:12" hidden="1" x14ac:dyDescent="0.3">
      <c r="A1253" t="s">
        <v>176</v>
      </c>
      <c r="B1253" t="s">
        <v>149</v>
      </c>
      <c r="C1253" s="4">
        <v>0.41185709999999998</v>
      </c>
      <c r="D1253" s="4">
        <v>0.41185714299999998</v>
      </c>
      <c r="E1253">
        <v>6</v>
      </c>
      <c r="F1253" s="1">
        <v>37.484076433121011</v>
      </c>
      <c r="G1253" s="2">
        <f t="shared" si="98"/>
        <v>1103.528390909594</v>
      </c>
      <c r="H1253" s="2">
        <f t="shared" si="99"/>
        <v>192.14644381618061</v>
      </c>
      <c r="I1253" s="2">
        <f t="shared" si="95"/>
        <v>38429.288763236123</v>
      </c>
      <c r="J1253" s="4">
        <f t="shared" si="97"/>
        <v>38.491875706925221</v>
      </c>
      <c r="K1253" s="4">
        <f t="shared" si="96"/>
        <v>7698.375141385045</v>
      </c>
      <c r="L1253">
        <v>5</v>
      </c>
    </row>
    <row r="1254" spans="1:12" hidden="1" x14ac:dyDescent="0.3">
      <c r="A1254" t="s">
        <v>177</v>
      </c>
      <c r="B1254" t="s">
        <v>75</v>
      </c>
      <c r="C1254" s="4">
        <v>0.86</v>
      </c>
      <c r="D1254" s="4">
        <v>0.65666666699999998</v>
      </c>
      <c r="E1254">
        <v>7</v>
      </c>
      <c r="F1254" s="1">
        <v>10.445859872611464</v>
      </c>
      <c r="G1254" s="2">
        <f t="shared" si="98"/>
        <v>85.699496948102421</v>
      </c>
      <c r="H1254" s="2">
        <f t="shared" si="99"/>
        <v>29.076257980882808</v>
      </c>
      <c r="I1254" s="2">
        <f t="shared" si="95"/>
        <v>5815.2515961765621</v>
      </c>
      <c r="J1254" s="4">
        <f t="shared" si="97"/>
        <v>11.659041717716743</v>
      </c>
      <c r="K1254" s="4">
        <f t="shared" si="96"/>
        <v>2331.8083435433487</v>
      </c>
      <c r="L1254">
        <v>5</v>
      </c>
    </row>
    <row r="1255" spans="1:12" hidden="1" x14ac:dyDescent="0.3">
      <c r="A1255" t="s">
        <v>177</v>
      </c>
      <c r="B1255" t="s">
        <v>153</v>
      </c>
      <c r="C1255" s="4">
        <v>0.57550000000000001</v>
      </c>
      <c r="D1255" s="4">
        <v>0.57550000000000001</v>
      </c>
      <c r="E1255">
        <v>1.9</v>
      </c>
      <c r="F1255" s="1">
        <v>1.8789808917197452</v>
      </c>
      <c r="G1255" s="2">
        <f t="shared" si="98"/>
        <v>2.7729025587108174</v>
      </c>
      <c r="H1255" s="2">
        <f t="shared" si="99"/>
        <v>0.25152390821075521</v>
      </c>
      <c r="I1255" s="2">
        <f t="shared" si="95"/>
        <v>50.304781642151042</v>
      </c>
      <c r="J1255" s="4">
        <f t="shared" si="97"/>
        <v>9.009178285123129</v>
      </c>
      <c r="K1255" s="4">
        <f t="shared" si="96"/>
        <v>1801.8356570246258</v>
      </c>
      <c r="L1255">
        <v>5</v>
      </c>
    </row>
    <row r="1256" spans="1:12" hidden="1" x14ac:dyDescent="0.3">
      <c r="A1256" t="s">
        <v>177</v>
      </c>
      <c r="B1256" t="s">
        <v>153</v>
      </c>
      <c r="C1256" s="4">
        <v>0.57550000000000001</v>
      </c>
      <c r="D1256" s="4">
        <v>0.57550000000000001</v>
      </c>
      <c r="E1256">
        <v>1.8</v>
      </c>
      <c r="F1256" s="1">
        <v>1.4649681528662419</v>
      </c>
      <c r="G1256" s="2">
        <f t="shared" si="98"/>
        <v>1.6855678868808071</v>
      </c>
      <c r="H1256" s="2">
        <f t="shared" si="99"/>
        <v>0.14677831025721508</v>
      </c>
      <c r="I1256" s="2">
        <f t="shared" si="95"/>
        <v>29.355662051443016</v>
      </c>
      <c r="J1256" s="4">
        <f t="shared" si="97"/>
        <v>8.9992206296401474</v>
      </c>
      <c r="K1256" s="4">
        <f t="shared" si="96"/>
        <v>1799.8441259280294</v>
      </c>
      <c r="L1256">
        <v>5</v>
      </c>
    </row>
    <row r="1257" spans="1:12" hidden="1" x14ac:dyDescent="0.3">
      <c r="A1257" t="s">
        <v>177</v>
      </c>
      <c r="B1257" t="s">
        <v>153</v>
      </c>
      <c r="C1257" s="4">
        <v>0.57550000000000001</v>
      </c>
      <c r="D1257" s="4">
        <v>0.57550000000000001</v>
      </c>
      <c r="E1257">
        <v>2.5</v>
      </c>
      <c r="F1257" s="1">
        <v>1.910828025477707</v>
      </c>
      <c r="G1257" s="2">
        <f t="shared" si="98"/>
        <v>2.8676958377934336</v>
      </c>
      <c r="H1257" s="2">
        <f t="shared" si="99"/>
        <v>0.33974519284911719</v>
      </c>
      <c r="I1257" s="2">
        <f t="shared" si="95"/>
        <v>67.949038569823443</v>
      </c>
      <c r="J1257" s="4">
        <f t="shared" si="97"/>
        <v>9.017648557750821</v>
      </c>
      <c r="K1257" s="4">
        <f t="shared" si="96"/>
        <v>1803.5297115501642</v>
      </c>
      <c r="L1257">
        <v>5</v>
      </c>
    </row>
    <row r="1258" spans="1:12" hidden="1" x14ac:dyDescent="0.3">
      <c r="A1258" t="s">
        <v>177</v>
      </c>
      <c r="B1258" t="s">
        <v>60</v>
      </c>
      <c r="C1258" s="4">
        <v>0.41</v>
      </c>
      <c r="D1258" s="4">
        <v>0.33983503399999998</v>
      </c>
      <c r="E1258">
        <v>7</v>
      </c>
      <c r="F1258" s="4">
        <v>12.929936305732484</v>
      </c>
      <c r="G1258" s="2">
        <f t="shared" si="98"/>
        <v>131.30541975514402</v>
      </c>
      <c r="H1258" s="2">
        <f t="shared" si="99"/>
        <v>23.183799326320926</v>
      </c>
      <c r="I1258" s="2">
        <f t="shared" si="95"/>
        <v>4636.7598652641846</v>
      </c>
      <c r="J1258" s="4">
        <f t="shared" si="97"/>
        <v>13.081689695322325</v>
      </c>
      <c r="K1258" s="4">
        <f t="shared" si="96"/>
        <v>2616.337939064465</v>
      </c>
      <c r="L1258">
        <v>5</v>
      </c>
    </row>
    <row r="1259" spans="1:12" hidden="1" x14ac:dyDescent="0.3">
      <c r="A1259" t="s">
        <v>177</v>
      </c>
      <c r="B1259" t="s">
        <v>60</v>
      </c>
      <c r="C1259" s="4">
        <v>0.41</v>
      </c>
      <c r="D1259" s="4">
        <v>0.33983503399999998</v>
      </c>
      <c r="E1259">
        <v>2</v>
      </c>
      <c r="F1259" s="4">
        <v>2.0382165605095541</v>
      </c>
      <c r="G1259" s="2">
        <f t="shared" si="98"/>
        <v>3.2628005976671957</v>
      </c>
      <c r="H1259" s="2">
        <f t="shared" si="99"/>
        <v>0.18535089582712658</v>
      </c>
      <c r="I1259" s="2">
        <f t="shared" si="95"/>
        <v>37.070179165425316</v>
      </c>
      <c r="J1259" s="4">
        <f t="shared" si="97"/>
        <v>9.0147802872327478</v>
      </c>
      <c r="K1259" s="4">
        <f t="shared" si="96"/>
        <v>1802.9560574465497</v>
      </c>
      <c r="L1259">
        <v>5</v>
      </c>
    </row>
    <row r="1260" spans="1:12" hidden="1" x14ac:dyDescent="0.3">
      <c r="A1260" t="s">
        <v>177</v>
      </c>
      <c r="B1260" t="s">
        <v>60</v>
      </c>
      <c r="C1260" s="4">
        <v>0.41</v>
      </c>
      <c r="D1260" s="4">
        <v>0.33983503399999998</v>
      </c>
      <c r="E1260">
        <v>7</v>
      </c>
      <c r="F1260" s="4">
        <v>6.0509554140127388</v>
      </c>
      <c r="G1260" s="2">
        <f t="shared" si="98"/>
        <v>28.756616595650822</v>
      </c>
      <c r="H1260" s="2">
        <f t="shared" si="99"/>
        <v>5.2658540816063697</v>
      </c>
      <c r="I1260" s="2">
        <f t="shared" si="95"/>
        <v>1053.1708163212738</v>
      </c>
      <c r="J1260" s="4">
        <f t="shared" si="97"/>
        <v>9.8827445048480662</v>
      </c>
      <c r="K1260" s="4">
        <f t="shared" si="96"/>
        <v>1976.5489009696132</v>
      </c>
      <c r="L1260">
        <v>5</v>
      </c>
    </row>
    <row r="1261" spans="1:12" hidden="1" x14ac:dyDescent="0.3">
      <c r="A1261" t="s">
        <v>177</v>
      </c>
      <c r="B1261" t="s">
        <v>60</v>
      </c>
      <c r="C1261" s="4">
        <v>0.41</v>
      </c>
      <c r="D1261" s="4">
        <v>0.33983503399999998</v>
      </c>
      <c r="E1261">
        <v>5.5</v>
      </c>
      <c r="F1261" s="4">
        <v>2.8025477707006372</v>
      </c>
      <c r="G1261" s="2">
        <f t="shared" si="98"/>
        <v>6.1687323799645428</v>
      </c>
      <c r="H1261" s="2">
        <f t="shared" si="99"/>
        <v>0.92629701679231569</v>
      </c>
      <c r="I1261" s="2">
        <f t="shared" si="95"/>
        <v>185.25940335846315</v>
      </c>
      <c r="J1261" s="4">
        <f t="shared" si="97"/>
        <v>9.1368947746358877</v>
      </c>
      <c r="K1261" s="4">
        <f t="shared" si="96"/>
        <v>1827.3789549271776</v>
      </c>
      <c r="L1261">
        <v>5</v>
      </c>
    </row>
    <row r="1262" spans="1:12" hidden="1" x14ac:dyDescent="0.3">
      <c r="A1262" t="s">
        <v>177</v>
      </c>
      <c r="B1262" t="s">
        <v>14</v>
      </c>
      <c r="C1262" s="4">
        <v>0.766138345</v>
      </c>
      <c r="D1262" s="4">
        <v>0.90500000000000003</v>
      </c>
      <c r="E1262">
        <v>2.7</v>
      </c>
      <c r="F1262" s="4">
        <v>12.197452229299362</v>
      </c>
      <c r="G1262" s="2">
        <f t="shared" si="98"/>
        <v>116.84984298613358</v>
      </c>
      <c r="H1262" s="2">
        <f t="shared" si="99"/>
        <v>21.237942717401907</v>
      </c>
      <c r="I1262" s="2">
        <f t="shared" si="95"/>
        <v>4247.5885434803813</v>
      </c>
      <c r="J1262" s="4">
        <f t="shared" si="97"/>
        <v>10.391650596373077</v>
      </c>
      <c r="K1262" s="4">
        <f t="shared" si="96"/>
        <v>2078.3301192746158</v>
      </c>
      <c r="L1262">
        <v>5</v>
      </c>
    </row>
    <row r="1263" spans="1:12" hidden="1" x14ac:dyDescent="0.3">
      <c r="A1263" t="s">
        <v>177</v>
      </c>
      <c r="B1263" t="s">
        <v>171</v>
      </c>
      <c r="C1263" s="4">
        <v>0.6671667</v>
      </c>
      <c r="D1263" s="4">
        <v>0.66716666700000005</v>
      </c>
      <c r="E1263">
        <v>1.75</v>
      </c>
      <c r="F1263" s="4">
        <v>3.9808917197452227</v>
      </c>
      <c r="G1263" s="2">
        <f t="shared" si="98"/>
        <v>12.446596518200664</v>
      </c>
      <c r="H1263" s="2">
        <f t="shared" si="99"/>
        <v>1.1610063307581844</v>
      </c>
      <c r="I1263" s="2">
        <f t="shared" si="95"/>
        <v>232.20126615163684</v>
      </c>
      <c r="J1263" s="4">
        <f t="shared" si="97"/>
        <v>9.0827659306665574</v>
      </c>
      <c r="K1263" s="4">
        <f t="shared" si="96"/>
        <v>1816.5531861333116</v>
      </c>
      <c r="L1263">
        <v>5</v>
      </c>
    </row>
    <row r="1264" spans="1:12" hidden="1" x14ac:dyDescent="0.3">
      <c r="A1264" t="s">
        <v>177</v>
      </c>
      <c r="B1264" t="s">
        <v>141</v>
      </c>
      <c r="C1264" s="4">
        <v>0.83069230800000005</v>
      </c>
      <c r="D1264" s="4">
        <v>0.78683697699999999</v>
      </c>
      <c r="E1264">
        <v>4.7</v>
      </c>
      <c r="F1264" s="4">
        <v>4.7133757961783438</v>
      </c>
      <c r="G1264" s="2">
        <f t="shared" si="98"/>
        <v>17.448336008618714</v>
      </c>
      <c r="H1264" s="2">
        <f t="shared" si="99"/>
        <v>4.9740517102818611</v>
      </c>
      <c r="I1264" s="2">
        <f t="shared" si="95"/>
        <v>994.81034205637229</v>
      </c>
      <c r="J1264" s="4">
        <f t="shared" si="97"/>
        <v>9.3511517424641966</v>
      </c>
      <c r="K1264" s="4">
        <f t="shared" si="96"/>
        <v>1870.2303484928393</v>
      </c>
      <c r="L1264">
        <v>5</v>
      </c>
    </row>
    <row r="1265" spans="1:12" hidden="1" x14ac:dyDescent="0.3">
      <c r="A1265" t="s">
        <v>177</v>
      </c>
      <c r="B1265" t="s">
        <v>70</v>
      </c>
      <c r="C1265" s="4">
        <v>0.55560299999999996</v>
      </c>
      <c r="D1265" s="4">
        <v>0.55961111100000005</v>
      </c>
      <c r="E1265">
        <v>2</v>
      </c>
      <c r="F1265" s="4">
        <v>3.2165605095541401</v>
      </c>
      <c r="G1265" s="2">
        <f t="shared" si="98"/>
        <v>8.1259347892585598</v>
      </c>
      <c r="H1265" s="2">
        <f t="shared" si="99"/>
        <v>0.73482859063580785</v>
      </c>
      <c r="I1265" s="2">
        <f t="shared" si="95"/>
        <v>146.96571812716155</v>
      </c>
      <c r="J1265" s="4">
        <f t="shared" si="97"/>
        <v>9.0581238305813621</v>
      </c>
      <c r="K1265" s="4">
        <f t="shared" si="96"/>
        <v>1811.6247661162724</v>
      </c>
      <c r="L1265">
        <v>5</v>
      </c>
    </row>
    <row r="1266" spans="1:12" hidden="1" x14ac:dyDescent="0.3">
      <c r="A1266" t="s">
        <v>177</v>
      </c>
      <c r="B1266" t="s">
        <v>41</v>
      </c>
      <c r="C1266" s="4">
        <v>0.56193137999999998</v>
      </c>
      <c r="D1266" s="4">
        <v>0.57808694400000005</v>
      </c>
      <c r="E1266">
        <v>7.5</v>
      </c>
      <c r="F1266" s="4">
        <v>10.796178343949043</v>
      </c>
      <c r="G1266" s="2">
        <f t="shared" si="98"/>
        <v>91.544020381960863</v>
      </c>
      <c r="H1266" s="2">
        <f t="shared" si="99"/>
        <v>29.290266306681225</v>
      </c>
      <c r="I1266" s="2">
        <f t="shared" si="95"/>
        <v>5858.0532613362448</v>
      </c>
      <c r="J1266" s="4">
        <f t="shared" si="97"/>
        <v>12.0453335044018</v>
      </c>
      <c r="K1266" s="4">
        <f t="shared" si="96"/>
        <v>2409.0667008803603</v>
      </c>
      <c r="L1266">
        <v>5</v>
      </c>
    </row>
    <row r="1267" spans="1:12" hidden="1" x14ac:dyDescent="0.3">
      <c r="A1267" t="s">
        <v>177</v>
      </c>
      <c r="B1267" t="s">
        <v>41</v>
      </c>
      <c r="C1267" s="4">
        <v>0.56193137999999998</v>
      </c>
      <c r="D1267" s="4">
        <v>0.57808694400000005</v>
      </c>
      <c r="E1267">
        <v>6.8</v>
      </c>
      <c r="F1267" s="4">
        <v>9.7452229299363058</v>
      </c>
      <c r="G1267" s="2">
        <f t="shared" si="98"/>
        <v>74.588768741007215</v>
      </c>
      <c r="H1267" s="2">
        <f t="shared" si="99"/>
        <v>21.795690869320023</v>
      </c>
      <c r="I1267" s="2">
        <f t="shared" si="95"/>
        <v>4359.1381738640048</v>
      </c>
      <c r="J1267" s="4">
        <f t="shared" si="97"/>
        <v>11.24597100490892</v>
      </c>
      <c r="K1267" s="4">
        <f t="shared" si="96"/>
        <v>2249.194200981784</v>
      </c>
      <c r="L1267">
        <v>5</v>
      </c>
    </row>
    <row r="1268" spans="1:12" hidden="1" x14ac:dyDescent="0.3">
      <c r="A1268" t="s">
        <v>177</v>
      </c>
      <c r="B1268" t="s">
        <v>41</v>
      </c>
      <c r="C1268" s="4">
        <v>0.56193137999999998</v>
      </c>
      <c r="D1268" s="4">
        <v>0.57808694400000005</v>
      </c>
      <c r="E1268">
        <v>2.8</v>
      </c>
      <c r="F1268" s="4">
        <v>4.4585987261146496</v>
      </c>
      <c r="G1268" s="2">
        <f t="shared" si="98"/>
        <v>15.613010672430914</v>
      </c>
      <c r="H1268" s="2">
        <f t="shared" si="99"/>
        <v>1.992424532763361</v>
      </c>
      <c r="I1268" s="2">
        <f t="shared" si="95"/>
        <v>398.48490655267221</v>
      </c>
      <c r="J1268" s="4">
        <f t="shared" si="97"/>
        <v>9.1805152054850083</v>
      </c>
      <c r="K1268" s="4">
        <f t="shared" si="96"/>
        <v>1836.1030410970016</v>
      </c>
      <c r="L1268">
        <v>5</v>
      </c>
    </row>
    <row r="1269" spans="1:12" hidden="1" x14ac:dyDescent="0.3">
      <c r="A1269" t="s">
        <v>177</v>
      </c>
      <c r="B1269" t="s">
        <v>41</v>
      </c>
      <c r="C1269" s="4">
        <v>0.56193137999999998</v>
      </c>
      <c r="D1269" s="4">
        <v>0.57808694400000005</v>
      </c>
      <c r="E1269">
        <v>2.5</v>
      </c>
      <c r="F1269" s="4">
        <v>2.2292993630573248</v>
      </c>
      <c r="G1269" s="2">
        <f t="shared" si="98"/>
        <v>3.9032526681077284</v>
      </c>
      <c r="H1269" s="2">
        <f t="shared" si="99"/>
        <v>0.46103568185226823</v>
      </c>
      <c r="I1269" s="2">
        <f t="shared" si="95"/>
        <v>92.20713637045364</v>
      </c>
      <c r="J1269" s="4">
        <f t="shared" si="97"/>
        <v>9.029185536938618</v>
      </c>
      <c r="K1269" s="4">
        <f t="shared" si="96"/>
        <v>1805.8371073877236</v>
      </c>
      <c r="L1269">
        <v>5</v>
      </c>
    </row>
    <row r="1270" spans="1:12" hidden="1" x14ac:dyDescent="0.3">
      <c r="A1270" t="s">
        <v>177</v>
      </c>
      <c r="B1270" t="s">
        <v>157</v>
      </c>
      <c r="C1270" s="4">
        <v>0.63</v>
      </c>
      <c r="D1270" s="4">
        <v>0.629222222</v>
      </c>
      <c r="E1270">
        <v>1.8</v>
      </c>
      <c r="F1270" s="4">
        <v>1.2738853503184713</v>
      </c>
      <c r="G1270" s="2">
        <f t="shared" si="98"/>
        <v>1.274531483463748</v>
      </c>
      <c r="H1270" s="2">
        <f t="shared" si="99"/>
        <v>0.12190126544869569</v>
      </c>
      <c r="I1270" s="2">
        <f t="shared" si="95"/>
        <v>24.380253089739135</v>
      </c>
      <c r="J1270" s="4">
        <f t="shared" si="97"/>
        <v>8.9959235384802625</v>
      </c>
      <c r="K1270" s="4">
        <f t="shared" si="96"/>
        <v>1799.1847076960526</v>
      </c>
      <c r="L1270">
        <v>5</v>
      </c>
    </row>
    <row r="1271" spans="1:12" hidden="1" x14ac:dyDescent="0.3">
      <c r="A1271" t="s">
        <v>177</v>
      </c>
      <c r="B1271" t="s">
        <v>157</v>
      </c>
      <c r="C1271" s="4">
        <v>0.63</v>
      </c>
      <c r="D1271" s="4">
        <v>0.629222222</v>
      </c>
      <c r="E1271">
        <v>1.6</v>
      </c>
      <c r="F1271" s="4">
        <v>1.2738853503184713</v>
      </c>
      <c r="G1271" s="2">
        <f t="shared" si="98"/>
        <v>1.274531483463748</v>
      </c>
      <c r="H1271" s="2">
        <f t="shared" si="99"/>
        <v>0.10866341562308156</v>
      </c>
      <c r="I1271" s="2">
        <f t="shared" si="95"/>
        <v>21.732683124616312</v>
      </c>
      <c r="J1271" s="4">
        <f t="shared" si="97"/>
        <v>8.9947875897602341</v>
      </c>
      <c r="K1271" s="4">
        <f t="shared" si="96"/>
        <v>1798.9575179520466</v>
      </c>
      <c r="L1271">
        <v>5</v>
      </c>
    </row>
    <row r="1272" spans="1:12" hidden="1" x14ac:dyDescent="0.3">
      <c r="A1272" t="s">
        <v>177</v>
      </c>
      <c r="B1272" t="s">
        <v>172</v>
      </c>
      <c r="C1272" s="4">
        <v>0.62922219999999995</v>
      </c>
      <c r="D1272" s="4">
        <v>0.629222222</v>
      </c>
      <c r="E1272">
        <v>1.5</v>
      </c>
      <c r="F1272" s="4">
        <v>1.592356687898089</v>
      </c>
      <c r="G1272" s="2">
        <f t="shared" si="98"/>
        <v>1.9914554429121063</v>
      </c>
      <c r="H1272" s="2">
        <f t="shared" si="99"/>
        <v>0.15772323032758095</v>
      </c>
      <c r="I1272" s="2">
        <f t="shared" si="95"/>
        <v>31.54464606551619</v>
      </c>
      <c r="J1272" s="4">
        <f t="shared" si="97"/>
        <v>8.9990118990628414</v>
      </c>
      <c r="K1272" s="4">
        <f t="shared" si="96"/>
        <v>1799.8023798125682</v>
      </c>
      <c r="L1272">
        <v>5</v>
      </c>
    </row>
    <row r="1273" spans="1:12" hidden="1" x14ac:dyDescent="0.3">
      <c r="A1273" t="s">
        <v>177</v>
      </c>
      <c r="B1273" t="s">
        <v>172</v>
      </c>
      <c r="C1273" s="4">
        <v>0.62922219999999995</v>
      </c>
      <c r="D1273" s="4">
        <v>0.629222222</v>
      </c>
      <c r="E1273">
        <v>1.4</v>
      </c>
      <c r="F1273" s="4">
        <v>1.1146496815286624</v>
      </c>
      <c r="G1273" s="2">
        <f t="shared" si="98"/>
        <v>0.9758131670269321</v>
      </c>
      <c r="H1273" s="2">
        <f t="shared" si="99"/>
        <v>7.3499254041162004E-2</v>
      </c>
      <c r="I1273" s="2">
        <f t="shared" si="95"/>
        <v>14.699850808232402</v>
      </c>
      <c r="J1273" s="4">
        <f t="shared" si="97"/>
        <v>8.9917879751714054</v>
      </c>
      <c r="K1273" s="4">
        <f t="shared" si="96"/>
        <v>1798.3575950342813</v>
      </c>
      <c r="L1273">
        <v>5</v>
      </c>
    </row>
    <row r="1274" spans="1:12" hidden="1" x14ac:dyDescent="0.3">
      <c r="A1274" t="s">
        <v>177</v>
      </c>
      <c r="B1274" t="s">
        <v>172</v>
      </c>
      <c r="C1274" s="4">
        <v>0.62922219999999995</v>
      </c>
      <c r="D1274" s="4">
        <v>0.629222222</v>
      </c>
      <c r="E1274">
        <v>1.4</v>
      </c>
      <c r="F1274" s="4">
        <v>1.2738853503184713</v>
      </c>
      <c r="G1274" s="2">
        <f t="shared" si="98"/>
        <v>1.274531483463748</v>
      </c>
      <c r="H1274" s="2">
        <f t="shared" si="99"/>
        <v>9.5385686973164518E-2</v>
      </c>
      <c r="I1274" s="2">
        <f t="shared" si="95"/>
        <v>19.077137394632906</v>
      </c>
      <c r="J1274" s="4">
        <f t="shared" si="97"/>
        <v>8.9936516410402039</v>
      </c>
      <c r="K1274" s="4">
        <f t="shared" si="96"/>
        <v>1798.7303282080406</v>
      </c>
      <c r="L1274">
        <v>5</v>
      </c>
    </row>
    <row r="1275" spans="1:12" hidden="1" x14ac:dyDescent="0.3">
      <c r="A1275" t="s">
        <v>177</v>
      </c>
      <c r="B1275" t="s">
        <v>172</v>
      </c>
      <c r="C1275" s="4">
        <v>0.62922219999999995</v>
      </c>
      <c r="D1275" s="4">
        <v>0.629222222</v>
      </c>
      <c r="E1275">
        <v>1.6</v>
      </c>
      <c r="F1275" s="4">
        <v>1.8471337579617833</v>
      </c>
      <c r="G1275" s="2">
        <f t="shared" si="98"/>
        <v>2.6797024439825301</v>
      </c>
      <c r="H1275" s="2">
        <f t="shared" si="99"/>
        <v>0.22442627051515415</v>
      </c>
      <c r="I1275" s="2">
        <f t="shared" si="95"/>
        <v>44.885254103030832</v>
      </c>
      <c r="J1275" s="4">
        <f t="shared" si="97"/>
        <v>9.0048066574708905</v>
      </c>
      <c r="K1275" s="4">
        <f t="shared" si="96"/>
        <v>1800.961331494178</v>
      </c>
      <c r="L1275">
        <v>5</v>
      </c>
    </row>
    <row r="1276" spans="1:12" hidden="1" x14ac:dyDescent="0.3">
      <c r="A1276" t="s">
        <v>177</v>
      </c>
      <c r="B1276" t="s">
        <v>172</v>
      </c>
      <c r="C1276" s="4">
        <v>0.62922219999999995</v>
      </c>
      <c r="D1276" s="4">
        <v>0.629222222</v>
      </c>
      <c r="E1276">
        <v>1.5</v>
      </c>
      <c r="F1276" s="4">
        <v>1.592356687898089</v>
      </c>
      <c r="G1276" s="2">
        <f t="shared" si="98"/>
        <v>1.9914554429121063</v>
      </c>
      <c r="H1276" s="2">
        <f t="shared" si="99"/>
        <v>0.15772323032758095</v>
      </c>
      <c r="I1276" s="2">
        <f t="shared" si="95"/>
        <v>31.54464606551619</v>
      </c>
      <c r="J1276" s="4">
        <f t="shared" si="97"/>
        <v>8.9990118990628414</v>
      </c>
      <c r="K1276" s="4">
        <f t="shared" si="96"/>
        <v>1799.8023798125682</v>
      </c>
      <c r="L1276">
        <v>5</v>
      </c>
    </row>
    <row r="1277" spans="1:12" hidden="1" x14ac:dyDescent="0.3">
      <c r="A1277" t="s">
        <v>177</v>
      </c>
      <c r="B1277" t="s">
        <v>135</v>
      </c>
      <c r="C1277" s="4">
        <v>0.84088890000000005</v>
      </c>
      <c r="D1277" s="4">
        <v>0.84088888900000003</v>
      </c>
      <c r="E1277">
        <v>9.5</v>
      </c>
      <c r="F1277" s="4">
        <v>14.012738853503183</v>
      </c>
      <c r="G1277" s="2">
        <f t="shared" si="98"/>
        <v>154.2183094991135</v>
      </c>
      <c r="H1277" s="2">
        <f t="shared" si="99"/>
        <v>88.477153443796368</v>
      </c>
      <c r="I1277" s="2">
        <f t="shared" si="95"/>
        <v>17695.430688759276</v>
      </c>
      <c r="J1277" s="4">
        <f t="shared" si="97"/>
        <v>15.514565268367882</v>
      </c>
      <c r="K1277" s="4">
        <f t="shared" si="96"/>
        <v>3102.9130536735765</v>
      </c>
      <c r="L1277">
        <v>5</v>
      </c>
    </row>
    <row r="1278" spans="1:12" hidden="1" x14ac:dyDescent="0.3">
      <c r="A1278" t="s">
        <v>177</v>
      </c>
      <c r="B1278" t="s">
        <v>135</v>
      </c>
      <c r="C1278" s="4">
        <v>0.84088890000000005</v>
      </c>
      <c r="D1278" s="4">
        <v>0.84088888900000003</v>
      </c>
      <c r="E1278">
        <v>9</v>
      </c>
      <c r="F1278" s="4">
        <v>22.547770700636946</v>
      </c>
      <c r="G1278" s="2">
        <f t="shared" si="98"/>
        <v>399.29796845435783</v>
      </c>
      <c r="H1278" s="2">
        <f t="shared" si="99"/>
        <v>212.40213933308027</v>
      </c>
      <c r="I1278" s="2">
        <f t="shared" si="95"/>
        <v>42480.427866616054</v>
      </c>
      <c r="J1278" s="4">
        <f t="shared" si="97"/>
        <v>25.000361852407814</v>
      </c>
      <c r="K1278" s="4">
        <f t="shared" si="96"/>
        <v>5000.0723704815628</v>
      </c>
      <c r="L1278">
        <v>5</v>
      </c>
    </row>
    <row r="1279" spans="1:12" hidden="1" x14ac:dyDescent="0.3">
      <c r="A1279" t="s">
        <v>177</v>
      </c>
      <c r="B1279" t="s">
        <v>178</v>
      </c>
      <c r="C1279" s="4">
        <v>0.685322871</v>
      </c>
      <c r="D1279" s="4">
        <v>0.8155</v>
      </c>
      <c r="E1279">
        <v>6.5</v>
      </c>
      <c r="F1279" s="4">
        <v>3.3439490445859872</v>
      </c>
      <c r="G1279" s="2">
        <f t="shared" si="98"/>
        <v>8.7823185032423901</v>
      </c>
      <c r="H1279" s="2">
        <f t="shared" si="99"/>
        <v>3.6167886342608542</v>
      </c>
      <c r="I1279" s="2">
        <f t="shared" si="95"/>
        <v>723.3577268521708</v>
      </c>
      <c r="J1279" s="4">
        <f t="shared" si="97"/>
        <v>9.2400903910909165</v>
      </c>
      <c r="K1279" s="4">
        <f t="shared" si="96"/>
        <v>1848.0180782181833</v>
      </c>
      <c r="L1279">
        <v>5</v>
      </c>
    </row>
    <row r="1280" spans="1:12" hidden="1" x14ac:dyDescent="0.3">
      <c r="A1280" t="s">
        <v>177</v>
      </c>
      <c r="B1280" t="s">
        <v>178</v>
      </c>
      <c r="C1280" s="4">
        <v>0.685322871</v>
      </c>
      <c r="D1280" s="4">
        <v>0.8155</v>
      </c>
      <c r="E1280">
        <v>1.5</v>
      </c>
      <c r="F1280" s="4">
        <v>9.6815286624203818</v>
      </c>
      <c r="G1280" s="2">
        <f t="shared" si="98"/>
        <v>73.616938484866097</v>
      </c>
      <c r="H1280" s="2">
        <f t="shared" si="99"/>
        <v>6.8864038074802005</v>
      </c>
      <c r="I1280" s="2">
        <f t="shared" si="95"/>
        <v>1377.28076149604</v>
      </c>
      <c r="J1280" s="4">
        <f t="shared" si="97"/>
        <v>9.4777929855166541</v>
      </c>
      <c r="K1280" s="4">
        <f t="shared" si="96"/>
        <v>1895.5585971033311</v>
      </c>
      <c r="L1280">
        <v>5</v>
      </c>
    </row>
    <row r="1281" spans="1:12" hidden="1" x14ac:dyDescent="0.3">
      <c r="A1281" t="s">
        <v>177</v>
      </c>
      <c r="B1281" t="s">
        <v>178</v>
      </c>
      <c r="C1281" s="4">
        <v>0.685322871</v>
      </c>
      <c r="D1281" s="4">
        <v>0.8155</v>
      </c>
      <c r="E1281">
        <v>4</v>
      </c>
      <c r="F1281" s="4">
        <v>1.2738853503184713</v>
      </c>
      <c r="G1281" s="2">
        <f t="shared" si="98"/>
        <v>1.274531483463748</v>
      </c>
      <c r="H1281" s="2">
        <f t="shared" si="99"/>
        <v>0.34228655152806114</v>
      </c>
      <c r="I1281" s="2">
        <f t="shared" si="95"/>
        <v>68.457310305612225</v>
      </c>
      <c r="J1281" s="4">
        <f t="shared" si="97"/>
        <v>9.008418974400584</v>
      </c>
      <c r="K1281" s="4">
        <f t="shared" si="96"/>
        <v>1801.6837948801167</v>
      </c>
      <c r="L1281">
        <v>5</v>
      </c>
    </row>
    <row r="1282" spans="1:12" hidden="1" x14ac:dyDescent="0.3">
      <c r="A1282" t="s">
        <v>177</v>
      </c>
      <c r="B1282" t="s">
        <v>118</v>
      </c>
      <c r="C1282" s="4">
        <v>0.56023871300000005</v>
      </c>
      <c r="D1282" s="4">
        <v>0.74103703700000001</v>
      </c>
      <c r="E1282">
        <v>6.5</v>
      </c>
      <c r="F1282" s="4">
        <v>0.95541401273885351</v>
      </c>
      <c r="G1282" s="2">
        <f t="shared" si="98"/>
        <v>0.71692395944835841</v>
      </c>
      <c r="H1282" s="2">
        <f t="shared" si="99"/>
        <v>0.28557242737582328</v>
      </c>
      <c r="I1282" s="2">
        <f t="shared" ref="I1282:I1315" si="100">(H1282*1000)/L1282</f>
        <v>57.114485475164656</v>
      </c>
      <c r="J1282" s="4">
        <f t="shared" si="97"/>
        <v>9.0064665625380336</v>
      </c>
      <c r="K1282" s="4">
        <f t="shared" ref="K1282:K1315" si="101">(J1282*1000)/L1282</f>
        <v>1801.2933125076065</v>
      </c>
      <c r="L1282">
        <v>5</v>
      </c>
    </row>
    <row r="1283" spans="1:12" hidden="1" x14ac:dyDescent="0.3">
      <c r="A1283" t="s">
        <v>177</v>
      </c>
      <c r="B1283" t="s">
        <v>118</v>
      </c>
      <c r="C1283" s="4">
        <v>0.56023871300000005</v>
      </c>
      <c r="D1283" s="4">
        <v>0.74103703700000001</v>
      </c>
      <c r="E1283">
        <v>3</v>
      </c>
      <c r="F1283" s="4">
        <v>13.726114649681529</v>
      </c>
      <c r="G1283" s="2">
        <f t="shared" si="98"/>
        <v>147.97390181231836</v>
      </c>
      <c r="H1283" s="2">
        <f t="shared" si="99"/>
        <v>24.386087273871166</v>
      </c>
      <c r="I1283" s="2">
        <f t="shared" si="100"/>
        <v>4877.2174547742334</v>
      </c>
      <c r="J1283" s="4">
        <f t="shared" ref="J1283:J1315" si="102">8.9857 + 0.0035 * F1283^2 * E1283</f>
        <v>10.96396534545012</v>
      </c>
      <c r="K1283" s="4">
        <f t="shared" si="101"/>
        <v>2192.7930690900239</v>
      </c>
      <c r="L1283">
        <v>5</v>
      </c>
    </row>
    <row r="1284" spans="1:12" hidden="1" x14ac:dyDescent="0.3">
      <c r="A1284" t="s">
        <v>177</v>
      </c>
      <c r="B1284" t="s">
        <v>179</v>
      </c>
      <c r="C1284" s="4">
        <v>0.56572270000000002</v>
      </c>
      <c r="D1284" s="4">
        <v>0.61247410899999999</v>
      </c>
      <c r="E1284">
        <v>0.77</v>
      </c>
      <c r="F1284" s="4">
        <v>2.6751592356687897</v>
      </c>
      <c r="G1284" s="2">
        <f t="shared" ref="G1284:G1315" si="103">PI()*(F1284/2)^2</f>
        <v>5.6206838420751293</v>
      </c>
      <c r="H1284" s="2">
        <f t="shared" ref="H1284:H1315" si="104">0.0673 * ((D1284 * F1284^2 * E1284)^0.976)</f>
        <v>0.22060438171896973</v>
      </c>
      <c r="I1284" s="2">
        <f t="shared" si="100"/>
        <v>44.120876343793945</v>
      </c>
      <c r="J1284" s="4">
        <f t="shared" si="102"/>
        <v>9.0049867053430148</v>
      </c>
      <c r="K1284" s="4">
        <f t="shared" si="101"/>
        <v>1800.997341068603</v>
      </c>
      <c r="L1284">
        <v>5</v>
      </c>
    </row>
    <row r="1285" spans="1:12" hidden="1" x14ac:dyDescent="0.3">
      <c r="A1285" t="s">
        <v>177</v>
      </c>
      <c r="B1285" t="s">
        <v>119</v>
      </c>
      <c r="C1285" s="4">
        <v>0.432770245</v>
      </c>
      <c r="D1285" s="4">
        <v>0.61247410899999999</v>
      </c>
      <c r="E1285">
        <v>7</v>
      </c>
      <c r="F1285" s="4">
        <v>4.6178343949044587</v>
      </c>
      <c r="G1285" s="2">
        <f t="shared" si="103"/>
        <v>16.748140274890819</v>
      </c>
      <c r="H1285" s="2">
        <f t="shared" si="104"/>
        <v>5.5209275440164678</v>
      </c>
      <c r="I1285" s="2">
        <f t="shared" si="100"/>
        <v>1104.1855088032935</v>
      </c>
      <c r="J1285" s="4">
        <f t="shared" si="102"/>
        <v>9.5081476652196848</v>
      </c>
      <c r="K1285" s="4">
        <f t="shared" si="101"/>
        <v>1901.629533043937</v>
      </c>
      <c r="L1285">
        <v>5</v>
      </c>
    </row>
    <row r="1286" spans="1:12" hidden="1" x14ac:dyDescent="0.3">
      <c r="A1286" t="s">
        <v>177</v>
      </c>
      <c r="B1286" t="s">
        <v>46</v>
      </c>
      <c r="C1286" s="4">
        <v>1.1200000000000001</v>
      </c>
      <c r="D1286" s="4">
        <v>0.85527777800000004</v>
      </c>
      <c r="E1286">
        <v>2.9</v>
      </c>
      <c r="F1286" s="4">
        <v>2.1974522292993632</v>
      </c>
      <c r="G1286" s="2">
        <f t="shared" si="103"/>
        <v>3.7925277454818165</v>
      </c>
      <c r="H1286" s="2">
        <f t="shared" si="104"/>
        <v>0.75941448746507434</v>
      </c>
      <c r="I1286" s="2">
        <f t="shared" si="100"/>
        <v>151.88289749301487</v>
      </c>
      <c r="J1286" s="4">
        <f t="shared" si="102"/>
        <v>9.0347122824455344</v>
      </c>
      <c r="K1286" s="4">
        <f t="shared" si="101"/>
        <v>1806.9424564891069</v>
      </c>
      <c r="L1286">
        <v>5</v>
      </c>
    </row>
    <row r="1287" spans="1:12" hidden="1" x14ac:dyDescent="0.3">
      <c r="A1287" t="s">
        <v>177</v>
      </c>
      <c r="B1287" t="s">
        <v>47</v>
      </c>
      <c r="C1287" s="4">
        <v>0.40238543599999999</v>
      </c>
      <c r="D1287" s="4">
        <v>0.40883333300000002</v>
      </c>
      <c r="E1287">
        <v>11</v>
      </c>
      <c r="F1287" s="4">
        <v>17.866242038216559</v>
      </c>
      <c r="G1287" s="2">
        <f t="shared" si="103"/>
        <v>250.7011393794964</v>
      </c>
      <c r="H1287" s="2">
        <f t="shared" si="104"/>
        <v>81.143239733390544</v>
      </c>
      <c r="I1287" s="2">
        <f t="shared" si="100"/>
        <v>16228.647946678107</v>
      </c>
      <c r="J1287" s="4">
        <f t="shared" si="102"/>
        <v>21.275000275873261</v>
      </c>
      <c r="K1287" s="4">
        <f t="shared" si="101"/>
        <v>4255.0000551746516</v>
      </c>
      <c r="L1287">
        <v>5</v>
      </c>
    </row>
    <row r="1288" spans="1:12" hidden="1" x14ac:dyDescent="0.3">
      <c r="A1288" t="s">
        <v>177</v>
      </c>
      <c r="B1288" t="s">
        <v>23</v>
      </c>
      <c r="C1288" s="4">
        <v>0.76500000000000001</v>
      </c>
      <c r="D1288" s="4">
        <v>0.61247410899999999</v>
      </c>
      <c r="E1288">
        <v>8</v>
      </c>
      <c r="F1288" s="4">
        <v>6.8471337579617835</v>
      </c>
      <c r="G1288" s="2">
        <f t="shared" si="103"/>
        <v>36.822011139444854</v>
      </c>
      <c r="H1288" s="2">
        <f t="shared" si="104"/>
        <v>13.568808749647841</v>
      </c>
      <c r="I1288" s="2">
        <f t="shared" si="100"/>
        <v>2713.7617499295684</v>
      </c>
      <c r="J1288" s="4">
        <f t="shared" si="102"/>
        <v>10.298430739583756</v>
      </c>
      <c r="K1288" s="4">
        <f t="shared" si="101"/>
        <v>2059.686147916751</v>
      </c>
      <c r="L1288">
        <v>5</v>
      </c>
    </row>
    <row r="1289" spans="1:12" hidden="1" x14ac:dyDescent="0.3">
      <c r="A1289" t="s">
        <v>180</v>
      </c>
      <c r="B1289" t="s">
        <v>75</v>
      </c>
      <c r="C1289" s="4">
        <v>0.86</v>
      </c>
      <c r="D1289" s="4">
        <v>0.65666666699999998</v>
      </c>
      <c r="E1289">
        <v>6</v>
      </c>
      <c r="F1289" s="1">
        <v>6.3694267515923562</v>
      </c>
      <c r="G1289" s="2">
        <f t="shared" si="103"/>
        <v>31.863287086593701</v>
      </c>
      <c r="H1289" s="2">
        <f t="shared" si="104"/>
        <v>9.524084840388932</v>
      </c>
      <c r="I1289" s="2">
        <f t="shared" si="100"/>
        <v>1904.8169680777864</v>
      </c>
      <c r="J1289" s="4">
        <f t="shared" si="102"/>
        <v>9.837661540021907</v>
      </c>
      <c r="K1289" s="4">
        <f t="shared" si="101"/>
        <v>1967.5323080043813</v>
      </c>
      <c r="L1289">
        <v>5</v>
      </c>
    </row>
    <row r="1290" spans="1:12" hidden="1" x14ac:dyDescent="0.3">
      <c r="A1290" t="s">
        <v>180</v>
      </c>
      <c r="B1290" t="s">
        <v>153</v>
      </c>
      <c r="C1290" s="4">
        <v>0.57550000000000001</v>
      </c>
      <c r="D1290" s="4">
        <v>0.57550000000000001</v>
      </c>
      <c r="E1290">
        <v>4</v>
      </c>
      <c r="F1290" s="1">
        <v>1.4331210191082802</v>
      </c>
      <c r="G1290" s="2">
        <f t="shared" si="103"/>
        <v>1.6130789087588062</v>
      </c>
      <c r="H1290" s="2">
        <f t="shared" si="104"/>
        <v>0.30654483969036017</v>
      </c>
      <c r="I1290" s="2">
        <f t="shared" si="100"/>
        <v>61.30896793807203</v>
      </c>
      <c r="J1290" s="4">
        <f t="shared" si="102"/>
        <v>9.0144537019757394</v>
      </c>
      <c r="K1290" s="4">
        <f t="shared" si="101"/>
        <v>1802.8907403951478</v>
      </c>
      <c r="L1290">
        <v>5</v>
      </c>
    </row>
    <row r="1291" spans="1:12" hidden="1" x14ac:dyDescent="0.3">
      <c r="A1291" t="s">
        <v>180</v>
      </c>
      <c r="B1291" t="s">
        <v>60</v>
      </c>
      <c r="C1291" s="4">
        <v>0.41</v>
      </c>
      <c r="D1291" s="4">
        <v>0.33983503399999998</v>
      </c>
      <c r="E1291">
        <v>7</v>
      </c>
      <c r="F1291" s="1">
        <v>7.8025477707006363</v>
      </c>
      <c r="G1291" s="2">
        <f t="shared" si="103"/>
        <v>47.814845184319672</v>
      </c>
      <c r="H1291" s="2">
        <f t="shared" si="104"/>
        <v>8.649559452367015</v>
      </c>
      <c r="I1291" s="2">
        <f t="shared" si="100"/>
        <v>1729.911890473403</v>
      </c>
      <c r="J1291" s="4">
        <f t="shared" si="102"/>
        <v>10.477253916994604</v>
      </c>
      <c r="K1291" s="4">
        <f t="shared" si="101"/>
        <v>2095.4507833989205</v>
      </c>
      <c r="L1291">
        <v>5</v>
      </c>
    </row>
    <row r="1292" spans="1:12" hidden="1" x14ac:dyDescent="0.3">
      <c r="A1292" t="s">
        <v>180</v>
      </c>
      <c r="B1292" t="s">
        <v>60</v>
      </c>
      <c r="C1292" s="4">
        <v>0.41</v>
      </c>
      <c r="D1292" s="4">
        <v>0.33983503399999998</v>
      </c>
      <c r="E1292">
        <v>6</v>
      </c>
      <c r="F1292" s="1">
        <v>4.4585987261146496</v>
      </c>
      <c r="G1292" s="2">
        <f t="shared" si="103"/>
        <v>15.613010672430914</v>
      </c>
      <c r="H1292" s="2">
        <f t="shared" si="104"/>
        <v>2.4959946516170342</v>
      </c>
      <c r="I1292" s="2">
        <f t="shared" si="100"/>
        <v>499.1989303234069</v>
      </c>
      <c r="J1292" s="4">
        <f t="shared" si="102"/>
        <v>9.4031611546107339</v>
      </c>
      <c r="K1292" s="4">
        <f t="shared" si="101"/>
        <v>1880.6322309221468</v>
      </c>
      <c r="L1292">
        <v>5</v>
      </c>
    </row>
    <row r="1293" spans="1:12" hidden="1" x14ac:dyDescent="0.3">
      <c r="A1293" t="s">
        <v>180</v>
      </c>
      <c r="B1293" t="s">
        <v>69</v>
      </c>
      <c r="C1293" s="4">
        <v>0.31264018999999998</v>
      </c>
      <c r="D1293" s="4">
        <v>0.356821212</v>
      </c>
      <c r="E1293">
        <v>4.5</v>
      </c>
      <c r="F1293" s="1">
        <v>3.8216560509554141</v>
      </c>
      <c r="G1293" s="2">
        <f t="shared" si="103"/>
        <v>11.470783351173734</v>
      </c>
      <c r="H1293" s="2">
        <f t="shared" si="104"/>
        <v>1.4631789515860378</v>
      </c>
      <c r="I1293" s="2">
        <f t="shared" si="100"/>
        <v>292.63579031720758</v>
      </c>
      <c r="J1293" s="4">
        <f t="shared" si="102"/>
        <v>9.2157296158059143</v>
      </c>
      <c r="K1293" s="4">
        <f t="shared" si="101"/>
        <v>1843.145923161183</v>
      </c>
      <c r="L1293">
        <v>5</v>
      </c>
    </row>
    <row r="1294" spans="1:12" hidden="1" x14ac:dyDescent="0.3">
      <c r="A1294" t="s">
        <v>180</v>
      </c>
      <c r="B1294" t="s">
        <v>70</v>
      </c>
      <c r="C1294" s="4">
        <v>0.55560299999999996</v>
      </c>
      <c r="D1294" s="4">
        <v>0.55961111100000005</v>
      </c>
      <c r="E1294">
        <v>4</v>
      </c>
      <c r="F1294" s="1">
        <v>3.0254777070063694</v>
      </c>
      <c r="G1294" s="2">
        <f t="shared" si="103"/>
        <v>7.1891541489127055</v>
      </c>
      <c r="H1294" s="2">
        <f t="shared" si="104"/>
        <v>1.282544601902972</v>
      </c>
      <c r="I1294" s="2">
        <f t="shared" si="100"/>
        <v>256.50892038059442</v>
      </c>
      <c r="J1294" s="4">
        <f t="shared" si="102"/>
        <v>9.1138492149782948</v>
      </c>
      <c r="K1294" s="4">
        <f t="shared" si="101"/>
        <v>1822.7698429956588</v>
      </c>
      <c r="L1294">
        <v>5</v>
      </c>
    </row>
    <row r="1295" spans="1:12" hidden="1" x14ac:dyDescent="0.3">
      <c r="A1295" t="s">
        <v>180</v>
      </c>
      <c r="B1295" t="s">
        <v>57</v>
      </c>
      <c r="C1295" s="4">
        <v>0.61</v>
      </c>
      <c r="D1295" s="4">
        <v>0.84088888900000003</v>
      </c>
      <c r="E1295">
        <v>7</v>
      </c>
      <c r="F1295" s="1">
        <v>54.140127388535028</v>
      </c>
      <c r="G1295" s="2">
        <f t="shared" si="103"/>
        <v>2302.1224920063951</v>
      </c>
      <c r="H1295" s="2">
        <f t="shared" si="104"/>
        <v>918.76672942652704</v>
      </c>
      <c r="I1295" s="2">
        <f t="shared" si="100"/>
        <v>183753.3458853054</v>
      </c>
      <c r="J1295" s="4">
        <f t="shared" si="102"/>
        <v>80.798958144346614</v>
      </c>
      <c r="K1295" s="4">
        <f t="shared" si="101"/>
        <v>16159.791628869323</v>
      </c>
      <c r="L1295">
        <v>5</v>
      </c>
    </row>
    <row r="1296" spans="1:12" hidden="1" x14ac:dyDescent="0.3">
      <c r="A1296" t="s">
        <v>180</v>
      </c>
      <c r="B1296" t="s">
        <v>135</v>
      </c>
      <c r="C1296" s="4">
        <v>0.84088890000000005</v>
      </c>
      <c r="D1296" s="4">
        <v>0.84088888900000003</v>
      </c>
      <c r="E1296">
        <v>10</v>
      </c>
      <c r="F1296" s="1">
        <v>22.770700636942674</v>
      </c>
      <c r="G1296" s="2">
        <f t="shared" si="103"/>
        <v>407.23272352109666</v>
      </c>
      <c r="H1296" s="2">
        <f t="shared" si="104"/>
        <v>239.9709506930632</v>
      </c>
      <c r="I1296" s="2">
        <f t="shared" si="100"/>
        <v>47994.190138612641</v>
      </c>
      <c r="J1296" s="4">
        <f t="shared" si="102"/>
        <v>27.133368262404154</v>
      </c>
      <c r="K1296" s="4">
        <f t="shared" si="101"/>
        <v>5426.6736524808312</v>
      </c>
      <c r="L1296">
        <v>5</v>
      </c>
    </row>
    <row r="1297" spans="1:12" hidden="1" x14ac:dyDescent="0.3">
      <c r="A1297" t="s">
        <v>180</v>
      </c>
      <c r="B1297" t="s">
        <v>135</v>
      </c>
      <c r="C1297" s="4">
        <v>0.84088890000000005</v>
      </c>
      <c r="D1297" s="4">
        <v>0.84088888900000003</v>
      </c>
      <c r="E1297">
        <v>9</v>
      </c>
      <c r="F1297" s="1">
        <v>17.515923566878982</v>
      </c>
      <c r="G1297" s="2">
        <f t="shared" si="103"/>
        <v>240.96610859236495</v>
      </c>
      <c r="H1297" s="2">
        <f t="shared" si="104"/>
        <v>129.74240305742865</v>
      </c>
      <c r="I1297" s="2">
        <f t="shared" si="100"/>
        <v>25948.480611485727</v>
      </c>
      <c r="J1297" s="4">
        <f t="shared" si="102"/>
        <v>18.650138719623513</v>
      </c>
      <c r="K1297" s="4">
        <f t="shared" si="101"/>
        <v>3730.0277439247025</v>
      </c>
      <c r="L1297">
        <v>5</v>
      </c>
    </row>
    <row r="1298" spans="1:12" hidden="1" x14ac:dyDescent="0.3">
      <c r="A1298" t="s">
        <v>180</v>
      </c>
      <c r="B1298" t="s">
        <v>47</v>
      </c>
      <c r="C1298" s="4">
        <v>0.40238543599999999</v>
      </c>
      <c r="D1298" s="4">
        <v>0.40883333300000002</v>
      </c>
      <c r="E1298">
        <v>8</v>
      </c>
      <c r="F1298" s="1">
        <v>14.171974522292993</v>
      </c>
      <c r="G1298" s="2">
        <f t="shared" si="103"/>
        <v>157.74318563306795</v>
      </c>
      <c r="H1298" s="2">
        <f t="shared" si="104"/>
        <v>37.834861303535497</v>
      </c>
      <c r="I1298" s="2">
        <f t="shared" si="100"/>
        <v>7566.9722607070989</v>
      </c>
      <c r="J1298" s="4">
        <f t="shared" si="102"/>
        <v>14.609356132094607</v>
      </c>
      <c r="K1298" s="4">
        <f t="shared" si="101"/>
        <v>2921.8712264189212</v>
      </c>
      <c r="L1298">
        <v>5</v>
      </c>
    </row>
    <row r="1299" spans="1:12" hidden="1" x14ac:dyDescent="0.3">
      <c r="A1299" t="s">
        <v>180</v>
      </c>
      <c r="B1299" t="s">
        <v>49</v>
      </c>
      <c r="C1299" s="4">
        <v>0.57917600000000002</v>
      </c>
      <c r="D1299" s="4">
        <v>0.60285714300000004</v>
      </c>
      <c r="E1299">
        <v>10</v>
      </c>
      <c r="F1299" s="1">
        <v>60.35031847133758</v>
      </c>
      <c r="G1299" s="2">
        <f t="shared" si="103"/>
        <v>2860.5465127533794</v>
      </c>
      <c r="H1299" s="2">
        <f t="shared" si="104"/>
        <v>1162.4943283170128</v>
      </c>
      <c r="I1299" s="2">
        <f t="shared" si="100"/>
        <v>232498.86566340257</v>
      </c>
      <c r="J1299" s="4">
        <f t="shared" si="102"/>
        <v>136.46133288571545</v>
      </c>
      <c r="K1299" s="4">
        <f t="shared" si="101"/>
        <v>27292.266577143087</v>
      </c>
      <c r="L1299">
        <v>5</v>
      </c>
    </row>
    <row r="1300" spans="1:12" hidden="1" x14ac:dyDescent="0.3">
      <c r="A1300" t="s">
        <v>180</v>
      </c>
      <c r="B1300" t="s">
        <v>149</v>
      </c>
      <c r="C1300" s="4">
        <v>0.41185709999999998</v>
      </c>
      <c r="D1300" s="4">
        <v>0.41185714299999998</v>
      </c>
      <c r="E1300">
        <v>3.5</v>
      </c>
      <c r="F1300" s="1">
        <v>5.7324840764331206</v>
      </c>
      <c r="G1300" s="2">
        <f t="shared" si="103"/>
        <v>25.809262540140899</v>
      </c>
      <c r="H1300" s="2">
        <f t="shared" si="104"/>
        <v>2.9060522364301917</v>
      </c>
      <c r="I1300" s="2">
        <f t="shared" si="100"/>
        <v>581.2104472860384</v>
      </c>
      <c r="J1300" s="4">
        <f t="shared" si="102"/>
        <v>9.3882518276603513</v>
      </c>
      <c r="K1300" s="4">
        <f t="shared" si="101"/>
        <v>1877.6503655320703</v>
      </c>
      <c r="L1300">
        <v>5</v>
      </c>
    </row>
    <row r="1301" spans="1:12" hidden="1" x14ac:dyDescent="0.3">
      <c r="A1301" t="s">
        <v>181</v>
      </c>
      <c r="B1301" t="s">
        <v>153</v>
      </c>
      <c r="C1301" s="4">
        <v>0.57550000000000001</v>
      </c>
      <c r="D1301" s="4">
        <v>0.57550000000000001</v>
      </c>
      <c r="E1301">
        <v>2.6</v>
      </c>
      <c r="F1301" s="1">
        <v>3.6624203821656049</v>
      </c>
      <c r="G1301" s="2">
        <f t="shared" si="103"/>
        <v>10.534799293005044</v>
      </c>
      <c r="H1301" s="2">
        <f t="shared" si="104"/>
        <v>1.2569233761223622</v>
      </c>
      <c r="I1301" s="2">
        <f t="shared" si="100"/>
        <v>251.38467522447246</v>
      </c>
      <c r="J1301" s="4">
        <f t="shared" si="102"/>
        <v>9.107761239806889</v>
      </c>
      <c r="K1301" s="4">
        <f t="shared" si="101"/>
        <v>1821.5522479613778</v>
      </c>
      <c r="L1301">
        <v>5</v>
      </c>
    </row>
    <row r="1302" spans="1:12" hidden="1" x14ac:dyDescent="0.3">
      <c r="A1302" t="s">
        <v>181</v>
      </c>
      <c r="B1302" t="s">
        <v>60</v>
      </c>
      <c r="C1302" s="4">
        <v>0.41</v>
      </c>
      <c r="D1302" s="4">
        <v>0.33983503399999998</v>
      </c>
      <c r="E1302">
        <v>9.5</v>
      </c>
      <c r="F1302" s="1">
        <v>5.5732484076433115</v>
      </c>
      <c r="G1302" s="2">
        <f t="shared" si="103"/>
        <v>24.395329175673304</v>
      </c>
      <c r="H1302" s="2">
        <f t="shared" si="104"/>
        <v>6.0421932890731549</v>
      </c>
      <c r="I1302" s="2">
        <f t="shared" si="100"/>
        <v>1208.4386578146309</v>
      </c>
      <c r="J1302" s="4">
        <f t="shared" si="102"/>
        <v>10.018481502292182</v>
      </c>
      <c r="K1302" s="4">
        <f t="shared" si="101"/>
        <v>2003.6963004584366</v>
      </c>
      <c r="L1302">
        <v>5</v>
      </c>
    </row>
    <row r="1303" spans="1:12" hidden="1" x14ac:dyDescent="0.3">
      <c r="A1303" t="s">
        <v>181</v>
      </c>
      <c r="B1303" t="s">
        <v>162</v>
      </c>
      <c r="C1303" s="4">
        <v>0.52800000000000002</v>
      </c>
      <c r="D1303" s="4">
        <v>0.51040266700000003</v>
      </c>
      <c r="E1303">
        <v>10</v>
      </c>
      <c r="F1303" s="1">
        <v>26.624203821656049</v>
      </c>
      <c r="G1303" s="2">
        <f t="shared" si="103"/>
        <v>556.72809729179983</v>
      </c>
      <c r="H1303" s="2">
        <f t="shared" si="104"/>
        <v>200.02213997003778</v>
      </c>
      <c r="I1303" s="2">
        <f t="shared" si="100"/>
        <v>40004.427994007558</v>
      </c>
      <c r="J1303" s="4">
        <f t="shared" si="102"/>
        <v>33.795388019797961</v>
      </c>
      <c r="K1303" s="4">
        <f t="shared" si="101"/>
        <v>6759.0776039595921</v>
      </c>
      <c r="L1303">
        <v>5</v>
      </c>
    </row>
    <row r="1304" spans="1:12" hidden="1" x14ac:dyDescent="0.3">
      <c r="A1304" t="s">
        <v>181</v>
      </c>
      <c r="B1304" t="s">
        <v>70</v>
      </c>
      <c r="C1304" s="4">
        <v>0.55560299999999996</v>
      </c>
      <c r="D1304" s="4">
        <v>0.55961111100000005</v>
      </c>
      <c r="E1304">
        <v>7</v>
      </c>
      <c r="F1304" s="1">
        <v>7.484076433121019</v>
      </c>
      <c r="G1304" s="2">
        <f t="shared" si="103"/>
        <v>43.991250733928432</v>
      </c>
      <c r="H1304" s="2">
        <f t="shared" si="104"/>
        <v>12.974349786474242</v>
      </c>
      <c r="I1304" s="2">
        <f t="shared" si="100"/>
        <v>2594.8699572948485</v>
      </c>
      <c r="J1304" s="4">
        <f t="shared" si="102"/>
        <v>10.357979301391538</v>
      </c>
      <c r="K1304" s="4">
        <f t="shared" si="101"/>
        <v>2071.5958602783076</v>
      </c>
      <c r="L1304">
        <v>5</v>
      </c>
    </row>
    <row r="1305" spans="1:12" hidden="1" x14ac:dyDescent="0.3">
      <c r="A1305" t="s">
        <v>181</v>
      </c>
      <c r="B1305" t="s">
        <v>70</v>
      </c>
      <c r="C1305" s="4">
        <v>0.55560299999999996</v>
      </c>
      <c r="D1305" s="4">
        <v>0.55961111100000005</v>
      </c>
      <c r="E1305">
        <v>7.5</v>
      </c>
      <c r="F1305" s="1">
        <v>18.789808917197451</v>
      </c>
      <c r="G1305" s="2">
        <f t="shared" si="103"/>
        <v>277.29025587108168</v>
      </c>
      <c r="H1305" s="2">
        <f t="shared" si="104"/>
        <v>83.696706343855766</v>
      </c>
      <c r="I1305" s="2">
        <f t="shared" si="100"/>
        <v>16739.341268771153</v>
      </c>
      <c r="J1305" s="4">
        <f t="shared" si="102"/>
        <v>18.253444127550814</v>
      </c>
      <c r="K1305" s="4">
        <f t="shared" si="101"/>
        <v>3650.688825510163</v>
      </c>
      <c r="L1305">
        <v>5</v>
      </c>
    </row>
    <row r="1306" spans="1:12" hidden="1" x14ac:dyDescent="0.3">
      <c r="A1306" t="s">
        <v>181</v>
      </c>
      <c r="B1306" t="s">
        <v>56</v>
      </c>
      <c r="C1306" s="4">
        <v>0.39984676499999999</v>
      </c>
      <c r="D1306" s="4">
        <v>0.450333333</v>
      </c>
      <c r="E1306">
        <v>4.5</v>
      </c>
      <c r="F1306" s="1">
        <v>13.057324840764331</v>
      </c>
      <c r="G1306" s="2">
        <f t="shared" si="103"/>
        <v>133.90546398141004</v>
      </c>
      <c r="H1306" s="2">
        <f t="shared" si="104"/>
        <v>20.209109109672049</v>
      </c>
      <c r="I1306" s="2">
        <f t="shared" si="100"/>
        <v>4041.8218219344099</v>
      </c>
      <c r="J1306" s="4">
        <f t="shared" si="102"/>
        <v>11.670976278956548</v>
      </c>
      <c r="K1306" s="4">
        <f t="shared" si="101"/>
        <v>2334.1952557913096</v>
      </c>
      <c r="L1306">
        <v>5</v>
      </c>
    </row>
    <row r="1307" spans="1:12" hidden="1" x14ac:dyDescent="0.3">
      <c r="A1307" t="s">
        <v>181</v>
      </c>
      <c r="B1307" t="s">
        <v>78</v>
      </c>
      <c r="C1307" s="4">
        <v>0.43538739399999998</v>
      </c>
      <c r="D1307" s="4">
        <v>0.568333333</v>
      </c>
      <c r="E1307">
        <v>6.5</v>
      </c>
      <c r="F1307" s="1">
        <v>9.5541401273885338</v>
      </c>
      <c r="G1307" s="2">
        <f t="shared" si="103"/>
        <v>71.692395944835823</v>
      </c>
      <c r="H1307" s="2">
        <f t="shared" si="104"/>
        <v>19.735365308796691</v>
      </c>
      <c r="I1307" s="2">
        <f t="shared" si="100"/>
        <v>3947.0730617593385</v>
      </c>
      <c r="J1307" s="4">
        <f t="shared" si="102"/>
        <v>11.062356253803399</v>
      </c>
      <c r="K1307" s="4">
        <f t="shared" si="101"/>
        <v>2212.4712507606796</v>
      </c>
      <c r="L1307">
        <v>5</v>
      </c>
    </row>
    <row r="1308" spans="1:12" hidden="1" x14ac:dyDescent="0.3">
      <c r="A1308" t="s">
        <v>181</v>
      </c>
      <c r="B1308" t="s">
        <v>31</v>
      </c>
      <c r="C1308" s="4">
        <v>0.63400000000000001</v>
      </c>
      <c r="D1308" s="4">
        <v>0.73247777800000002</v>
      </c>
      <c r="E1308">
        <v>8</v>
      </c>
      <c r="F1308" s="1">
        <v>16.401273885350317</v>
      </c>
      <c r="G1308" s="2">
        <f t="shared" si="103"/>
        <v>211.27350793854535</v>
      </c>
      <c r="H1308" s="2">
        <f t="shared" si="104"/>
        <v>88.901955983393961</v>
      </c>
      <c r="I1308" s="2">
        <f t="shared" si="100"/>
        <v>17780.391196678793</v>
      </c>
      <c r="J1308" s="4">
        <f t="shared" si="102"/>
        <v>16.51774998174368</v>
      </c>
      <c r="K1308" s="4">
        <f t="shared" si="101"/>
        <v>3303.5499963487359</v>
      </c>
      <c r="L1308">
        <v>5</v>
      </c>
    </row>
    <row r="1309" spans="1:12" hidden="1" x14ac:dyDescent="0.3">
      <c r="A1309" t="s">
        <v>181</v>
      </c>
      <c r="B1309" t="s">
        <v>57</v>
      </c>
      <c r="C1309" s="4">
        <v>0.61</v>
      </c>
      <c r="D1309" s="4">
        <v>0.84088888900000003</v>
      </c>
      <c r="E1309">
        <v>5</v>
      </c>
      <c r="F1309" s="1">
        <v>35.031847133757964</v>
      </c>
      <c r="G1309" s="2">
        <f t="shared" si="103"/>
        <v>963.86443436945979</v>
      </c>
      <c r="H1309" s="2">
        <f t="shared" si="104"/>
        <v>282.84370932589047</v>
      </c>
      <c r="I1309" s="2">
        <f t="shared" si="100"/>
        <v>56568.74186517809</v>
      </c>
      <c r="J1309" s="4">
        <f t="shared" si="102"/>
        <v>30.462230488052256</v>
      </c>
      <c r="K1309" s="4">
        <f t="shared" si="101"/>
        <v>6092.446097610451</v>
      </c>
      <c r="L1309">
        <v>5</v>
      </c>
    </row>
    <row r="1310" spans="1:12" hidden="1" x14ac:dyDescent="0.3">
      <c r="A1310" t="s">
        <v>181</v>
      </c>
      <c r="B1310" t="s">
        <v>175</v>
      </c>
      <c r="C1310" s="4">
        <v>0.78713326400000005</v>
      </c>
      <c r="D1310" s="4">
        <v>0.8155</v>
      </c>
      <c r="E1310">
        <v>4.5</v>
      </c>
      <c r="F1310" s="1">
        <v>2.6114649681528661</v>
      </c>
      <c r="G1310" s="2">
        <f t="shared" si="103"/>
        <v>5.3562185592564013</v>
      </c>
      <c r="H1310" s="2">
        <f t="shared" si="104"/>
        <v>1.5590435063461465</v>
      </c>
      <c r="I1310" s="2">
        <f t="shared" si="100"/>
        <v>311.80870126922935</v>
      </c>
      <c r="J1310" s="4">
        <f t="shared" si="102"/>
        <v>9.093111051158262</v>
      </c>
      <c r="K1310" s="4">
        <f t="shared" si="101"/>
        <v>1818.6222102316526</v>
      </c>
      <c r="L1310">
        <v>5</v>
      </c>
    </row>
    <row r="1311" spans="1:12" hidden="1" x14ac:dyDescent="0.3">
      <c r="A1311" t="s">
        <v>181</v>
      </c>
      <c r="B1311" t="s">
        <v>175</v>
      </c>
      <c r="C1311" s="4">
        <v>0.78713326400000005</v>
      </c>
      <c r="D1311" s="4">
        <v>0.8155</v>
      </c>
      <c r="E1311">
        <v>3.5</v>
      </c>
      <c r="F1311" s="1">
        <v>3.0254777070063694</v>
      </c>
      <c r="G1311" s="2">
        <f t="shared" si="103"/>
        <v>7.1891541489127055</v>
      </c>
      <c r="H1311" s="2">
        <f t="shared" si="104"/>
        <v>1.625867201670252</v>
      </c>
      <c r="I1311" s="2">
        <f t="shared" si="100"/>
        <v>325.17344033405038</v>
      </c>
      <c r="J1311" s="4">
        <f t="shared" si="102"/>
        <v>9.0978305631060081</v>
      </c>
      <c r="K1311" s="4">
        <f t="shared" si="101"/>
        <v>1819.5661126212017</v>
      </c>
      <c r="L1311">
        <v>5</v>
      </c>
    </row>
    <row r="1312" spans="1:12" hidden="1" x14ac:dyDescent="0.3">
      <c r="A1312" t="s">
        <v>181</v>
      </c>
      <c r="B1312" t="s">
        <v>118</v>
      </c>
      <c r="C1312" s="4">
        <v>0.56023871300000005</v>
      </c>
      <c r="D1312" s="4">
        <v>0.74103703700000001</v>
      </c>
      <c r="E1312">
        <v>2.7</v>
      </c>
      <c r="F1312" s="1">
        <v>2.3885350318471334</v>
      </c>
      <c r="G1312" s="2">
        <f t="shared" si="103"/>
        <v>4.480774746552239</v>
      </c>
      <c r="H1312" s="2">
        <f t="shared" si="104"/>
        <v>0.72460740469812723</v>
      </c>
      <c r="I1312" s="2">
        <f t="shared" si="100"/>
        <v>144.92148093962544</v>
      </c>
      <c r="J1312" s="4">
        <f t="shared" si="102"/>
        <v>9.039613191204511</v>
      </c>
      <c r="K1312" s="4">
        <f t="shared" si="101"/>
        <v>1807.9226382409022</v>
      </c>
      <c r="L1312">
        <v>5</v>
      </c>
    </row>
    <row r="1313" spans="1:12" hidden="1" x14ac:dyDescent="0.3">
      <c r="A1313" t="s">
        <v>181</v>
      </c>
      <c r="B1313" t="s">
        <v>46</v>
      </c>
      <c r="C1313" s="4">
        <v>1.1200000000000001</v>
      </c>
      <c r="D1313" s="4">
        <v>0.85527777800000004</v>
      </c>
      <c r="E1313">
        <v>2.2000000000000002</v>
      </c>
      <c r="F1313" s="1">
        <v>2.0700636942675157</v>
      </c>
      <c r="G1313" s="2">
        <f t="shared" si="103"/>
        <v>3.3655596985214595</v>
      </c>
      <c r="H1313" s="2">
        <f t="shared" si="104"/>
        <v>0.51612680602676175</v>
      </c>
      <c r="I1313" s="2">
        <f t="shared" si="100"/>
        <v>103.22536120535236</v>
      </c>
      <c r="J1313" s="4">
        <f t="shared" si="102"/>
        <v>9.0186957604770974</v>
      </c>
      <c r="K1313" s="4">
        <f t="shared" si="101"/>
        <v>1803.7391520954195</v>
      </c>
      <c r="L1313">
        <v>5</v>
      </c>
    </row>
    <row r="1314" spans="1:12" hidden="1" x14ac:dyDescent="0.3">
      <c r="A1314" t="s">
        <v>181</v>
      </c>
      <c r="B1314" t="s">
        <v>22</v>
      </c>
      <c r="C1314" s="4">
        <v>0.43836446099999998</v>
      </c>
      <c r="D1314" s="4">
        <v>0.58666666700000003</v>
      </c>
      <c r="E1314">
        <v>5.5</v>
      </c>
      <c r="F1314" s="1">
        <v>9.4585987261146496</v>
      </c>
      <c r="G1314" s="2">
        <f t="shared" si="103"/>
        <v>70.26571726553361</v>
      </c>
      <c r="H1314" s="2">
        <f t="shared" si="104"/>
        <v>16.957935716296792</v>
      </c>
      <c r="I1314" s="2">
        <f t="shared" si="100"/>
        <v>3391.5871432593581</v>
      </c>
      <c r="J1314" s="4">
        <f t="shared" si="102"/>
        <v>10.707902979836909</v>
      </c>
      <c r="K1314" s="4">
        <f t="shared" si="101"/>
        <v>2141.5805959673817</v>
      </c>
      <c r="L1314">
        <v>5</v>
      </c>
    </row>
    <row r="1315" spans="1:12" hidden="1" x14ac:dyDescent="0.3">
      <c r="A1315" t="s">
        <v>181</v>
      </c>
      <c r="B1315" t="s">
        <v>47</v>
      </c>
      <c r="C1315" s="4">
        <v>0.40238543599999999</v>
      </c>
      <c r="D1315" s="4">
        <v>0.40883333300000002</v>
      </c>
      <c r="E1315">
        <v>7</v>
      </c>
      <c r="F1315" s="1">
        <v>15.38216560509554</v>
      </c>
      <c r="G1315" s="2">
        <f t="shared" si="103"/>
        <v>185.83385952860897</v>
      </c>
      <c r="H1315" s="2">
        <f t="shared" si="104"/>
        <v>38.972481879759755</v>
      </c>
      <c r="I1315" s="2">
        <f t="shared" si="100"/>
        <v>7794.4963759519505</v>
      </c>
      <c r="J1315" s="4">
        <f t="shared" si="102"/>
        <v>14.782669958213315</v>
      </c>
      <c r="K1315" s="4">
        <f t="shared" si="101"/>
        <v>2956.5339916426628</v>
      </c>
      <c r="L1315">
        <v>5</v>
      </c>
    </row>
  </sheetData>
  <autoFilter ref="A1:L1315">
    <filterColumn colId="0">
      <filters>
        <filter val="ML11"/>
        <filter val="ML12"/>
        <filter val="ML13"/>
        <filter val="ML14"/>
        <filter val="ML15"/>
        <filter val="ML21"/>
        <filter val="ML22"/>
        <filter val="ML23"/>
        <filter val="ML24"/>
        <filter val="ML25"/>
        <filter val="REGUA_PV1"/>
        <filter val="REGUA_PV2"/>
        <filter val="REGUA_PV3"/>
        <filter val="REGUA_PV4"/>
        <filter val="REGUA_PV5"/>
        <filter val="REGUA1"/>
        <filter val="REGUA2"/>
        <filter val="REGUA3"/>
        <filter val="REGUA4"/>
        <filter val="REGUA5"/>
        <filter val="REGUA6"/>
        <filter val="REGUA7"/>
        <filter val="REGUA8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7"/>
  <sheetViews>
    <sheetView tabSelected="1" workbookViewId="0">
      <selection activeCell="A4" sqref="A4:B26"/>
    </sheetView>
  </sheetViews>
  <sheetFormatPr defaultRowHeight="14.4" x14ac:dyDescent="0.3"/>
  <cols>
    <col min="1" max="1" width="17.21875" bestFit="1" customWidth="1"/>
    <col min="2" max="2" width="23.77734375" bestFit="1" customWidth="1"/>
  </cols>
  <sheetData>
    <row r="3" spans="1:2" x14ac:dyDescent="0.3">
      <c r="A3" s="8" t="s">
        <v>183</v>
      </c>
      <c r="B3" t="s">
        <v>199</v>
      </c>
    </row>
    <row r="4" spans="1:2" x14ac:dyDescent="0.3">
      <c r="A4" s="7" t="s">
        <v>106</v>
      </c>
      <c r="B4" s="19">
        <v>4194.1662432930543</v>
      </c>
    </row>
    <row r="5" spans="1:2" x14ac:dyDescent="0.3">
      <c r="A5" s="7" t="s">
        <v>108</v>
      </c>
      <c r="B5" s="19">
        <v>1738.9873455916584</v>
      </c>
    </row>
    <row r="6" spans="1:2" x14ac:dyDescent="0.3">
      <c r="A6" s="7" t="s">
        <v>110</v>
      </c>
      <c r="B6" s="19">
        <v>7290.4947997362187</v>
      </c>
    </row>
    <row r="7" spans="1:2" x14ac:dyDescent="0.3">
      <c r="A7" s="7" t="s">
        <v>111</v>
      </c>
      <c r="B7" s="19">
        <v>3789.0858887835311</v>
      </c>
    </row>
    <row r="8" spans="1:2" x14ac:dyDescent="0.3">
      <c r="A8" s="7" t="s">
        <v>112</v>
      </c>
      <c r="B8" s="19">
        <v>6176.1711021209667</v>
      </c>
    </row>
    <row r="9" spans="1:2" x14ac:dyDescent="0.3">
      <c r="A9" s="7" t="s">
        <v>114</v>
      </c>
      <c r="B9" s="19">
        <v>1495.9885047732605</v>
      </c>
    </row>
    <row r="10" spans="1:2" x14ac:dyDescent="0.3">
      <c r="A10" s="7" t="s">
        <v>121</v>
      </c>
      <c r="B10" s="19">
        <v>2816.5907416758537</v>
      </c>
    </row>
    <row r="11" spans="1:2" x14ac:dyDescent="0.3">
      <c r="A11" s="7" t="s">
        <v>123</v>
      </c>
      <c r="B11" s="19">
        <v>6118.2105685833894</v>
      </c>
    </row>
    <row r="12" spans="1:2" x14ac:dyDescent="0.3">
      <c r="A12" s="7" t="s">
        <v>127</v>
      </c>
      <c r="B12" s="19">
        <v>1919.2142738775528</v>
      </c>
    </row>
    <row r="13" spans="1:2" x14ac:dyDescent="0.3">
      <c r="A13" s="7" t="s">
        <v>129</v>
      </c>
      <c r="B13" s="19">
        <v>184.33391438763113</v>
      </c>
    </row>
    <row r="14" spans="1:2" x14ac:dyDescent="0.3">
      <c r="A14" s="7" t="s">
        <v>140</v>
      </c>
      <c r="B14" s="19">
        <v>416.78321731640227</v>
      </c>
    </row>
    <row r="15" spans="1:2" x14ac:dyDescent="0.3">
      <c r="A15" s="7" t="s">
        <v>142</v>
      </c>
      <c r="B15" s="19">
        <v>973.17468612574078</v>
      </c>
    </row>
    <row r="16" spans="1:2" x14ac:dyDescent="0.3">
      <c r="A16" s="7" t="s">
        <v>144</v>
      </c>
      <c r="B16" s="19">
        <v>358.97986620778988</v>
      </c>
    </row>
    <row r="17" spans="1:2" x14ac:dyDescent="0.3">
      <c r="A17" s="7" t="s">
        <v>145</v>
      </c>
      <c r="B17" s="19">
        <v>1528.9286571272603</v>
      </c>
    </row>
    <row r="18" spans="1:2" x14ac:dyDescent="0.3">
      <c r="A18" s="7" t="s">
        <v>146</v>
      </c>
      <c r="B18" s="19">
        <v>1679.9239841325618</v>
      </c>
    </row>
    <row r="19" spans="1:2" x14ac:dyDescent="0.3">
      <c r="A19" s="7" t="s">
        <v>147</v>
      </c>
      <c r="B19" s="19">
        <v>1241.7123059562305</v>
      </c>
    </row>
    <row r="20" spans="1:2" x14ac:dyDescent="0.3">
      <c r="A20" s="7" t="s">
        <v>150</v>
      </c>
      <c r="B20" s="19">
        <v>355.44641599847972</v>
      </c>
    </row>
    <row r="21" spans="1:2" x14ac:dyDescent="0.3">
      <c r="A21" s="7" t="s">
        <v>152</v>
      </c>
      <c r="B21" s="19">
        <v>837.99449041747039</v>
      </c>
    </row>
    <row r="22" spans="1:2" x14ac:dyDescent="0.3">
      <c r="A22" s="7" t="s">
        <v>154</v>
      </c>
      <c r="B22" s="19">
        <v>515.03983960187372</v>
      </c>
    </row>
    <row r="23" spans="1:2" x14ac:dyDescent="0.3">
      <c r="A23" s="7" t="s">
        <v>155</v>
      </c>
      <c r="B23" s="19">
        <v>293.44961860384996</v>
      </c>
    </row>
    <row r="24" spans="1:2" x14ac:dyDescent="0.3">
      <c r="A24" s="7" t="s">
        <v>156</v>
      </c>
      <c r="B24" s="19">
        <v>330.05279047143307</v>
      </c>
    </row>
    <row r="25" spans="1:2" x14ac:dyDescent="0.3">
      <c r="A25" s="7" t="s">
        <v>158</v>
      </c>
      <c r="B25" s="19">
        <v>397.41510098999373</v>
      </c>
    </row>
    <row r="26" spans="1:2" x14ac:dyDescent="0.3">
      <c r="A26" s="7" t="s">
        <v>159</v>
      </c>
      <c r="B26" s="19">
        <v>229.03121500432644</v>
      </c>
    </row>
    <row r="27" spans="1:2" x14ac:dyDescent="0.3">
      <c r="A27" s="7" t="s">
        <v>185</v>
      </c>
      <c r="B27" s="19">
        <v>44881.175570776519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4"/>
  <sheetViews>
    <sheetView workbookViewId="0">
      <selection sqref="A1:F294"/>
    </sheetView>
  </sheetViews>
  <sheetFormatPr defaultRowHeight="14.4" x14ac:dyDescent="0.3"/>
  <cols>
    <col min="2" max="2" width="26.109375" bestFit="1" customWidth="1"/>
  </cols>
  <sheetData>
    <row r="1" spans="1:6" x14ac:dyDescent="0.3">
      <c r="A1" t="s">
        <v>0</v>
      </c>
      <c r="B1" t="s">
        <v>1</v>
      </c>
      <c r="C1" t="s">
        <v>4</v>
      </c>
      <c r="D1" s="7" t="s">
        <v>5</v>
      </c>
      <c r="E1" t="s">
        <v>197</v>
      </c>
      <c r="F1" t="s">
        <v>198</v>
      </c>
    </row>
    <row r="2" spans="1:6" x14ac:dyDescent="0.3">
      <c r="A2" t="s">
        <v>106</v>
      </c>
      <c r="B2" t="s">
        <v>26</v>
      </c>
      <c r="C2">
        <v>12</v>
      </c>
      <c r="D2" s="1">
        <v>82.22993630573248</v>
      </c>
      <c r="E2">
        <v>0.52691816800000002</v>
      </c>
      <c r="F2">
        <f>0.0673*(E2*(D2^2)*C2)^0.976</f>
        <v>2227.6951910482694</v>
      </c>
    </row>
    <row r="3" spans="1:6" x14ac:dyDescent="0.3">
      <c r="A3" t="s">
        <v>106</v>
      </c>
      <c r="B3" t="s">
        <v>39</v>
      </c>
      <c r="C3">
        <v>7</v>
      </c>
      <c r="D3" s="1">
        <v>10.605095541401273</v>
      </c>
      <c r="E3">
        <v>0.49303984699999998</v>
      </c>
      <c r="F3">
        <f t="shared" ref="F3:F66" si="0">0.0673*(E3*(D3^2)*C3)^0.976</f>
        <v>22.640607380948261</v>
      </c>
    </row>
    <row r="4" spans="1:6" x14ac:dyDescent="0.3">
      <c r="A4" t="s">
        <v>106</v>
      </c>
      <c r="B4" t="s">
        <v>39</v>
      </c>
      <c r="C4">
        <v>8</v>
      </c>
      <c r="D4" s="1">
        <v>11.656050955414013</v>
      </c>
      <c r="E4">
        <v>0.49303984699999998</v>
      </c>
      <c r="F4">
        <f t="shared" si="0"/>
        <v>31.016454261989896</v>
      </c>
    </row>
    <row r="5" spans="1:6" x14ac:dyDescent="0.3">
      <c r="A5" t="s">
        <v>106</v>
      </c>
      <c r="B5" t="s">
        <v>39</v>
      </c>
      <c r="C5">
        <v>11</v>
      </c>
      <c r="D5" s="1">
        <v>16.65605095541401</v>
      </c>
      <c r="E5">
        <v>0.49303984699999998</v>
      </c>
      <c r="F5">
        <f t="shared" si="0"/>
        <v>84.952428825195085</v>
      </c>
    </row>
    <row r="6" spans="1:6" x14ac:dyDescent="0.3">
      <c r="A6" t="s">
        <v>106</v>
      </c>
      <c r="B6" t="s">
        <v>39</v>
      </c>
      <c r="C6">
        <v>11</v>
      </c>
      <c r="D6" s="1">
        <v>17.32484076433121</v>
      </c>
      <c r="E6">
        <v>0.49303984699999998</v>
      </c>
      <c r="F6">
        <f t="shared" si="0"/>
        <v>91.738060800256818</v>
      </c>
    </row>
    <row r="7" spans="1:6" x14ac:dyDescent="0.3">
      <c r="A7" t="s">
        <v>106</v>
      </c>
      <c r="B7" t="s">
        <v>39</v>
      </c>
      <c r="C7">
        <v>10</v>
      </c>
      <c r="D7" s="1">
        <v>19.904458598726112</v>
      </c>
      <c r="E7">
        <v>0.49303984699999998</v>
      </c>
      <c r="F7">
        <f t="shared" si="0"/>
        <v>109.60214065899567</v>
      </c>
    </row>
    <row r="8" spans="1:6" x14ac:dyDescent="0.3">
      <c r="A8" t="s">
        <v>106</v>
      </c>
      <c r="B8" t="s">
        <v>39</v>
      </c>
      <c r="C8">
        <v>7</v>
      </c>
      <c r="D8" s="1">
        <v>36.136942675159233</v>
      </c>
      <c r="E8">
        <v>0.49303984699999998</v>
      </c>
      <c r="F8">
        <f t="shared" si="0"/>
        <v>247.85903174587395</v>
      </c>
    </row>
    <row r="9" spans="1:6" x14ac:dyDescent="0.3">
      <c r="A9" t="s">
        <v>106</v>
      </c>
      <c r="B9" t="s">
        <v>39</v>
      </c>
      <c r="C9">
        <v>8</v>
      </c>
      <c r="D9" s="1">
        <v>43.436305732484072</v>
      </c>
      <c r="E9">
        <v>0.49303984699999998</v>
      </c>
      <c r="F9">
        <f t="shared" si="0"/>
        <v>404.36407760388738</v>
      </c>
    </row>
    <row r="10" spans="1:6" x14ac:dyDescent="0.3">
      <c r="A10" t="s">
        <v>106</v>
      </c>
      <c r="B10" t="s">
        <v>39</v>
      </c>
      <c r="C10">
        <v>8</v>
      </c>
      <c r="D10" s="1">
        <v>49.803184713375792</v>
      </c>
      <c r="E10">
        <v>0.49303984699999998</v>
      </c>
      <c r="F10">
        <f t="shared" si="0"/>
        <v>528.11637248374143</v>
      </c>
    </row>
    <row r="11" spans="1:6" x14ac:dyDescent="0.3">
      <c r="A11" t="s">
        <v>106</v>
      </c>
      <c r="B11" t="s">
        <v>107</v>
      </c>
      <c r="C11">
        <v>9</v>
      </c>
      <c r="D11" s="1">
        <v>17.101910828025478</v>
      </c>
      <c r="E11">
        <v>0.51037391899999995</v>
      </c>
      <c r="F11">
        <f t="shared" si="0"/>
        <v>76.06030030857535</v>
      </c>
    </row>
    <row r="12" spans="1:6" x14ac:dyDescent="0.3">
      <c r="A12" t="s">
        <v>106</v>
      </c>
      <c r="B12" t="s">
        <v>107</v>
      </c>
      <c r="C12">
        <v>13</v>
      </c>
      <c r="D12" s="1">
        <v>32.00636942675159</v>
      </c>
      <c r="E12">
        <v>0.51037391899999995</v>
      </c>
      <c r="F12">
        <f t="shared" si="0"/>
        <v>370.12157817532153</v>
      </c>
    </row>
    <row r="13" spans="1:6" x14ac:dyDescent="0.3">
      <c r="A13" t="s">
        <v>108</v>
      </c>
      <c r="B13" t="s">
        <v>26</v>
      </c>
      <c r="C13">
        <v>11</v>
      </c>
      <c r="D13" s="1">
        <v>21.178343949044585</v>
      </c>
      <c r="E13">
        <v>0.52691816800000002</v>
      </c>
      <c r="F13">
        <f t="shared" si="0"/>
        <v>144.86945975718584</v>
      </c>
    </row>
    <row r="14" spans="1:6" x14ac:dyDescent="0.3">
      <c r="A14" t="s">
        <v>108</v>
      </c>
      <c r="B14" t="s">
        <v>66</v>
      </c>
      <c r="C14">
        <v>4</v>
      </c>
      <c r="D14" s="1">
        <v>4.2038216560509554</v>
      </c>
      <c r="E14">
        <v>0.65473331599999995</v>
      </c>
      <c r="F14">
        <f t="shared" si="0"/>
        <v>2.8409144145354874</v>
      </c>
    </row>
    <row r="15" spans="1:6" x14ac:dyDescent="0.3">
      <c r="A15" t="s">
        <v>108</v>
      </c>
      <c r="B15" t="s">
        <v>66</v>
      </c>
      <c r="C15">
        <v>4.5</v>
      </c>
      <c r="D15" s="1">
        <v>16.898089171974522</v>
      </c>
      <c r="E15">
        <v>0.65473331599999995</v>
      </c>
      <c r="F15">
        <f t="shared" si="0"/>
        <v>48.16908115513607</v>
      </c>
    </row>
    <row r="16" spans="1:6" x14ac:dyDescent="0.3">
      <c r="A16" t="s">
        <v>108</v>
      </c>
      <c r="B16" t="s">
        <v>66</v>
      </c>
      <c r="C16">
        <v>5.5</v>
      </c>
      <c r="D16" s="1">
        <v>28.283439490445858</v>
      </c>
      <c r="E16">
        <v>0.65473331599999995</v>
      </c>
      <c r="F16">
        <f t="shared" si="0"/>
        <v>160.13226271881314</v>
      </c>
    </row>
    <row r="17" spans="1:6" x14ac:dyDescent="0.3">
      <c r="A17" t="s">
        <v>108</v>
      </c>
      <c r="B17" t="s">
        <v>39</v>
      </c>
      <c r="C17">
        <v>7</v>
      </c>
      <c r="D17" s="1">
        <v>19.108280254777068</v>
      </c>
      <c r="E17">
        <v>0.49303984699999998</v>
      </c>
      <c r="F17">
        <f t="shared" si="0"/>
        <v>71.454267330042853</v>
      </c>
    </row>
    <row r="18" spans="1:6" x14ac:dyDescent="0.3">
      <c r="A18" t="s">
        <v>108</v>
      </c>
      <c r="B18" t="s">
        <v>39</v>
      </c>
      <c r="C18">
        <v>11</v>
      </c>
      <c r="D18" s="1">
        <v>26.656050955414013</v>
      </c>
      <c r="E18">
        <v>0.49303984699999998</v>
      </c>
      <c r="F18">
        <f t="shared" si="0"/>
        <v>212.72601149845372</v>
      </c>
    </row>
    <row r="19" spans="1:6" x14ac:dyDescent="0.3">
      <c r="A19" t="s">
        <v>108</v>
      </c>
      <c r="B19" t="s">
        <v>39</v>
      </c>
      <c r="C19">
        <v>8</v>
      </c>
      <c r="D19" s="1">
        <v>37.680254777070061</v>
      </c>
      <c r="E19">
        <v>0.49303984699999998</v>
      </c>
      <c r="F19">
        <f t="shared" si="0"/>
        <v>306.37825649662773</v>
      </c>
    </row>
    <row r="20" spans="1:6" x14ac:dyDescent="0.3">
      <c r="A20" t="s">
        <v>108</v>
      </c>
      <c r="B20" t="s">
        <v>39</v>
      </c>
      <c r="C20">
        <v>9</v>
      </c>
      <c r="D20" s="1">
        <v>51.072611464968155</v>
      </c>
      <c r="E20">
        <v>0.49303984699999998</v>
      </c>
      <c r="F20">
        <f t="shared" si="0"/>
        <v>622.28840321433267</v>
      </c>
    </row>
    <row r="21" spans="1:6" x14ac:dyDescent="0.3">
      <c r="A21" t="s">
        <v>108</v>
      </c>
      <c r="B21" t="s">
        <v>73</v>
      </c>
      <c r="C21">
        <v>5</v>
      </c>
      <c r="D21" s="1">
        <v>8.1210191082802545</v>
      </c>
      <c r="E21">
        <v>0.2424</v>
      </c>
      <c r="F21">
        <f t="shared" si="0"/>
        <v>4.8425418243390235</v>
      </c>
    </row>
    <row r="22" spans="1:6" x14ac:dyDescent="0.3">
      <c r="A22" t="s">
        <v>108</v>
      </c>
      <c r="B22" t="s">
        <v>73</v>
      </c>
      <c r="C22">
        <v>6</v>
      </c>
      <c r="D22" s="1">
        <v>8.4713375796178347</v>
      </c>
      <c r="E22">
        <v>0.2424</v>
      </c>
      <c r="F22">
        <f t="shared" si="0"/>
        <v>6.2828515583111306</v>
      </c>
    </row>
    <row r="23" spans="1:6" x14ac:dyDescent="0.3">
      <c r="A23" t="s">
        <v>108</v>
      </c>
      <c r="B23" t="s">
        <v>73</v>
      </c>
      <c r="C23">
        <v>4</v>
      </c>
      <c r="D23" s="1">
        <v>8.6942675159235669</v>
      </c>
      <c r="E23">
        <v>0.2424</v>
      </c>
      <c r="F23">
        <f t="shared" si="0"/>
        <v>4.4495107715726379</v>
      </c>
    </row>
    <row r="24" spans="1:6" x14ac:dyDescent="0.3">
      <c r="A24" t="s">
        <v>108</v>
      </c>
      <c r="B24" t="s">
        <v>73</v>
      </c>
      <c r="C24">
        <v>6</v>
      </c>
      <c r="D24" s="1">
        <v>8.7579617834394909</v>
      </c>
      <c r="E24">
        <v>0.2424</v>
      </c>
      <c r="F24">
        <f t="shared" si="0"/>
        <v>6.7044825172485218</v>
      </c>
    </row>
    <row r="25" spans="1:6" x14ac:dyDescent="0.3">
      <c r="A25" t="s">
        <v>108</v>
      </c>
      <c r="B25" t="s">
        <v>73</v>
      </c>
      <c r="C25">
        <v>5</v>
      </c>
      <c r="D25" s="1">
        <v>9.2356687898089174</v>
      </c>
      <c r="E25">
        <v>0.2424</v>
      </c>
      <c r="F25">
        <f t="shared" si="0"/>
        <v>6.2245482827739975</v>
      </c>
    </row>
    <row r="26" spans="1:6" x14ac:dyDescent="0.3">
      <c r="A26" t="s">
        <v>108</v>
      </c>
      <c r="B26" t="s">
        <v>73</v>
      </c>
      <c r="C26">
        <v>3</v>
      </c>
      <c r="D26" s="1">
        <v>10.414012738853504</v>
      </c>
      <c r="E26">
        <v>0.2424</v>
      </c>
      <c r="F26">
        <f t="shared" si="0"/>
        <v>4.7794704595205015</v>
      </c>
    </row>
    <row r="27" spans="1:6" x14ac:dyDescent="0.3">
      <c r="A27" t="s">
        <v>108</v>
      </c>
      <c r="B27" t="s">
        <v>73</v>
      </c>
      <c r="C27">
        <v>4.5</v>
      </c>
      <c r="D27" s="1">
        <v>10.923566878980891</v>
      </c>
      <c r="E27">
        <v>0.2424</v>
      </c>
      <c r="F27">
        <f t="shared" si="0"/>
        <v>7.7936654552869244</v>
      </c>
    </row>
    <row r="28" spans="1:6" x14ac:dyDescent="0.3">
      <c r="A28" t="s">
        <v>108</v>
      </c>
      <c r="B28" t="s">
        <v>73</v>
      </c>
      <c r="C28">
        <v>5</v>
      </c>
      <c r="D28" s="1">
        <v>28.938853503184713</v>
      </c>
      <c r="E28">
        <v>0.2424</v>
      </c>
      <c r="F28">
        <f t="shared" si="0"/>
        <v>57.852903537647663</v>
      </c>
    </row>
    <row r="29" spans="1:6" x14ac:dyDescent="0.3">
      <c r="A29" t="s">
        <v>108</v>
      </c>
      <c r="B29" t="s">
        <v>73</v>
      </c>
      <c r="C29">
        <v>4.8</v>
      </c>
      <c r="D29" s="1">
        <v>30.788535031847132</v>
      </c>
      <c r="E29">
        <v>0.2424</v>
      </c>
      <c r="F29">
        <f t="shared" si="0"/>
        <v>62.740174367194129</v>
      </c>
    </row>
    <row r="30" spans="1:6" x14ac:dyDescent="0.3">
      <c r="A30" t="s">
        <v>108</v>
      </c>
      <c r="B30" t="s">
        <v>109</v>
      </c>
      <c r="C30">
        <v>7</v>
      </c>
      <c r="D30" s="1">
        <v>6.7515923566878975</v>
      </c>
      <c r="E30">
        <v>0.44359999999999999</v>
      </c>
      <c r="F30">
        <f t="shared" si="0"/>
        <v>8.4585402326360448</v>
      </c>
    </row>
    <row r="31" spans="1:6" x14ac:dyDescent="0.3">
      <c r="A31" t="s">
        <v>110</v>
      </c>
      <c r="B31" t="s">
        <v>26</v>
      </c>
      <c r="C31">
        <v>8</v>
      </c>
      <c r="D31" s="1">
        <v>6.7515923566878975</v>
      </c>
      <c r="E31">
        <v>0.52691816800000002</v>
      </c>
      <c r="F31">
        <f t="shared" si="0"/>
        <v>11.398643107045498</v>
      </c>
    </row>
    <row r="32" spans="1:6" x14ac:dyDescent="0.3">
      <c r="A32" t="s">
        <v>110</v>
      </c>
      <c r="B32" t="s">
        <v>26</v>
      </c>
      <c r="C32">
        <v>9</v>
      </c>
      <c r="D32" s="1">
        <v>12.802547770700638</v>
      </c>
      <c r="E32">
        <v>0.52691816800000002</v>
      </c>
      <c r="F32">
        <f t="shared" si="0"/>
        <v>44.588172543247772</v>
      </c>
    </row>
    <row r="33" spans="1:6" x14ac:dyDescent="0.3">
      <c r="A33" t="s">
        <v>110</v>
      </c>
      <c r="B33" t="s">
        <v>26</v>
      </c>
      <c r="C33">
        <v>10</v>
      </c>
      <c r="D33" s="1">
        <v>15.987261146496815</v>
      </c>
      <c r="E33">
        <v>0.52691816800000002</v>
      </c>
      <c r="F33">
        <f t="shared" si="0"/>
        <v>76.243598219034993</v>
      </c>
    </row>
    <row r="34" spans="1:6" x14ac:dyDescent="0.3">
      <c r="A34" t="s">
        <v>110</v>
      </c>
      <c r="B34" t="s">
        <v>26</v>
      </c>
      <c r="C34">
        <v>11</v>
      </c>
      <c r="D34" s="1">
        <v>24.076433121019104</v>
      </c>
      <c r="E34">
        <v>0.52691816800000002</v>
      </c>
      <c r="F34">
        <f t="shared" si="0"/>
        <v>186.08164375658498</v>
      </c>
    </row>
    <row r="35" spans="1:6" x14ac:dyDescent="0.3">
      <c r="A35" t="s">
        <v>110</v>
      </c>
      <c r="B35" t="s">
        <v>26</v>
      </c>
      <c r="C35">
        <v>12</v>
      </c>
      <c r="D35" s="1">
        <v>77.064331210191085</v>
      </c>
      <c r="E35">
        <v>0.52691816800000002</v>
      </c>
      <c r="F35">
        <f t="shared" si="0"/>
        <v>1962.7055979817062</v>
      </c>
    </row>
    <row r="36" spans="1:6" x14ac:dyDescent="0.3">
      <c r="A36" t="s">
        <v>110</v>
      </c>
      <c r="B36" t="s">
        <v>26</v>
      </c>
      <c r="C36">
        <v>12</v>
      </c>
      <c r="D36" s="1">
        <v>77.108917197452229</v>
      </c>
      <c r="E36">
        <v>0.52691816800000002</v>
      </c>
      <c r="F36">
        <f t="shared" si="0"/>
        <v>1964.9227707307614</v>
      </c>
    </row>
    <row r="37" spans="1:6" x14ac:dyDescent="0.3">
      <c r="A37" t="s">
        <v>110</v>
      </c>
      <c r="B37" t="s">
        <v>85</v>
      </c>
      <c r="C37">
        <v>8</v>
      </c>
      <c r="D37" s="1">
        <v>8.4394904458598727</v>
      </c>
      <c r="E37">
        <v>0.38825121200000001</v>
      </c>
      <c r="F37">
        <f t="shared" si="0"/>
        <v>13.078992082309872</v>
      </c>
    </row>
    <row r="38" spans="1:6" x14ac:dyDescent="0.3">
      <c r="A38" t="s">
        <v>110</v>
      </c>
      <c r="B38" t="s">
        <v>56</v>
      </c>
      <c r="C38">
        <v>6</v>
      </c>
      <c r="D38" s="1">
        <v>7.7707006369426743</v>
      </c>
      <c r="E38">
        <v>0.30794823799999999</v>
      </c>
      <c r="F38">
        <f t="shared" si="0"/>
        <v>6.7053771586605491</v>
      </c>
    </row>
    <row r="39" spans="1:6" x14ac:dyDescent="0.3">
      <c r="A39" t="s">
        <v>110</v>
      </c>
      <c r="B39" t="s">
        <v>56</v>
      </c>
      <c r="C39">
        <v>7</v>
      </c>
      <c r="D39" s="1">
        <v>9.7133757961783438</v>
      </c>
      <c r="E39">
        <v>0.30794823799999999</v>
      </c>
      <c r="F39">
        <f t="shared" si="0"/>
        <v>12.048462292199719</v>
      </c>
    </row>
    <row r="40" spans="1:6" x14ac:dyDescent="0.3">
      <c r="A40" t="s">
        <v>110</v>
      </c>
      <c r="B40" t="s">
        <v>56</v>
      </c>
      <c r="C40">
        <v>7</v>
      </c>
      <c r="D40" s="1">
        <v>13.439490445859873</v>
      </c>
      <c r="E40">
        <v>0.30794823799999999</v>
      </c>
      <c r="F40">
        <f t="shared" si="0"/>
        <v>22.708489156935173</v>
      </c>
    </row>
    <row r="41" spans="1:6" x14ac:dyDescent="0.3">
      <c r="A41" t="s">
        <v>110</v>
      </c>
      <c r="B41" t="s">
        <v>56</v>
      </c>
      <c r="C41">
        <v>7</v>
      </c>
      <c r="D41" s="1">
        <v>35.994904458598725</v>
      </c>
      <c r="E41">
        <v>0.30794823799999999</v>
      </c>
      <c r="F41">
        <f t="shared" si="0"/>
        <v>155.37011619312457</v>
      </c>
    </row>
    <row r="42" spans="1:6" x14ac:dyDescent="0.3">
      <c r="A42" t="s">
        <v>110</v>
      </c>
      <c r="B42" t="s">
        <v>56</v>
      </c>
      <c r="C42">
        <v>8</v>
      </c>
      <c r="D42" s="1">
        <v>54.08407643312102</v>
      </c>
      <c r="E42">
        <v>0.30794823799999999</v>
      </c>
      <c r="F42">
        <f t="shared" si="0"/>
        <v>391.86516044048022</v>
      </c>
    </row>
    <row r="43" spans="1:6" x14ac:dyDescent="0.3">
      <c r="A43" t="s">
        <v>110</v>
      </c>
      <c r="B43" t="s">
        <v>56</v>
      </c>
      <c r="C43">
        <v>10</v>
      </c>
      <c r="D43" s="1">
        <v>66.27006369426752</v>
      </c>
      <c r="E43">
        <v>0.30794823799999999</v>
      </c>
      <c r="F43">
        <f t="shared" si="0"/>
        <v>724.40404008526116</v>
      </c>
    </row>
    <row r="44" spans="1:6" x14ac:dyDescent="0.3">
      <c r="A44" t="s">
        <v>110</v>
      </c>
      <c r="B44" t="s">
        <v>39</v>
      </c>
      <c r="C44">
        <v>8</v>
      </c>
      <c r="D44" s="1">
        <v>16.114649681528661</v>
      </c>
      <c r="E44">
        <v>0.49303984699999998</v>
      </c>
      <c r="F44">
        <f t="shared" si="0"/>
        <v>58.368546532056264</v>
      </c>
    </row>
    <row r="45" spans="1:6" x14ac:dyDescent="0.3">
      <c r="A45" t="s">
        <v>110</v>
      </c>
      <c r="B45" t="s">
        <v>39</v>
      </c>
      <c r="C45">
        <v>11</v>
      </c>
      <c r="D45" s="1">
        <v>75.277070063694268</v>
      </c>
      <c r="E45">
        <v>0.49303984699999998</v>
      </c>
      <c r="F45">
        <f t="shared" si="0"/>
        <v>1614.0343780567162</v>
      </c>
    </row>
    <row r="46" spans="1:6" x14ac:dyDescent="0.3">
      <c r="A46" t="s">
        <v>110</v>
      </c>
      <c r="B46" t="s">
        <v>107</v>
      </c>
      <c r="C46">
        <v>8</v>
      </c>
      <c r="D46" s="1">
        <v>10.923566878980891</v>
      </c>
      <c r="E46">
        <v>0.51037391899999995</v>
      </c>
      <c r="F46">
        <f t="shared" si="0"/>
        <v>28.262950021314943</v>
      </c>
    </row>
    <row r="47" spans="1:6" x14ac:dyDescent="0.3">
      <c r="A47" t="s">
        <v>110</v>
      </c>
      <c r="B47" t="s">
        <v>73</v>
      </c>
      <c r="C47">
        <v>2.8</v>
      </c>
      <c r="D47" s="1">
        <v>4.6496815286624198</v>
      </c>
      <c r="E47">
        <v>0.2424</v>
      </c>
      <c r="F47">
        <f t="shared" si="0"/>
        <v>0.92588113847909281</v>
      </c>
    </row>
    <row r="48" spans="1:6" x14ac:dyDescent="0.3">
      <c r="A48" t="s">
        <v>110</v>
      </c>
      <c r="B48" t="s">
        <v>73</v>
      </c>
      <c r="C48">
        <v>4.8</v>
      </c>
      <c r="D48" s="1">
        <v>7.8343949044585992</v>
      </c>
      <c r="E48">
        <v>0.2424</v>
      </c>
      <c r="F48">
        <f t="shared" si="0"/>
        <v>4.338194312599267</v>
      </c>
    </row>
    <row r="49" spans="1:6" x14ac:dyDescent="0.3">
      <c r="A49" t="s">
        <v>110</v>
      </c>
      <c r="B49" t="s">
        <v>73</v>
      </c>
      <c r="C49">
        <v>4.5</v>
      </c>
      <c r="D49" s="1">
        <v>7.8343949044585992</v>
      </c>
      <c r="E49">
        <v>0.2424</v>
      </c>
      <c r="F49">
        <f t="shared" si="0"/>
        <v>4.0733616138768829</v>
      </c>
    </row>
    <row r="50" spans="1:6" x14ac:dyDescent="0.3">
      <c r="A50" t="s">
        <v>110</v>
      </c>
      <c r="B50" t="s">
        <v>73</v>
      </c>
      <c r="C50">
        <v>2</v>
      </c>
      <c r="D50" s="1">
        <v>8.3439490445859867</v>
      </c>
      <c r="E50">
        <v>0.2424</v>
      </c>
      <c r="F50">
        <f t="shared" si="0"/>
        <v>2.0875727555134298</v>
      </c>
    </row>
    <row r="51" spans="1:6" x14ac:dyDescent="0.3">
      <c r="A51" t="s">
        <v>110</v>
      </c>
      <c r="B51" t="s">
        <v>73</v>
      </c>
      <c r="C51">
        <v>6</v>
      </c>
      <c r="D51" s="1">
        <v>8.4713375796178347</v>
      </c>
      <c r="E51">
        <v>0.2424</v>
      </c>
      <c r="F51">
        <f t="shared" si="0"/>
        <v>6.2828515583111306</v>
      </c>
    </row>
    <row r="52" spans="1:6" x14ac:dyDescent="0.3">
      <c r="A52" t="s">
        <v>111</v>
      </c>
      <c r="B52" t="s">
        <v>66</v>
      </c>
      <c r="C52">
        <v>5</v>
      </c>
      <c r="D52" s="1">
        <v>4.8726114649681529</v>
      </c>
      <c r="E52">
        <v>0.65473331599999995</v>
      </c>
      <c r="F52">
        <f t="shared" si="0"/>
        <v>4.7119392471695782</v>
      </c>
    </row>
    <row r="53" spans="1:6" x14ac:dyDescent="0.3">
      <c r="A53" t="s">
        <v>111</v>
      </c>
      <c r="B53" t="s">
        <v>66</v>
      </c>
      <c r="C53">
        <v>4</v>
      </c>
      <c r="D53" s="1">
        <v>13.933121019108281</v>
      </c>
      <c r="E53">
        <v>0.65473331599999995</v>
      </c>
      <c r="F53">
        <f t="shared" si="0"/>
        <v>29.463681053468591</v>
      </c>
    </row>
    <row r="54" spans="1:6" x14ac:dyDescent="0.3">
      <c r="A54" t="s">
        <v>111</v>
      </c>
      <c r="B54" t="s">
        <v>66</v>
      </c>
      <c r="C54">
        <v>5</v>
      </c>
      <c r="D54" s="1">
        <v>17.86687898089172</v>
      </c>
      <c r="E54">
        <v>0.65473331599999995</v>
      </c>
      <c r="F54">
        <f t="shared" si="0"/>
        <v>59.523400851261201</v>
      </c>
    </row>
    <row r="55" spans="1:6" x14ac:dyDescent="0.3">
      <c r="A55" t="s">
        <v>111</v>
      </c>
      <c r="B55" t="s">
        <v>56</v>
      </c>
      <c r="C55">
        <v>9</v>
      </c>
      <c r="D55" s="1">
        <v>14.840764331210192</v>
      </c>
      <c r="E55">
        <v>0.30794823799999999</v>
      </c>
      <c r="F55">
        <f t="shared" si="0"/>
        <v>35.220267320730059</v>
      </c>
    </row>
    <row r="56" spans="1:6" x14ac:dyDescent="0.3">
      <c r="A56" t="s">
        <v>111</v>
      </c>
      <c r="B56" t="s">
        <v>56</v>
      </c>
      <c r="C56">
        <v>10</v>
      </c>
      <c r="D56" s="1">
        <v>19.267515923566879</v>
      </c>
      <c r="E56">
        <v>0.30794823799999999</v>
      </c>
      <c r="F56">
        <f t="shared" si="0"/>
        <v>64.97542676260025</v>
      </c>
    </row>
    <row r="57" spans="1:6" x14ac:dyDescent="0.3">
      <c r="A57" t="s">
        <v>111</v>
      </c>
      <c r="B57" t="s">
        <v>56</v>
      </c>
      <c r="C57">
        <v>8</v>
      </c>
      <c r="D57" s="1">
        <v>45.317834394904459</v>
      </c>
      <c r="E57">
        <v>0.30794823799999999</v>
      </c>
      <c r="F57">
        <f t="shared" si="0"/>
        <v>277.47414806866004</v>
      </c>
    </row>
    <row r="58" spans="1:6" x14ac:dyDescent="0.3">
      <c r="A58" t="s">
        <v>111</v>
      </c>
      <c r="B58" t="s">
        <v>39</v>
      </c>
      <c r="C58">
        <v>6</v>
      </c>
      <c r="D58" s="1">
        <v>7.1019108280254777</v>
      </c>
      <c r="E58">
        <v>0.49303984699999998</v>
      </c>
      <c r="F58">
        <f t="shared" si="0"/>
        <v>8.9048776278928887</v>
      </c>
    </row>
    <row r="59" spans="1:6" x14ac:dyDescent="0.3">
      <c r="A59" t="s">
        <v>111</v>
      </c>
      <c r="B59" t="s">
        <v>39</v>
      </c>
      <c r="C59">
        <v>8</v>
      </c>
      <c r="D59" s="1">
        <v>13.280254777070065</v>
      </c>
      <c r="E59">
        <v>0.49303984699999998</v>
      </c>
      <c r="F59">
        <f t="shared" si="0"/>
        <v>40.011298809590556</v>
      </c>
    </row>
    <row r="60" spans="1:6" x14ac:dyDescent="0.3">
      <c r="A60" t="s">
        <v>111</v>
      </c>
      <c r="B60" t="s">
        <v>39</v>
      </c>
      <c r="C60">
        <v>9</v>
      </c>
      <c r="D60" s="1">
        <v>17.611464968152866</v>
      </c>
      <c r="E60">
        <v>0.49303984699999998</v>
      </c>
      <c r="F60">
        <f t="shared" si="0"/>
        <v>77.875596850292482</v>
      </c>
    </row>
    <row r="61" spans="1:6" x14ac:dyDescent="0.3">
      <c r="A61" t="s">
        <v>111</v>
      </c>
      <c r="B61" t="s">
        <v>39</v>
      </c>
      <c r="C61">
        <v>6</v>
      </c>
      <c r="D61" s="1">
        <v>29.822292993630573</v>
      </c>
      <c r="E61">
        <v>0.49303984699999998</v>
      </c>
      <c r="F61">
        <f t="shared" si="0"/>
        <v>146.5708585841534</v>
      </c>
    </row>
    <row r="62" spans="1:6" x14ac:dyDescent="0.3">
      <c r="A62" t="s">
        <v>111</v>
      </c>
      <c r="B62" t="s">
        <v>39</v>
      </c>
      <c r="C62">
        <v>8</v>
      </c>
      <c r="D62" s="1">
        <v>37.867515923566884</v>
      </c>
      <c r="E62">
        <v>0.49303984699999998</v>
      </c>
      <c r="F62">
        <f t="shared" si="0"/>
        <v>309.35744286590347</v>
      </c>
    </row>
    <row r="63" spans="1:6" x14ac:dyDescent="0.3">
      <c r="A63" t="s">
        <v>111</v>
      </c>
      <c r="B63" t="s">
        <v>39</v>
      </c>
      <c r="C63">
        <v>8</v>
      </c>
      <c r="D63" s="1">
        <v>52.650318471337577</v>
      </c>
      <c r="E63">
        <v>0.49303984699999998</v>
      </c>
      <c r="F63">
        <f t="shared" si="0"/>
        <v>588.65183186068373</v>
      </c>
    </row>
    <row r="64" spans="1:6" x14ac:dyDescent="0.3">
      <c r="A64" t="s">
        <v>111</v>
      </c>
      <c r="B64" t="s">
        <v>39</v>
      </c>
      <c r="C64">
        <v>9</v>
      </c>
      <c r="D64" s="1">
        <v>60.147133757961782</v>
      </c>
      <c r="E64">
        <v>0.49303984699999998</v>
      </c>
      <c r="F64">
        <f t="shared" si="0"/>
        <v>856.32014450024917</v>
      </c>
    </row>
    <row r="65" spans="1:6" x14ac:dyDescent="0.3">
      <c r="A65" t="s">
        <v>111</v>
      </c>
      <c r="B65" t="s">
        <v>39</v>
      </c>
      <c r="C65">
        <v>12</v>
      </c>
      <c r="D65" s="1">
        <v>63.994267515923568</v>
      </c>
      <c r="E65">
        <v>0.49303984699999998</v>
      </c>
      <c r="F65">
        <f t="shared" si="0"/>
        <v>1279.7825531366477</v>
      </c>
    </row>
    <row r="66" spans="1:6" x14ac:dyDescent="0.3">
      <c r="A66" t="s">
        <v>111</v>
      </c>
      <c r="B66" t="s">
        <v>47</v>
      </c>
      <c r="C66">
        <v>7</v>
      </c>
      <c r="D66" s="1">
        <v>10.636942675159235</v>
      </c>
      <c r="E66">
        <v>0.21743084800000001</v>
      </c>
      <c r="F66">
        <f t="shared" si="0"/>
        <v>10.242421244228163</v>
      </c>
    </row>
    <row r="67" spans="1:6" x14ac:dyDescent="0.3">
      <c r="A67" t="s">
        <v>112</v>
      </c>
      <c r="B67" t="s">
        <v>69</v>
      </c>
      <c r="C67">
        <v>5</v>
      </c>
      <c r="D67" s="1">
        <v>14.171974522292993</v>
      </c>
      <c r="E67">
        <v>0.30236945900000001</v>
      </c>
      <c r="F67">
        <f t="shared" ref="F67:F130" si="1">0.0673*(E67*(D67^2)*C67)^0.976</f>
        <v>17.815863212219661</v>
      </c>
    </row>
    <row r="68" spans="1:6" x14ac:dyDescent="0.3">
      <c r="A68" t="s">
        <v>112</v>
      </c>
      <c r="B68" t="s">
        <v>69</v>
      </c>
      <c r="C68">
        <v>9</v>
      </c>
      <c r="D68" s="1">
        <v>27.515923566878982</v>
      </c>
      <c r="E68">
        <v>0.30236945900000001</v>
      </c>
      <c r="F68">
        <f t="shared" si="1"/>
        <v>115.45929954659161</v>
      </c>
    </row>
    <row r="69" spans="1:6" x14ac:dyDescent="0.3">
      <c r="A69" t="s">
        <v>112</v>
      </c>
      <c r="B69" t="s">
        <v>85</v>
      </c>
      <c r="C69">
        <v>7</v>
      </c>
      <c r="D69" s="1">
        <v>10.891719745222931</v>
      </c>
      <c r="E69">
        <v>0.38825121200000001</v>
      </c>
      <c r="F69">
        <f t="shared" si="1"/>
        <v>18.88935591560395</v>
      </c>
    </row>
    <row r="70" spans="1:6" x14ac:dyDescent="0.3">
      <c r="A70" t="s">
        <v>112</v>
      </c>
      <c r="B70" t="s">
        <v>85</v>
      </c>
      <c r="C70">
        <v>6.5</v>
      </c>
      <c r="D70" s="1">
        <v>12.32484076433121</v>
      </c>
      <c r="E70">
        <v>0.38825121200000001</v>
      </c>
      <c r="F70">
        <f t="shared" si="1"/>
        <v>22.366485279740811</v>
      </c>
    </row>
    <row r="71" spans="1:6" x14ac:dyDescent="0.3">
      <c r="A71" t="s">
        <v>112</v>
      </c>
      <c r="B71" t="s">
        <v>113</v>
      </c>
      <c r="C71">
        <v>8</v>
      </c>
      <c r="D71" s="1">
        <v>72.045222929936301</v>
      </c>
      <c r="E71">
        <v>0.41764662800000002</v>
      </c>
      <c r="F71">
        <f t="shared" si="1"/>
        <v>923.39131475817999</v>
      </c>
    </row>
    <row r="72" spans="1:6" x14ac:dyDescent="0.3">
      <c r="A72" t="s">
        <v>112</v>
      </c>
      <c r="B72" t="s">
        <v>113</v>
      </c>
      <c r="C72">
        <v>9</v>
      </c>
      <c r="D72" s="1">
        <v>10.350318471337578</v>
      </c>
      <c r="E72">
        <v>0.41764662800000002</v>
      </c>
      <c r="F72">
        <f t="shared" si="1"/>
        <v>23.466859052599048</v>
      </c>
    </row>
    <row r="73" spans="1:6" x14ac:dyDescent="0.3">
      <c r="A73" t="s">
        <v>112</v>
      </c>
      <c r="B73" t="s">
        <v>113</v>
      </c>
      <c r="C73">
        <v>11</v>
      </c>
      <c r="D73" s="1">
        <v>29.005732484076432</v>
      </c>
      <c r="E73">
        <v>0.41764662800000002</v>
      </c>
      <c r="F73">
        <f t="shared" si="1"/>
        <v>213.34984860828519</v>
      </c>
    </row>
    <row r="74" spans="1:6" x14ac:dyDescent="0.3">
      <c r="A74" t="s">
        <v>112</v>
      </c>
      <c r="B74" t="s">
        <v>66</v>
      </c>
      <c r="C74">
        <v>5</v>
      </c>
      <c r="D74" s="1">
        <v>6.5286624203821653</v>
      </c>
      <c r="E74">
        <v>0.65473331599999995</v>
      </c>
      <c r="F74">
        <f t="shared" si="1"/>
        <v>8.3411426032218188</v>
      </c>
    </row>
    <row r="75" spans="1:6" x14ac:dyDescent="0.3">
      <c r="A75" t="s">
        <v>112</v>
      </c>
      <c r="B75" t="s">
        <v>66</v>
      </c>
      <c r="C75">
        <v>5</v>
      </c>
      <c r="D75" s="1">
        <v>6.6242038216560513</v>
      </c>
      <c r="E75">
        <v>0.65473331599999995</v>
      </c>
      <c r="F75">
        <f t="shared" si="1"/>
        <v>8.5810738419236703</v>
      </c>
    </row>
    <row r="76" spans="1:6" x14ac:dyDescent="0.3">
      <c r="A76" t="s">
        <v>112</v>
      </c>
      <c r="B76" t="s">
        <v>66</v>
      </c>
      <c r="C76">
        <v>4</v>
      </c>
      <c r="D76" s="1">
        <v>16.376433121019108</v>
      </c>
      <c r="E76">
        <v>0.65473331599999995</v>
      </c>
      <c r="F76">
        <f t="shared" si="1"/>
        <v>40.388768795656588</v>
      </c>
    </row>
    <row r="77" spans="1:6" x14ac:dyDescent="0.3">
      <c r="A77" t="s">
        <v>112</v>
      </c>
      <c r="B77" t="s">
        <v>66</v>
      </c>
      <c r="C77">
        <v>5.5</v>
      </c>
      <c r="D77" s="1">
        <v>16.448407643312102</v>
      </c>
      <c r="E77">
        <v>0.65473331599999995</v>
      </c>
      <c r="F77">
        <f t="shared" si="1"/>
        <v>55.585525915994289</v>
      </c>
    </row>
    <row r="78" spans="1:6" x14ac:dyDescent="0.3">
      <c r="A78" t="s">
        <v>112</v>
      </c>
      <c r="B78" t="s">
        <v>66</v>
      </c>
      <c r="C78">
        <v>6</v>
      </c>
      <c r="D78" s="1">
        <v>21.91783439490446</v>
      </c>
      <c r="E78">
        <v>0.65473331599999995</v>
      </c>
      <c r="F78">
        <f t="shared" si="1"/>
        <v>105.97576838528258</v>
      </c>
    </row>
    <row r="79" spans="1:6" x14ac:dyDescent="0.3">
      <c r="A79" t="s">
        <v>112</v>
      </c>
      <c r="B79" t="s">
        <v>56</v>
      </c>
      <c r="C79">
        <v>13</v>
      </c>
      <c r="D79" s="1">
        <v>17.261146496815286</v>
      </c>
      <c r="E79">
        <v>0.30794823799999999</v>
      </c>
      <c r="F79">
        <f t="shared" si="1"/>
        <v>67.723277605416257</v>
      </c>
    </row>
    <row r="80" spans="1:6" x14ac:dyDescent="0.3">
      <c r="A80" t="s">
        <v>112</v>
      </c>
      <c r="B80" t="s">
        <v>39</v>
      </c>
      <c r="C80">
        <v>9</v>
      </c>
      <c r="D80" s="1">
        <v>41.731210191082802</v>
      </c>
      <c r="E80">
        <v>0.49303984699999998</v>
      </c>
      <c r="F80">
        <f t="shared" si="1"/>
        <v>419.5159105139594</v>
      </c>
    </row>
    <row r="81" spans="1:6" x14ac:dyDescent="0.3">
      <c r="A81" t="s">
        <v>112</v>
      </c>
      <c r="B81" t="s">
        <v>39</v>
      </c>
      <c r="C81">
        <v>10</v>
      </c>
      <c r="D81" s="1">
        <v>66.91783439490446</v>
      </c>
      <c r="E81">
        <v>0.49303984699999998</v>
      </c>
      <c r="F81">
        <f t="shared" si="1"/>
        <v>1168.7608650420939</v>
      </c>
    </row>
    <row r="82" spans="1:6" x14ac:dyDescent="0.3">
      <c r="A82" t="s">
        <v>112</v>
      </c>
      <c r="B82" t="s">
        <v>39</v>
      </c>
      <c r="C82">
        <v>11</v>
      </c>
      <c r="D82" s="1">
        <v>101.86369426751592</v>
      </c>
      <c r="E82">
        <v>0.49303984699999998</v>
      </c>
      <c r="F82">
        <f t="shared" si="1"/>
        <v>2912.8699100855524</v>
      </c>
    </row>
    <row r="83" spans="1:6" x14ac:dyDescent="0.3">
      <c r="A83" t="s">
        <v>112</v>
      </c>
      <c r="B83" t="s">
        <v>73</v>
      </c>
      <c r="C83">
        <v>4.5</v>
      </c>
      <c r="D83" s="1">
        <v>29.359235668789808</v>
      </c>
      <c r="E83">
        <v>0.2424</v>
      </c>
      <c r="F83">
        <f t="shared" si="1"/>
        <v>53.689832958645255</v>
      </c>
    </row>
    <row r="84" spans="1:6" x14ac:dyDescent="0.3">
      <c r="A84" t="s">
        <v>114</v>
      </c>
      <c r="B84" t="s">
        <v>18</v>
      </c>
      <c r="C84">
        <v>8</v>
      </c>
      <c r="D84" s="1">
        <v>44.621019108280251</v>
      </c>
      <c r="E84">
        <v>0.44167784399999999</v>
      </c>
      <c r="F84">
        <f t="shared" si="1"/>
        <v>382.78511874242139</v>
      </c>
    </row>
    <row r="85" spans="1:6" x14ac:dyDescent="0.3">
      <c r="A85" t="s">
        <v>114</v>
      </c>
      <c r="B85" t="s">
        <v>56</v>
      </c>
      <c r="C85">
        <v>7</v>
      </c>
      <c r="D85" s="1">
        <v>61.585350318471342</v>
      </c>
      <c r="E85">
        <v>0.30794823799999999</v>
      </c>
      <c r="F85">
        <f t="shared" si="1"/>
        <v>443.24610281846378</v>
      </c>
    </row>
    <row r="86" spans="1:6" x14ac:dyDescent="0.3">
      <c r="A86" t="s">
        <v>114</v>
      </c>
      <c r="B86" t="s">
        <v>107</v>
      </c>
      <c r="C86">
        <v>9</v>
      </c>
      <c r="D86" s="1">
        <v>10.318471337579616</v>
      </c>
      <c r="E86">
        <v>0.51037391899999995</v>
      </c>
      <c r="F86">
        <f t="shared" si="1"/>
        <v>28.368220244824851</v>
      </c>
    </row>
    <row r="87" spans="1:6" x14ac:dyDescent="0.3">
      <c r="A87" t="s">
        <v>114</v>
      </c>
      <c r="B87" t="s">
        <v>107</v>
      </c>
      <c r="C87">
        <v>6</v>
      </c>
      <c r="D87" s="1">
        <v>35.389808917197456</v>
      </c>
      <c r="E87">
        <v>0.51037391899999995</v>
      </c>
      <c r="F87">
        <f t="shared" si="1"/>
        <v>211.7386380712968</v>
      </c>
    </row>
    <row r="88" spans="1:6" x14ac:dyDescent="0.3">
      <c r="A88" t="s">
        <v>114</v>
      </c>
      <c r="B88" t="s">
        <v>119</v>
      </c>
      <c r="C88">
        <v>5</v>
      </c>
      <c r="D88" s="1">
        <v>60.509554140127392</v>
      </c>
      <c r="E88">
        <v>0.432770245</v>
      </c>
      <c r="F88">
        <f t="shared" si="1"/>
        <v>429.85042489625351</v>
      </c>
    </row>
    <row r="89" spans="1:6" x14ac:dyDescent="0.3">
      <c r="A89" t="s">
        <v>121</v>
      </c>
      <c r="B89" t="s">
        <v>75</v>
      </c>
      <c r="C89">
        <v>7</v>
      </c>
      <c r="D89" s="4">
        <v>8.4394904458598727</v>
      </c>
      <c r="E89">
        <v>0.36779084400000001</v>
      </c>
      <c r="F89">
        <f t="shared" si="1"/>
        <v>10.88996579607098</v>
      </c>
    </row>
    <row r="90" spans="1:6" x14ac:dyDescent="0.3">
      <c r="A90" t="s">
        <v>121</v>
      </c>
      <c r="B90" t="s">
        <v>26</v>
      </c>
      <c r="C90">
        <v>8</v>
      </c>
      <c r="D90" s="4">
        <v>22.738853503184714</v>
      </c>
      <c r="E90">
        <v>0.52691816800000002</v>
      </c>
      <c r="F90">
        <f t="shared" si="1"/>
        <v>121.97321323104526</v>
      </c>
    </row>
    <row r="91" spans="1:6" x14ac:dyDescent="0.3">
      <c r="A91" t="s">
        <v>121</v>
      </c>
      <c r="B91" t="s">
        <v>85</v>
      </c>
      <c r="C91">
        <v>5</v>
      </c>
      <c r="D91" s="1">
        <v>6.114649681528662</v>
      </c>
      <c r="E91">
        <v>0.38825121200000001</v>
      </c>
      <c r="F91">
        <f t="shared" si="1"/>
        <v>4.4073874055565971</v>
      </c>
    </row>
    <row r="92" spans="1:6" x14ac:dyDescent="0.3">
      <c r="A92" t="s">
        <v>121</v>
      </c>
      <c r="B92" t="s">
        <v>18</v>
      </c>
      <c r="C92">
        <v>6</v>
      </c>
      <c r="D92" s="1">
        <v>35.421656050955413</v>
      </c>
      <c r="E92">
        <v>0.44167784399999999</v>
      </c>
      <c r="F92">
        <f t="shared" si="1"/>
        <v>184.19870900924423</v>
      </c>
    </row>
    <row r="93" spans="1:6" x14ac:dyDescent="0.3">
      <c r="A93" t="s">
        <v>121</v>
      </c>
      <c r="B93" t="s">
        <v>18</v>
      </c>
      <c r="C93">
        <v>5</v>
      </c>
      <c r="D93" s="1">
        <v>11.369426751592357</v>
      </c>
      <c r="E93">
        <v>0.44167784399999999</v>
      </c>
      <c r="F93">
        <f t="shared" si="1"/>
        <v>16.77391943239229</v>
      </c>
    </row>
    <row r="94" spans="1:6" x14ac:dyDescent="0.3">
      <c r="A94" t="s">
        <v>121</v>
      </c>
      <c r="B94" t="s">
        <v>18</v>
      </c>
      <c r="C94">
        <v>5.5</v>
      </c>
      <c r="D94" s="1">
        <v>21.56751592356688</v>
      </c>
      <c r="E94">
        <v>0.44167784399999999</v>
      </c>
      <c r="F94">
        <f t="shared" si="1"/>
        <v>64.240657489537256</v>
      </c>
    </row>
    <row r="95" spans="1:6" x14ac:dyDescent="0.3">
      <c r="A95" t="s">
        <v>121</v>
      </c>
      <c r="B95" t="s">
        <v>18</v>
      </c>
      <c r="C95">
        <v>5</v>
      </c>
      <c r="D95" s="1">
        <v>21.140764331210192</v>
      </c>
      <c r="E95">
        <v>0.44167784399999999</v>
      </c>
      <c r="F95">
        <f t="shared" si="1"/>
        <v>56.294821294783326</v>
      </c>
    </row>
    <row r="96" spans="1:6" x14ac:dyDescent="0.3">
      <c r="A96" t="s">
        <v>121</v>
      </c>
      <c r="B96" t="s">
        <v>18</v>
      </c>
      <c r="C96">
        <v>6</v>
      </c>
      <c r="D96" s="1">
        <v>25.640127388535031</v>
      </c>
      <c r="E96">
        <v>0.44167784399999999</v>
      </c>
      <c r="F96">
        <f t="shared" si="1"/>
        <v>98.022540150165128</v>
      </c>
    </row>
    <row r="97" spans="1:6" x14ac:dyDescent="0.3">
      <c r="A97" t="s">
        <v>121</v>
      </c>
      <c r="B97" t="s">
        <v>56</v>
      </c>
      <c r="C97">
        <v>8</v>
      </c>
      <c r="D97" s="1">
        <v>44.068789808917195</v>
      </c>
      <c r="E97">
        <v>0.30794823799999999</v>
      </c>
      <c r="F97">
        <f t="shared" si="1"/>
        <v>262.74175977704624</v>
      </c>
    </row>
    <row r="98" spans="1:6" x14ac:dyDescent="0.3">
      <c r="A98" t="s">
        <v>121</v>
      </c>
      <c r="B98" t="s">
        <v>56</v>
      </c>
      <c r="C98">
        <v>9</v>
      </c>
      <c r="D98" s="1">
        <v>54.057961783439488</v>
      </c>
      <c r="E98">
        <v>0.30794823799999999</v>
      </c>
      <c r="F98">
        <f t="shared" si="1"/>
        <v>439.18963429661767</v>
      </c>
    </row>
    <row r="99" spans="1:6" x14ac:dyDescent="0.3">
      <c r="A99" t="s">
        <v>121</v>
      </c>
      <c r="B99" t="s">
        <v>122</v>
      </c>
      <c r="C99">
        <v>7</v>
      </c>
      <c r="D99" s="1">
        <v>78.634394904458588</v>
      </c>
      <c r="E99">
        <v>0.46124999999999999</v>
      </c>
      <c r="F99">
        <f t="shared" si="1"/>
        <v>1059.4204537806329</v>
      </c>
    </row>
    <row r="100" spans="1:6" x14ac:dyDescent="0.3">
      <c r="A100" t="s">
        <v>121</v>
      </c>
      <c r="B100" t="s">
        <v>119</v>
      </c>
      <c r="C100">
        <v>5</v>
      </c>
      <c r="D100" s="1">
        <v>9.7133757961783438</v>
      </c>
      <c r="E100">
        <v>0.432770245</v>
      </c>
      <c r="F100">
        <f t="shared" si="1"/>
        <v>12.093266337332619</v>
      </c>
    </row>
    <row r="101" spans="1:6" x14ac:dyDescent="0.3">
      <c r="A101" t="s">
        <v>121</v>
      </c>
      <c r="B101" t="s">
        <v>73</v>
      </c>
      <c r="C101">
        <v>6</v>
      </c>
      <c r="D101" s="1">
        <v>18.754140127388535</v>
      </c>
      <c r="E101">
        <v>0.2424</v>
      </c>
      <c r="F101">
        <f t="shared" si="1"/>
        <v>29.64013429960357</v>
      </c>
    </row>
    <row r="102" spans="1:6" x14ac:dyDescent="0.3">
      <c r="A102" t="s">
        <v>121</v>
      </c>
      <c r="B102" t="s">
        <v>109</v>
      </c>
      <c r="C102">
        <v>5</v>
      </c>
      <c r="D102" s="1">
        <v>61.340764331210188</v>
      </c>
      <c r="E102">
        <v>0.44359999999999999</v>
      </c>
      <c r="F102">
        <f t="shared" si="1"/>
        <v>452.23058876957168</v>
      </c>
    </row>
    <row r="103" spans="1:6" x14ac:dyDescent="0.3">
      <c r="A103" t="s">
        <v>121</v>
      </c>
      <c r="B103" t="s">
        <v>94</v>
      </c>
      <c r="C103">
        <v>6</v>
      </c>
      <c r="D103" s="1">
        <v>6.8471337579617835</v>
      </c>
      <c r="E103">
        <v>0.26200000000000001</v>
      </c>
      <c r="F103">
        <f t="shared" si="1"/>
        <v>4.4736906062537942</v>
      </c>
    </row>
    <row r="104" spans="1:6" x14ac:dyDescent="0.3">
      <c r="A104" t="s">
        <v>123</v>
      </c>
      <c r="B104" t="s">
        <v>75</v>
      </c>
      <c r="C104">
        <v>8</v>
      </c>
      <c r="D104" s="1">
        <v>13.535031847133757</v>
      </c>
      <c r="E104">
        <v>0.36779084400000001</v>
      </c>
      <c r="F104">
        <f t="shared" si="1"/>
        <v>31.193628920583393</v>
      </c>
    </row>
    <row r="105" spans="1:6" x14ac:dyDescent="0.3">
      <c r="A105" t="s">
        <v>123</v>
      </c>
      <c r="B105" t="s">
        <v>60</v>
      </c>
      <c r="C105">
        <v>7</v>
      </c>
      <c r="D105" s="1">
        <v>5.1910828025477711</v>
      </c>
      <c r="E105">
        <v>0.35368027699999999</v>
      </c>
      <c r="F105">
        <f t="shared" si="1"/>
        <v>4.0593683739519646</v>
      </c>
    </row>
    <row r="106" spans="1:6" x14ac:dyDescent="0.3">
      <c r="A106" t="s">
        <v>123</v>
      </c>
      <c r="B106" t="s">
        <v>85</v>
      </c>
      <c r="C106">
        <v>6</v>
      </c>
      <c r="D106" s="1">
        <v>8.1847133757961785</v>
      </c>
      <c r="E106">
        <v>0.38825121200000001</v>
      </c>
      <c r="F106">
        <f t="shared" si="1"/>
        <v>9.3035261090480628</v>
      </c>
    </row>
    <row r="107" spans="1:6" x14ac:dyDescent="0.3">
      <c r="A107" t="s">
        <v>123</v>
      </c>
      <c r="B107" t="s">
        <v>113</v>
      </c>
      <c r="C107">
        <v>8</v>
      </c>
      <c r="D107" s="1">
        <v>37.028662420382162</v>
      </c>
      <c r="E107">
        <v>0.41764662800000002</v>
      </c>
      <c r="F107">
        <f t="shared" si="1"/>
        <v>251.84114138827709</v>
      </c>
    </row>
    <row r="108" spans="1:6" x14ac:dyDescent="0.3">
      <c r="A108" t="s">
        <v>123</v>
      </c>
      <c r="B108" t="s">
        <v>18</v>
      </c>
      <c r="C108">
        <v>9</v>
      </c>
      <c r="D108" s="1">
        <v>103.62165605095541</v>
      </c>
      <c r="E108">
        <v>0.44167784399999999</v>
      </c>
      <c r="F108">
        <f t="shared" si="1"/>
        <v>2224.0178318883659</v>
      </c>
    </row>
    <row r="109" spans="1:6" x14ac:dyDescent="0.3">
      <c r="A109" t="s">
        <v>123</v>
      </c>
      <c r="B109" t="s">
        <v>18</v>
      </c>
      <c r="C109">
        <v>10</v>
      </c>
      <c r="D109" s="1">
        <v>114.11210191082803</v>
      </c>
      <c r="E109">
        <v>0.44167784399999999</v>
      </c>
      <c r="F109">
        <f t="shared" si="1"/>
        <v>2975.4292761880984</v>
      </c>
    </row>
    <row r="110" spans="1:6" x14ac:dyDescent="0.3">
      <c r="A110" t="s">
        <v>123</v>
      </c>
      <c r="B110" t="s">
        <v>56</v>
      </c>
      <c r="C110">
        <v>9</v>
      </c>
      <c r="D110" s="1">
        <v>20.445859872611464</v>
      </c>
      <c r="E110">
        <v>0.30794823799999999</v>
      </c>
      <c r="F110">
        <f t="shared" si="1"/>
        <v>65.82815958846669</v>
      </c>
    </row>
    <row r="111" spans="1:6" x14ac:dyDescent="0.3">
      <c r="A111" t="s">
        <v>123</v>
      </c>
      <c r="B111" t="s">
        <v>39</v>
      </c>
      <c r="C111">
        <v>7</v>
      </c>
      <c r="D111" s="1">
        <v>52.821019108280254</v>
      </c>
      <c r="E111">
        <v>0.49303984699999998</v>
      </c>
      <c r="F111">
        <f t="shared" si="1"/>
        <v>519.99890561442726</v>
      </c>
    </row>
    <row r="112" spans="1:6" x14ac:dyDescent="0.3">
      <c r="A112" t="s">
        <v>123</v>
      </c>
      <c r="B112" t="s">
        <v>47</v>
      </c>
      <c r="C112">
        <v>6</v>
      </c>
      <c r="D112" s="1">
        <v>10.318471337579616</v>
      </c>
      <c r="E112">
        <v>0.21743084800000001</v>
      </c>
      <c r="F112">
        <f t="shared" si="1"/>
        <v>8.3041143958148904</v>
      </c>
    </row>
    <row r="113" spans="1:6" x14ac:dyDescent="0.3">
      <c r="A113" t="s">
        <v>123</v>
      </c>
      <c r="B113" t="s">
        <v>47</v>
      </c>
      <c r="C113">
        <v>8</v>
      </c>
      <c r="D113" s="1">
        <v>11.687898089171975</v>
      </c>
      <c r="E113">
        <v>0.21743084800000001</v>
      </c>
      <c r="F113">
        <f t="shared" si="1"/>
        <v>14.024191316542064</v>
      </c>
    </row>
    <row r="114" spans="1:6" x14ac:dyDescent="0.3">
      <c r="A114" t="s">
        <v>123</v>
      </c>
      <c r="B114" t="s">
        <v>47</v>
      </c>
      <c r="C114">
        <v>7</v>
      </c>
      <c r="D114" s="1">
        <v>12.579617834394904</v>
      </c>
      <c r="E114">
        <v>0.21743084800000001</v>
      </c>
      <c r="F114">
        <f t="shared" si="1"/>
        <v>14.21042479981479</v>
      </c>
    </row>
    <row r="115" spans="1:6" x14ac:dyDescent="0.3">
      <c r="A115" t="s">
        <v>127</v>
      </c>
      <c r="B115" t="s">
        <v>69</v>
      </c>
      <c r="C115">
        <v>4.5</v>
      </c>
      <c r="D115" s="1">
        <v>12.834394904458597</v>
      </c>
      <c r="E115">
        <v>0.30236945900000001</v>
      </c>
      <c r="F115">
        <f t="shared" si="1"/>
        <v>13.246595274135219</v>
      </c>
    </row>
    <row r="116" spans="1:6" x14ac:dyDescent="0.3">
      <c r="A116" t="s">
        <v>127</v>
      </c>
      <c r="B116" t="s">
        <v>113</v>
      </c>
      <c r="C116">
        <v>6</v>
      </c>
      <c r="D116" s="1">
        <v>80.32101910828024</v>
      </c>
      <c r="E116">
        <v>0.41764662800000002</v>
      </c>
      <c r="F116">
        <f t="shared" si="1"/>
        <v>862.23741975613768</v>
      </c>
    </row>
    <row r="117" spans="1:6" x14ac:dyDescent="0.3">
      <c r="A117" t="s">
        <v>127</v>
      </c>
      <c r="B117" t="s">
        <v>18</v>
      </c>
      <c r="C117">
        <v>6</v>
      </c>
      <c r="D117" s="1">
        <v>19.962420382165604</v>
      </c>
      <c r="E117">
        <v>0.44167784399999999</v>
      </c>
      <c r="F117">
        <f t="shared" si="1"/>
        <v>60.135361301067285</v>
      </c>
    </row>
    <row r="118" spans="1:6" x14ac:dyDescent="0.3">
      <c r="A118" t="s">
        <v>127</v>
      </c>
      <c r="B118" t="s">
        <v>18</v>
      </c>
      <c r="C118">
        <v>7</v>
      </c>
      <c r="D118" s="1">
        <v>29.359872611464969</v>
      </c>
      <c r="E118">
        <v>0.44167784399999999</v>
      </c>
      <c r="F118">
        <f t="shared" si="1"/>
        <v>148.42599347307981</v>
      </c>
    </row>
    <row r="119" spans="1:6" x14ac:dyDescent="0.3">
      <c r="A119" t="s">
        <v>127</v>
      </c>
      <c r="B119" t="s">
        <v>56</v>
      </c>
      <c r="C119">
        <v>8</v>
      </c>
      <c r="D119" s="1">
        <v>19.840764331210188</v>
      </c>
      <c r="E119">
        <v>0.30794823799999999</v>
      </c>
      <c r="F119">
        <f t="shared" si="1"/>
        <v>55.337450144621606</v>
      </c>
    </row>
    <row r="120" spans="1:6" x14ac:dyDescent="0.3">
      <c r="A120" t="s">
        <v>127</v>
      </c>
      <c r="B120" t="s">
        <v>27</v>
      </c>
      <c r="C120">
        <v>6</v>
      </c>
      <c r="D120" s="1">
        <v>8.503184713375795</v>
      </c>
      <c r="E120">
        <v>0.44493726</v>
      </c>
      <c r="F120">
        <f t="shared" si="1"/>
        <v>11.449159328768795</v>
      </c>
    </row>
    <row r="121" spans="1:6" x14ac:dyDescent="0.3">
      <c r="A121" t="s">
        <v>127</v>
      </c>
      <c r="B121" t="s">
        <v>27</v>
      </c>
      <c r="C121">
        <v>8</v>
      </c>
      <c r="D121" s="1">
        <v>60.440127388535032</v>
      </c>
      <c r="E121">
        <v>0.44493726</v>
      </c>
      <c r="F121">
        <f t="shared" si="1"/>
        <v>697.13617808689571</v>
      </c>
    </row>
    <row r="122" spans="1:6" x14ac:dyDescent="0.3">
      <c r="A122" t="s">
        <v>127</v>
      </c>
      <c r="B122" t="s">
        <v>73</v>
      </c>
      <c r="C122">
        <v>6</v>
      </c>
      <c r="D122" s="1">
        <v>12.802547770700638</v>
      </c>
      <c r="E122">
        <v>0.2424</v>
      </c>
      <c r="F122">
        <f t="shared" si="1"/>
        <v>14.068153550906949</v>
      </c>
    </row>
    <row r="123" spans="1:6" x14ac:dyDescent="0.3">
      <c r="A123" t="s">
        <v>127</v>
      </c>
      <c r="B123" t="s">
        <v>47</v>
      </c>
      <c r="C123">
        <v>8</v>
      </c>
      <c r="D123" s="1">
        <v>11.847133757961783</v>
      </c>
      <c r="E123">
        <v>0.21743084800000001</v>
      </c>
      <c r="F123">
        <f t="shared" si="1"/>
        <v>14.399568858408122</v>
      </c>
    </row>
    <row r="124" spans="1:6" x14ac:dyDescent="0.3">
      <c r="A124" t="s">
        <v>127</v>
      </c>
      <c r="B124" t="s">
        <v>47</v>
      </c>
      <c r="C124">
        <v>8</v>
      </c>
      <c r="D124" s="1">
        <v>14.203821656050955</v>
      </c>
      <c r="E124">
        <v>0.21743084800000001</v>
      </c>
      <c r="F124">
        <f t="shared" si="1"/>
        <v>20.518769580634405</v>
      </c>
    </row>
    <row r="125" spans="1:6" x14ac:dyDescent="0.3">
      <c r="A125" t="s">
        <v>127</v>
      </c>
      <c r="B125" t="s">
        <v>47</v>
      </c>
      <c r="C125">
        <v>8</v>
      </c>
      <c r="D125" s="1">
        <v>14.808917197452228</v>
      </c>
      <c r="E125">
        <v>0.21743084800000001</v>
      </c>
      <c r="F125">
        <f t="shared" si="1"/>
        <v>22.259624522896853</v>
      </c>
    </row>
    <row r="126" spans="1:6" x14ac:dyDescent="0.3">
      <c r="A126" t="s">
        <v>129</v>
      </c>
      <c r="B126" t="s">
        <v>26</v>
      </c>
      <c r="C126">
        <v>6</v>
      </c>
      <c r="D126" s="1">
        <v>7.1019108280254777</v>
      </c>
      <c r="E126">
        <v>0.52691816800000002</v>
      </c>
      <c r="F126">
        <f t="shared" si="1"/>
        <v>9.501593388391063</v>
      </c>
    </row>
    <row r="127" spans="1:6" x14ac:dyDescent="0.3">
      <c r="A127" t="s">
        <v>129</v>
      </c>
      <c r="B127" t="s">
        <v>26</v>
      </c>
      <c r="C127">
        <v>8</v>
      </c>
      <c r="D127" s="1">
        <v>6.5605095541401273</v>
      </c>
      <c r="E127">
        <v>0.52691816800000002</v>
      </c>
      <c r="F127">
        <f t="shared" si="1"/>
        <v>10.777409127703015</v>
      </c>
    </row>
    <row r="128" spans="1:6" x14ac:dyDescent="0.3">
      <c r="A128" t="s">
        <v>129</v>
      </c>
      <c r="B128" t="s">
        <v>26</v>
      </c>
      <c r="C128">
        <v>7</v>
      </c>
      <c r="D128" s="1">
        <v>8.4713375796178347</v>
      </c>
      <c r="E128">
        <v>0.52691816800000002</v>
      </c>
      <c r="F128">
        <f t="shared" si="1"/>
        <v>15.581683191406436</v>
      </c>
    </row>
    <row r="129" spans="1:6" x14ac:dyDescent="0.3">
      <c r="A129" t="s">
        <v>129</v>
      </c>
      <c r="B129" t="s">
        <v>26</v>
      </c>
      <c r="C129">
        <v>8</v>
      </c>
      <c r="D129" s="1">
        <v>11.273885350318471</v>
      </c>
      <c r="E129">
        <v>0.52691816800000002</v>
      </c>
      <c r="F129">
        <f t="shared" si="1"/>
        <v>31.009868387127714</v>
      </c>
    </row>
    <row r="130" spans="1:6" x14ac:dyDescent="0.3">
      <c r="A130" t="s">
        <v>129</v>
      </c>
      <c r="B130" t="s">
        <v>26</v>
      </c>
      <c r="C130">
        <v>8</v>
      </c>
      <c r="D130" s="1">
        <v>13.471337579617833</v>
      </c>
      <c r="E130">
        <v>0.52691816800000002</v>
      </c>
      <c r="F130">
        <f t="shared" si="1"/>
        <v>43.899740458523887</v>
      </c>
    </row>
    <row r="131" spans="1:6" x14ac:dyDescent="0.3">
      <c r="A131" t="s">
        <v>129</v>
      </c>
      <c r="B131" t="s">
        <v>26</v>
      </c>
      <c r="C131">
        <v>8</v>
      </c>
      <c r="D131" s="1">
        <v>14.458598726114648</v>
      </c>
      <c r="E131">
        <v>0.52691816800000002</v>
      </c>
      <c r="F131">
        <f t="shared" ref="F131:F194" si="2">0.0673*(E131*(D131^2)*C131)^0.976</f>
        <v>50.398612504991497</v>
      </c>
    </row>
    <row r="132" spans="1:6" x14ac:dyDescent="0.3">
      <c r="A132" t="s">
        <v>129</v>
      </c>
      <c r="B132" t="s">
        <v>85</v>
      </c>
      <c r="C132">
        <v>6.5</v>
      </c>
      <c r="D132" s="1">
        <v>4.8726114649681529</v>
      </c>
      <c r="E132">
        <v>0.38825121200000001</v>
      </c>
      <c r="F132">
        <f t="shared" si="2"/>
        <v>3.6551366050350849</v>
      </c>
    </row>
    <row r="133" spans="1:6" x14ac:dyDescent="0.3">
      <c r="A133" t="s">
        <v>129</v>
      </c>
      <c r="B133" t="s">
        <v>18</v>
      </c>
      <c r="C133">
        <v>3</v>
      </c>
      <c r="D133" s="4">
        <v>4.2675159235668794</v>
      </c>
      <c r="E133">
        <v>0.44167784399999999</v>
      </c>
      <c r="F133">
        <f t="shared" si="2"/>
        <v>1.5045630143128101</v>
      </c>
    </row>
    <row r="134" spans="1:6" x14ac:dyDescent="0.3">
      <c r="A134" t="s">
        <v>129</v>
      </c>
      <c r="B134" t="s">
        <v>122</v>
      </c>
      <c r="C134">
        <v>5</v>
      </c>
      <c r="D134" s="4">
        <v>5.5732484076433115</v>
      </c>
      <c r="E134">
        <v>0.46124999999999999</v>
      </c>
      <c r="F134">
        <f t="shared" si="2"/>
        <v>4.3512625863157588</v>
      </c>
    </row>
    <row r="135" spans="1:6" x14ac:dyDescent="0.3">
      <c r="A135" t="s">
        <v>129</v>
      </c>
      <c r="B135" t="s">
        <v>47</v>
      </c>
      <c r="C135">
        <v>7</v>
      </c>
      <c r="D135" s="4">
        <v>12.32484076433121</v>
      </c>
      <c r="E135">
        <v>0.21743084800000001</v>
      </c>
      <c r="F135">
        <f t="shared" si="2"/>
        <v>13.654045123823826</v>
      </c>
    </row>
    <row r="136" spans="1:6" x14ac:dyDescent="0.3">
      <c r="A136" t="s">
        <v>140</v>
      </c>
      <c r="B136" t="s">
        <v>85</v>
      </c>
      <c r="C136">
        <v>3</v>
      </c>
      <c r="D136" s="1">
        <v>9.872611464968152</v>
      </c>
      <c r="E136">
        <v>0.38825121200000001</v>
      </c>
      <c r="F136">
        <f t="shared" si="2"/>
        <v>6.8201020736034241</v>
      </c>
    </row>
    <row r="137" spans="1:6" x14ac:dyDescent="0.3">
      <c r="A137" t="s">
        <v>140</v>
      </c>
      <c r="B137" t="s">
        <v>85</v>
      </c>
      <c r="C137">
        <v>7</v>
      </c>
      <c r="D137" s="1">
        <v>13.694267515923567</v>
      </c>
      <c r="E137">
        <v>0.38825121200000001</v>
      </c>
      <c r="F137">
        <f t="shared" si="2"/>
        <v>29.534431521843626</v>
      </c>
    </row>
    <row r="138" spans="1:6" x14ac:dyDescent="0.3">
      <c r="A138" t="s">
        <v>140</v>
      </c>
      <c r="B138" t="s">
        <v>141</v>
      </c>
      <c r="C138">
        <v>5.5</v>
      </c>
      <c r="D138" s="1">
        <v>13.375796178343949</v>
      </c>
      <c r="E138">
        <v>0.55789159200000005</v>
      </c>
      <c r="F138">
        <f t="shared" si="2"/>
        <v>31.755401754065755</v>
      </c>
    </row>
    <row r="139" spans="1:6" x14ac:dyDescent="0.3">
      <c r="A139" t="s">
        <v>140</v>
      </c>
      <c r="B139" t="s">
        <v>141</v>
      </c>
      <c r="C139">
        <v>5.5</v>
      </c>
      <c r="D139" s="1">
        <v>11.146496815286623</v>
      </c>
      <c r="E139">
        <v>0.55789159200000005</v>
      </c>
      <c r="F139">
        <f t="shared" si="2"/>
        <v>22.246199076390329</v>
      </c>
    </row>
    <row r="140" spans="1:6" x14ac:dyDescent="0.3">
      <c r="A140" t="s">
        <v>140</v>
      </c>
      <c r="B140" t="s">
        <v>18</v>
      </c>
      <c r="C140">
        <v>5.5</v>
      </c>
      <c r="D140" s="1">
        <v>14.331210191082802</v>
      </c>
      <c r="E140">
        <v>0.44167784399999999</v>
      </c>
      <c r="F140">
        <f t="shared" si="2"/>
        <v>28.926526220388553</v>
      </c>
    </row>
    <row r="141" spans="1:6" x14ac:dyDescent="0.3">
      <c r="A141" t="s">
        <v>140</v>
      </c>
      <c r="B141" t="s">
        <v>66</v>
      </c>
      <c r="C141">
        <v>6.5</v>
      </c>
      <c r="D141" s="1">
        <v>12.420382165605096</v>
      </c>
      <c r="E141">
        <v>0.65473331599999995</v>
      </c>
      <c r="F141">
        <f t="shared" si="2"/>
        <v>37.81367037516624</v>
      </c>
    </row>
    <row r="142" spans="1:6" x14ac:dyDescent="0.3">
      <c r="A142" t="s">
        <v>140</v>
      </c>
      <c r="B142" t="s">
        <v>39</v>
      </c>
      <c r="C142">
        <v>9</v>
      </c>
      <c r="D142" s="1">
        <v>15.286624203821656</v>
      </c>
      <c r="E142">
        <v>0.49303984699999998</v>
      </c>
      <c r="F142">
        <f t="shared" si="2"/>
        <v>59.072428761021456</v>
      </c>
    </row>
    <row r="143" spans="1:6" x14ac:dyDescent="0.3">
      <c r="A143" t="s">
        <v>140</v>
      </c>
      <c r="B143" t="s">
        <v>119</v>
      </c>
      <c r="C143">
        <v>6.5</v>
      </c>
      <c r="D143" s="1">
        <v>21.019108280254777</v>
      </c>
      <c r="E143">
        <v>0.432770245</v>
      </c>
      <c r="F143">
        <f t="shared" si="2"/>
        <v>70.493456421500994</v>
      </c>
    </row>
    <row r="144" spans="1:6" x14ac:dyDescent="0.3">
      <c r="A144" t="s">
        <v>140</v>
      </c>
      <c r="B144" t="s">
        <v>22</v>
      </c>
      <c r="C144">
        <v>5.5</v>
      </c>
      <c r="D144" s="1">
        <v>18.471337579617835</v>
      </c>
      <c r="E144">
        <v>0.53366728900000004</v>
      </c>
      <c r="F144">
        <f t="shared" si="2"/>
        <v>57.099184971258808</v>
      </c>
    </row>
    <row r="145" spans="1:6" x14ac:dyDescent="0.3">
      <c r="A145" t="s">
        <v>140</v>
      </c>
      <c r="B145" t="s">
        <v>22</v>
      </c>
      <c r="C145">
        <v>5</v>
      </c>
      <c r="D145" s="1">
        <v>21.97452229299363</v>
      </c>
      <c r="E145">
        <v>0.53366728900000004</v>
      </c>
      <c r="F145">
        <f t="shared" si="2"/>
        <v>73.021816141163058</v>
      </c>
    </row>
    <row r="146" spans="1:6" x14ac:dyDescent="0.3">
      <c r="A146" t="s">
        <v>142</v>
      </c>
      <c r="B146" t="s">
        <v>26</v>
      </c>
      <c r="C146">
        <v>15</v>
      </c>
      <c r="D146" s="1">
        <v>34.394904458598724</v>
      </c>
      <c r="E146">
        <v>0.52691816800000002</v>
      </c>
      <c r="F146">
        <f t="shared" si="2"/>
        <v>505.28681721230754</v>
      </c>
    </row>
    <row r="147" spans="1:6" x14ac:dyDescent="0.3">
      <c r="A147" t="s">
        <v>142</v>
      </c>
      <c r="B147" t="s">
        <v>60</v>
      </c>
      <c r="C147">
        <v>6</v>
      </c>
      <c r="D147" s="1">
        <v>24.68152866242038</v>
      </c>
      <c r="E147">
        <v>0.35368027699999999</v>
      </c>
      <c r="F147">
        <f t="shared" si="2"/>
        <v>73.256323103536857</v>
      </c>
    </row>
    <row r="148" spans="1:6" x14ac:dyDescent="0.3">
      <c r="A148" t="s">
        <v>142</v>
      </c>
      <c r="B148" t="s">
        <v>69</v>
      </c>
      <c r="C148">
        <v>15</v>
      </c>
      <c r="D148" s="1">
        <v>6.6878980891719744</v>
      </c>
      <c r="E148">
        <v>0.30236945900000001</v>
      </c>
      <c r="F148">
        <f t="shared" si="2"/>
        <v>12.018507424138889</v>
      </c>
    </row>
    <row r="149" spans="1:6" x14ac:dyDescent="0.3">
      <c r="A149" t="s">
        <v>142</v>
      </c>
      <c r="B149" t="s">
        <v>14</v>
      </c>
      <c r="C149">
        <v>11</v>
      </c>
      <c r="D149" s="1">
        <v>25.477707006369425</v>
      </c>
      <c r="E149">
        <v>0.44328216799999998</v>
      </c>
      <c r="F149">
        <f t="shared" si="2"/>
        <v>175.54935633839941</v>
      </c>
    </row>
    <row r="150" spans="1:6" x14ac:dyDescent="0.3">
      <c r="A150" t="s">
        <v>142</v>
      </c>
      <c r="B150" t="s">
        <v>85</v>
      </c>
      <c r="C150">
        <v>5.5</v>
      </c>
      <c r="D150" s="1">
        <v>8.4394904458598727</v>
      </c>
      <c r="E150">
        <v>0.38825121200000001</v>
      </c>
      <c r="F150">
        <f t="shared" si="2"/>
        <v>9.0730318307732674</v>
      </c>
    </row>
    <row r="151" spans="1:6" x14ac:dyDescent="0.3">
      <c r="A151" t="s">
        <v>142</v>
      </c>
      <c r="B151" t="s">
        <v>85</v>
      </c>
      <c r="C151">
        <v>3.5</v>
      </c>
      <c r="D151" s="1">
        <v>8.598726114649681</v>
      </c>
      <c r="E151">
        <v>0.38825121200000001</v>
      </c>
      <c r="F151">
        <f t="shared" si="2"/>
        <v>6.0536175854070375</v>
      </c>
    </row>
    <row r="152" spans="1:6" x14ac:dyDescent="0.3">
      <c r="A152" t="s">
        <v>142</v>
      </c>
      <c r="B152" t="s">
        <v>85</v>
      </c>
      <c r="C152">
        <v>2.5</v>
      </c>
      <c r="D152" s="1">
        <v>4.936305732484076</v>
      </c>
      <c r="E152">
        <v>0.38825121200000001</v>
      </c>
      <c r="F152">
        <f t="shared" si="2"/>
        <v>1.4753648315976642</v>
      </c>
    </row>
    <row r="153" spans="1:6" x14ac:dyDescent="0.3">
      <c r="A153" t="s">
        <v>142</v>
      </c>
      <c r="B153" t="s">
        <v>66</v>
      </c>
      <c r="C153">
        <v>10</v>
      </c>
      <c r="D153" s="1">
        <v>15.127388535031846</v>
      </c>
      <c r="E153">
        <v>0.65473331599999995</v>
      </c>
      <c r="F153">
        <f t="shared" si="2"/>
        <v>84.604450887783287</v>
      </c>
    </row>
    <row r="154" spans="1:6" x14ac:dyDescent="0.3">
      <c r="A154" t="s">
        <v>142</v>
      </c>
      <c r="B154" t="s">
        <v>66</v>
      </c>
      <c r="C154">
        <v>3</v>
      </c>
      <c r="D154" s="1">
        <v>9.872611464968152</v>
      </c>
      <c r="E154">
        <v>0.65473331599999995</v>
      </c>
      <c r="F154">
        <f t="shared" si="2"/>
        <v>11.357837637657569</v>
      </c>
    </row>
    <row r="155" spans="1:6" x14ac:dyDescent="0.3">
      <c r="A155" t="s">
        <v>142</v>
      </c>
      <c r="B155" t="s">
        <v>73</v>
      </c>
      <c r="C155">
        <v>12</v>
      </c>
      <c r="D155" s="1">
        <v>15.923566878980891</v>
      </c>
      <c r="E155">
        <v>0.2424</v>
      </c>
      <c r="F155">
        <f t="shared" si="2"/>
        <v>42.362596242962937</v>
      </c>
    </row>
    <row r="156" spans="1:6" x14ac:dyDescent="0.3">
      <c r="A156" t="s">
        <v>142</v>
      </c>
      <c r="B156" t="s">
        <v>47</v>
      </c>
      <c r="C156">
        <v>10</v>
      </c>
      <c r="D156" s="1">
        <v>15.445859872611464</v>
      </c>
      <c r="E156">
        <v>0.21743084800000001</v>
      </c>
      <c r="F156">
        <f t="shared" si="2"/>
        <v>30.047041495236133</v>
      </c>
    </row>
    <row r="157" spans="1:6" x14ac:dyDescent="0.3">
      <c r="A157" t="s">
        <v>142</v>
      </c>
      <c r="B157" t="s">
        <v>47</v>
      </c>
      <c r="C157">
        <v>11</v>
      </c>
      <c r="D157" s="1">
        <v>12.579617834394904</v>
      </c>
      <c r="E157">
        <v>0.21743084800000001</v>
      </c>
      <c r="F157">
        <f t="shared" si="2"/>
        <v>22.089741535940217</v>
      </c>
    </row>
    <row r="158" spans="1:6" x14ac:dyDescent="0.3">
      <c r="A158" t="s">
        <v>144</v>
      </c>
      <c r="B158" t="s">
        <v>69</v>
      </c>
      <c r="C158">
        <v>11</v>
      </c>
      <c r="D158" s="1">
        <v>25.477707006369425</v>
      </c>
      <c r="E158">
        <v>0.30236945900000001</v>
      </c>
      <c r="F158">
        <f t="shared" si="2"/>
        <v>120.84935010737406</v>
      </c>
    </row>
    <row r="159" spans="1:6" x14ac:dyDescent="0.3">
      <c r="A159" t="s">
        <v>144</v>
      </c>
      <c r="B159" t="s">
        <v>14</v>
      </c>
      <c r="C159">
        <v>6</v>
      </c>
      <c r="D159" s="1">
        <v>11.146496815286623</v>
      </c>
      <c r="E159">
        <v>0.44328216799999998</v>
      </c>
      <c r="F159">
        <f t="shared" si="2"/>
        <v>19.349278209087984</v>
      </c>
    </row>
    <row r="160" spans="1:6" x14ac:dyDescent="0.3">
      <c r="A160" t="s">
        <v>144</v>
      </c>
      <c r="B160" t="s">
        <v>14</v>
      </c>
      <c r="C160">
        <v>7</v>
      </c>
      <c r="D160" s="1">
        <v>7.6433121019108281</v>
      </c>
      <c r="E160">
        <v>0.44328216799999998</v>
      </c>
      <c r="F160">
        <f t="shared" si="2"/>
        <v>10.76852838090254</v>
      </c>
    </row>
    <row r="161" spans="1:6" x14ac:dyDescent="0.3">
      <c r="A161" t="s">
        <v>144</v>
      </c>
      <c r="B161" t="s">
        <v>85</v>
      </c>
      <c r="C161">
        <v>3.5</v>
      </c>
      <c r="D161" s="1">
        <v>5.0955414012738851</v>
      </c>
      <c r="E161">
        <v>0.38825121200000001</v>
      </c>
      <c r="F161">
        <f t="shared" si="2"/>
        <v>2.1798927202941107</v>
      </c>
    </row>
    <row r="162" spans="1:6" x14ac:dyDescent="0.3">
      <c r="A162" t="s">
        <v>144</v>
      </c>
      <c r="B162" t="s">
        <v>85</v>
      </c>
      <c r="C162">
        <v>8</v>
      </c>
      <c r="D162" s="1">
        <v>13.057324840764331</v>
      </c>
      <c r="E162">
        <v>0.38825121200000001</v>
      </c>
      <c r="F162">
        <f t="shared" si="2"/>
        <v>30.658607058774724</v>
      </c>
    </row>
    <row r="163" spans="1:6" x14ac:dyDescent="0.3">
      <c r="A163" t="s">
        <v>144</v>
      </c>
      <c r="B163" t="s">
        <v>85</v>
      </c>
      <c r="C163">
        <v>3</v>
      </c>
      <c r="D163" s="1">
        <v>5.4140127388535033</v>
      </c>
      <c r="E163">
        <v>0.38825121200000001</v>
      </c>
      <c r="F163">
        <f t="shared" si="2"/>
        <v>2.1110044207002563</v>
      </c>
    </row>
    <row r="164" spans="1:6" x14ac:dyDescent="0.3">
      <c r="A164" t="s">
        <v>144</v>
      </c>
      <c r="B164" t="s">
        <v>66</v>
      </c>
      <c r="C164">
        <v>8</v>
      </c>
      <c r="D164" s="1">
        <v>20.700636942675157</v>
      </c>
      <c r="E164">
        <v>0.65473331599999995</v>
      </c>
      <c r="F164">
        <f t="shared" si="2"/>
        <v>125.51914854707687</v>
      </c>
    </row>
    <row r="165" spans="1:6" x14ac:dyDescent="0.3">
      <c r="A165" t="s">
        <v>144</v>
      </c>
      <c r="B165" t="s">
        <v>119</v>
      </c>
      <c r="C165">
        <v>5</v>
      </c>
      <c r="D165" s="1">
        <v>18.949044585987259</v>
      </c>
      <c r="E165">
        <v>0.432770245</v>
      </c>
      <c r="F165">
        <f t="shared" si="2"/>
        <v>44.570494078150119</v>
      </c>
    </row>
    <row r="166" spans="1:6" x14ac:dyDescent="0.3">
      <c r="A166" t="s">
        <v>144</v>
      </c>
      <c r="B166" t="s">
        <v>22</v>
      </c>
      <c r="C166">
        <v>3.5</v>
      </c>
      <c r="D166" s="1">
        <v>5.0955414012738851</v>
      </c>
      <c r="E166">
        <v>0.53366728900000004</v>
      </c>
      <c r="F166">
        <f t="shared" si="2"/>
        <v>2.973562685429187</v>
      </c>
    </row>
    <row r="167" spans="1:6" x14ac:dyDescent="0.3">
      <c r="A167" t="s">
        <v>145</v>
      </c>
      <c r="B167" t="s">
        <v>75</v>
      </c>
      <c r="C167">
        <v>9</v>
      </c>
      <c r="D167" s="1">
        <v>6.6878980891719744</v>
      </c>
      <c r="E167">
        <v>0.36779084400000001</v>
      </c>
      <c r="F167">
        <f t="shared" si="2"/>
        <v>8.8378705331948666</v>
      </c>
    </row>
    <row r="168" spans="1:6" x14ac:dyDescent="0.3">
      <c r="A168" t="s">
        <v>145</v>
      </c>
      <c r="B168" t="s">
        <v>75</v>
      </c>
      <c r="C168">
        <v>11</v>
      </c>
      <c r="D168" s="1">
        <v>34.235668789808919</v>
      </c>
      <c r="E168">
        <v>0.36779084400000001</v>
      </c>
      <c r="F168">
        <f t="shared" si="2"/>
        <v>260.46145700908443</v>
      </c>
    </row>
    <row r="169" spans="1:6" x14ac:dyDescent="0.3">
      <c r="A169" t="s">
        <v>145</v>
      </c>
      <c r="B169" t="s">
        <v>75</v>
      </c>
      <c r="C169">
        <v>7</v>
      </c>
      <c r="D169" s="1">
        <v>5.7324840764331206</v>
      </c>
      <c r="E169">
        <v>0.36779084400000001</v>
      </c>
      <c r="F169">
        <f t="shared" si="2"/>
        <v>5.1184975498676595</v>
      </c>
    </row>
    <row r="170" spans="1:6" x14ac:dyDescent="0.3">
      <c r="A170" t="s">
        <v>145</v>
      </c>
      <c r="B170" t="s">
        <v>75</v>
      </c>
      <c r="C170">
        <v>11</v>
      </c>
      <c r="D170" s="1">
        <v>7.3248407643312099</v>
      </c>
      <c r="E170">
        <v>0.36779084400000001</v>
      </c>
      <c r="F170">
        <f t="shared" si="2"/>
        <v>12.838872303177453</v>
      </c>
    </row>
    <row r="171" spans="1:6" x14ac:dyDescent="0.3">
      <c r="A171" t="s">
        <v>145</v>
      </c>
      <c r="B171" t="s">
        <v>75</v>
      </c>
      <c r="C171">
        <v>10</v>
      </c>
      <c r="D171" s="1">
        <v>5.7324840764331206</v>
      </c>
      <c r="E171">
        <v>0.36779084400000001</v>
      </c>
      <c r="F171">
        <f t="shared" si="2"/>
        <v>7.2498131344809655</v>
      </c>
    </row>
    <row r="172" spans="1:6" x14ac:dyDescent="0.3">
      <c r="A172" t="s">
        <v>145</v>
      </c>
      <c r="B172" t="s">
        <v>69</v>
      </c>
      <c r="C172">
        <v>13</v>
      </c>
      <c r="D172" s="1">
        <v>16.878980891719745</v>
      </c>
      <c r="E172">
        <v>0.30236945900000001</v>
      </c>
      <c r="F172">
        <f t="shared" si="2"/>
        <v>63.680815040473085</v>
      </c>
    </row>
    <row r="173" spans="1:6" x14ac:dyDescent="0.3">
      <c r="A173" t="s">
        <v>145</v>
      </c>
      <c r="B173" t="s">
        <v>69</v>
      </c>
      <c r="C173">
        <v>15</v>
      </c>
      <c r="D173" s="1">
        <v>24.840764331210192</v>
      </c>
      <c r="E173">
        <v>0.30236945900000001</v>
      </c>
      <c r="F173">
        <f t="shared" si="2"/>
        <v>155.68513127503311</v>
      </c>
    </row>
    <row r="174" spans="1:6" x14ac:dyDescent="0.3">
      <c r="A174" t="s">
        <v>145</v>
      </c>
      <c r="B174" t="s">
        <v>69</v>
      </c>
      <c r="C174">
        <v>15.5</v>
      </c>
      <c r="D174" s="1">
        <v>27.070063694267514</v>
      </c>
      <c r="E174">
        <v>0.30236945900000001</v>
      </c>
      <c r="F174">
        <f t="shared" si="2"/>
        <v>190.10909057999896</v>
      </c>
    </row>
    <row r="175" spans="1:6" x14ac:dyDescent="0.3">
      <c r="A175" t="s">
        <v>145</v>
      </c>
      <c r="B175" t="s">
        <v>69</v>
      </c>
      <c r="C175">
        <v>15.5</v>
      </c>
      <c r="D175" s="1">
        <v>31.847133757961782</v>
      </c>
      <c r="E175">
        <v>0.30236945900000001</v>
      </c>
      <c r="F175">
        <f t="shared" si="2"/>
        <v>261.08212649303044</v>
      </c>
    </row>
    <row r="176" spans="1:6" x14ac:dyDescent="0.3">
      <c r="A176" t="s">
        <v>145</v>
      </c>
      <c r="B176" t="s">
        <v>14</v>
      </c>
      <c r="C176">
        <v>12</v>
      </c>
      <c r="D176" s="1">
        <v>32.165605095541402</v>
      </c>
      <c r="E176">
        <v>0.44328216799999998</v>
      </c>
      <c r="F176">
        <f t="shared" si="2"/>
        <v>301.22051304248242</v>
      </c>
    </row>
    <row r="177" spans="1:6" x14ac:dyDescent="0.3">
      <c r="A177" t="s">
        <v>145</v>
      </c>
      <c r="B177" t="s">
        <v>85</v>
      </c>
      <c r="C177">
        <v>10</v>
      </c>
      <c r="D177" s="1">
        <v>8.9171974522292992</v>
      </c>
      <c r="E177">
        <v>0.38825121200000001</v>
      </c>
      <c r="F177">
        <f t="shared" si="2"/>
        <v>18.106519671805689</v>
      </c>
    </row>
    <row r="178" spans="1:6" x14ac:dyDescent="0.3">
      <c r="A178" t="s">
        <v>145</v>
      </c>
      <c r="B178" t="s">
        <v>141</v>
      </c>
      <c r="C178">
        <v>8</v>
      </c>
      <c r="D178" s="1">
        <v>7.6433121019108281</v>
      </c>
      <c r="E178">
        <v>0.55789159200000005</v>
      </c>
      <c r="F178">
        <f t="shared" si="2"/>
        <v>15.354270341072374</v>
      </c>
    </row>
    <row r="179" spans="1:6" x14ac:dyDescent="0.3">
      <c r="A179" t="s">
        <v>145</v>
      </c>
      <c r="B179" t="s">
        <v>66</v>
      </c>
      <c r="C179">
        <v>11</v>
      </c>
      <c r="D179" s="1">
        <v>15.923566878980891</v>
      </c>
      <c r="E179">
        <v>0.65473331599999995</v>
      </c>
      <c r="F179">
        <f t="shared" si="2"/>
        <v>102.63039355302608</v>
      </c>
    </row>
    <row r="180" spans="1:6" x14ac:dyDescent="0.3">
      <c r="A180" t="s">
        <v>145</v>
      </c>
      <c r="B180" t="s">
        <v>66</v>
      </c>
      <c r="C180">
        <v>4</v>
      </c>
      <c r="D180" s="1">
        <v>5.7324840764331206</v>
      </c>
      <c r="E180">
        <v>0.65473331599999995</v>
      </c>
      <c r="F180">
        <f t="shared" si="2"/>
        <v>5.2046288721690237</v>
      </c>
    </row>
    <row r="181" spans="1:6" x14ac:dyDescent="0.3">
      <c r="A181" t="s">
        <v>145</v>
      </c>
      <c r="B181" t="s">
        <v>119</v>
      </c>
      <c r="C181">
        <v>10</v>
      </c>
      <c r="D181" s="1">
        <v>21.337579617834393</v>
      </c>
      <c r="E181">
        <v>0.432770245</v>
      </c>
      <c r="F181">
        <f t="shared" si="2"/>
        <v>110.53342363058974</v>
      </c>
    </row>
    <row r="182" spans="1:6" x14ac:dyDescent="0.3">
      <c r="A182" t="s">
        <v>145</v>
      </c>
      <c r="B182" t="s">
        <v>22</v>
      </c>
      <c r="C182">
        <v>4</v>
      </c>
      <c r="D182" s="1">
        <v>9.2356687898089174</v>
      </c>
      <c r="E182">
        <v>0.53366728900000004</v>
      </c>
      <c r="F182">
        <f t="shared" si="2"/>
        <v>10.815234097773757</v>
      </c>
    </row>
    <row r="183" spans="1:6" x14ac:dyDescent="0.3">
      <c r="A183" t="s">
        <v>146</v>
      </c>
      <c r="B183" t="s">
        <v>69</v>
      </c>
      <c r="C183">
        <v>14</v>
      </c>
      <c r="D183" s="1">
        <v>25.477707006369425</v>
      </c>
      <c r="E183">
        <v>0.30236945900000001</v>
      </c>
      <c r="F183">
        <f t="shared" si="2"/>
        <v>152.92060985842812</v>
      </c>
    </row>
    <row r="184" spans="1:6" x14ac:dyDescent="0.3">
      <c r="A184" t="s">
        <v>146</v>
      </c>
      <c r="B184" t="s">
        <v>69</v>
      </c>
      <c r="C184">
        <v>13</v>
      </c>
      <c r="D184" s="1">
        <v>21.97452229299363</v>
      </c>
      <c r="E184">
        <v>0.30236945900000001</v>
      </c>
      <c r="F184">
        <f t="shared" si="2"/>
        <v>106.57504897393707</v>
      </c>
    </row>
    <row r="185" spans="1:6" x14ac:dyDescent="0.3">
      <c r="A185" t="s">
        <v>146</v>
      </c>
      <c r="B185" t="s">
        <v>69</v>
      </c>
      <c r="C185">
        <v>13</v>
      </c>
      <c r="D185" s="1">
        <v>28.662420382165603</v>
      </c>
      <c r="E185">
        <v>0.30236945900000001</v>
      </c>
      <c r="F185">
        <f t="shared" si="2"/>
        <v>179.02080026500715</v>
      </c>
    </row>
    <row r="186" spans="1:6" x14ac:dyDescent="0.3">
      <c r="A186" t="s">
        <v>146</v>
      </c>
      <c r="B186" t="s">
        <v>14</v>
      </c>
      <c r="C186">
        <v>9</v>
      </c>
      <c r="D186" s="1">
        <v>21.656050955414013</v>
      </c>
      <c r="E186">
        <v>0.44328216799999998</v>
      </c>
      <c r="F186">
        <f t="shared" si="2"/>
        <v>105.09121495636245</v>
      </c>
    </row>
    <row r="187" spans="1:6" x14ac:dyDescent="0.3">
      <c r="A187" t="s">
        <v>146</v>
      </c>
      <c r="B187" t="s">
        <v>14</v>
      </c>
      <c r="C187">
        <v>11</v>
      </c>
      <c r="D187" s="1">
        <v>15.605095541401273</v>
      </c>
      <c r="E187">
        <v>0.44328216799999998</v>
      </c>
      <c r="F187">
        <f t="shared" si="2"/>
        <v>67.426456265432975</v>
      </c>
    </row>
    <row r="188" spans="1:6" x14ac:dyDescent="0.3">
      <c r="A188" t="s">
        <v>146</v>
      </c>
      <c r="B188" t="s">
        <v>14</v>
      </c>
      <c r="C188">
        <v>6.5</v>
      </c>
      <c r="D188" s="1">
        <v>9.872611464968152</v>
      </c>
      <c r="E188">
        <v>0.44328216799999998</v>
      </c>
      <c r="F188">
        <f t="shared" si="2"/>
        <v>16.508582657680144</v>
      </c>
    </row>
    <row r="189" spans="1:6" x14ac:dyDescent="0.3">
      <c r="A189" t="s">
        <v>146</v>
      </c>
      <c r="B189" t="s">
        <v>66</v>
      </c>
      <c r="C189">
        <v>13</v>
      </c>
      <c r="D189" s="1">
        <v>15.923566878980891</v>
      </c>
      <c r="E189">
        <v>0.65473331599999995</v>
      </c>
      <c r="F189">
        <f t="shared" si="2"/>
        <v>120.80514902358472</v>
      </c>
    </row>
    <row r="190" spans="1:6" x14ac:dyDescent="0.3">
      <c r="A190" t="s">
        <v>146</v>
      </c>
      <c r="B190" t="s">
        <v>66</v>
      </c>
      <c r="C190">
        <v>5</v>
      </c>
      <c r="D190" s="1">
        <v>5.7324840764331206</v>
      </c>
      <c r="E190">
        <v>0.65473331599999995</v>
      </c>
      <c r="F190">
        <f t="shared" si="2"/>
        <v>6.4710378383474838</v>
      </c>
    </row>
    <row r="191" spans="1:6" x14ac:dyDescent="0.3">
      <c r="A191" t="s">
        <v>146</v>
      </c>
      <c r="B191" t="s">
        <v>66</v>
      </c>
      <c r="C191">
        <v>12</v>
      </c>
      <c r="D191" s="1">
        <v>19.745222929936304</v>
      </c>
      <c r="E191">
        <v>0.65473331599999995</v>
      </c>
      <c r="F191">
        <f t="shared" si="2"/>
        <v>170.02655645354093</v>
      </c>
    </row>
    <row r="192" spans="1:6" x14ac:dyDescent="0.3">
      <c r="A192" t="s">
        <v>146</v>
      </c>
      <c r="B192" t="s">
        <v>66</v>
      </c>
      <c r="C192">
        <v>6</v>
      </c>
      <c r="D192" s="1">
        <v>13.694267515923567</v>
      </c>
      <c r="E192">
        <v>0.65473331599999995</v>
      </c>
      <c r="F192">
        <f t="shared" si="2"/>
        <v>42.314901159041206</v>
      </c>
    </row>
    <row r="193" spans="1:6" x14ac:dyDescent="0.3">
      <c r="A193" t="s">
        <v>146</v>
      </c>
      <c r="B193" t="s">
        <v>66</v>
      </c>
      <c r="C193">
        <v>4.5</v>
      </c>
      <c r="D193" s="1">
        <v>13.694267515923567</v>
      </c>
      <c r="E193">
        <v>0.65473331599999995</v>
      </c>
      <c r="F193">
        <f t="shared" si="2"/>
        <v>31.956052342348343</v>
      </c>
    </row>
    <row r="194" spans="1:6" x14ac:dyDescent="0.3">
      <c r="A194" t="s">
        <v>146</v>
      </c>
      <c r="B194" t="s">
        <v>119</v>
      </c>
      <c r="C194">
        <v>13</v>
      </c>
      <c r="D194" s="1">
        <v>29.29936305732484</v>
      </c>
      <c r="E194">
        <v>0.432770245</v>
      </c>
      <c r="F194">
        <f t="shared" si="2"/>
        <v>265.16619569796768</v>
      </c>
    </row>
    <row r="195" spans="1:6" x14ac:dyDescent="0.3">
      <c r="A195" t="s">
        <v>146</v>
      </c>
      <c r="B195" t="s">
        <v>119</v>
      </c>
      <c r="C195">
        <v>12</v>
      </c>
      <c r="D195" s="1">
        <v>27.388535031847134</v>
      </c>
      <c r="E195">
        <v>0.432770245</v>
      </c>
      <c r="F195">
        <f t="shared" ref="F195:F258" si="3">0.0673*(E195*(D195^2)*C195)^0.976</f>
        <v>214.98961404267268</v>
      </c>
    </row>
    <row r="196" spans="1:6" x14ac:dyDescent="0.3">
      <c r="A196" t="s">
        <v>146</v>
      </c>
      <c r="B196" t="s">
        <v>119</v>
      </c>
      <c r="C196">
        <v>11</v>
      </c>
      <c r="D196" s="1">
        <v>21.019108280254777</v>
      </c>
      <c r="E196">
        <v>0.432770245</v>
      </c>
      <c r="F196">
        <f t="shared" si="3"/>
        <v>117.79982084659292</v>
      </c>
    </row>
    <row r="197" spans="1:6" x14ac:dyDescent="0.3">
      <c r="A197" t="s">
        <v>146</v>
      </c>
      <c r="B197" t="s">
        <v>119</v>
      </c>
      <c r="C197">
        <v>8</v>
      </c>
      <c r="D197" s="1">
        <v>16.560509554140125</v>
      </c>
      <c r="E197">
        <v>0.432770245</v>
      </c>
      <c r="F197">
        <f t="shared" si="3"/>
        <v>54.206324566303707</v>
      </c>
    </row>
    <row r="198" spans="1:6" x14ac:dyDescent="0.3">
      <c r="A198" t="s">
        <v>146</v>
      </c>
      <c r="B198" t="s">
        <v>22</v>
      </c>
      <c r="C198">
        <v>6</v>
      </c>
      <c r="D198" s="1">
        <v>12.420382165605096</v>
      </c>
      <c r="E198">
        <v>0.53366728900000004</v>
      </c>
      <c r="F198">
        <f t="shared" si="3"/>
        <v>28.645619185314516</v>
      </c>
    </row>
    <row r="199" spans="1:6" x14ac:dyDescent="0.3">
      <c r="A199" t="s">
        <v>147</v>
      </c>
      <c r="B199" t="s">
        <v>26</v>
      </c>
      <c r="C199">
        <v>7</v>
      </c>
      <c r="D199" s="1">
        <v>15.286624203821656</v>
      </c>
      <c r="E199">
        <v>0.52691816800000002</v>
      </c>
      <c r="F199">
        <f t="shared" si="3"/>
        <v>49.320595383669811</v>
      </c>
    </row>
    <row r="200" spans="1:6" x14ac:dyDescent="0.3">
      <c r="A200" t="s">
        <v>147</v>
      </c>
      <c r="B200" t="s">
        <v>60</v>
      </c>
      <c r="C200">
        <v>7</v>
      </c>
      <c r="D200" s="1">
        <v>9.872611464968152</v>
      </c>
      <c r="E200">
        <v>0.35368027699999999</v>
      </c>
      <c r="F200">
        <f t="shared" si="3"/>
        <v>14.236600112000085</v>
      </c>
    </row>
    <row r="201" spans="1:6" x14ac:dyDescent="0.3">
      <c r="A201" t="s">
        <v>147</v>
      </c>
      <c r="B201" t="s">
        <v>14</v>
      </c>
      <c r="C201">
        <v>4</v>
      </c>
      <c r="D201" s="1">
        <v>5.8917197452229297</v>
      </c>
      <c r="E201">
        <v>0.44328216799999998</v>
      </c>
      <c r="F201">
        <f t="shared" si="3"/>
        <v>3.7523046495082597</v>
      </c>
    </row>
    <row r="202" spans="1:6" x14ac:dyDescent="0.3">
      <c r="A202" t="s">
        <v>147</v>
      </c>
      <c r="B202" t="s">
        <v>85</v>
      </c>
      <c r="C202">
        <v>8</v>
      </c>
      <c r="D202" s="1">
        <v>21.019108280254777</v>
      </c>
      <c r="E202">
        <v>0.38825121200000001</v>
      </c>
      <c r="F202">
        <f t="shared" si="3"/>
        <v>77.651185970918149</v>
      </c>
    </row>
    <row r="203" spans="1:6" x14ac:dyDescent="0.3">
      <c r="A203" t="s">
        <v>147</v>
      </c>
      <c r="B203" t="s">
        <v>85</v>
      </c>
      <c r="C203">
        <v>8</v>
      </c>
      <c r="D203" s="1">
        <v>10.987261146496815</v>
      </c>
      <c r="E203">
        <v>0.38825121200000001</v>
      </c>
      <c r="F203">
        <f t="shared" si="3"/>
        <v>21.888762271902539</v>
      </c>
    </row>
    <row r="204" spans="1:6" x14ac:dyDescent="0.3">
      <c r="A204" t="s">
        <v>147</v>
      </c>
      <c r="B204" t="s">
        <v>85</v>
      </c>
      <c r="C204">
        <v>6.5</v>
      </c>
      <c r="D204" s="1">
        <v>8.2802547770700627</v>
      </c>
      <c r="E204">
        <v>0.38825121200000001</v>
      </c>
      <c r="F204">
        <f t="shared" si="3"/>
        <v>10.289965412077771</v>
      </c>
    </row>
    <row r="205" spans="1:6" x14ac:dyDescent="0.3">
      <c r="A205" t="s">
        <v>147</v>
      </c>
      <c r="B205" t="s">
        <v>122</v>
      </c>
      <c r="C205">
        <v>8.6999999999999993</v>
      </c>
      <c r="D205" s="1">
        <v>17.67515923566879</v>
      </c>
      <c r="E205">
        <v>0.46124999999999999</v>
      </c>
      <c r="F205">
        <f t="shared" si="3"/>
        <v>71.095316324331094</v>
      </c>
    </row>
    <row r="206" spans="1:6" x14ac:dyDescent="0.3">
      <c r="A206" t="s">
        <v>147</v>
      </c>
      <c r="B206" t="s">
        <v>122</v>
      </c>
      <c r="C206">
        <v>6</v>
      </c>
      <c r="D206" s="1">
        <v>5.4140127388535033</v>
      </c>
      <c r="E206">
        <v>0.46124999999999999</v>
      </c>
      <c r="F206">
        <f t="shared" si="3"/>
        <v>4.9127222611326156</v>
      </c>
    </row>
    <row r="207" spans="1:6" x14ac:dyDescent="0.3">
      <c r="A207" t="s">
        <v>147</v>
      </c>
      <c r="B207" t="s">
        <v>122</v>
      </c>
      <c r="C207">
        <v>6</v>
      </c>
      <c r="D207" s="1">
        <v>4.4585987261146496</v>
      </c>
      <c r="E207">
        <v>0.46124999999999999</v>
      </c>
      <c r="F207">
        <f t="shared" si="3"/>
        <v>3.363007557414329</v>
      </c>
    </row>
    <row r="208" spans="1:6" x14ac:dyDescent="0.3">
      <c r="A208" t="s">
        <v>147</v>
      </c>
      <c r="B208" t="s">
        <v>122</v>
      </c>
      <c r="C208">
        <v>5.7</v>
      </c>
      <c r="D208" s="1">
        <v>7.3248407643312099</v>
      </c>
      <c r="E208">
        <v>0.46124999999999999</v>
      </c>
      <c r="F208">
        <f t="shared" si="3"/>
        <v>8.4301808652998904</v>
      </c>
    </row>
    <row r="209" spans="1:6" x14ac:dyDescent="0.3">
      <c r="A209" t="s">
        <v>147</v>
      </c>
      <c r="B209" t="s">
        <v>122</v>
      </c>
      <c r="C209">
        <v>5.5</v>
      </c>
      <c r="D209" s="1">
        <v>5.4140127388535033</v>
      </c>
      <c r="E209">
        <v>0.46124999999999999</v>
      </c>
      <c r="F209">
        <f t="shared" si="3"/>
        <v>4.5127427454896631</v>
      </c>
    </row>
    <row r="210" spans="1:6" x14ac:dyDescent="0.3">
      <c r="A210" t="s">
        <v>147</v>
      </c>
      <c r="B210" t="s">
        <v>39</v>
      </c>
      <c r="C210">
        <v>8</v>
      </c>
      <c r="D210" s="1">
        <v>18.789808917197451</v>
      </c>
      <c r="E210">
        <v>0.49303984699999998</v>
      </c>
      <c r="F210">
        <f t="shared" si="3"/>
        <v>78.773509898334567</v>
      </c>
    </row>
    <row r="211" spans="1:6" x14ac:dyDescent="0.3">
      <c r="A211" t="s">
        <v>147</v>
      </c>
      <c r="B211" t="s">
        <v>27</v>
      </c>
      <c r="C211">
        <v>10</v>
      </c>
      <c r="D211" s="1">
        <v>47.452229299363054</v>
      </c>
      <c r="E211">
        <v>0.44493726</v>
      </c>
      <c r="F211">
        <f t="shared" si="3"/>
        <v>540.51480313864022</v>
      </c>
    </row>
    <row r="212" spans="1:6" x14ac:dyDescent="0.3">
      <c r="A212" t="s">
        <v>147</v>
      </c>
      <c r="B212" t="s">
        <v>73</v>
      </c>
      <c r="C212">
        <v>8</v>
      </c>
      <c r="D212" s="1">
        <v>20.859872611464969</v>
      </c>
      <c r="E212">
        <v>0.2424</v>
      </c>
      <c r="F212">
        <f t="shared" si="3"/>
        <v>48.309336059997143</v>
      </c>
    </row>
    <row r="213" spans="1:6" x14ac:dyDescent="0.3">
      <c r="A213" t="s">
        <v>147</v>
      </c>
      <c r="B213" t="s">
        <v>49</v>
      </c>
      <c r="C213">
        <v>10</v>
      </c>
      <c r="D213" s="1">
        <v>35.031847133757964</v>
      </c>
      <c r="E213">
        <v>0.45370429400000001</v>
      </c>
      <c r="F213">
        <f t="shared" si="3"/>
        <v>304.66127330551427</v>
      </c>
    </row>
    <row r="214" spans="1:6" x14ac:dyDescent="0.3">
      <c r="A214" t="s">
        <v>150</v>
      </c>
      <c r="B214" t="s">
        <v>85</v>
      </c>
      <c r="C214">
        <v>4</v>
      </c>
      <c r="D214" s="1">
        <v>6.3694267515923562</v>
      </c>
      <c r="E214">
        <v>0.38825121200000001</v>
      </c>
      <c r="F214">
        <f t="shared" si="3"/>
        <v>3.838871779787183</v>
      </c>
    </row>
    <row r="215" spans="1:6" x14ac:dyDescent="0.3">
      <c r="A215" t="s">
        <v>150</v>
      </c>
      <c r="B215" t="s">
        <v>151</v>
      </c>
      <c r="C215">
        <v>6</v>
      </c>
      <c r="D215" s="1">
        <v>12.738853503184712</v>
      </c>
      <c r="E215">
        <v>0.252</v>
      </c>
      <c r="F215">
        <f t="shared" si="3"/>
        <v>14.470116991907059</v>
      </c>
    </row>
    <row r="216" spans="1:6" x14ac:dyDescent="0.3">
      <c r="A216" t="s">
        <v>150</v>
      </c>
      <c r="B216" t="s">
        <v>151</v>
      </c>
      <c r="C216">
        <v>4.5</v>
      </c>
      <c r="D216" s="1">
        <v>12.101910828025478</v>
      </c>
      <c r="E216">
        <v>0.252</v>
      </c>
      <c r="F216">
        <f t="shared" si="3"/>
        <v>9.8866307222411418</v>
      </c>
    </row>
    <row r="217" spans="1:6" x14ac:dyDescent="0.3">
      <c r="A217" t="s">
        <v>150</v>
      </c>
      <c r="B217" t="s">
        <v>151</v>
      </c>
      <c r="C217">
        <v>4.5</v>
      </c>
      <c r="D217" s="1">
        <v>9.5541401273885338</v>
      </c>
      <c r="E217">
        <v>0.252</v>
      </c>
      <c r="F217">
        <f t="shared" si="3"/>
        <v>6.2323440722270123</v>
      </c>
    </row>
    <row r="218" spans="1:6" x14ac:dyDescent="0.3">
      <c r="A218" t="s">
        <v>150</v>
      </c>
      <c r="B218" t="s">
        <v>122</v>
      </c>
      <c r="C218">
        <v>3.5</v>
      </c>
      <c r="D218" s="1">
        <v>9.7133757961783438</v>
      </c>
      <c r="E218">
        <v>0.46124999999999999</v>
      </c>
      <c r="F218">
        <f t="shared" si="3"/>
        <v>9.086026412418942</v>
      </c>
    </row>
    <row r="219" spans="1:6" x14ac:dyDescent="0.3">
      <c r="A219" t="s">
        <v>150</v>
      </c>
      <c r="B219" t="s">
        <v>22</v>
      </c>
      <c r="C219">
        <v>2.7</v>
      </c>
      <c r="D219" s="1">
        <v>10.668789808917197</v>
      </c>
      <c r="E219">
        <v>0.53366728900000004</v>
      </c>
      <c r="F219">
        <f t="shared" si="3"/>
        <v>9.7661407257265971</v>
      </c>
    </row>
    <row r="220" spans="1:6" x14ac:dyDescent="0.3">
      <c r="A220" t="s">
        <v>150</v>
      </c>
      <c r="B220" t="s">
        <v>22</v>
      </c>
      <c r="C220">
        <v>1.9</v>
      </c>
      <c r="D220" s="1">
        <v>6.3694267515923562</v>
      </c>
      <c r="E220">
        <v>0.53366728900000004</v>
      </c>
      <c r="F220">
        <f t="shared" si="3"/>
        <v>2.5322031627657609</v>
      </c>
    </row>
    <row r="221" spans="1:6" x14ac:dyDescent="0.3">
      <c r="A221" t="s">
        <v>150</v>
      </c>
      <c r="B221" t="s">
        <v>49</v>
      </c>
      <c r="C221">
        <v>8</v>
      </c>
      <c r="D221" s="1">
        <v>30.254777070063692</v>
      </c>
      <c r="E221">
        <v>0.45370429400000001</v>
      </c>
      <c r="F221">
        <f t="shared" si="3"/>
        <v>184.05644786311854</v>
      </c>
    </row>
    <row r="222" spans="1:6" x14ac:dyDescent="0.3">
      <c r="A222" t="s">
        <v>150</v>
      </c>
      <c r="B222" t="s">
        <v>94</v>
      </c>
      <c r="C222">
        <v>8</v>
      </c>
      <c r="D222" s="1">
        <v>31.369426751592357</v>
      </c>
      <c r="E222">
        <v>0.26200000000000001</v>
      </c>
      <c r="F222">
        <f t="shared" si="3"/>
        <v>115.5776342682875</v>
      </c>
    </row>
    <row r="223" spans="1:6" x14ac:dyDescent="0.3">
      <c r="A223" t="s">
        <v>152</v>
      </c>
      <c r="B223" t="s">
        <v>26</v>
      </c>
      <c r="C223">
        <v>7</v>
      </c>
      <c r="D223" s="1">
        <v>13.216560509554139</v>
      </c>
      <c r="E223">
        <v>0.52691816800000002</v>
      </c>
      <c r="F223">
        <f t="shared" si="3"/>
        <v>37.125755487504726</v>
      </c>
    </row>
    <row r="224" spans="1:6" x14ac:dyDescent="0.3">
      <c r="A224" t="s">
        <v>152</v>
      </c>
      <c r="B224" t="s">
        <v>85</v>
      </c>
      <c r="C224">
        <v>8</v>
      </c>
      <c r="D224" s="1">
        <v>15.445859872611464</v>
      </c>
      <c r="E224">
        <v>0.38825121200000001</v>
      </c>
      <c r="F224">
        <f t="shared" si="3"/>
        <v>42.556529581364117</v>
      </c>
    </row>
    <row r="225" spans="1:6" x14ac:dyDescent="0.3">
      <c r="A225" t="s">
        <v>152</v>
      </c>
      <c r="B225" t="s">
        <v>18</v>
      </c>
      <c r="C225">
        <v>5.7</v>
      </c>
      <c r="D225" s="1">
        <v>12.420382165605096</v>
      </c>
      <c r="E225">
        <v>0.44167784399999999</v>
      </c>
      <c r="F225">
        <f t="shared" si="3"/>
        <v>22.652880953841034</v>
      </c>
    </row>
    <row r="226" spans="1:6" x14ac:dyDescent="0.3">
      <c r="A226" t="s">
        <v>152</v>
      </c>
      <c r="B226" t="s">
        <v>151</v>
      </c>
      <c r="C226">
        <v>7</v>
      </c>
      <c r="D226" s="1">
        <v>27.547770700636942</v>
      </c>
      <c r="E226">
        <v>0.252</v>
      </c>
      <c r="F226">
        <f t="shared" si="3"/>
        <v>75.796028046514138</v>
      </c>
    </row>
    <row r="227" spans="1:6" x14ac:dyDescent="0.3">
      <c r="A227" t="s">
        <v>152</v>
      </c>
      <c r="B227" t="s">
        <v>122</v>
      </c>
      <c r="C227">
        <v>6</v>
      </c>
      <c r="D227" s="1">
        <v>9.3949044585987256</v>
      </c>
      <c r="E227">
        <v>0.46124999999999999</v>
      </c>
      <c r="F227">
        <f t="shared" si="3"/>
        <v>14.40716376590836</v>
      </c>
    </row>
    <row r="228" spans="1:6" x14ac:dyDescent="0.3">
      <c r="A228" t="s">
        <v>152</v>
      </c>
      <c r="B228" t="s">
        <v>122</v>
      </c>
      <c r="C228">
        <v>3.5</v>
      </c>
      <c r="D228" s="1">
        <v>4.7770700636942669</v>
      </c>
      <c r="E228">
        <v>0.46124999999999999</v>
      </c>
      <c r="F228">
        <f t="shared" si="3"/>
        <v>2.273792586728689</v>
      </c>
    </row>
    <row r="229" spans="1:6" x14ac:dyDescent="0.3">
      <c r="A229" t="s">
        <v>152</v>
      </c>
      <c r="B229" t="s">
        <v>39</v>
      </c>
      <c r="C229">
        <v>10</v>
      </c>
      <c r="D229" s="1">
        <v>42.834394904458598</v>
      </c>
      <c r="E229">
        <v>0.49303984699999998</v>
      </c>
      <c r="F229">
        <f t="shared" si="3"/>
        <v>489.24584010882921</v>
      </c>
    </row>
    <row r="230" spans="1:6" x14ac:dyDescent="0.3">
      <c r="A230" t="s">
        <v>152</v>
      </c>
      <c r="B230" t="s">
        <v>73</v>
      </c>
      <c r="C230">
        <v>7.5</v>
      </c>
      <c r="D230" s="1">
        <v>16.401273885350317</v>
      </c>
      <c r="E230">
        <v>0.2424</v>
      </c>
      <c r="F230">
        <f t="shared" si="3"/>
        <v>28.367412769214273</v>
      </c>
    </row>
    <row r="231" spans="1:6" x14ac:dyDescent="0.3">
      <c r="A231" t="s">
        <v>152</v>
      </c>
      <c r="B231" t="s">
        <v>47</v>
      </c>
      <c r="C231">
        <v>9</v>
      </c>
      <c r="D231" s="1">
        <v>16.082802547770701</v>
      </c>
      <c r="E231">
        <v>0.21743084800000001</v>
      </c>
      <c r="F231">
        <f t="shared" si="3"/>
        <v>29.335892283725354</v>
      </c>
    </row>
    <row r="232" spans="1:6" x14ac:dyDescent="0.3">
      <c r="A232" t="s">
        <v>152</v>
      </c>
      <c r="B232" t="s">
        <v>94</v>
      </c>
      <c r="C232">
        <v>8.5</v>
      </c>
      <c r="D232" s="1">
        <v>27.70700636942675</v>
      </c>
      <c r="E232">
        <v>0.26200000000000001</v>
      </c>
      <c r="F232">
        <f t="shared" si="3"/>
        <v>96.233194833840415</v>
      </c>
    </row>
    <row r="233" spans="1:6" x14ac:dyDescent="0.3">
      <c r="A233" t="s">
        <v>154</v>
      </c>
      <c r="B233" t="s">
        <v>26</v>
      </c>
      <c r="C233">
        <v>4.5</v>
      </c>
      <c r="D233" s="1">
        <v>12.738853503184712</v>
      </c>
      <c r="E233">
        <v>0.52691816800000002</v>
      </c>
      <c r="F233">
        <f t="shared" si="3"/>
        <v>22.448444062368424</v>
      </c>
    </row>
    <row r="234" spans="1:6" x14ac:dyDescent="0.3">
      <c r="A234" t="s">
        <v>154</v>
      </c>
      <c r="B234" t="s">
        <v>26</v>
      </c>
      <c r="C234">
        <v>3.7</v>
      </c>
      <c r="D234" s="1">
        <v>6.0509554140127388</v>
      </c>
      <c r="E234">
        <v>0.52691816800000002</v>
      </c>
      <c r="F234">
        <f t="shared" si="3"/>
        <v>4.3363231588494333</v>
      </c>
    </row>
    <row r="235" spans="1:6" x14ac:dyDescent="0.3">
      <c r="A235" t="s">
        <v>154</v>
      </c>
      <c r="B235" t="s">
        <v>69</v>
      </c>
      <c r="C235">
        <v>5.7</v>
      </c>
      <c r="D235" s="1">
        <v>49.681528662420384</v>
      </c>
      <c r="E235">
        <v>0.30236945900000001</v>
      </c>
      <c r="F235">
        <f t="shared" si="3"/>
        <v>234.27528724615104</v>
      </c>
    </row>
    <row r="236" spans="1:6" x14ac:dyDescent="0.3">
      <c r="A236" t="s">
        <v>154</v>
      </c>
      <c r="B236" t="s">
        <v>85</v>
      </c>
      <c r="C236">
        <v>7.5</v>
      </c>
      <c r="D236" s="1">
        <v>15.764331210191083</v>
      </c>
      <c r="E236">
        <v>0.38825121200000001</v>
      </c>
      <c r="F236">
        <f t="shared" si="3"/>
        <v>41.582600423052739</v>
      </c>
    </row>
    <row r="237" spans="1:6" x14ac:dyDescent="0.3">
      <c r="A237" t="s">
        <v>154</v>
      </c>
      <c r="B237" t="s">
        <v>141</v>
      </c>
      <c r="C237">
        <v>5.7</v>
      </c>
      <c r="D237" s="1">
        <v>17.834394904458598</v>
      </c>
      <c r="E237">
        <v>0.55789159200000005</v>
      </c>
      <c r="F237">
        <f t="shared" si="3"/>
        <v>57.655122555997558</v>
      </c>
    </row>
    <row r="238" spans="1:6" x14ac:dyDescent="0.3">
      <c r="A238" t="s">
        <v>154</v>
      </c>
      <c r="B238" t="s">
        <v>122</v>
      </c>
      <c r="C238">
        <v>6.8</v>
      </c>
      <c r="D238" s="1">
        <v>20.700636942675157</v>
      </c>
      <c r="E238">
        <v>0.46124999999999999</v>
      </c>
      <c r="F238">
        <f t="shared" si="3"/>
        <v>76.093203512862218</v>
      </c>
    </row>
    <row r="239" spans="1:6" x14ac:dyDescent="0.3">
      <c r="A239" t="s">
        <v>154</v>
      </c>
      <c r="B239" t="s">
        <v>122</v>
      </c>
      <c r="C239">
        <v>2.2000000000000002</v>
      </c>
      <c r="D239" s="1">
        <v>5.5732484076433115</v>
      </c>
      <c r="E239">
        <v>0.46124999999999999</v>
      </c>
      <c r="F239">
        <f t="shared" si="3"/>
        <v>1.9526531428496878</v>
      </c>
    </row>
    <row r="240" spans="1:6" x14ac:dyDescent="0.3">
      <c r="A240" t="s">
        <v>154</v>
      </c>
      <c r="B240" t="s">
        <v>119</v>
      </c>
      <c r="C240">
        <v>5.5</v>
      </c>
      <c r="D240" s="1">
        <v>18.789808917197451</v>
      </c>
      <c r="E240">
        <v>0.432770245</v>
      </c>
      <c r="F240">
        <f t="shared" si="3"/>
        <v>48.11635481347939</v>
      </c>
    </row>
    <row r="241" spans="1:6" x14ac:dyDescent="0.3">
      <c r="A241" t="s">
        <v>154</v>
      </c>
      <c r="B241" t="s">
        <v>47</v>
      </c>
      <c r="C241">
        <v>9.5</v>
      </c>
      <c r="D241" s="1">
        <v>15.445859872611464</v>
      </c>
      <c r="E241">
        <v>0.21743084800000001</v>
      </c>
      <c r="F241">
        <f t="shared" si="3"/>
        <v>28.57985068626326</v>
      </c>
    </row>
    <row r="242" spans="1:6" x14ac:dyDescent="0.3">
      <c r="A242" t="s">
        <v>155</v>
      </c>
      <c r="B242" t="s">
        <v>69</v>
      </c>
      <c r="C242">
        <v>5</v>
      </c>
      <c r="D242" s="1">
        <v>17.834394904458598</v>
      </c>
      <c r="E242">
        <v>0.30236945900000001</v>
      </c>
      <c r="F242">
        <f t="shared" si="3"/>
        <v>27.90430157256225</v>
      </c>
    </row>
    <row r="243" spans="1:6" x14ac:dyDescent="0.3">
      <c r="A243" t="s">
        <v>155</v>
      </c>
      <c r="B243" t="s">
        <v>85</v>
      </c>
      <c r="C243">
        <v>5.5</v>
      </c>
      <c r="D243" s="1">
        <v>6.5286624203821653</v>
      </c>
      <c r="E243">
        <v>0.38825121200000001</v>
      </c>
      <c r="F243">
        <f t="shared" si="3"/>
        <v>5.4969277069672895</v>
      </c>
    </row>
    <row r="244" spans="1:6" x14ac:dyDescent="0.3">
      <c r="A244" t="s">
        <v>155</v>
      </c>
      <c r="B244" t="s">
        <v>85</v>
      </c>
      <c r="C244">
        <v>5</v>
      </c>
      <c r="D244" s="1">
        <v>13.375796178343949</v>
      </c>
      <c r="E244">
        <v>0.38825121200000001</v>
      </c>
      <c r="F244">
        <f t="shared" si="3"/>
        <v>20.312334636350009</v>
      </c>
    </row>
    <row r="245" spans="1:6" x14ac:dyDescent="0.3">
      <c r="A245" t="s">
        <v>155</v>
      </c>
      <c r="B245" t="s">
        <v>122</v>
      </c>
      <c r="C245">
        <v>6</v>
      </c>
      <c r="D245" s="1">
        <v>17.993630573248407</v>
      </c>
      <c r="E245">
        <v>0.46124999999999999</v>
      </c>
      <c r="F245">
        <f t="shared" si="3"/>
        <v>51.22529731686577</v>
      </c>
    </row>
    <row r="246" spans="1:6" x14ac:dyDescent="0.3">
      <c r="A246" t="s">
        <v>155</v>
      </c>
      <c r="B246" t="s">
        <v>122</v>
      </c>
      <c r="C246">
        <v>5</v>
      </c>
      <c r="D246" s="1">
        <v>18.949044585987259</v>
      </c>
      <c r="E246">
        <v>0.46124999999999999</v>
      </c>
      <c r="F246">
        <f t="shared" si="3"/>
        <v>47.430984436510727</v>
      </c>
    </row>
    <row r="247" spans="1:6" x14ac:dyDescent="0.3">
      <c r="A247" t="s">
        <v>155</v>
      </c>
      <c r="B247" t="s">
        <v>73</v>
      </c>
      <c r="C247">
        <v>6</v>
      </c>
      <c r="D247" s="1">
        <v>10.19108280254777</v>
      </c>
      <c r="E247">
        <v>0.2424</v>
      </c>
      <c r="F247">
        <f t="shared" si="3"/>
        <v>9.0124029688189111</v>
      </c>
    </row>
    <row r="248" spans="1:6" x14ac:dyDescent="0.3">
      <c r="A248" t="s">
        <v>155</v>
      </c>
      <c r="B248" t="s">
        <v>73</v>
      </c>
      <c r="C248">
        <v>6</v>
      </c>
      <c r="D248" s="1">
        <v>17.834394904458598</v>
      </c>
      <c r="E248">
        <v>0.2424</v>
      </c>
      <c r="F248">
        <f t="shared" si="3"/>
        <v>26.868961002504289</v>
      </c>
    </row>
    <row r="249" spans="1:6" x14ac:dyDescent="0.3">
      <c r="A249" t="s">
        <v>155</v>
      </c>
      <c r="B249" t="s">
        <v>73</v>
      </c>
      <c r="C249">
        <v>5.5</v>
      </c>
      <c r="D249" s="1">
        <v>7.9617834394904454</v>
      </c>
      <c r="E249">
        <v>0.2424</v>
      </c>
      <c r="F249">
        <f t="shared" si="3"/>
        <v>5.1131096448684632</v>
      </c>
    </row>
    <row r="250" spans="1:6" x14ac:dyDescent="0.3">
      <c r="A250" t="s">
        <v>155</v>
      </c>
      <c r="B250" t="s">
        <v>22</v>
      </c>
      <c r="C250">
        <v>5</v>
      </c>
      <c r="D250" s="1">
        <v>11.146496815286623</v>
      </c>
      <c r="E250">
        <v>0.53366728900000004</v>
      </c>
      <c r="F250">
        <f t="shared" si="3"/>
        <v>19.410647715182137</v>
      </c>
    </row>
    <row r="251" spans="1:6" x14ac:dyDescent="0.3">
      <c r="A251" t="s">
        <v>155</v>
      </c>
      <c r="B251" t="s">
        <v>22</v>
      </c>
      <c r="C251">
        <v>4</v>
      </c>
      <c r="D251" s="1">
        <v>11.305732484076433</v>
      </c>
      <c r="E251">
        <v>0.53366728900000004</v>
      </c>
      <c r="F251">
        <f t="shared" si="3"/>
        <v>16.05021216072112</v>
      </c>
    </row>
    <row r="252" spans="1:6" x14ac:dyDescent="0.3">
      <c r="A252" t="s">
        <v>155</v>
      </c>
      <c r="B252" t="s">
        <v>22</v>
      </c>
      <c r="C252">
        <v>3.9</v>
      </c>
      <c r="D252" s="1">
        <v>11.146496815286623</v>
      </c>
      <c r="E252">
        <v>0.53366728900000004</v>
      </c>
      <c r="F252">
        <f t="shared" si="3"/>
        <v>15.230857674506947</v>
      </c>
    </row>
    <row r="253" spans="1:6" x14ac:dyDescent="0.3">
      <c r="A253" t="s">
        <v>155</v>
      </c>
      <c r="B253" t="s">
        <v>22</v>
      </c>
      <c r="C253">
        <v>2.5</v>
      </c>
      <c r="D253" s="1">
        <v>11.783439490445859</v>
      </c>
      <c r="E253">
        <v>0.53366728900000004</v>
      </c>
      <c r="F253">
        <f t="shared" si="3"/>
        <v>10.998759217545857</v>
      </c>
    </row>
    <row r="254" spans="1:6" x14ac:dyDescent="0.3">
      <c r="A254" t="s">
        <v>155</v>
      </c>
      <c r="B254" t="s">
        <v>49</v>
      </c>
      <c r="C254">
        <v>7</v>
      </c>
      <c r="D254" s="1">
        <v>14.490445859872612</v>
      </c>
      <c r="E254">
        <v>0.45370429400000001</v>
      </c>
      <c r="F254">
        <f t="shared" si="3"/>
        <v>38.394822550446193</v>
      </c>
    </row>
    <row r="255" spans="1:6" x14ac:dyDescent="0.3">
      <c r="A255" t="s">
        <v>156</v>
      </c>
      <c r="B255" t="s">
        <v>60</v>
      </c>
      <c r="C255">
        <v>6</v>
      </c>
      <c r="D255" s="1">
        <v>5.7324840764331206</v>
      </c>
      <c r="E255">
        <v>0.35368027699999999</v>
      </c>
      <c r="F255">
        <f t="shared" si="3"/>
        <v>4.2385774507242306</v>
      </c>
    </row>
    <row r="256" spans="1:6" x14ac:dyDescent="0.3">
      <c r="A256" t="s">
        <v>156</v>
      </c>
      <c r="B256" t="s">
        <v>18</v>
      </c>
      <c r="C256">
        <v>1.9</v>
      </c>
      <c r="D256" s="1">
        <v>4.1401273885350314</v>
      </c>
      <c r="E256">
        <v>0.44167784399999999</v>
      </c>
      <c r="F256">
        <f t="shared" si="3"/>
        <v>0.90805553264563243</v>
      </c>
    </row>
    <row r="257" spans="1:6" x14ac:dyDescent="0.3">
      <c r="A257" t="s">
        <v>156</v>
      </c>
      <c r="B257" t="s">
        <v>66</v>
      </c>
      <c r="C257">
        <v>5.3</v>
      </c>
      <c r="D257" s="1">
        <v>20.541401273885349</v>
      </c>
      <c r="E257">
        <v>0.65473331599999995</v>
      </c>
      <c r="F257">
        <f t="shared" si="3"/>
        <v>82.725823068169845</v>
      </c>
    </row>
    <row r="258" spans="1:6" x14ac:dyDescent="0.3">
      <c r="A258" t="s">
        <v>156</v>
      </c>
      <c r="B258" t="s">
        <v>66</v>
      </c>
      <c r="C258">
        <v>4.9000000000000004</v>
      </c>
      <c r="D258" s="1">
        <v>18.471337579617835</v>
      </c>
      <c r="E258">
        <v>0.65473331599999995</v>
      </c>
      <c r="F258">
        <f t="shared" si="3"/>
        <v>62.277346884676298</v>
      </c>
    </row>
    <row r="259" spans="1:6" x14ac:dyDescent="0.3">
      <c r="A259" t="s">
        <v>156</v>
      </c>
      <c r="B259" t="s">
        <v>66</v>
      </c>
      <c r="C259">
        <v>4.7</v>
      </c>
      <c r="D259" s="1">
        <v>15.127388535031846</v>
      </c>
      <c r="E259">
        <v>0.65473331599999995</v>
      </c>
      <c r="F259">
        <f t="shared" ref="F259:F294" si="4">0.0673*(E259*(D259^2)*C259)^0.976</f>
        <v>40.491206777713877</v>
      </c>
    </row>
    <row r="260" spans="1:6" x14ac:dyDescent="0.3">
      <c r="A260" t="s">
        <v>156</v>
      </c>
      <c r="B260" t="s">
        <v>66</v>
      </c>
      <c r="C260">
        <v>3.9</v>
      </c>
      <c r="D260" s="1">
        <v>8.2802547770700627</v>
      </c>
      <c r="E260">
        <v>0.65473331599999995</v>
      </c>
      <c r="F260">
        <f t="shared" si="4"/>
        <v>10.40864788017071</v>
      </c>
    </row>
    <row r="261" spans="1:6" x14ac:dyDescent="0.3">
      <c r="A261" t="s">
        <v>156</v>
      </c>
      <c r="B261" t="s">
        <v>151</v>
      </c>
      <c r="C261">
        <v>3.5</v>
      </c>
      <c r="D261" s="1">
        <v>8.7579617834394909</v>
      </c>
      <c r="E261">
        <v>0.252</v>
      </c>
      <c r="F261">
        <f t="shared" si="4"/>
        <v>4.1149366031202161</v>
      </c>
    </row>
    <row r="262" spans="1:6" x14ac:dyDescent="0.3">
      <c r="A262" t="s">
        <v>156</v>
      </c>
      <c r="B262" t="s">
        <v>122</v>
      </c>
      <c r="C262">
        <v>7</v>
      </c>
      <c r="D262" s="1">
        <v>14.64968152866242</v>
      </c>
      <c r="E262">
        <v>0.46124999999999999</v>
      </c>
      <c r="F262">
        <f t="shared" si="4"/>
        <v>39.859263682750623</v>
      </c>
    </row>
    <row r="263" spans="1:6" x14ac:dyDescent="0.3">
      <c r="A263" t="s">
        <v>156</v>
      </c>
      <c r="B263" t="s">
        <v>122</v>
      </c>
      <c r="C263">
        <v>5.7</v>
      </c>
      <c r="D263" s="1">
        <v>10.509554140127388</v>
      </c>
      <c r="E263">
        <v>0.46124999999999999</v>
      </c>
      <c r="F263">
        <f t="shared" si="4"/>
        <v>17.056242695772298</v>
      </c>
    </row>
    <row r="264" spans="1:6" x14ac:dyDescent="0.3">
      <c r="A264" t="s">
        <v>156</v>
      </c>
      <c r="B264" t="s">
        <v>73</v>
      </c>
      <c r="C264">
        <v>5</v>
      </c>
      <c r="D264" s="1">
        <v>11.464968152866241</v>
      </c>
      <c r="E264">
        <v>0.2424</v>
      </c>
      <c r="F264">
        <f t="shared" si="4"/>
        <v>9.4931300315869489</v>
      </c>
    </row>
    <row r="265" spans="1:6" x14ac:dyDescent="0.3">
      <c r="A265" t="s">
        <v>156</v>
      </c>
      <c r="B265" t="s">
        <v>22</v>
      </c>
      <c r="C265">
        <v>4</v>
      </c>
      <c r="D265" s="1">
        <v>16.560509554140125</v>
      </c>
      <c r="E265">
        <v>0.53366728900000004</v>
      </c>
      <c r="F265">
        <f t="shared" si="4"/>
        <v>33.81221011849032</v>
      </c>
    </row>
    <row r="266" spans="1:6" x14ac:dyDescent="0.3">
      <c r="A266" t="s">
        <v>156</v>
      </c>
      <c r="B266" t="s">
        <v>94</v>
      </c>
      <c r="C266">
        <v>6.5</v>
      </c>
      <c r="D266" s="1">
        <v>8.1210191082802545</v>
      </c>
      <c r="E266">
        <v>0.26200000000000001</v>
      </c>
      <c r="F266">
        <f t="shared" si="4"/>
        <v>6.7490138565764974</v>
      </c>
    </row>
    <row r="267" spans="1:6" x14ac:dyDescent="0.3">
      <c r="A267" t="s">
        <v>156</v>
      </c>
      <c r="B267" t="s">
        <v>94</v>
      </c>
      <c r="C267">
        <v>5</v>
      </c>
      <c r="D267" s="1">
        <v>9.872611464968152</v>
      </c>
      <c r="E267">
        <v>0.26200000000000001</v>
      </c>
      <c r="F267">
        <f t="shared" si="4"/>
        <v>7.6489743067432237</v>
      </c>
    </row>
    <row r="268" spans="1:6" x14ac:dyDescent="0.3">
      <c r="A268" t="s">
        <v>156</v>
      </c>
      <c r="B268" t="s">
        <v>94</v>
      </c>
      <c r="C268">
        <v>4.5</v>
      </c>
      <c r="D268" s="1">
        <v>12.101910828025478</v>
      </c>
      <c r="E268">
        <v>0.26200000000000001</v>
      </c>
      <c r="F268">
        <f t="shared" si="4"/>
        <v>10.269361582292355</v>
      </c>
    </row>
    <row r="269" spans="1:6" x14ac:dyDescent="0.3">
      <c r="A269" t="s">
        <v>158</v>
      </c>
      <c r="B269" t="s">
        <v>60</v>
      </c>
      <c r="C269">
        <v>8</v>
      </c>
      <c r="D269" s="1">
        <v>9.7133757961783438</v>
      </c>
      <c r="E269">
        <v>0.35368027699999999</v>
      </c>
      <c r="F269">
        <f t="shared" si="4"/>
        <v>15.711646046328777</v>
      </c>
    </row>
    <row r="270" spans="1:6" x14ac:dyDescent="0.3">
      <c r="A270" t="s">
        <v>158</v>
      </c>
      <c r="B270" t="s">
        <v>60</v>
      </c>
      <c r="C270">
        <v>7</v>
      </c>
      <c r="D270" s="1">
        <v>7.0063694267515917</v>
      </c>
      <c r="E270">
        <v>0.35368027699999999</v>
      </c>
      <c r="F270">
        <f t="shared" si="4"/>
        <v>7.2891574783420614</v>
      </c>
    </row>
    <row r="271" spans="1:6" x14ac:dyDescent="0.3">
      <c r="A271" t="s">
        <v>158</v>
      </c>
      <c r="B271" t="s">
        <v>60</v>
      </c>
      <c r="C271">
        <v>7</v>
      </c>
      <c r="D271" s="1">
        <v>10.031847133757962</v>
      </c>
      <c r="E271">
        <v>0.35368027699999999</v>
      </c>
      <c r="F271">
        <f t="shared" si="4"/>
        <v>14.688263706715077</v>
      </c>
    </row>
    <row r="272" spans="1:6" x14ac:dyDescent="0.3">
      <c r="A272" t="s">
        <v>158</v>
      </c>
      <c r="B272" t="s">
        <v>66</v>
      </c>
      <c r="C272">
        <v>6</v>
      </c>
      <c r="D272" s="1">
        <v>20.222929936305732</v>
      </c>
      <c r="E272">
        <v>0.65473331599999995</v>
      </c>
      <c r="F272">
        <f t="shared" si="4"/>
        <v>90.568508811228227</v>
      </c>
    </row>
    <row r="273" spans="1:6" x14ac:dyDescent="0.3">
      <c r="A273" t="s">
        <v>158</v>
      </c>
      <c r="B273" t="s">
        <v>66</v>
      </c>
      <c r="C273">
        <v>5</v>
      </c>
      <c r="D273" s="1">
        <v>16.401273885350317</v>
      </c>
      <c r="E273">
        <v>0.65473331599999995</v>
      </c>
      <c r="F273">
        <f t="shared" si="4"/>
        <v>50.365102301180499</v>
      </c>
    </row>
    <row r="274" spans="1:6" x14ac:dyDescent="0.3">
      <c r="A274" t="s">
        <v>158</v>
      </c>
      <c r="B274" t="s">
        <v>66</v>
      </c>
      <c r="C274">
        <v>4.5</v>
      </c>
      <c r="D274" s="1">
        <v>4.936305732484076</v>
      </c>
      <c r="E274">
        <v>0.65473331599999995</v>
      </c>
      <c r="F274">
        <f t="shared" si="4"/>
        <v>4.3606393888906236</v>
      </c>
    </row>
    <row r="275" spans="1:6" x14ac:dyDescent="0.3">
      <c r="A275" t="s">
        <v>158</v>
      </c>
      <c r="B275" t="s">
        <v>122</v>
      </c>
      <c r="C275">
        <v>6.5</v>
      </c>
      <c r="D275" s="1">
        <v>15.764331210191083</v>
      </c>
      <c r="E275">
        <v>0.46124999999999999</v>
      </c>
      <c r="F275">
        <f t="shared" si="4"/>
        <v>42.784167086828063</v>
      </c>
    </row>
    <row r="276" spans="1:6" x14ac:dyDescent="0.3">
      <c r="A276" t="s">
        <v>158</v>
      </c>
      <c r="B276" t="s">
        <v>122</v>
      </c>
      <c r="C276">
        <v>6.5</v>
      </c>
      <c r="D276" s="1">
        <v>7.9617834394904454</v>
      </c>
      <c r="E276">
        <v>0.46124999999999999</v>
      </c>
      <c r="F276">
        <f t="shared" si="4"/>
        <v>11.276975327671597</v>
      </c>
    </row>
    <row r="277" spans="1:6" x14ac:dyDescent="0.3">
      <c r="A277" t="s">
        <v>158</v>
      </c>
      <c r="B277" t="s">
        <v>122</v>
      </c>
      <c r="C277">
        <v>5.7</v>
      </c>
      <c r="D277" s="1">
        <v>9.3949044585987256</v>
      </c>
      <c r="E277">
        <v>0.46124999999999999</v>
      </c>
      <c r="F277">
        <f t="shared" si="4"/>
        <v>13.703664945099025</v>
      </c>
    </row>
    <row r="278" spans="1:6" x14ac:dyDescent="0.3">
      <c r="A278" t="s">
        <v>158</v>
      </c>
      <c r="B278" t="s">
        <v>122</v>
      </c>
      <c r="C278">
        <v>5.6</v>
      </c>
      <c r="D278" s="1">
        <v>9.5541401273885338</v>
      </c>
      <c r="E278">
        <v>0.46124999999999999</v>
      </c>
      <c r="F278">
        <f t="shared" si="4"/>
        <v>13.918181667011202</v>
      </c>
    </row>
    <row r="279" spans="1:6" x14ac:dyDescent="0.3">
      <c r="A279" t="s">
        <v>158</v>
      </c>
      <c r="B279" t="s">
        <v>122</v>
      </c>
      <c r="C279">
        <v>5.5</v>
      </c>
      <c r="D279" s="1">
        <v>9.5541401273885338</v>
      </c>
      <c r="E279">
        <v>0.46124999999999999</v>
      </c>
      <c r="F279">
        <f t="shared" si="4"/>
        <v>13.675555343798537</v>
      </c>
    </row>
    <row r="280" spans="1:6" x14ac:dyDescent="0.3">
      <c r="A280" t="s">
        <v>158</v>
      </c>
      <c r="B280" t="s">
        <v>122</v>
      </c>
      <c r="C280">
        <v>5.5</v>
      </c>
      <c r="D280" s="1">
        <v>7.3248407643312099</v>
      </c>
      <c r="E280">
        <v>0.46124999999999999</v>
      </c>
      <c r="F280">
        <f t="shared" si="4"/>
        <v>8.1413611063831599</v>
      </c>
    </row>
    <row r="281" spans="1:6" x14ac:dyDescent="0.3">
      <c r="A281" t="s">
        <v>158</v>
      </c>
      <c r="B281" t="s">
        <v>122</v>
      </c>
      <c r="C281">
        <v>4.5</v>
      </c>
      <c r="D281" s="1">
        <v>15.286624203821656</v>
      </c>
      <c r="E281">
        <v>0.46124999999999999</v>
      </c>
      <c r="F281">
        <f t="shared" si="4"/>
        <v>28.140292417306409</v>
      </c>
    </row>
    <row r="282" spans="1:6" x14ac:dyDescent="0.3">
      <c r="A282" t="s">
        <v>158</v>
      </c>
      <c r="B282" t="s">
        <v>122</v>
      </c>
      <c r="C282">
        <v>3</v>
      </c>
      <c r="D282" s="1">
        <v>12.101910828025478</v>
      </c>
      <c r="E282">
        <v>0.46124999999999999</v>
      </c>
      <c r="F282">
        <f t="shared" si="4"/>
        <v>12.006549686887441</v>
      </c>
    </row>
    <row r="283" spans="1:6" x14ac:dyDescent="0.3">
      <c r="A283" t="s">
        <v>158</v>
      </c>
      <c r="B283" t="s">
        <v>73</v>
      </c>
      <c r="C283">
        <v>6.5</v>
      </c>
      <c r="D283" s="1">
        <v>10.350318471337578</v>
      </c>
      <c r="E283">
        <v>0.2424</v>
      </c>
      <c r="F283">
        <f t="shared" si="4"/>
        <v>10.04412203309332</v>
      </c>
    </row>
    <row r="284" spans="1:6" x14ac:dyDescent="0.3">
      <c r="A284" t="s">
        <v>158</v>
      </c>
      <c r="B284" t="s">
        <v>22</v>
      </c>
      <c r="C284">
        <v>4</v>
      </c>
      <c r="D284" s="1">
        <v>13.694267515923567</v>
      </c>
      <c r="E284">
        <v>0.53366728900000004</v>
      </c>
      <c r="F284">
        <f t="shared" si="4"/>
        <v>23.332724741346571</v>
      </c>
    </row>
    <row r="285" spans="1:6" x14ac:dyDescent="0.3">
      <c r="A285" t="s">
        <v>158</v>
      </c>
      <c r="B285" t="s">
        <v>22</v>
      </c>
      <c r="C285">
        <v>3.8</v>
      </c>
      <c r="D285" s="1">
        <v>12.261146496815286</v>
      </c>
      <c r="E285">
        <v>0.53366728900000004</v>
      </c>
      <c r="F285">
        <f t="shared" si="4"/>
        <v>17.885974824626373</v>
      </c>
    </row>
    <row r="286" spans="1:6" x14ac:dyDescent="0.3">
      <c r="A286" t="s">
        <v>158</v>
      </c>
      <c r="B286" t="s">
        <v>22</v>
      </c>
      <c r="C286">
        <v>3</v>
      </c>
      <c r="D286" s="1">
        <v>14.331210191082802</v>
      </c>
      <c r="E286">
        <v>0.53366728900000004</v>
      </c>
      <c r="F286">
        <f t="shared" si="4"/>
        <v>19.255981158619718</v>
      </c>
    </row>
    <row r="287" spans="1:6" x14ac:dyDescent="0.3">
      <c r="A287" t="s">
        <v>158</v>
      </c>
      <c r="B287" t="s">
        <v>22</v>
      </c>
      <c r="C287">
        <v>2.1</v>
      </c>
      <c r="D287" s="1">
        <v>1.910828025477707</v>
      </c>
      <c r="E287">
        <v>0.53366728900000004</v>
      </c>
      <c r="F287">
        <f t="shared" si="4"/>
        <v>0.26623291863702664</v>
      </c>
    </row>
    <row r="288" spans="1:6" x14ac:dyDescent="0.3">
      <c r="A288" t="s">
        <v>159</v>
      </c>
      <c r="B288" t="s">
        <v>60</v>
      </c>
      <c r="C288">
        <v>7.5</v>
      </c>
      <c r="D288" s="1">
        <v>7.1656050955414008</v>
      </c>
      <c r="E288">
        <v>0.35368027699999999</v>
      </c>
      <c r="F288">
        <f t="shared" si="4"/>
        <v>8.1465296299440464</v>
      </c>
    </row>
    <row r="289" spans="1:6" x14ac:dyDescent="0.3">
      <c r="A289" t="s">
        <v>159</v>
      </c>
      <c r="B289" t="s">
        <v>85</v>
      </c>
      <c r="C289">
        <v>5.5</v>
      </c>
      <c r="D289" s="1">
        <v>8.598726114649681</v>
      </c>
      <c r="E289">
        <v>0.38825121200000001</v>
      </c>
      <c r="F289">
        <f t="shared" si="4"/>
        <v>9.4101935517653779</v>
      </c>
    </row>
    <row r="290" spans="1:6" x14ac:dyDescent="0.3">
      <c r="A290" t="s">
        <v>159</v>
      </c>
      <c r="B290" t="s">
        <v>122</v>
      </c>
      <c r="C290">
        <v>6</v>
      </c>
      <c r="D290" s="1">
        <v>7.3248407643312099</v>
      </c>
      <c r="E290">
        <v>0.46124999999999999</v>
      </c>
      <c r="F290">
        <f t="shared" si="4"/>
        <v>8.862957229995601</v>
      </c>
    </row>
    <row r="291" spans="1:6" x14ac:dyDescent="0.3">
      <c r="A291" t="s">
        <v>159</v>
      </c>
      <c r="B291" t="s">
        <v>122</v>
      </c>
      <c r="C291">
        <v>6</v>
      </c>
      <c r="D291" s="1">
        <v>22.165605095541398</v>
      </c>
      <c r="E291">
        <v>0.46124999999999999</v>
      </c>
      <c r="F291">
        <f t="shared" si="4"/>
        <v>76.958953478991177</v>
      </c>
    </row>
    <row r="292" spans="1:6" x14ac:dyDescent="0.3">
      <c r="A292" t="s">
        <v>159</v>
      </c>
      <c r="B292" t="s">
        <v>122</v>
      </c>
      <c r="C292">
        <v>6</v>
      </c>
      <c r="D292" s="1">
        <v>10.509554140127388</v>
      </c>
      <c r="E292">
        <v>0.46124999999999999</v>
      </c>
      <c r="F292">
        <f t="shared" si="4"/>
        <v>17.931851277271129</v>
      </c>
    </row>
    <row r="293" spans="1:6" x14ac:dyDescent="0.3">
      <c r="A293" t="s">
        <v>159</v>
      </c>
      <c r="B293" t="s">
        <v>122</v>
      </c>
      <c r="C293">
        <v>5.5</v>
      </c>
      <c r="D293" s="1">
        <v>24.363057324840764</v>
      </c>
      <c r="E293">
        <v>0.46124999999999999</v>
      </c>
      <c r="F293">
        <f t="shared" si="4"/>
        <v>85.018101677894947</v>
      </c>
    </row>
    <row r="294" spans="1:6" x14ac:dyDescent="0.3">
      <c r="A294" t="s">
        <v>159</v>
      </c>
      <c r="B294" t="s">
        <v>122</v>
      </c>
      <c r="C294">
        <v>4.5</v>
      </c>
      <c r="D294" s="1">
        <v>13.694267515923567</v>
      </c>
      <c r="E294">
        <v>0.46124999999999999</v>
      </c>
      <c r="F294">
        <f t="shared" si="4"/>
        <v>22.702628158464172</v>
      </c>
    </row>
  </sheetData>
  <autoFilter ref="A1:E294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4.4" x14ac:dyDescent="0.3"/>
  <cols>
    <col min="1" max="1" width="65.21875" customWidth="1"/>
  </cols>
  <sheetData>
    <row r="1" spans="1:4" ht="86.4" x14ac:dyDescent="0.3">
      <c r="A1" s="12" t="s">
        <v>182</v>
      </c>
    </row>
    <row r="9" spans="1:4" x14ac:dyDescent="0.3">
      <c r="D9" s="11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18"/>
  <sheetViews>
    <sheetView workbookViewId="0">
      <pane ySplit="1" topLeftCell="A338" activePane="bottomLeft" state="frozen"/>
      <selection pane="bottomLeft" activeCell="B364" sqref="B364"/>
    </sheetView>
  </sheetViews>
  <sheetFormatPr defaultRowHeight="14.4" x14ac:dyDescent="0.3"/>
  <cols>
    <col min="2" max="2" width="26.21875" bestFit="1" customWidth="1"/>
    <col min="3" max="3" width="14.77734375" hidden="1" customWidth="1"/>
    <col min="4" max="4" width="12.21875" hidden="1" customWidth="1"/>
    <col min="5" max="5" width="9" style="18" bestFit="1" customWidth="1"/>
    <col min="6" max="6" width="9.77734375" style="18" bestFit="1" customWidth="1"/>
    <col min="7" max="7" width="12.21875" customWidth="1"/>
    <col min="8" max="8" width="14.5546875" customWidth="1"/>
    <col min="9" max="9" width="19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194</v>
      </c>
      <c r="F1" t="s">
        <v>195</v>
      </c>
      <c r="G1" t="s">
        <v>196</v>
      </c>
      <c r="H1" s="7" t="s">
        <v>5</v>
      </c>
      <c r="I1" s="7" t="s">
        <v>6</v>
      </c>
      <c r="J1" t="s">
        <v>4</v>
      </c>
    </row>
    <row r="2" spans="1:10" x14ac:dyDescent="0.3">
      <c r="A2" t="s">
        <v>12</v>
      </c>
      <c r="B2" t="s">
        <v>13</v>
      </c>
      <c r="C2" s="4">
        <v>0.36</v>
      </c>
      <c r="D2" s="4">
        <v>0.35</v>
      </c>
      <c r="F2" s="4"/>
      <c r="G2" s="4"/>
      <c r="H2" s="2">
        <v>3.9808917197452227</v>
      </c>
      <c r="I2" s="2">
        <f>PI()*(H2/2)^2</f>
        <v>12.446596518200664</v>
      </c>
      <c r="J2">
        <v>4</v>
      </c>
    </row>
    <row r="3" spans="1:10" x14ac:dyDescent="0.3">
      <c r="A3" t="s">
        <v>12</v>
      </c>
      <c r="B3" t="s">
        <v>13</v>
      </c>
      <c r="C3" s="4">
        <v>0.36</v>
      </c>
      <c r="D3" s="4">
        <v>0.35</v>
      </c>
      <c r="F3" s="4"/>
      <c r="G3" s="4"/>
      <c r="H3" s="2">
        <v>3.6624203821656049</v>
      </c>
      <c r="I3" s="2">
        <f>PI()*(H3/2)^2</f>
        <v>10.534799293005044</v>
      </c>
      <c r="J3">
        <v>4</v>
      </c>
    </row>
    <row r="4" spans="1:10" x14ac:dyDescent="0.3">
      <c r="A4" t="s">
        <v>12</v>
      </c>
      <c r="B4" t="s">
        <v>13</v>
      </c>
      <c r="C4" s="4">
        <v>0.36</v>
      </c>
      <c r="D4" s="4">
        <v>0.35</v>
      </c>
      <c r="F4" s="4"/>
      <c r="G4" s="4"/>
      <c r="H4" s="2">
        <v>3.9808917197452227</v>
      </c>
      <c r="I4" s="2">
        <f t="shared" ref="I4:I67" si="0">PI()*(H4/2)^2</f>
        <v>12.446596518200664</v>
      </c>
      <c r="J4">
        <v>4</v>
      </c>
    </row>
    <row r="5" spans="1:10" x14ac:dyDescent="0.3">
      <c r="A5" t="s">
        <v>12</v>
      </c>
      <c r="B5" t="s">
        <v>13</v>
      </c>
      <c r="C5" s="4">
        <v>0.36</v>
      </c>
      <c r="D5" s="4">
        <v>0.35</v>
      </c>
      <c r="F5" s="4"/>
      <c r="G5" s="4"/>
      <c r="H5" s="2">
        <v>2.2292993630573248</v>
      </c>
      <c r="I5" s="2">
        <f t="shared" si="0"/>
        <v>3.9032526681077284</v>
      </c>
      <c r="J5">
        <v>2.5</v>
      </c>
    </row>
    <row r="6" spans="1:10" x14ac:dyDescent="0.3">
      <c r="A6" t="s">
        <v>12</v>
      </c>
      <c r="B6" t="s">
        <v>14</v>
      </c>
      <c r="C6" s="4">
        <v>0.766138345</v>
      </c>
      <c r="D6" s="4">
        <v>0.90500000000000003</v>
      </c>
      <c r="F6" s="4"/>
      <c r="G6" s="4"/>
      <c r="H6" s="2">
        <v>5.5732484076433115</v>
      </c>
      <c r="I6" s="2">
        <f t="shared" si="0"/>
        <v>24.395329175673304</v>
      </c>
      <c r="J6">
        <v>7</v>
      </c>
    </row>
    <row r="7" spans="1:10" x14ac:dyDescent="0.3">
      <c r="A7" t="s">
        <v>12</v>
      </c>
      <c r="B7" t="s">
        <v>14</v>
      </c>
      <c r="C7" s="4">
        <v>0.766138345</v>
      </c>
      <c r="D7" s="4">
        <v>0.90500000000000003</v>
      </c>
      <c r="F7" s="4"/>
      <c r="G7" s="4"/>
      <c r="H7" s="2">
        <v>11.942675159235668</v>
      </c>
      <c r="I7" s="2">
        <f t="shared" si="0"/>
        <v>112.01936866380598</v>
      </c>
      <c r="J7">
        <v>6</v>
      </c>
    </row>
    <row r="8" spans="1:10" x14ac:dyDescent="0.3">
      <c r="A8" t="s">
        <v>12</v>
      </c>
      <c r="B8" t="s">
        <v>15</v>
      </c>
      <c r="C8" s="4">
        <v>0.47982689899999997</v>
      </c>
      <c r="D8" s="4">
        <v>0.51</v>
      </c>
      <c r="F8" s="4"/>
      <c r="G8" s="4"/>
      <c r="H8" s="2">
        <v>1.910828025477707</v>
      </c>
      <c r="I8" s="2">
        <f t="shared" si="0"/>
        <v>2.8676958377934336</v>
      </c>
      <c r="J8">
        <v>4</v>
      </c>
    </row>
    <row r="9" spans="1:10" x14ac:dyDescent="0.3">
      <c r="A9" t="s">
        <v>12</v>
      </c>
      <c r="B9" t="s">
        <v>15</v>
      </c>
      <c r="C9" s="4">
        <v>0.47982689899999997</v>
      </c>
      <c r="D9" s="4">
        <v>0.51</v>
      </c>
      <c r="F9" s="4"/>
      <c r="G9" s="4"/>
      <c r="H9" s="2">
        <v>1.7515923566878979</v>
      </c>
      <c r="I9" s="2">
        <f t="shared" si="0"/>
        <v>2.4096610859236485</v>
      </c>
      <c r="J9">
        <v>3</v>
      </c>
    </row>
    <row r="10" spans="1:10" x14ac:dyDescent="0.3">
      <c r="A10" t="s">
        <v>12</v>
      </c>
      <c r="B10" t="s">
        <v>16</v>
      </c>
      <c r="C10" s="4">
        <v>0.89361000000000002</v>
      </c>
      <c r="D10" s="4">
        <v>0.61247410899999999</v>
      </c>
      <c r="F10" s="4"/>
      <c r="G10" s="4"/>
      <c r="H10" s="2">
        <v>4.4585987261146496</v>
      </c>
      <c r="I10" s="2">
        <f t="shared" si="0"/>
        <v>15.613010672430914</v>
      </c>
      <c r="J10">
        <v>4</v>
      </c>
    </row>
    <row r="11" spans="1:10" x14ac:dyDescent="0.3">
      <c r="A11" t="s">
        <v>12</v>
      </c>
      <c r="B11" t="s">
        <v>17</v>
      </c>
      <c r="C11" s="4">
        <v>0.708787469</v>
      </c>
      <c r="D11" s="4">
        <v>0.80167708299999996</v>
      </c>
      <c r="F11" s="4"/>
      <c r="G11" s="4"/>
      <c r="H11" s="2">
        <v>9.3949044585987256</v>
      </c>
      <c r="I11" s="2">
        <f t="shared" si="0"/>
        <v>69.322563967770421</v>
      </c>
      <c r="J11">
        <v>9</v>
      </c>
    </row>
    <row r="12" spans="1:10" x14ac:dyDescent="0.3">
      <c r="A12" t="s">
        <v>12</v>
      </c>
      <c r="B12" t="s">
        <v>17</v>
      </c>
      <c r="C12" s="4">
        <v>0.708787469</v>
      </c>
      <c r="D12" s="4">
        <v>0.80167708299999996</v>
      </c>
      <c r="F12" s="4"/>
      <c r="G12" s="4"/>
      <c r="H12" s="2">
        <v>12.898089171974522</v>
      </c>
      <c r="I12" s="2">
        <f t="shared" si="0"/>
        <v>130.65939160946331</v>
      </c>
      <c r="J12">
        <v>9</v>
      </c>
    </row>
    <row r="13" spans="1:10" x14ac:dyDescent="0.3">
      <c r="A13" t="s">
        <v>12</v>
      </c>
      <c r="B13" t="s">
        <v>17</v>
      </c>
      <c r="C13" s="4">
        <v>0.708787469</v>
      </c>
      <c r="D13" s="4">
        <v>0.80167708299999996</v>
      </c>
      <c r="F13" s="4"/>
      <c r="G13" s="4"/>
      <c r="H13" s="2">
        <v>4.2993630573248405</v>
      </c>
      <c r="I13" s="2">
        <f t="shared" si="0"/>
        <v>14.517710178829255</v>
      </c>
      <c r="J13">
        <v>8</v>
      </c>
    </row>
    <row r="14" spans="1:10" x14ac:dyDescent="0.3">
      <c r="A14" t="s">
        <v>12</v>
      </c>
      <c r="B14" t="s">
        <v>17</v>
      </c>
      <c r="C14" s="4">
        <v>0.708787469</v>
      </c>
      <c r="D14" s="4">
        <v>0.80167708299999996</v>
      </c>
      <c r="F14" s="4"/>
      <c r="G14" s="4"/>
      <c r="H14" s="2">
        <v>4.7770700636942669</v>
      </c>
      <c r="I14" s="2">
        <f t="shared" si="0"/>
        <v>17.923098986208956</v>
      </c>
      <c r="J14">
        <v>7</v>
      </c>
    </row>
    <row r="15" spans="1:10" x14ac:dyDescent="0.3">
      <c r="A15" t="s">
        <v>12</v>
      </c>
      <c r="B15" t="s">
        <v>18</v>
      </c>
      <c r="C15" s="4">
        <v>0.45255480399999998</v>
      </c>
      <c r="D15" s="4">
        <v>0.57808694400000005</v>
      </c>
      <c r="F15" s="4"/>
      <c r="G15" s="4"/>
      <c r="H15" s="2">
        <v>23.544585987261144</v>
      </c>
      <c r="I15" s="2">
        <f t="shared" si="0"/>
        <v>435.38353140519177</v>
      </c>
      <c r="J15">
        <v>9</v>
      </c>
    </row>
    <row r="16" spans="1:10" x14ac:dyDescent="0.3">
      <c r="A16" t="s">
        <v>12</v>
      </c>
      <c r="B16" t="s">
        <v>18</v>
      </c>
      <c r="C16" s="4">
        <v>0.45255480399999998</v>
      </c>
      <c r="D16" s="4">
        <v>0.57808694400000005</v>
      </c>
      <c r="F16" s="4"/>
      <c r="G16" s="4"/>
      <c r="H16" s="2">
        <v>47.611464968152866</v>
      </c>
      <c r="I16" s="2">
        <f t="shared" si="0"/>
        <v>1780.3810805178525</v>
      </c>
      <c r="J16">
        <v>9</v>
      </c>
    </row>
    <row r="17" spans="1:10" x14ac:dyDescent="0.3">
      <c r="A17" t="s">
        <v>12</v>
      </c>
      <c r="B17" t="s">
        <v>18</v>
      </c>
      <c r="C17" s="4">
        <v>0.45255480399999998</v>
      </c>
      <c r="D17" s="4">
        <v>0.57808694400000005</v>
      </c>
      <c r="F17" s="4"/>
      <c r="G17" s="4"/>
      <c r="H17" s="2">
        <v>13.535031847133757</v>
      </c>
      <c r="I17" s="2">
        <f t="shared" si="0"/>
        <v>143.88265575039969</v>
      </c>
      <c r="J17">
        <v>8</v>
      </c>
    </row>
    <row r="18" spans="1:10" x14ac:dyDescent="0.3">
      <c r="A18" t="s">
        <v>12</v>
      </c>
      <c r="B18" t="s">
        <v>18</v>
      </c>
      <c r="C18" s="4">
        <v>0.45255480399999998</v>
      </c>
      <c r="D18" s="4">
        <v>0.57808694400000005</v>
      </c>
      <c r="F18" s="4"/>
      <c r="G18" s="4"/>
      <c r="H18" s="2">
        <v>49.044585987261144</v>
      </c>
      <c r="I18" s="2">
        <f t="shared" si="0"/>
        <v>1889.1742913641408</v>
      </c>
      <c r="J18">
        <v>8</v>
      </c>
    </row>
    <row r="19" spans="1:10" x14ac:dyDescent="0.3">
      <c r="A19" t="s">
        <v>12</v>
      </c>
      <c r="B19" t="s">
        <v>19</v>
      </c>
      <c r="C19" s="4">
        <v>0.374</v>
      </c>
      <c r="D19" s="4">
        <v>0.47945833300000001</v>
      </c>
      <c r="F19" s="4"/>
      <c r="G19" s="4"/>
      <c r="H19" s="2">
        <v>4.936305732484076</v>
      </c>
      <c r="I19" s="2">
        <f t="shared" si="0"/>
        <v>19.137886806385342</v>
      </c>
      <c r="J19">
        <v>6</v>
      </c>
    </row>
    <row r="20" spans="1:10" x14ac:dyDescent="0.3">
      <c r="A20" t="s">
        <v>12</v>
      </c>
      <c r="B20" t="s">
        <v>19</v>
      </c>
      <c r="C20" s="4">
        <v>0.374</v>
      </c>
      <c r="D20" s="4">
        <v>0.47945833300000001</v>
      </c>
      <c r="F20" s="4"/>
      <c r="G20" s="4"/>
      <c r="H20" s="2">
        <v>3.6624203821656049</v>
      </c>
      <c r="I20" s="2">
        <f t="shared" si="0"/>
        <v>10.534799293005044</v>
      </c>
      <c r="J20">
        <v>5</v>
      </c>
    </row>
    <row r="21" spans="1:10" x14ac:dyDescent="0.3">
      <c r="A21" t="s">
        <v>12</v>
      </c>
      <c r="B21" t="s">
        <v>20</v>
      </c>
      <c r="C21" s="4">
        <v>0.74387999999999999</v>
      </c>
      <c r="D21" s="4">
        <v>0.59130000000000005</v>
      </c>
      <c r="F21" s="4"/>
      <c r="G21" s="4"/>
      <c r="H21" s="2">
        <v>3.8216560509554141</v>
      </c>
      <c r="I21" s="2">
        <f t="shared" si="0"/>
        <v>11.470783351173734</v>
      </c>
      <c r="J21">
        <v>6</v>
      </c>
    </row>
    <row r="22" spans="1:10" x14ac:dyDescent="0.3">
      <c r="A22" t="s">
        <v>12</v>
      </c>
      <c r="B22" t="s">
        <v>20</v>
      </c>
      <c r="C22" s="4">
        <v>0.74387999999999999</v>
      </c>
      <c r="D22" s="4">
        <v>0.59130000000000005</v>
      </c>
      <c r="F22" s="4"/>
      <c r="G22" s="4"/>
      <c r="H22" s="2">
        <v>18.312101910828027</v>
      </c>
      <c r="I22" s="2">
        <f t="shared" si="0"/>
        <v>263.3699823251261</v>
      </c>
      <c r="J22">
        <v>10.1</v>
      </c>
    </row>
    <row r="23" spans="1:10" x14ac:dyDescent="0.3">
      <c r="A23" t="s">
        <v>12</v>
      </c>
      <c r="B23" t="s">
        <v>21</v>
      </c>
      <c r="C23" s="4">
        <v>0.66608171000000005</v>
      </c>
      <c r="D23" s="4">
        <v>0.68661666700000001</v>
      </c>
      <c r="F23" s="4"/>
      <c r="G23" s="4"/>
      <c r="H23" s="2">
        <v>2.7070063694267517</v>
      </c>
      <c r="I23" s="2">
        <f t="shared" si="0"/>
        <v>5.7553062300159885</v>
      </c>
      <c r="J23">
        <v>5</v>
      </c>
    </row>
    <row r="24" spans="1:10" x14ac:dyDescent="0.3">
      <c r="A24" t="s">
        <v>12</v>
      </c>
      <c r="B24" t="s">
        <v>21</v>
      </c>
      <c r="C24" s="4">
        <v>0.66608171000000005</v>
      </c>
      <c r="D24" s="4">
        <v>0.68661666700000001</v>
      </c>
      <c r="F24" s="4"/>
      <c r="G24" s="4"/>
      <c r="H24" s="2">
        <v>3.5031847133757958</v>
      </c>
      <c r="I24" s="2">
        <f t="shared" si="0"/>
        <v>9.6386443436945939</v>
      </c>
      <c r="J24">
        <v>5</v>
      </c>
    </row>
    <row r="25" spans="1:10" x14ac:dyDescent="0.3">
      <c r="A25" t="s">
        <v>12</v>
      </c>
      <c r="B25" t="s">
        <v>21</v>
      </c>
      <c r="C25" s="4">
        <v>0.66608171000000005</v>
      </c>
      <c r="D25" s="4">
        <v>0.68661666700000001</v>
      </c>
      <c r="F25" s="4"/>
      <c r="G25" s="4"/>
      <c r="H25" s="2">
        <v>6.2101910828025479</v>
      </c>
      <c r="I25" s="2">
        <f t="shared" si="0"/>
        <v>30.290037286693146</v>
      </c>
      <c r="J25">
        <v>5</v>
      </c>
    </row>
    <row r="26" spans="1:10" x14ac:dyDescent="0.3">
      <c r="A26" t="s">
        <v>12</v>
      </c>
      <c r="B26" t="s">
        <v>21</v>
      </c>
      <c r="C26" s="4">
        <v>0.66608171000000005</v>
      </c>
      <c r="D26" s="4">
        <v>0.68661666700000001</v>
      </c>
      <c r="F26" s="4"/>
      <c r="G26" s="4"/>
      <c r="H26" s="2">
        <v>3.3439490445859872</v>
      </c>
      <c r="I26" s="2">
        <f t="shared" si="0"/>
        <v>8.7823185032423901</v>
      </c>
      <c r="J26">
        <v>4</v>
      </c>
    </row>
    <row r="27" spans="1:10" x14ac:dyDescent="0.3">
      <c r="A27" t="s">
        <v>12</v>
      </c>
      <c r="B27" t="s">
        <v>22</v>
      </c>
      <c r="C27" s="4">
        <v>0.43836446099999998</v>
      </c>
      <c r="D27" s="4">
        <v>0.58666666700000003</v>
      </c>
      <c r="F27" s="4"/>
      <c r="G27" s="4"/>
      <c r="H27" s="2">
        <v>19.936305732484072</v>
      </c>
      <c r="I27" s="2">
        <f t="shared" si="0"/>
        <v>312.16143725864976</v>
      </c>
      <c r="J27">
        <v>7</v>
      </c>
    </row>
    <row r="28" spans="1:10" x14ac:dyDescent="0.3">
      <c r="A28" t="s">
        <v>12</v>
      </c>
      <c r="B28" t="s">
        <v>22</v>
      </c>
      <c r="C28" s="4">
        <v>0.43836446099999998</v>
      </c>
      <c r="D28" s="4">
        <v>0.58666666700000003</v>
      </c>
      <c r="F28" s="4"/>
      <c r="G28" s="4"/>
      <c r="H28" s="2">
        <v>6.5286624203821653</v>
      </c>
      <c r="I28" s="2">
        <f t="shared" si="0"/>
        <v>33.476365995352509</v>
      </c>
      <c r="J28">
        <v>7</v>
      </c>
    </row>
    <row r="29" spans="1:10" x14ac:dyDescent="0.3">
      <c r="A29" t="s">
        <v>12</v>
      </c>
      <c r="B29" t="s">
        <v>22</v>
      </c>
      <c r="C29" s="4">
        <v>0.43836446099999998</v>
      </c>
      <c r="D29" s="4">
        <v>0.58666666700000003</v>
      </c>
      <c r="F29" s="4"/>
      <c r="G29" s="4"/>
      <c r="H29" s="2">
        <v>10.764331210191081</v>
      </c>
      <c r="I29" s="2">
        <f t="shared" si="0"/>
        <v>91.004734248020256</v>
      </c>
      <c r="J29">
        <v>4</v>
      </c>
    </row>
    <row r="30" spans="1:10" x14ac:dyDescent="0.3">
      <c r="A30" t="s">
        <v>12</v>
      </c>
      <c r="B30" t="s">
        <v>23</v>
      </c>
      <c r="C30" s="4">
        <v>0.76500000000000001</v>
      </c>
      <c r="D30" s="4">
        <v>0.61247410899999999</v>
      </c>
      <c r="F30" s="4"/>
      <c r="G30" s="4"/>
      <c r="H30" s="2">
        <v>21.815286624203821</v>
      </c>
      <c r="I30" s="2">
        <f t="shared" si="0"/>
        <v>373.77627208017333</v>
      </c>
      <c r="J30">
        <v>10</v>
      </c>
    </row>
    <row r="31" spans="1:10" x14ac:dyDescent="0.3">
      <c r="A31" t="s">
        <v>12</v>
      </c>
      <c r="B31" t="s">
        <v>23</v>
      </c>
      <c r="C31" s="4">
        <v>0.76500000000000001</v>
      </c>
      <c r="D31" s="4">
        <v>0.61247410899999999</v>
      </c>
      <c r="F31" s="4"/>
      <c r="G31" s="4"/>
      <c r="H31" s="2">
        <v>21.592356687898086</v>
      </c>
      <c r="I31" s="2">
        <f t="shared" si="0"/>
        <v>366.17608152784345</v>
      </c>
      <c r="J31">
        <v>10</v>
      </c>
    </row>
    <row r="32" spans="1:10" x14ac:dyDescent="0.3">
      <c r="A32" t="s">
        <v>12</v>
      </c>
      <c r="B32" t="s">
        <v>23</v>
      </c>
      <c r="C32" s="4">
        <v>0.76500000000000001</v>
      </c>
      <c r="D32" s="4">
        <v>0.61247410899999999</v>
      </c>
      <c r="F32" s="4"/>
      <c r="G32" s="4"/>
      <c r="H32" s="2">
        <v>27.133757961783438</v>
      </c>
      <c r="I32" s="2">
        <f t="shared" si="0"/>
        <v>578.24218873266784</v>
      </c>
      <c r="J32">
        <v>10</v>
      </c>
    </row>
    <row r="33" spans="1:10" x14ac:dyDescent="0.3">
      <c r="A33" t="s">
        <v>12</v>
      </c>
      <c r="B33" t="s">
        <v>24</v>
      </c>
      <c r="C33" s="4">
        <v>0.41240947999999999</v>
      </c>
      <c r="D33" s="4">
        <v>0.52705000000000002</v>
      </c>
      <c r="F33" s="4"/>
      <c r="G33" s="4"/>
      <c r="H33" s="2">
        <v>6.2101910828025479</v>
      </c>
      <c r="I33" s="2">
        <f t="shared" si="0"/>
        <v>30.290037286693146</v>
      </c>
      <c r="J33">
        <v>9</v>
      </c>
    </row>
    <row r="34" spans="1:10" x14ac:dyDescent="0.3">
      <c r="A34" t="s">
        <v>12</v>
      </c>
      <c r="B34" t="s">
        <v>24</v>
      </c>
      <c r="C34" s="4">
        <v>0.41240947999999999</v>
      </c>
      <c r="D34" s="4">
        <v>0.52705000000000002</v>
      </c>
      <c r="F34" s="4"/>
      <c r="G34" s="4"/>
      <c r="H34" s="2">
        <v>7.484076433121019</v>
      </c>
      <c r="I34" s="2">
        <f t="shared" si="0"/>
        <v>43.991250733928432</v>
      </c>
      <c r="J34">
        <v>8.5</v>
      </c>
    </row>
    <row r="35" spans="1:10" x14ac:dyDescent="0.3">
      <c r="A35" t="s">
        <v>12</v>
      </c>
      <c r="B35" t="s">
        <v>24</v>
      </c>
      <c r="C35" s="4">
        <v>0.41240947999999999</v>
      </c>
      <c r="D35" s="4">
        <v>0.52705000000000002</v>
      </c>
      <c r="F35" s="4"/>
      <c r="G35" s="4"/>
      <c r="H35" s="2">
        <v>5.5732484076433115</v>
      </c>
      <c r="I35" s="2">
        <f t="shared" si="0"/>
        <v>24.395329175673304</v>
      </c>
      <c r="J35">
        <v>8.5</v>
      </c>
    </row>
    <row r="36" spans="1:10" x14ac:dyDescent="0.3">
      <c r="A36" t="s">
        <v>12</v>
      </c>
      <c r="B36" t="s">
        <v>24</v>
      </c>
      <c r="C36" s="4">
        <v>0.41240947999999999</v>
      </c>
      <c r="D36" s="4">
        <v>0.52705000000000002</v>
      </c>
      <c r="F36" s="4"/>
      <c r="G36" s="4"/>
      <c r="H36" s="2">
        <v>5.8917197452229297</v>
      </c>
      <c r="I36" s="2">
        <f t="shared" si="0"/>
        <v>27.263025013466741</v>
      </c>
      <c r="J36">
        <v>4</v>
      </c>
    </row>
    <row r="37" spans="1:10" x14ac:dyDescent="0.3">
      <c r="A37" t="s">
        <v>12</v>
      </c>
      <c r="B37" t="s">
        <v>24</v>
      </c>
      <c r="C37" s="4">
        <v>0.41240947999999999</v>
      </c>
      <c r="D37" s="4">
        <v>0.52705000000000002</v>
      </c>
      <c r="F37" s="4"/>
      <c r="G37" s="4"/>
      <c r="H37" s="2">
        <v>2.0700636942675157</v>
      </c>
      <c r="I37" s="2">
        <f t="shared" si="0"/>
        <v>3.3655596985214595</v>
      </c>
      <c r="J37">
        <v>2.7</v>
      </c>
    </row>
    <row r="38" spans="1:10" x14ac:dyDescent="0.3">
      <c r="A38" t="s">
        <v>25</v>
      </c>
      <c r="B38" t="s">
        <v>26</v>
      </c>
      <c r="C38" s="4">
        <v>0.80908761900000004</v>
      </c>
      <c r="D38" s="4">
        <v>0.87473809499999999</v>
      </c>
      <c r="F38" s="4"/>
      <c r="G38" s="4"/>
      <c r="H38" s="2">
        <v>5.8917197452229297</v>
      </c>
      <c r="I38" s="2">
        <f t="shared" si="0"/>
        <v>27.263025013466741</v>
      </c>
      <c r="J38">
        <v>7</v>
      </c>
    </row>
    <row r="39" spans="1:10" x14ac:dyDescent="0.3">
      <c r="A39" t="s">
        <v>25</v>
      </c>
      <c r="B39" t="s">
        <v>13</v>
      </c>
      <c r="C39" s="4">
        <v>0.36</v>
      </c>
      <c r="D39" s="4">
        <v>0.35</v>
      </c>
      <c r="F39" s="4"/>
      <c r="G39" s="4"/>
      <c r="H39" s="2">
        <v>5.5095541401273884</v>
      </c>
      <c r="I39" s="2">
        <f t="shared" si="0"/>
        <v>23.840907980366573</v>
      </c>
      <c r="J39">
        <v>5</v>
      </c>
    </row>
    <row r="40" spans="1:10" x14ac:dyDescent="0.3">
      <c r="A40" t="s">
        <v>25</v>
      </c>
      <c r="B40" t="s">
        <v>13</v>
      </c>
      <c r="C40" s="4">
        <v>0.36</v>
      </c>
      <c r="D40" s="4">
        <v>0.35</v>
      </c>
      <c r="F40" s="4"/>
      <c r="G40" s="4"/>
      <c r="H40" s="2">
        <v>4.4585987261146496</v>
      </c>
      <c r="I40" s="2">
        <f t="shared" si="0"/>
        <v>15.613010672430914</v>
      </c>
      <c r="J40">
        <v>2.2999999999999998</v>
      </c>
    </row>
    <row r="41" spans="1:10" x14ac:dyDescent="0.3">
      <c r="A41" t="s">
        <v>25</v>
      </c>
      <c r="B41" t="s">
        <v>14</v>
      </c>
      <c r="C41" s="4">
        <v>0.766138345</v>
      </c>
      <c r="D41" s="4">
        <v>0.90500000000000003</v>
      </c>
      <c r="F41" s="4"/>
      <c r="G41" s="4"/>
      <c r="H41" s="2">
        <v>9.0764331210191074</v>
      </c>
      <c r="I41" s="2">
        <f t="shared" si="0"/>
        <v>64.702387340214344</v>
      </c>
      <c r="J41">
        <v>7</v>
      </c>
    </row>
    <row r="42" spans="1:10" x14ac:dyDescent="0.3">
      <c r="A42" t="s">
        <v>25</v>
      </c>
      <c r="B42" t="s">
        <v>14</v>
      </c>
      <c r="C42" s="4">
        <v>0.766138345</v>
      </c>
      <c r="D42" s="4">
        <v>0.90500000000000003</v>
      </c>
      <c r="F42" s="4"/>
      <c r="G42" s="4"/>
      <c r="H42" s="2">
        <v>8.7579617834394909</v>
      </c>
      <c r="I42" s="2">
        <f t="shared" si="0"/>
        <v>60.241527148091237</v>
      </c>
      <c r="J42">
        <v>5.5</v>
      </c>
    </row>
    <row r="43" spans="1:10" x14ac:dyDescent="0.3">
      <c r="A43" t="s">
        <v>25</v>
      </c>
      <c r="B43" t="s">
        <v>14</v>
      </c>
      <c r="C43" s="4">
        <v>0.766138345</v>
      </c>
      <c r="D43" s="4">
        <v>0.90500000000000003</v>
      </c>
      <c r="F43" s="4"/>
      <c r="G43" s="4"/>
      <c r="H43" s="2">
        <v>4.936305732484076</v>
      </c>
      <c r="I43" s="2">
        <f t="shared" si="0"/>
        <v>19.137886806385342</v>
      </c>
      <c r="J43">
        <v>5</v>
      </c>
    </row>
    <row r="44" spans="1:10" x14ac:dyDescent="0.3">
      <c r="A44" t="s">
        <v>25</v>
      </c>
      <c r="B44" t="s">
        <v>18</v>
      </c>
      <c r="C44" s="4">
        <v>0.45255480399999998</v>
      </c>
      <c r="D44" s="4">
        <v>0.57808694400000005</v>
      </c>
      <c r="F44" s="4"/>
      <c r="G44" s="4"/>
      <c r="H44" s="2">
        <v>44.904458598726116</v>
      </c>
      <c r="I44" s="2">
        <f t="shared" si="0"/>
        <v>1583.6850264214238</v>
      </c>
      <c r="J44">
        <v>9</v>
      </c>
    </row>
    <row r="45" spans="1:10" x14ac:dyDescent="0.3">
      <c r="A45" t="s">
        <v>25</v>
      </c>
      <c r="B45" t="s">
        <v>18</v>
      </c>
      <c r="C45" s="4">
        <v>0.45255480399999998</v>
      </c>
      <c r="D45" s="4">
        <v>0.57808694400000005</v>
      </c>
      <c r="F45" s="4"/>
      <c r="G45" s="4"/>
      <c r="H45" s="2">
        <v>26.273885350318469</v>
      </c>
      <c r="I45" s="2">
        <f t="shared" si="0"/>
        <v>542.173744332821</v>
      </c>
      <c r="J45">
        <v>8</v>
      </c>
    </row>
    <row r="46" spans="1:10" x14ac:dyDescent="0.3">
      <c r="A46" t="s">
        <v>25</v>
      </c>
      <c r="B46" t="s">
        <v>18</v>
      </c>
      <c r="C46" s="4">
        <v>0.45255480399999998</v>
      </c>
      <c r="D46" s="4">
        <v>0.57808694400000005</v>
      </c>
      <c r="F46" s="4"/>
      <c r="G46" s="4"/>
      <c r="H46" s="2">
        <v>47.133757961783438</v>
      </c>
      <c r="I46" s="2">
        <f t="shared" si="0"/>
        <v>1744.8336008618714</v>
      </c>
      <c r="J46">
        <v>7</v>
      </c>
    </row>
    <row r="47" spans="1:10" x14ac:dyDescent="0.3">
      <c r="A47" t="s">
        <v>25</v>
      </c>
      <c r="B47" t="s">
        <v>20</v>
      </c>
      <c r="C47" s="4">
        <v>0.74387999999999999</v>
      </c>
      <c r="D47" s="4">
        <v>0.59130000000000005</v>
      </c>
      <c r="F47" s="4"/>
      <c r="G47" s="4"/>
      <c r="H47" s="2">
        <v>6.3694267515923562</v>
      </c>
      <c r="I47" s="2">
        <f t="shared" si="0"/>
        <v>31.863287086593701</v>
      </c>
      <c r="J47">
        <v>7</v>
      </c>
    </row>
    <row r="48" spans="1:10" x14ac:dyDescent="0.3">
      <c r="A48" t="s">
        <v>25</v>
      </c>
      <c r="B48" t="s">
        <v>20</v>
      </c>
      <c r="C48" s="4">
        <v>0.74387999999999999</v>
      </c>
      <c r="D48" s="4">
        <v>0.59130000000000005</v>
      </c>
      <c r="F48" s="4"/>
      <c r="G48" s="4"/>
      <c r="H48" s="2">
        <v>3.8216560509554141</v>
      </c>
      <c r="I48" s="2">
        <f t="shared" si="0"/>
        <v>11.470783351173734</v>
      </c>
      <c r="J48">
        <v>6</v>
      </c>
    </row>
    <row r="49" spans="1:10" x14ac:dyDescent="0.3">
      <c r="A49" t="s">
        <v>25</v>
      </c>
      <c r="B49" t="s">
        <v>20</v>
      </c>
      <c r="C49" s="4">
        <v>0.74387999999999999</v>
      </c>
      <c r="D49" s="4">
        <v>0.59130000000000005</v>
      </c>
      <c r="F49" s="4"/>
      <c r="G49" s="4"/>
      <c r="H49" s="2">
        <v>5.0955414012738851</v>
      </c>
      <c r="I49" s="2">
        <f t="shared" si="0"/>
        <v>20.392503735419968</v>
      </c>
      <c r="J49">
        <v>5</v>
      </c>
    </row>
    <row r="50" spans="1:10" x14ac:dyDescent="0.3">
      <c r="A50" t="s">
        <v>25</v>
      </c>
      <c r="B50" t="s">
        <v>20</v>
      </c>
      <c r="C50" s="4">
        <v>0.74387999999999999</v>
      </c>
      <c r="D50" s="4">
        <v>0.59130000000000005</v>
      </c>
      <c r="F50" s="4"/>
      <c r="G50" s="4"/>
      <c r="H50" s="2">
        <v>3.3757961783439487</v>
      </c>
      <c r="I50" s="2">
        <f t="shared" si="0"/>
        <v>8.9503973426241696</v>
      </c>
      <c r="J50">
        <v>5</v>
      </c>
    </row>
    <row r="51" spans="1:10" x14ac:dyDescent="0.3">
      <c r="A51" t="s">
        <v>25</v>
      </c>
      <c r="B51" t="s">
        <v>27</v>
      </c>
      <c r="C51" s="4">
        <v>0.50857142899999996</v>
      </c>
      <c r="D51" s="4">
        <v>0.49666666700000001</v>
      </c>
      <c r="F51" s="4"/>
      <c r="G51" s="4"/>
      <c r="H51" s="2">
        <v>6.5286624203821653</v>
      </c>
      <c r="I51" s="2">
        <f t="shared" si="0"/>
        <v>33.476365995352509</v>
      </c>
      <c r="J51">
        <v>10</v>
      </c>
    </row>
    <row r="52" spans="1:10" x14ac:dyDescent="0.3">
      <c r="A52" t="s">
        <v>25</v>
      </c>
      <c r="B52" t="s">
        <v>27</v>
      </c>
      <c r="C52" s="4">
        <v>0.50857142899999996</v>
      </c>
      <c r="D52" s="4">
        <v>0.49666666700000001</v>
      </c>
      <c r="F52" s="4"/>
      <c r="G52" s="4"/>
      <c r="H52" s="2">
        <v>8.9171974522292992</v>
      </c>
      <c r="I52" s="2">
        <f t="shared" si="0"/>
        <v>62.452042689723655</v>
      </c>
      <c r="J52">
        <v>9</v>
      </c>
    </row>
    <row r="53" spans="1:10" x14ac:dyDescent="0.3">
      <c r="A53" t="s">
        <v>25</v>
      </c>
      <c r="B53" t="s">
        <v>27</v>
      </c>
      <c r="C53" s="4">
        <v>0.50857142899999996</v>
      </c>
      <c r="D53" s="4">
        <v>0.49666666700000001</v>
      </c>
      <c r="F53" s="4"/>
      <c r="G53" s="4"/>
      <c r="H53" s="2">
        <v>7.1656050955414008</v>
      </c>
      <c r="I53" s="2">
        <f t="shared" si="0"/>
        <v>40.326972718970154</v>
      </c>
      <c r="J53">
        <v>9</v>
      </c>
    </row>
    <row r="54" spans="1:10" x14ac:dyDescent="0.3">
      <c r="A54" t="s">
        <v>25</v>
      </c>
      <c r="B54" t="s">
        <v>28</v>
      </c>
      <c r="C54" s="4">
        <v>0.48464433800000001</v>
      </c>
      <c r="D54" s="4">
        <v>0.62688577999999995</v>
      </c>
      <c r="F54" s="4"/>
      <c r="G54" s="4"/>
      <c r="H54" s="2">
        <v>2.5477707006369426</v>
      </c>
      <c r="I54" s="2">
        <f t="shared" si="0"/>
        <v>5.098125933854992</v>
      </c>
      <c r="J54">
        <v>5</v>
      </c>
    </row>
    <row r="55" spans="1:10" x14ac:dyDescent="0.3">
      <c r="A55" t="s">
        <v>25</v>
      </c>
      <c r="B55" t="s">
        <v>21</v>
      </c>
      <c r="C55" s="4">
        <v>0.66608171000000005</v>
      </c>
      <c r="D55" s="4">
        <v>0.68661666700000001</v>
      </c>
      <c r="F55" s="4"/>
      <c r="G55" s="4"/>
      <c r="H55" s="2">
        <v>4.2993630573248405</v>
      </c>
      <c r="I55" s="2">
        <f t="shared" si="0"/>
        <v>14.517710178829255</v>
      </c>
      <c r="J55">
        <v>5</v>
      </c>
    </row>
    <row r="56" spans="1:10" x14ac:dyDescent="0.3">
      <c r="A56" t="s">
        <v>25</v>
      </c>
      <c r="B56" t="s">
        <v>21</v>
      </c>
      <c r="C56" s="4">
        <v>0.66608171000000005</v>
      </c>
      <c r="D56" s="4">
        <v>0.68661666700000001</v>
      </c>
      <c r="F56" s="4"/>
      <c r="G56" s="4"/>
      <c r="H56" s="2">
        <v>2.8025477707006372</v>
      </c>
      <c r="I56" s="2">
        <f t="shared" si="0"/>
        <v>6.1687323799645428</v>
      </c>
      <c r="J56">
        <v>3.5</v>
      </c>
    </row>
    <row r="57" spans="1:10" x14ac:dyDescent="0.3">
      <c r="A57" t="s">
        <v>25</v>
      </c>
      <c r="B57" t="s">
        <v>22</v>
      </c>
      <c r="C57" s="4">
        <v>0.43836446099999998</v>
      </c>
      <c r="D57" s="4">
        <v>0.58666666700000003</v>
      </c>
      <c r="F57" s="4"/>
      <c r="G57" s="4"/>
      <c r="H57" s="2">
        <v>3.5031847133757958</v>
      </c>
      <c r="I57" s="2">
        <f t="shared" si="0"/>
        <v>9.6386443436945939</v>
      </c>
      <c r="J57">
        <v>8</v>
      </c>
    </row>
    <row r="58" spans="1:10" x14ac:dyDescent="0.3">
      <c r="A58" t="s">
        <v>25</v>
      </c>
      <c r="B58" t="s">
        <v>22</v>
      </c>
      <c r="C58" s="4">
        <v>0.43836446099999998</v>
      </c>
      <c r="D58" s="4">
        <v>0.58666666700000003</v>
      </c>
      <c r="F58" s="4"/>
      <c r="G58" s="4"/>
      <c r="H58" s="2">
        <v>14.936305732484076</v>
      </c>
      <c r="I58" s="2">
        <f t="shared" si="0"/>
        <v>175.21701227135594</v>
      </c>
      <c r="J58">
        <v>7</v>
      </c>
    </row>
    <row r="59" spans="1:10" x14ac:dyDescent="0.3">
      <c r="A59" t="s">
        <v>25</v>
      </c>
      <c r="B59" t="s">
        <v>22</v>
      </c>
      <c r="C59" s="4">
        <v>0.43836446099999998</v>
      </c>
      <c r="D59" s="4">
        <v>0.58666666700000003</v>
      </c>
      <c r="F59" s="4"/>
      <c r="G59" s="4"/>
      <c r="H59" s="2">
        <v>15.445859872611464</v>
      </c>
      <c r="I59" s="2">
        <f t="shared" si="0"/>
        <v>187.37604262360011</v>
      </c>
      <c r="J59">
        <v>6.5</v>
      </c>
    </row>
    <row r="60" spans="1:10" x14ac:dyDescent="0.3">
      <c r="A60" t="s">
        <v>25</v>
      </c>
      <c r="B60" t="s">
        <v>23</v>
      </c>
      <c r="C60" s="4">
        <v>0.76500000000000001</v>
      </c>
      <c r="D60" s="4">
        <v>0.61247410899999999</v>
      </c>
      <c r="F60" s="4"/>
      <c r="G60" s="4"/>
      <c r="H60" s="2">
        <v>10.19108280254777</v>
      </c>
      <c r="I60" s="2">
        <f t="shared" si="0"/>
        <v>81.570014941679872</v>
      </c>
      <c r="J60">
        <v>8</v>
      </c>
    </row>
    <row r="61" spans="1:10" x14ac:dyDescent="0.3">
      <c r="A61" t="s">
        <v>25</v>
      </c>
      <c r="B61" t="s">
        <v>24</v>
      </c>
      <c r="C61" s="4">
        <v>0.41240947999999999</v>
      </c>
      <c r="D61" s="4">
        <v>0.52705000000000002</v>
      </c>
      <c r="F61" s="4"/>
      <c r="G61" s="4"/>
      <c r="H61" s="2">
        <v>4.7770700636942669</v>
      </c>
      <c r="I61" s="2">
        <f t="shared" si="0"/>
        <v>17.923098986208956</v>
      </c>
      <c r="J61">
        <v>6.5</v>
      </c>
    </row>
    <row r="62" spans="1:10" x14ac:dyDescent="0.3">
      <c r="A62" t="s">
        <v>25</v>
      </c>
      <c r="B62" t="s">
        <v>24</v>
      </c>
      <c r="C62" s="4">
        <v>0.41240947999999999</v>
      </c>
      <c r="D62" s="4">
        <v>0.52705000000000002</v>
      </c>
      <c r="F62" s="4"/>
      <c r="G62" s="4"/>
      <c r="H62" s="2">
        <v>4.0764331210191083</v>
      </c>
      <c r="I62" s="2">
        <f t="shared" si="0"/>
        <v>13.051202390668783</v>
      </c>
      <c r="J62">
        <v>6</v>
      </c>
    </row>
    <row r="63" spans="1:10" x14ac:dyDescent="0.3">
      <c r="A63" t="s">
        <v>25</v>
      </c>
      <c r="B63" t="s">
        <v>24</v>
      </c>
      <c r="C63" s="4">
        <v>0.41240947999999999</v>
      </c>
      <c r="D63" s="4">
        <v>0.52705000000000002</v>
      </c>
      <c r="F63" s="4"/>
      <c r="G63" s="4"/>
      <c r="H63" s="2">
        <v>4.3949044585987265</v>
      </c>
      <c r="I63" s="2">
        <f t="shared" si="0"/>
        <v>15.170110981927266</v>
      </c>
      <c r="J63">
        <v>4.5</v>
      </c>
    </row>
    <row r="64" spans="1:10" x14ac:dyDescent="0.3">
      <c r="A64" t="s">
        <v>29</v>
      </c>
      <c r="B64" t="s">
        <v>13</v>
      </c>
      <c r="C64" s="4">
        <v>0.36</v>
      </c>
      <c r="D64" s="4">
        <v>0.35</v>
      </c>
      <c r="F64" s="4"/>
      <c r="G64" s="4"/>
      <c r="H64" s="2">
        <v>3.1847133757961781</v>
      </c>
      <c r="I64" s="2">
        <f t="shared" si="0"/>
        <v>7.9658217716484252</v>
      </c>
      <c r="J64">
        <v>4</v>
      </c>
    </row>
    <row r="65" spans="1:10" x14ac:dyDescent="0.3">
      <c r="A65" t="s">
        <v>29</v>
      </c>
      <c r="B65" t="s">
        <v>14</v>
      </c>
      <c r="C65" s="4">
        <v>0.766138345</v>
      </c>
      <c r="D65" s="4">
        <v>0.90500000000000003</v>
      </c>
      <c r="F65" s="4"/>
      <c r="G65" s="4"/>
      <c r="H65" s="2">
        <v>6.7515923566878975</v>
      </c>
      <c r="I65" s="2">
        <f t="shared" si="0"/>
        <v>35.801589370496679</v>
      </c>
      <c r="J65">
        <v>6</v>
      </c>
    </row>
    <row r="66" spans="1:10" x14ac:dyDescent="0.3">
      <c r="A66" t="s">
        <v>29</v>
      </c>
      <c r="B66" t="s">
        <v>17</v>
      </c>
      <c r="C66" s="4">
        <v>0.708787469</v>
      </c>
      <c r="D66" s="4">
        <v>0.80167708299999996</v>
      </c>
      <c r="F66" s="4"/>
      <c r="G66" s="4"/>
      <c r="H66" s="2">
        <v>8.9171974522292992</v>
      </c>
      <c r="I66" s="2">
        <f t="shared" si="0"/>
        <v>62.452042689723655</v>
      </c>
      <c r="J66">
        <v>7</v>
      </c>
    </row>
    <row r="67" spans="1:10" x14ac:dyDescent="0.3">
      <c r="A67" t="s">
        <v>29</v>
      </c>
      <c r="B67" t="s">
        <v>18</v>
      </c>
      <c r="C67" s="4">
        <v>0.45255480399999998</v>
      </c>
      <c r="D67" s="4">
        <v>0.57808694400000005</v>
      </c>
      <c r="F67" s="4"/>
      <c r="G67" s="4"/>
      <c r="H67" s="2">
        <v>30.573248407643312</v>
      </c>
      <c r="I67" s="2">
        <f t="shared" si="0"/>
        <v>734.13013447511901</v>
      </c>
      <c r="J67">
        <v>8</v>
      </c>
    </row>
    <row r="68" spans="1:10" x14ac:dyDescent="0.3">
      <c r="A68" t="s">
        <v>29</v>
      </c>
      <c r="B68" t="s">
        <v>18</v>
      </c>
      <c r="C68" s="4">
        <v>0.45255480399999998</v>
      </c>
      <c r="D68" s="4">
        <v>0.57808694400000005</v>
      </c>
      <c r="F68" s="4"/>
      <c r="G68" s="4"/>
      <c r="H68" s="2">
        <v>25.796178343949045</v>
      </c>
      <c r="I68" s="2">
        <f t="shared" ref="I68:I131" si="1">PI()*(H68/2)^2</f>
        <v>522.63756643785325</v>
      </c>
      <c r="J68">
        <v>7</v>
      </c>
    </row>
    <row r="69" spans="1:10" x14ac:dyDescent="0.3">
      <c r="A69" t="s">
        <v>29</v>
      </c>
      <c r="B69" t="s">
        <v>18</v>
      </c>
      <c r="C69" s="4">
        <v>0.45255480399999998</v>
      </c>
      <c r="D69" s="4">
        <v>0.57808694400000005</v>
      </c>
      <c r="F69" s="4"/>
      <c r="G69" s="4"/>
      <c r="H69" s="2">
        <v>5.7324840764331206</v>
      </c>
      <c r="I69" s="2">
        <f t="shared" si="1"/>
        <v>25.809262540140899</v>
      </c>
      <c r="J69">
        <v>5</v>
      </c>
    </row>
    <row r="70" spans="1:10" x14ac:dyDescent="0.3">
      <c r="A70" t="s">
        <v>29</v>
      </c>
      <c r="B70" t="s">
        <v>30</v>
      </c>
      <c r="C70" s="4">
        <v>0.372</v>
      </c>
      <c r="D70" s="4">
        <v>0.73247777800000002</v>
      </c>
      <c r="F70" s="4"/>
      <c r="G70" s="4"/>
      <c r="H70" s="2">
        <v>4.0445859872611463</v>
      </c>
      <c r="I70" s="2">
        <f t="shared" si="1"/>
        <v>12.848073935491747</v>
      </c>
      <c r="J70">
        <v>6</v>
      </c>
    </row>
    <row r="71" spans="1:10" x14ac:dyDescent="0.3">
      <c r="A71" t="s">
        <v>29</v>
      </c>
      <c r="B71" t="s">
        <v>31</v>
      </c>
      <c r="C71" s="4">
        <v>0.63400000000000001</v>
      </c>
      <c r="D71" s="4">
        <v>0.73247777800000002</v>
      </c>
      <c r="F71" s="4"/>
      <c r="G71" s="4"/>
      <c r="H71" s="2">
        <v>4.3949044585987265</v>
      </c>
      <c r="I71" s="2">
        <f t="shared" si="1"/>
        <v>15.170110981927266</v>
      </c>
      <c r="J71">
        <v>6</v>
      </c>
    </row>
    <row r="72" spans="1:10" x14ac:dyDescent="0.3">
      <c r="A72" t="s">
        <v>29</v>
      </c>
      <c r="B72" t="s">
        <v>31</v>
      </c>
      <c r="C72" s="4">
        <v>0.63400000000000001</v>
      </c>
      <c r="D72" s="4">
        <v>0.73247777800000002</v>
      </c>
      <c r="F72" s="4"/>
      <c r="G72" s="4"/>
      <c r="H72" s="2">
        <v>5.8280254777070066</v>
      </c>
      <c r="I72" s="2">
        <f t="shared" si="1"/>
        <v>26.676740531073417</v>
      </c>
      <c r="J72">
        <v>5</v>
      </c>
    </row>
    <row r="73" spans="1:10" x14ac:dyDescent="0.3">
      <c r="A73" t="s">
        <v>29</v>
      </c>
      <c r="B73" t="s">
        <v>20</v>
      </c>
      <c r="C73" s="4">
        <v>0.74387999999999999</v>
      </c>
      <c r="D73" s="4">
        <v>0.59130000000000005</v>
      </c>
      <c r="F73" s="4"/>
      <c r="G73" s="4"/>
      <c r="H73" s="2">
        <v>9.872611464968152</v>
      </c>
      <c r="I73" s="2">
        <f t="shared" si="1"/>
        <v>76.55154722554137</v>
      </c>
      <c r="J73">
        <v>9</v>
      </c>
    </row>
    <row r="74" spans="1:10" x14ac:dyDescent="0.3">
      <c r="A74" t="s">
        <v>29</v>
      </c>
      <c r="B74" t="s">
        <v>20</v>
      </c>
      <c r="C74" s="4">
        <v>0.74387999999999999</v>
      </c>
      <c r="D74" s="4">
        <v>0.59130000000000005</v>
      </c>
      <c r="F74" s="4"/>
      <c r="G74" s="4"/>
      <c r="H74" s="2">
        <v>5.7324840764331206</v>
      </c>
      <c r="I74" s="2">
        <f t="shared" si="1"/>
        <v>25.809262540140899</v>
      </c>
      <c r="J74">
        <v>8</v>
      </c>
    </row>
    <row r="75" spans="1:10" x14ac:dyDescent="0.3">
      <c r="A75" t="s">
        <v>29</v>
      </c>
      <c r="B75" t="s">
        <v>20</v>
      </c>
      <c r="C75" s="4">
        <v>0.74387999999999999</v>
      </c>
      <c r="D75" s="4">
        <v>0.59130000000000005</v>
      </c>
      <c r="F75" s="4"/>
      <c r="G75" s="4"/>
      <c r="H75" s="2">
        <v>9.5541401273885338</v>
      </c>
      <c r="I75" s="2">
        <f t="shared" si="1"/>
        <v>71.692395944835823</v>
      </c>
      <c r="J75">
        <v>6</v>
      </c>
    </row>
    <row r="76" spans="1:10" x14ac:dyDescent="0.3">
      <c r="A76" t="s">
        <v>29</v>
      </c>
      <c r="B76" t="s">
        <v>32</v>
      </c>
      <c r="C76" s="4">
        <v>0.65716857299999998</v>
      </c>
      <c r="D76" s="4">
        <v>0.85527777800000004</v>
      </c>
      <c r="F76" s="4"/>
      <c r="G76" s="4"/>
      <c r="H76" s="2">
        <v>12.961783439490446</v>
      </c>
      <c r="I76" s="2">
        <f t="shared" si="1"/>
        <v>131.95304106517904</v>
      </c>
      <c r="J76">
        <v>6</v>
      </c>
    </row>
    <row r="77" spans="1:10" x14ac:dyDescent="0.3">
      <c r="A77" t="s">
        <v>29</v>
      </c>
      <c r="B77" t="s">
        <v>28</v>
      </c>
      <c r="C77" s="4">
        <v>0.48464433800000001</v>
      </c>
      <c r="D77" s="4">
        <v>0.62688577999999995</v>
      </c>
      <c r="F77" s="4"/>
      <c r="G77" s="4"/>
      <c r="H77" s="2">
        <v>2.2292993630573248</v>
      </c>
      <c r="I77" s="2">
        <f t="shared" si="1"/>
        <v>3.9032526681077284</v>
      </c>
      <c r="J77">
        <v>3.5</v>
      </c>
    </row>
    <row r="78" spans="1:10" x14ac:dyDescent="0.3">
      <c r="A78" t="s">
        <v>29</v>
      </c>
      <c r="B78" t="s">
        <v>33</v>
      </c>
      <c r="C78" s="4">
        <v>0.69835862100000001</v>
      </c>
      <c r="D78" s="4">
        <v>0.69262500000000005</v>
      </c>
      <c r="F78" s="4"/>
      <c r="G78" s="4"/>
      <c r="H78" s="2">
        <v>8.4394904458598727</v>
      </c>
      <c r="I78" s="2">
        <f t="shared" si="1"/>
        <v>55.939983391401071</v>
      </c>
      <c r="J78">
        <v>8</v>
      </c>
    </row>
    <row r="79" spans="1:10" x14ac:dyDescent="0.3">
      <c r="A79" t="s">
        <v>29</v>
      </c>
      <c r="B79" t="s">
        <v>34</v>
      </c>
      <c r="C79" s="4">
        <v>0.54326798300000001</v>
      </c>
      <c r="D79" s="4">
        <v>0.61247410899999999</v>
      </c>
      <c r="F79" s="4"/>
      <c r="G79" s="4"/>
      <c r="H79" s="2">
        <v>14.968152866242038</v>
      </c>
      <c r="I79" s="2">
        <f t="shared" si="1"/>
        <v>175.96500293571373</v>
      </c>
      <c r="J79">
        <v>8</v>
      </c>
    </row>
    <row r="80" spans="1:10" x14ac:dyDescent="0.3">
      <c r="A80" t="s">
        <v>29</v>
      </c>
      <c r="B80" t="s">
        <v>34</v>
      </c>
      <c r="C80" s="4">
        <v>0.54326798300000001</v>
      </c>
      <c r="D80" s="4">
        <v>0.61247410899999999</v>
      </c>
      <c r="F80" s="4"/>
      <c r="G80" s="4"/>
      <c r="H80" s="2">
        <v>5.2547770700636942</v>
      </c>
      <c r="I80" s="2">
        <f t="shared" si="1"/>
        <v>21.68694977331284</v>
      </c>
      <c r="J80">
        <v>5.5</v>
      </c>
    </row>
    <row r="81" spans="1:10" x14ac:dyDescent="0.3">
      <c r="A81" t="s">
        <v>29</v>
      </c>
      <c r="B81" t="s">
        <v>22</v>
      </c>
      <c r="C81" s="4">
        <v>0.43836446099999998</v>
      </c>
      <c r="D81" s="4">
        <v>0.58666666700000003</v>
      </c>
      <c r="F81" s="4"/>
      <c r="G81" s="4"/>
      <c r="H81" s="2">
        <v>10.828025477707007</v>
      </c>
      <c r="I81" s="2">
        <f t="shared" si="1"/>
        <v>92.084899680255816</v>
      </c>
      <c r="J81">
        <v>9</v>
      </c>
    </row>
    <row r="82" spans="1:10" x14ac:dyDescent="0.3">
      <c r="A82" t="s">
        <v>29</v>
      </c>
      <c r="B82" t="s">
        <v>22</v>
      </c>
      <c r="C82" s="4">
        <v>0.43836446099999998</v>
      </c>
      <c r="D82" s="4">
        <v>0.58666666700000003</v>
      </c>
      <c r="F82" s="4"/>
      <c r="G82" s="4"/>
      <c r="H82" s="2">
        <v>13.152866242038215</v>
      </c>
      <c r="I82" s="2">
        <f t="shared" si="1"/>
        <v>135.87222537683002</v>
      </c>
      <c r="J82">
        <v>8</v>
      </c>
    </row>
    <row r="83" spans="1:10" x14ac:dyDescent="0.3">
      <c r="A83" t="s">
        <v>29</v>
      </c>
      <c r="B83" t="s">
        <v>22</v>
      </c>
      <c r="C83" s="4">
        <v>0.43836446099999998</v>
      </c>
      <c r="D83" s="4">
        <v>0.58666666700000003</v>
      </c>
      <c r="F83" s="4"/>
      <c r="G83" s="4"/>
      <c r="H83" s="2">
        <v>13.343949044585989</v>
      </c>
      <c r="I83" s="2">
        <f t="shared" si="1"/>
        <v>139.84876360523697</v>
      </c>
      <c r="J83">
        <v>8</v>
      </c>
    </row>
    <row r="84" spans="1:10" x14ac:dyDescent="0.3">
      <c r="A84" t="s">
        <v>29</v>
      </c>
      <c r="B84" t="s">
        <v>22</v>
      </c>
      <c r="C84" s="4">
        <v>0.43836446099999998</v>
      </c>
      <c r="D84" s="4">
        <v>0.58666666700000003</v>
      </c>
      <c r="F84" s="4"/>
      <c r="G84" s="4"/>
      <c r="H84" s="2">
        <v>39.36305732484076</v>
      </c>
      <c r="I84" s="2">
        <f t="shared" si="1"/>
        <v>1216.9354057260214</v>
      </c>
      <c r="J84">
        <v>6.5</v>
      </c>
    </row>
    <row r="85" spans="1:10" x14ac:dyDescent="0.3">
      <c r="A85" t="s">
        <v>29</v>
      </c>
      <c r="B85" t="s">
        <v>22</v>
      </c>
      <c r="C85" s="4">
        <v>0.43836446099999998</v>
      </c>
      <c r="D85" s="4">
        <v>0.58666666700000003</v>
      </c>
      <c r="F85" s="4"/>
      <c r="G85" s="4"/>
      <c r="H85" s="2">
        <v>10.987261146496815</v>
      </c>
      <c r="I85" s="2">
        <f t="shared" si="1"/>
        <v>94.813193637045387</v>
      </c>
      <c r="J85">
        <v>6</v>
      </c>
    </row>
    <row r="86" spans="1:10" x14ac:dyDescent="0.3">
      <c r="A86" t="s">
        <v>29</v>
      </c>
      <c r="B86" t="s">
        <v>23</v>
      </c>
      <c r="C86" s="4">
        <v>0.76500000000000001</v>
      </c>
      <c r="D86" s="4">
        <v>0.61247410899999999</v>
      </c>
      <c r="F86" s="4"/>
      <c r="G86" s="4"/>
      <c r="H86" s="2">
        <v>28.980891719745223</v>
      </c>
      <c r="I86" s="2">
        <f t="shared" si="1"/>
        <v>659.64970091020621</v>
      </c>
      <c r="J86">
        <v>9</v>
      </c>
    </row>
    <row r="87" spans="1:10" x14ac:dyDescent="0.3">
      <c r="A87" t="s">
        <v>29</v>
      </c>
      <c r="B87" t="s">
        <v>23</v>
      </c>
      <c r="C87" s="4">
        <v>0.76500000000000001</v>
      </c>
      <c r="D87" s="4">
        <v>0.61247410899999999</v>
      </c>
      <c r="F87" s="4"/>
      <c r="G87" s="4"/>
      <c r="H87" s="2">
        <v>13.503184713375795</v>
      </c>
      <c r="I87" s="2">
        <f t="shared" si="1"/>
        <v>143.20635748198671</v>
      </c>
      <c r="J87">
        <v>10.4</v>
      </c>
    </row>
    <row r="88" spans="1:10" x14ac:dyDescent="0.3">
      <c r="A88" t="s">
        <v>29</v>
      </c>
      <c r="B88" t="s">
        <v>23</v>
      </c>
      <c r="C88" s="4">
        <v>0.76500000000000001</v>
      </c>
      <c r="D88" s="4">
        <v>0.61247410899999999</v>
      </c>
      <c r="F88" s="4"/>
      <c r="G88" s="4"/>
      <c r="H88" s="2">
        <v>14.872611464968154</v>
      </c>
      <c r="I88" s="2">
        <f t="shared" si="1"/>
        <v>173.72581043570338</v>
      </c>
      <c r="J88">
        <v>9.1</v>
      </c>
    </row>
    <row r="89" spans="1:10" x14ac:dyDescent="0.3">
      <c r="A89" t="s">
        <v>29</v>
      </c>
      <c r="B89" t="s">
        <v>24</v>
      </c>
      <c r="C89" s="4">
        <v>0.41240947999999999</v>
      </c>
      <c r="D89" s="4">
        <v>0.52705000000000002</v>
      </c>
      <c r="F89" s="4"/>
      <c r="G89" s="4"/>
      <c r="H89" s="2">
        <v>4.3949044585987265</v>
      </c>
      <c r="I89" s="2">
        <f t="shared" si="1"/>
        <v>15.170110981927266</v>
      </c>
      <c r="J89">
        <v>6</v>
      </c>
    </row>
    <row r="90" spans="1:10" x14ac:dyDescent="0.3">
      <c r="A90" t="s">
        <v>35</v>
      </c>
      <c r="B90" t="s">
        <v>13</v>
      </c>
      <c r="C90" s="4">
        <v>0.36</v>
      </c>
      <c r="D90" s="4">
        <v>0.35</v>
      </c>
      <c r="F90" s="4"/>
      <c r="G90" s="4"/>
      <c r="H90" s="2">
        <v>16.464968152866241</v>
      </c>
      <c r="I90" s="2">
        <f t="shared" si="1"/>
        <v>212.91765355221364</v>
      </c>
      <c r="J90">
        <v>4.5</v>
      </c>
    </row>
    <row r="91" spans="1:10" x14ac:dyDescent="0.3">
      <c r="A91" t="s">
        <v>35</v>
      </c>
      <c r="B91" t="s">
        <v>13</v>
      </c>
      <c r="C91" s="4">
        <v>0.36</v>
      </c>
      <c r="D91" s="4">
        <v>0.35</v>
      </c>
      <c r="F91" s="4"/>
      <c r="G91" s="4"/>
      <c r="H91" s="2">
        <v>4.4585987261146496</v>
      </c>
      <c r="I91" s="2">
        <f t="shared" si="1"/>
        <v>15.613010672430914</v>
      </c>
      <c r="J91">
        <v>4</v>
      </c>
    </row>
    <row r="92" spans="1:10" x14ac:dyDescent="0.3">
      <c r="A92" t="s">
        <v>35</v>
      </c>
      <c r="B92" t="s">
        <v>13</v>
      </c>
      <c r="C92" s="4">
        <v>0.36</v>
      </c>
      <c r="D92" s="4">
        <v>0.35</v>
      </c>
      <c r="F92" s="4"/>
      <c r="G92" s="4"/>
      <c r="H92" s="2">
        <v>5.4140127388535033</v>
      </c>
      <c r="I92" s="2">
        <f t="shared" si="1"/>
        <v>23.021224920063954</v>
      </c>
      <c r="J92">
        <v>3.2</v>
      </c>
    </row>
    <row r="93" spans="1:10" x14ac:dyDescent="0.3">
      <c r="A93" t="s">
        <v>35</v>
      </c>
      <c r="B93" t="s">
        <v>36</v>
      </c>
      <c r="C93" s="4">
        <v>0.86599999999999999</v>
      </c>
      <c r="D93" s="4">
        <v>0.73582777799999999</v>
      </c>
      <c r="F93" s="4"/>
      <c r="G93" s="4"/>
      <c r="H93" s="2">
        <v>17.038216560509554</v>
      </c>
      <c r="I93" s="2">
        <f t="shared" si="1"/>
        <v>228.0017336590071</v>
      </c>
      <c r="J93">
        <v>9</v>
      </c>
    </row>
    <row r="94" spans="1:10" x14ac:dyDescent="0.3">
      <c r="A94" t="s">
        <v>35</v>
      </c>
      <c r="B94" t="s">
        <v>37</v>
      </c>
      <c r="C94" s="4">
        <v>0.39790071399999999</v>
      </c>
      <c r="D94" s="4">
        <v>0.50565277799999997</v>
      </c>
      <c r="F94" s="4"/>
      <c r="G94" s="4"/>
      <c r="H94" s="2">
        <v>11.305732484076433</v>
      </c>
      <c r="I94" s="2">
        <f t="shared" si="1"/>
        <v>100.3892688771993</v>
      </c>
      <c r="J94">
        <v>7</v>
      </c>
    </row>
    <row r="95" spans="1:10" x14ac:dyDescent="0.3">
      <c r="A95" t="s">
        <v>35</v>
      </c>
      <c r="B95" t="s">
        <v>18</v>
      </c>
      <c r="C95" s="4">
        <v>0.45255480399999998</v>
      </c>
      <c r="D95" s="4">
        <v>0.57808694400000005</v>
      </c>
      <c r="F95" s="4"/>
      <c r="G95" s="4"/>
      <c r="H95" s="2">
        <v>36.783439490445858</v>
      </c>
      <c r="I95" s="2">
        <f t="shared" si="1"/>
        <v>1062.6605388923292</v>
      </c>
      <c r="J95">
        <v>8</v>
      </c>
    </row>
    <row r="96" spans="1:10" x14ac:dyDescent="0.3">
      <c r="A96" t="s">
        <v>35</v>
      </c>
      <c r="B96" t="s">
        <v>18</v>
      </c>
      <c r="C96" s="4">
        <v>0.45255480399999998</v>
      </c>
      <c r="D96" s="4">
        <v>0.57808694400000005</v>
      </c>
      <c r="F96" s="4"/>
      <c r="G96" s="4"/>
      <c r="H96" s="2">
        <v>48.152866242038208</v>
      </c>
      <c r="I96" s="2">
        <f t="shared" si="1"/>
        <v>1821.1015648323414</v>
      </c>
      <c r="J96">
        <v>6.1</v>
      </c>
    </row>
    <row r="97" spans="1:10" x14ac:dyDescent="0.3">
      <c r="A97" t="s">
        <v>35</v>
      </c>
      <c r="B97" t="s">
        <v>38</v>
      </c>
      <c r="C97" s="4">
        <v>1082380952</v>
      </c>
      <c r="D97" s="4">
        <v>0.61247410899999999</v>
      </c>
      <c r="F97" s="4"/>
      <c r="G97" s="4"/>
      <c r="H97" s="2">
        <v>15.764331210191083</v>
      </c>
      <c r="I97" s="2">
        <f t="shared" si="1"/>
        <v>195.18254795981557</v>
      </c>
      <c r="J97">
        <v>8</v>
      </c>
    </row>
    <row r="98" spans="1:10" x14ac:dyDescent="0.3">
      <c r="A98" t="s">
        <v>35</v>
      </c>
      <c r="B98" t="s">
        <v>30</v>
      </c>
      <c r="C98" s="4">
        <v>0.372</v>
      </c>
      <c r="D98" s="4">
        <v>0.73247777800000002</v>
      </c>
      <c r="F98" s="4"/>
      <c r="G98" s="4"/>
      <c r="H98" s="2">
        <v>9.3949044585987256</v>
      </c>
      <c r="I98" s="2">
        <f t="shared" si="1"/>
        <v>69.322563967770421</v>
      </c>
      <c r="J98">
        <v>6</v>
      </c>
    </row>
    <row r="99" spans="1:10" x14ac:dyDescent="0.3">
      <c r="A99" t="s">
        <v>35</v>
      </c>
      <c r="B99" t="s">
        <v>30</v>
      </c>
      <c r="C99" s="4">
        <v>0.372</v>
      </c>
      <c r="D99" s="4">
        <v>0.73247777800000002</v>
      </c>
      <c r="F99" s="4"/>
      <c r="G99" s="4"/>
      <c r="H99" s="2">
        <v>10.668789808917197</v>
      </c>
      <c r="I99" s="2">
        <f t="shared" si="1"/>
        <v>89.396434832324445</v>
      </c>
      <c r="J99">
        <v>5.5</v>
      </c>
    </row>
    <row r="100" spans="1:10" x14ac:dyDescent="0.3">
      <c r="A100" t="s">
        <v>35</v>
      </c>
      <c r="B100" t="s">
        <v>19</v>
      </c>
      <c r="C100" s="4">
        <v>0.374</v>
      </c>
      <c r="D100" s="4">
        <v>0.47945833300000001</v>
      </c>
      <c r="F100" s="4"/>
      <c r="G100" s="4"/>
      <c r="H100" s="2">
        <v>4.1401273885350314</v>
      </c>
      <c r="I100" s="2">
        <f t="shared" si="1"/>
        <v>13.462238794085838</v>
      </c>
      <c r="J100">
        <v>5</v>
      </c>
    </row>
    <row r="101" spans="1:10" x14ac:dyDescent="0.3">
      <c r="A101" t="s">
        <v>35</v>
      </c>
      <c r="B101" t="s">
        <v>20</v>
      </c>
      <c r="C101" s="4">
        <v>0.74387999999999999</v>
      </c>
      <c r="D101" s="4">
        <v>0.59130000000000005</v>
      </c>
      <c r="F101" s="4"/>
      <c r="G101" s="4"/>
      <c r="H101" s="2">
        <v>16.242038216560509</v>
      </c>
      <c r="I101" s="2">
        <f t="shared" si="1"/>
        <v>207.19102428057556</v>
      </c>
      <c r="J101">
        <v>12</v>
      </c>
    </row>
    <row r="102" spans="1:10" x14ac:dyDescent="0.3">
      <c r="A102" t="s">
        <v>35</v>
      </c>
      <c r="B102" t="s">
        <v>20</v>
      </c>
      <c r="C102" s="4">
        <v>0.74387999999999999</v>
      </c>
      <c r="D102" s="4">
        <v>0.59130000000000005</v>
      </c>
      <c r="F102" s="4"/>
      <c r="G102" s="4"/>
      <c r="H102" s="2">
        <v>9.4585987261146496</v>
      </c>
      <c r="I102" s="2">
        <f t="shared" si="1"/>
        <v>70.26571726553361</v>
      </c>
      <c r="J102">
        <v>9</v>
      </c>
    </row>
    <row r="103" spans="1:10" x14ac:dyDescent="0.3">
      <c r="A103" t="s">
        <v>35</v>
      </c>
      <c r="B103" t="s">
        <v>20</v>
      </c>
      <c r="C103" s="4">
        <v>0.74387999999999999</v>
      </c>
      <c r="D103" s="4">
        <v>0.59130000000000005</v>
      </c>
      <c r="F103" s="4"/>
      <c r="G103" s="4"/>
      <c r="H103" s="2">
        <v>10.350318471337578</v>
      </c>
      <c r="I103" s="2">
        <f t="shared" si="1"/>
        <v>84.138992463036487</v>
      </c>
      <c r="J103">
        <v>7</v>
      </c>
    </row>
    <row r="104" spans="1:10" x14ac:dyDescent="0.3">
      <c r="A104" t="s">
        <v>35</v>
      </c>
      <c r="B104" t="s">
        <v>39</v>
      </c>
      <c r="C104" s="4">
        <v>0.590536375</v>
      </c>
      <c r="D104" s="4">
        <v>0.61247410899999999</v>
      </c>
      <c r="F104" s="4"/>
      <c r="G104" s="4"/>
      <c r="H104" s="2">
        <v>27.866242038216559</v>
      </c>
      <c r="I104" s="2">
        <f t="shared" si="1"/>
        <v>609.88322939183263</v>
      </c>
      <c r="J104">
        <v>9</v>
      </c>
    </row>
    <row r="105" spans="1:10" x14ac:dyDescent="0.3">
      <c r="A105" t="s">
        <v>35</v>
      </c>
      <c r="B105" t="s">
        <v>39</v>
      </c>
      <c r="C105" s="4">
        <v>0.590536375</v>
      </c>
      <c r="D105" s="4">
        <v>0.61247410899999999</v>
      </c>
      <c r="F105" s="4"/>
      <c r="G105" s="4"/>
      <c r="H105" s="2">
        <v>56.050955414012734</v>
      </c>
      <c r="I105" s="2">
        <f t="shared" si="1"/>
        <v>2467.492951985816</v>
      </c>
      <c r="J105">
        <v>8.5</v>
      </c>
    </row>
    <row r="106" spans="1:10" x14ac:dyDescent="0.3">
      <c r="A106" t="s">
        <v>35</v>
      </c>
      <c r="B106" t="s">
        <v>22</v>
      </c>
      <c r="C106" s="4">
        <v>0.43836446099999998</v>
      </c>
      <c r="D106" s="4">
        <v>0.58666666700000003</v>
      </c>
      <c r="F106" s="4"/>
      <c r="G106" s="4"/>
      <c r="H106" s="2">
        <v>29.29936305732484</v>
      </c>
      <c r="I106" s="2">
        <f t="shared" si="1"/>
        <v>674.2271547523228</v>
      </c>
      <c r="J106">
        <v>6.5</v>
      </c>
    </row>
    <row r="107" spans="1:10" x14ac:dyDescent="0.3">
      <c r="A107" t="s">
        <v>35</v>
      </c>
      <c r="B107" t="s">
        <v>24</v>
      </c>
      <c r="C107" s="4">
        <v>0.41240947999999999</v>
      </c>
      <c r="D107" s="4">
        <v>0.52705000000000002</v>
      </c>
      <c r="F107" s="4"/>
      <c r="G107" s="4"/>
      <c r="H107" s="2">
        <v>10.987261146496815</v>
      </c>
      <c r="I107" s="2">
        <f t="shared" si="1"/>
        <v>94.813193637045387</v>
      </c>
      <c r="J107">
        <v>8</v>
      </c>
    </row>
    <row r="108" spans="1:10" x14ac:dyDescent="0.3">
      <c r="A108" t="s">
        <v>35</v>
      </c>
      <c r="B108" t="s">
        <v>24</v>
      </c>
      <c r="C108" s="4">
        <v>0.41240947999999999</v>
      </c>
      <c r="D108" s="4">
        <v>0.52705000000000002</v>
      </c>
      <c r="F108" s="4"/>
      <c r="G108" s="4"/>
      <c r="H108" s="2">
        <v>8.9171974522292992</v>
      </c>
      <c r="I108" s="2">
        <f t="shared" si="1"/>
        <v>62.452042689723655</v>
      </c>
      <c r="J108">
        <v>6</v>
      </c>
    </row>
    <row r="109" spans="1:10" x14ac:dyDescent="0.3">
      <c r="A109" t="s">
        <v>40</v>
      </c>
      <c r="B109" t="s">
        <v>26</v>
      </c>
      <c r="C109" s="4">
        <v>0.80908761900000004</v>
      </c>
      <c r="D109" s="4">
        <v>0.87473809499999999</v>
      </c>
      <c r="F109" s="4"/>
      <c r="G109" s="4"/>
      <c r="H109" s="2">
        <v>20.063694267515924</v>
      </c>
      <c r="I109" s="2">
        <f t="shared" si="1"/>
        <v>316.16346611672606</v>
      </c>
      <c r="J109">
        <v>10.199999999999999</v>
      </c>
    </row>
    <row r="110" spans="1:10" x14ac:dyDescent="0.3">
      <c r="A110" t="s">
        <v>40</v>
      </c>
      <c r="B110" t="s">
        <v>26</v>
      </c>
      <c r="C110" s="4">
        <v>0.80908761900000004</v>
      </c>
      <c r="D110" s="4">
        <v>0.87473809499999999</v>
      </c>
      <c r="F110" s="4"/>
      <c r="G110" s="4"/>
      <c r="H110" s="2">
        <v>29.490445859872608</v>
      </c>
      <c r="I110" s="2">
        <f t="shared" si="1"/>
        <v>683.05009894660043</v>
      </c>
      <c r="J110">
        <v>8.6</v>
      </c>
    </row>
    <row r="111" spans="1:10" x14ac:dyDescent="0.3">
      <c r="A111" t="s">
        <v>40</v>
      </c>
      <c r="B111" t="s">
        <v>26</v>
      </c>
      <c r="C111" s="4">
        <v>0.80908761900000004</v>
      </c>
      <c r="D111" s="4">
        <v>0.87473809499999999</v>
      </c>
      <c r="F111" s="4"/>
      <c r="G111" s="4"/>
      <c r="H111" s="2">
        <v>23.789808917197451</v>
      </c>
      <c r="I111" s="2">
        <f t="shared" si="1"/>
        <v>444.50002409757667</v>
      </c>
      <c r="J111">
        <v>8.1</v>
      </c>
    </row>
    <row r="112" spans="1:10" x14ac:dyDescent="0.3">
      <c r="A112" t="s">
        <v>40</v>
      </c>
      <c r="B112" t="s">
        <v>13</v>
      </c>
      <c r="C112" s="4">
        <v>0.36</v>
      </c>
      <c r="D112" s="4">
        <v>0.35</v>
      </c>
      <c r="F112" s="4"/>
      <c r="G112" s="4"/>
      <c r="H112" s="2">
        <v>19.044585987261144</v>
      </c>
      <c r="I112" s="2">
        <f t="shared" si="1"/>
        <v>284.86097288285629</v>
      </c>
      <c r="J112">
        <v>5</v>
      </c>
    </row>
    <row r="113" spans="1:10" x14ac:dyDescent="0.3">
      <c r="A113" t="s">
        <v>40</v>
      </c>
      <c r="B113" t="s">
        <v>14</v>
      </c>
      <c r="C113" s="4">
        <v>0.766138345</v>
      </c>
      <c r="D113" s="4">
        <v>0.90500000000000003</v>
      </c>
      <c r="F113" s="4"/>
      <c r="G113" s="4"/>
      <c r="H113" s="2">
        <v>8.598726114649681</v>
      </c>
      <c r="I113" s="2">
        <f t="shared" si="1"/>
        <v>58.070840715317019</v>
      </c>
      <c r="J113">
        <v>6.5</v>
      </c>
    </row>
    <row r="114" spans="1:10" x14ac:dyDescent="0.3">
      <c r="A114" t="s">
        <v>40</v>
      </c>
      <c r="B114" t="s">
        <v>37</v>
      </c>
      <c r="C114" s="4">
        <v>0.39790071399999999</v>
      </c>
      <c r="D114" s="4">
        <v>0.50565277799999997</v>
      </c>
      <c r="F114" s="4"/>
      <c r="G114" s="4"/>
      <c r="H114" s="2">
        <v>11.942675159235668</v>
      </c>
      <c r="I114" s="2">
        <f t="shared" si="1"/>
        <v>112.01936866380598</v>
      </c>
      <c r="J114">
        <v>8</v>
      </c>
    </row>
    <row r="115" spans="1:10" x14ac:dyDescent="0.3">
      <c r="A115" t="s">
        <v>40</v>
      </c>
      <c r="B115" t="s">
        <v>37</v>
      </c>
      <c r="C115" s="4">
        <v>0.39790071399999999</v>
      </c>
      <c r="D115" s="4">
        <v>0.50565277799999997</v>
      </c>
      <c r="F115" s="4"/>
      <c r="G115" s="4"/>
      <c r="H115" s="2">
        <v>7.6433121019108281</v>
      </c>
      <c r="I115" s="2">
        <f t="shared" si="1"/>
        <v>45.883133404694938</v>
      </c>
      <c r="J115">
        <v>5.5</v>
      </c>
    </row>
    <row r="116" spans="1:10" x14ac:dyDescent="0.3">
      <c r="A116" t="s">
        <v>40</v>
      </c>
      <c r="B116" t="s">
        <v>16</v>
      </c>
      <c r="C116" s="4">
        <v>0.89361000000000002</v>
      </c>
      <c r="D116" s="4">
        <v>0.61247410899999999</v>
      </c>
      <c r="F116" s="4"/>
      <c r="G116" s="4"/>
      <c r="H116" s="2">
        <v>7.6433121019108281</v>
      </c>
      <c r="I116" s="2">
        <f t="shared" si="1"/>
        <v>45.883133404694938</v>
      </c>
      <c r="J116">
        <v>6</v>
      </c>
    </row>
    <row r="117" spans="1:10" x14ac:dyDescent="0.3">
      <c r="A117" t="s">
        <v>40</v>
      </c>
      <c r="B117" t="s">
        <v>16</v>
      </c>
      <c r="C117" s="4">
        <v>0.89361000000000002</v>
      </c>
      <c r="D117" s="4">
        <v>0.61247410899999999</v>
      </c>
      <c r="F117" s="4"/>
      <c r="G117" s="4"/>
      <c r="H117" s="2">
        <v>3.6624203821656049</v>
      </c>
      <c r="I117" s="2">
        <f t="shared" si="1"/>
        <v>10.534799293005044</v>
      </c>
      <c r="J117">
        <v>2.7</v>
      </c>
    </row>
    <row r="118" spans="1:10" x14ac:dyDescent="0.3">
      <c r="A118" t="s">
        <v>40</v>
      </c>
      <c r="B118" t="s">
        <v>17</v>
      </c>
      <c r="C118" s="4">
        <v>0.708787469</v>
      </c>
      <c r="D118" s="4">
        <v>0.80167708299999996</v>
      </c>
      <c r="F118" s="4"/>
      <c r="G118" s="4"/>
      <c r="H118" s="2">
        <v>8.598726114649681</v>
      </c>
      <c r="I118" s="2">
        <f t="shared" si="1"/>
        <v>58.070840715317019</v>
      </c>
      <c r="J118">
        <v>8</v>
      </c>
    </row>
    <row r="119" spans="1:10" x14ac:dyDescent="0.3">
      <c r="A119" t="s">
        <v>40</v>
      </c>
      <c r="B119" t="s">
        <v>41</v>
      </c>
      <c r="C119" s="4">
        <v>0.56193137999999998</v>
      </c>
      <c r="D119" s="4">
        <v>0.57808694400000005</v>
      </c>
      <c r="F119" s="4"/>
      <c r="G119" s="4"/>
      <c r="H119" s="2">
        <v>14.490445859872612</v>
      </c>
      <c r="I119" s="2">
        <f t="shared" si="1"/>
        <v>164.91242522755155</v>
      </c>
      <c r="J119">
        <v>5.5</v>
      </c>
    </row>
    <row r="120" spans="1:10" x14ac:dyDescent="0.3">
      <c r="A120" t="s">
        <v>40</v>
      </c>
      <c r="B120" t="s">
        <v>30</v>
      </c>
      <c r="C120" s="4">
        <v>0.372</v>
      </c>
      <c r="D120" s="4">
        <v>0.73247777800000002</v>
      </c>
      <c r="F120" s="4"/>
      <c r="G120" s="4"/>
      <c r="H120" s="2">
        <v>12.993630573248407</v>
      </c>
      <c r="I120" s="2">
        <f t="shared" si="1"/>
        <v>132.60225553956835</v>
      </c>
      <c r="J120">
        <v>5.5</v>
      </c>
    </row>
    <row r="121" spans="1:10" x14ac:dyDescent="0.3">
      <c r="A121" t="s">
        <v>40</v>
      </c>
      <c r="B121" t="s">
        <v>20</v>
      </c>
      <c r="C121" s="4">
        <v>0.74387999999999999</v>
      </c>
      <c r="D121" s="4">
        <v>0.59130000000000005</v>
      </c>
      <c r="F121" s="4"/>
      <c r="G121" s="4"/>
      <c r="H121" s="2">
        <v>5.7324840764331206</v>
      </c>
      <c r="I121" s="2">
        <f t="shared" si="1"/>
        <v>25.809262540140899</v>
      </c>
      <c r="J121">
        <v>6.5</v>
      </c>
    </row>
    <row r="122" spans="1:10" x14ac:dyDescent="0.3">
      <c r="A122" t="s">
        <v>40</v>
      </c>
      <c r="B122" t="s">
        <v>39</v>
      </c>
      <c r="C122" s="4">
        <v>0.590536375</v>
      </c>
      <c r="D122" s="4">
        <v>0.61247410899999999</v>
      </c>
      <c r="F122" s="4"/>
      <c r="G122" s="4"/>
      <c r="H122" s="2">
        <v>23.248407643312103</v>
      </c>
      <c r="I122" s="2">
        <f t="shared" si="1"/>
        <v>424.49864221114467</v>
      </c>
      <c r="J122">
        <v>9</v>
      </c>
    </row>
    <row r="123" spans="1:10" x14ac:dyDescent="0.3">
      <c r="A123" t="s">
        <v>40</v>
      </c>
      <c r="B123" t="s">
        <v>42</v>
      </c>
      <c r="C123" s="4">
        <v>1187461538</v>
      </c>
      <c r="D123" s="4">
        <v>0.95</v>
      </c>
      <c r="F123" s="4"/>
      <c r="G123" s="4"/>
      <c r="H123" s="2">
        <v>3.9808917197452227</v>
      </c>
      <c r="I123" s="2">
        <f t="shared" si="1"/>
        <v>12.446596518200664</v>
      </c>
      <c r="J123">
        <v>2.5</v>
      </c>
    </row>
    <row r="124" spans="1:10" x14ac:dyDescent="0.3">
      <c r="A124" t="s">
        <v>40</v>
      </c>
      <c r="B124" t="s">
        <v>28</v>
      </c>
      <c r="C124" s="4">
        <v>0.48464433800000001</v>
      </c>
      <c r="D124" s="4">
        <v>0.62688577999999995</v>
      </c>
      <c r="F124" s="4"/>
      <c r="G124" s="4"/>
      <c r="H124" s="2">
        <v>3.9808917197452227</v>
      </c>
      <c r="I124" s="2">
        <f t="shared" si="1"/>
        <v>12.446596518200664</v>
      </c>
      <c r="J124">
        <v>6</v>
      </c>
    </row>
    <row r="125" spans="1:10" x14ac:dyDescent="0.3">
      <c r="A125" t="s">
        <v>40</v>
      </c>
      <c r="B125" t="s">
        <v>21</v>
      </c>
      <c r="C125" s="4">
        <v>0.66608171000000005</v>
      </c>
      <c r="D125" s="4">
        <v>0.68661666700000001</v>
      </c>
      <c r="F125" s="4"/>
      <c r="G125" s="4"/>
      <c r="H125" s="2">
        <v>11.464968152866241</v>
      </c>
      <c r="I125" s="2">
        <f t="shared" si="1"/>
        <v>103.2370501605636</v>
      </c>
      <c r="J125">
        <v>6</v>
      </c>
    </row>
    <row r="126" spans="1:10" x14ac:dyDescent="0.3">
      <c r="A126" t="s">
        <v>40</v>
      </c>
      <c r="B126" t="s">
        <v>23</v>
      </c>
      <c r="C126" s="4">
        <v>0.76500000000000001</v>
      </c>
      <c r="D126" s="4">
        <v>0.61247410899999999</v>
      </c>
      <c r="F126" s="4"/>
      <c r="G126" s="4"/>
      <c r="H126" s="2">
        <v>33.757961783439491</v>
      </c>
      <c r="I126" s="2">
        <f t="shared" si="1"/>
        <v>895.03973426241714</v>
      </c>
      <c r="J126">
        <v>10</v>
      </c>
    </row>
    <row r="127" spans="1:10" x14ac:dyDescent="0.3">
      <c r="A127" t="s">
        <v>43</v>
      </c>
      <c r="B127" t="s">
        <v>44</v>
      </c>
      <c r="C127" s="4">
        <v>0.54247040000000002</v>
      </c>
      <c r="D127" s="4">
        <v>0.54247042099999998</v>
      </c>
      <c r="F127" s="4"/>
      <c r="G127" s="4"/>
      <c r="H127" s="2">
        <v>2.5477707006369426</v>
      </c>
      <c r="I127" s="2">
        <f t="shared" si="1"/>
        <v>5.098125933854992</v>
      </c>
      <c r="J127">
        <v>4</v>
      </c>
    </row>
    <row r="128" spans="1:10" x14ac:dyDescent="0.3">
      <c r="A128" t="s">
        <v>43</v>
      </c>
      <c r="B128" t="s">
        <v>45</v>
      </c>
      <c r="C128" s="4">
        <v>0.81991655299999999</v>
      </c>
      <c r="D128" s="4">
        <v>0.72276027399999998</v>
      </c>
      <c r="F128" s="4"/>
      <c r="G128" s="4"/>
      <c r="H128" s="2">
        <v>4.4585987261146496</v>
      </c>
      <c r="I128" s="2">
        <f t="shared" si="1"/>
        <v>15.613010672430914</v>
      </c>
      <c r="J128">
        <v>4</v>
      </c>
    </row>
    <row r="129" spans="1:10" x14ac:dyDescent="0.3">
      <c r="A129" t="s">
        <v>43</v>
      </c>
      <c r="B129" t="s">
        <v>16</v>
      </c>
      <c r="C129" s="4">
        <v>0.89361000000000002</v>
      </c>
      <c r="D129" s="4">
        <v>0.61247410899999999</v>
      </c>
      <c r="F129" s="4"/>
      <c r="G129" s="4"/>
      <c r="H129" s="2">
        <v>8.7579617834394909</v>
      </c>
      <c r="I129" s="2">
        <f t="shared" si="1"/>
        <v>60.241527148091237</v>
      </c>
      <c r="J129">
        <v>6.5</v>
      </c>
    </row>
    <row r="130" spans="1:10" x14ac:dyDescent="0.3">
      <c r="A130" t="s">
        <v>43</v>
      </c>
      <c r="B130" t="s">
        <v>16</v>
      </c>
      <c r="C130" s="4">
        <v>0.89361000000000002</v>
      </c>
      <c r="D130" s="4">
        <v>0.61247410899999999</v>
      </c>
      <c r="F130" s="4"/>
      <c r="G130" s="4"/>
      <c r="H130" s="2">
        <v>3.121019108280255</v>
      </c>
      <c r="I130" s="2">
        <f t="shared" si="1"/>
        <v>7.65037522949115</v>
      </c>
      <c r="J130">
        <v>5</v>
      </c>
    </row>
    <row r="131" spans="1:10" x14ac:dyDescent="0.3">
      <c r="A131" t="s">
        <v>43</v>
      </c>
      <c r="B131" t="s">
        <v>16</v>
      </c>
      <c r="C131" s="4">
        <v>0.89361000000000002</v>
      </c>
      <c r="D131" s="4">
        <v>0.61247410899999999</v>
      </c>
      <c r="F131" s="4"/>
      <c r="G131" s="4"/>
      <c r="H131" s="2">
        <v>3.1847133757961781</v>
      </c>
      <c r="I131" s="2">
        <f t="shared" si="1"/>
        <v>7.9658217716484252</v>
      </c>
      <c r="J131">
        <v>4.5</v>
      </c>
    </row>
    <row r="132" spans="1:10" x14ac:dyDescent="0.3">
      <c r="A132" t="s">
        <v>43</v>
      </c>
      <c r="B132" t="s">
        <v>18</v>
      </c>
      <c r="C132" s="4">
        <v>0.45255480399999998</v>
      </c>
      <c r="D132" s="4">
        <v>0.57808694400000005</v>
      </c>
      <c r="F132" s="4"/>
      <c r="G132" s="4"/>
      <c r="H132" s="2">
        <v>43.630573248407643</v>
      </c>
      <c r="I132" s="2">
        <f t="shared" ref="I132:I216" si="2">PI()*(H132/2)^2</f>
        <v>1495.1050883206933</v>
      </c>
      <c r="J132">
        <v>8</v>
      </c>
    </row>
    <row r="133" spans="1:10" x14ac:dyDescent="0.3">
      <c r="A133" t="s">
        <v>43</v>
      </c>
      <c r="B133" t="s">
        <v>18</v>
      </c>
      <c r="C133" s="4">
        <v>0.45255480399999998</v>
      </c>
      <c r="D133" s="4">
        <v>0.57808694400000005</v>
      </c>
      <c r="F133" s="4"/>
      <c r="G133" s="4"/>
      <c r="H133" s="2">
        <v>28.980891719745223</v>
      </c>
      <c r="I133" s="2">
        <f t="shared" si="2"/>
        <v>659.64970091020621</v>
      </c>
      <c r="J133">
        <v>8</v>
      </c>
    </row>
    <row r="134" spans="1:10" x14ac:dyDescent="0.3">
      <c r="A134" t="s">
        <v>43</v>
      </c>
      <c r="B134" t="s">
        <v>20</v>
      </c>
      <c r="C134" s="4">
        <v>0.74387999999999999</v>
      </c>
      <c r="D134" s="4">
        <v>0.59130000000000005</v>
      </c>
      <c r="F134" s="4"/>
      <c r="G134" s="4"/>
      <c r="H134" s="2">
        <v>8.7579617834394909</v>
      </c>
      <c r="I134" s="2">
        <f t="shared" si="2"/>
        <v>60.241527148091237</v>
      </c>
      <c r="J134">
        <v>5</v>
      </c>
    </row>
    <row r="135" spans="1:10" x14ac:dyDescent="0.3">
      <c r="A135" t="s">
        <v>43</v>
      </c>
      <c r="B135" t="s">
        <v>20</v>
      </c>
      <c r="C135" s="4">
        <v>0.74387999999999999</v>
      </c>
      <c r="D135" s="4">
        <v>0.59130000000000005</v>
      </c>
      <c r="F135" s="4"/>
      <c r="G135" s="4"/>
      <c r="H135" s="2">
        <v>6.2101910828025479</v>
      </c>
      <c r="I135" s="2">
        <f t="shared" si="2"/>
        <v>30.290037286693146</v>
      </c>
      <c r="J135">
        <v>3.5</v>
      </c>
    </row>
    <row r="136" spans="1:10" x14ac:dyDescent="0.3">
      <c r="A136" t="s">
        <v>43</v>
      </c>
      <c r="B136" t="s">
        <v>46</v>
      </c>
      <c r="C136" s="4">
        <v>1.1200000000000001</v>
      </c>
      <c r="D136" s="4">
        <v>0.85527777800000004</v>
      </c>
      <c r="F136" s="4"/>
      <c r="G136" s="4"/>
      <c r="H136" s="2">
        <v>9.3949044585987256</v>
      </c>
      <c r="I136" s="2">
        <f t="shared" si="2"/>
        <v>69.322563967770421</v>
      </c>
      <c r="J136">
        <v>5</v>
      </c>
    </row>
    <row r="137" spans="1:10" x14ac:dyDescent="0.3">
      <c r="A137" t="s">
        <v>43</v>
      </c>
      <c r="B137" t="s">
        <v>33</v>
      </c>
      <c r="C137" s="4">
        <v>0.69835862100000001</v>
      </c>
      <c r="D137" s="4">
        <v>0.69262500000000005</v>
      </c>
      <c r="F137" s="4"/>
      <c r="G137" s="4"/>
      <c r="H137" s="2">
        <v>3.0254777070063694</v>
      </c>
      <c r="I137" s="2">
        <f t="shared" si="2"/>
        <v>7.1891541489127055</v>
      </c>
      <c r="J137">
        <v>4.5</v>
      </c>
    </row>
    <row r="138" spans="1:10" x14ac:dyDescent="0.3">
      <c r="A138" t="s">
        <v>43</v>
      </c>
      <c r="B138" t="s">
        <v>21</v>
      </c>
      <c r="C138" s="4">
        <v>0.66608171000000005</v>
      </c>
      <c r="D138" s="4">
        <v>0.68661666700000001</v>
      </c>
      <c r="F138" s="4"/>
      <c r="G138" s="4"/>
      <c r="H138" s="2">
        <v>11.783439490445859</v>
      </c>
      <c r="I138" s="2">
        <f t="shared" si="2"/>
        <v>109.05210005386697</v>
      </c>
      <c r="J138">
        <v>7</v>
      </c>
    </row>
    <row r="139" spans="1:10" x14ac:dyDescent="0.3">
      <c r="A139" t="s">
        <v>43</v>
      </c>
      <c r="B139" t="s">
        <v>21</v>
      </c>
      <c r="C139" s="4">
        <v>0.66608171000000005</v>
      </c>
      <c r="D139" s="4">
        <v>0.68661666700000001</v>
      </c>
      <c r="F139" s="4"/>
      <c r="G139" s="4"/>
      <c r="H139" s="2">
        <v>9.2356687898089174</v>
      </c>
      <c r="I139" s="2">
        <f t="shared" si="2"/>
        <v>66.992561099563275</v>
      </c>
      <c r="J139">
        <v>6</v>
      </c>
    </row>
    <row r="140" spans="1:10" x14ac:dyDescent="0.3">
      <c r="A140" t="s">
        <v>43</v>
      </c>
      <c r="B140" t="s">
        <v>22</v>
      </c>
      <c r="C140" s="4">
        <v>0.43836446099999998</v>
      </c>
      <c r="D140" s="4">
        <v>0.58666666700000003</v>
      </c>
      <c r="F140" s="4"/>
      <c r="G140" s="4"/>
      <c r="H140" s="2">
        <v>43.248407643312106</v>
      </c>
      <c r="I140" s="2">
        <f t="shared" si="2"/>
        <v>1469.0281741690251</v>
      </c>
      <c r="J140">
        <v>8</v>
      </c>
    </row>
    <row r="141" spans="1:10" x14ac:dyDescent="0.3">
      <c r="A141" t="s">
        <v>43</v>
      </c>
      <c r="B141" t="s">
        <v>22</v>
      </c>
      <c r="C141" s="4">
        <v>0.43836446099999998</v>
      </c>
      <c r="D141" s="4">
        <v>0.58666666700000003</v>
      </c>
      <c r="F141" s="4"/>
      <c r="G141" s="4"/>
      <c r="H141" s="2">
        <v>43.949044585987259</v>
      </c>
      <c r="I141" s="2">
        <f t="shared" si="2"/>
        <v>1517.0110981927262</v>
      </c>
      <c r="J141">
        <v>8</v>
      </c>
    </row>
    <row r="142" spans="1:10" x14ac:dyDescent="0.3">
      <c r="A142" t="s">
        <v>43</v>
      </c>
      <c r="B142" t="s">
        <v>22</v>
      </c>
      <c r="C142" s="4">
        <v>0.43836446099999998</v>
      </c>
      <c r="D142" s="4">
        <v>0.58666666700000003</v>
      </c>
      <c r="F142" s="4"/>
      <c r="G142" s="4"/>
      <c r="H142" s="2">
        <v>32.675159235668787</v>
      </c>
      <c r="I142" s="2">
        <f t="shared" si="2"/>
        <v>838.54293992917769</v>
      </c>
      <c r="J142">
        <v>8</v>
      </c>
    </row>
    <row r="143" spans="1:10" x14ac:dyDescent="0.3">
      <c r="A143" t="s">
        <v>43</v>
      </c>
      <c r="B143" t="s">
        <v>22</v>
      </c>
      <c r="C143" s="4">
        <v>0.43836446099999998</v>
      </c>
      <c r="D143" s="4">
        <v>0.58666666700000003</v>
      </c>
      <c r="F143" s="4"/>
      <c r="G143" s="4"/>
      <c r="H143" s="2">
        <v>14.968152866242038</v>
      </c>
      <c r="I143" s="2">
        <f t="shared" si="2"/>
        <v>175.96500293571373</v>
      </c>
      <c r="J143">
        <v>6.5</v>
      </c>
    </row>
    <row r="144" spans="1:10" x14ac:dyDescent="0.3">
      <c r="A144" t="s">
        <v>43</v>
      </c>
      <c r="B144" t="s">
        <v>47</v>
      </c>
      <c r="C144" s="4">
        <v>0.40238543599999999</v>
      </c>
      <c r="D144" s="4">
        <v>0.40883333300000002</v>
      </c>
      <c r="F144" s="4"/>
      <c r="G144" s="4"/>
      <c r="H144" s="2">
        <v>16.242038216560509</v>
      </c>
      <c r="I144" s="2">
        <f t="shared" si="2"/>
        <v>207.19102428057556</v>
      </c>
      <c r="J144">
        <v>12</v>
      </c>
    </row>
    <row r="145" spans="1:10" x14ac:dyDescent="0.3">
      <c r="A145" t="s">
        <v>43</v>
      </c>
      <c r="B145" t="s">
        <v>23</v>
      </c>
      <c r="C145" s="4">
        <v>0.76500000000000001</v>
      </c>
      <c r="D145" s="4">
        <v>0.61247410899999999</v>
      </c>
      <c r="F145" s="4"/>
      <c r="G145" s="4"/>
      <c r="H145" s="2">
        <v>18.312101910828027</v>
      </c>
      <c r="I145" s="2">
        <f t="shared" si="2"/>
        <v>263.3699823251261</v>
      </c>
      <c r="J145">
        <v>9</v>
      </c>
    </row>
    <row r="146" spans="1:10" x14ac:dyDescent="0.3">
      <c r="A146" t="s">
        <v>43</v>
      </c>
      <c r="B146" t="s">
        <v>24</v>
      </c>
      <c r="C146" s="4">
        <v>0.41240947999999999</v>
      </c>
      <c r="D146" s="4">
        <v>0.52705000000000002</v>
      </c>
      <c r="F146" s="4"/>
      <c r="G146" s="4"/>
      <c r="H146" s="2">
        <v>10.031847133757962</v>
      </c>
      <c r="I146" s="2">
        <f t="shared" si="2"/>
        <v>79.040866529181514</v>
      </c>
      <c r="J146">
        <v>7</v>
      </c>
    </row>
    <row r="147" spans="1:10" x14ac:dyDescent="0.3">
      <c r="A147" t="s">
        <v>43</v>
      </c>
      <c r="B147" t="s">
        <v>24</v>
      </c>
      <c r="C147" s="4">
        <v>0.41240947999999999</v>
      </c>
      <c r="D147" s="4">
        <v>0.52705000000000002</v>
      </c>
      <c r="F147" s="4"/>
      <c r="G147" s="4"/>
      <c r="H147" s="2">
        <v>8.1210191082802545</v>
      </c>
      <c r="I147" s="2">
        <f t="shared" si="2"/>
        <v>51.79775607014389</v>
      </c>
      <c r="J147">
        <v>6.5</v>
      </c>
    </row>
    <row r="148" spans="1:10" x14ac:dyDescent="0.3">
      <c r="A148" t="s">
        <v>43</v>
      </c>
      <c r="B148" t="s">
        <v>24</v>
      </c>
      <c r="C148" s="4">
        <v>0.41240947999999999</v>
      </c>
      <c r="D148" s="4">
        <v>0.52705000000000002</v>
      </c>
      <c r="F148" s="4"/>
      <c r="G148" s="4"/>
      <c r="H148" s="2">
        <v>7.9617834394904454</v>
      </c>
      <c r="I148" s="2">
        <f t="shared" si="2"/>
        <v>49.786386072802657</v>
      </c>
      <c r="J148">
        <v>6</v>
      </c>
    </row>
    <row r="149" spans="1:10" x14ac:dyDescent="0.3">
      <c r="A149" t="s">
        <v>43</v>
      </c>
      <c r="B149" t="s">
        <v>24</v>
      </c>
      <c r="C149" s="4">
        <v>0.41240947999999999</v>
      </c>
      <c r="D149" s="4">
        <v>0.52705000000000002</v>
      </c>
      <c r="F149" s="4"/>
      <c r="G149" s="4"/>
      <c r="H149" s="2">
        <v>4.2993630573248405</v>
      </c>
      <c r="I149" s="2">
        <f t="shared" si="2"/>
        <v>14.517710178829255</v>
      </c>
      <c r="J149">
        <v>4.5</v>
      </c>
    </row>
    <row r="150" spans="1:10" x14ac:dyDescent="0.3">
      <c r="A150" t="s">
        <v>48</v>
      </c>
      <c r="B150" t="s">
        <v>14</v>
      </c>
      <c r="C150" s="4">
        <v>0.766138345</v>
      </c>
      <c r="D150" s="4">
        <v>0.90500000000000003</v>
      </c>
      <c r="F150" s="4"/>
      <c r="G150" s="4"/>
      <c r="H150" s="2">
        <v>3.5031847133757958</v>
      </c>
      <c r="I150" s="2">
        <f t="shared" si="2"/>
        <v>9.6386443436945939</v>
      </c>
      <c r="J150">
        <v>5</v>
      </c>
    </row>
    <row r="151" spans="1:10" x14ac:dyDescent="0.3">
      <c r="A151" t="s">
        <v>48</v>
      </c>
      <c r="B151" t="s">
        <v>14</v>
      </c>
      <c r="C151" s="4">
        <v>0.766138345</v>
      </c>
      <c r="D151" s="4">
        <v>0.90500000000000003</v>
      </c>
      <c r="F151" s="4"/>
      <c r="G151" s="4"/>
      <c r="H151" s="2">
        <v>5.3184713375796173</v>
      </c>
      <c r="I151" s="2">
        <f t="shared" si="2"/>
        <v>22.215880338950296</v>
      </c>
      <c r="J151">
        <v>4</v>
      </c>
    </row>
    <row r="152" spans="1:10" x14ac:dyDescent="0.3">
      <c r="A152" t="s">
        <v>48</v>
      </c>
      <c r="B152" t="s">
        <v>44</v>
      </c>
      <c r="C152" s="4">
        <v>0.54247040000000002</v>
      </c>
      <c r="D152" s="4">
        <v>0.54247042099999998</v>
      </c>
      <c r="F152" s="4"/>
      <c r="G152" s="4"/>
      <c r="H152" s="2">
        <v>4.7770700636942669</v>
      </c>
      <c r="I152" s="2">
        <f t="shared" si="2"/>
        <v>17.923098986208956</v>
      </c>
      <c r="J152">
        <v>3</v>
      </c>
    </row>
    <row r="153" spans="1:10" x14ac:dyDescent="0.3">
      <c r="A153" t="s">
        <v>48</v>
      </c>
      <c r="B153" t="s">
        <v>44</v>
      </c>
      <c r="C153" s="4">
        <v>0.54247040000000002</v>
      </c>
      <c r="D153" s="4">
        <v>0.54247042099999998</v>
      </c>
      <c r="F153" s="4"/>
      <c r="G153" s="4"/>
      <c r="H153" s="2">
        <v>3.9808917197452227</v>
      </c>
      <c r="I153" s="2">
        <f t="shared" si="2"/>
        <v>12.446596518200664</v>
      </c>
      <c r="J153">
        <v>2.2999999999999998</v>
      </c>
    </row>
    <row r="154" spans="1:10" x14ac:dyDescent="0.3">
      <c r="A154" t="s">
        <v>48</v>
      </c>
      <c r="B154" t="s">
        <v>16</v>
      </c>
      <c r="C154" s="4">
        <v>0.89361000000000002</v>
      </c>
      <c r="D154" s="4">
        <v>0.61247410899999999</v>
      </c>
      <c r="F154" s="4"/>
      <c r="G154" s="4"/>
      <c r="H154" s="2">
        <v>2.7070063694267517</v>
      </c>
      <c r="I154" s="2">
        <f t="shared" si="2"/>
        <v>5.7553062300159885</v>
      </c>
      <c r="J154">
        <v>6</v>
      </c>
    </row>
    <row r="155" spans="1:10" x14ac:dyDescent="0.3">
      <c r="A155" t="s">
        <v>48</v>
      </c>
      <c r="B155" t="s">
        <v>17</v>
      </c>
      <c r="C155" s="4">
        <v>0.708787469</v>
      </c>
      <c r="D155" s="4">
        <v>0.80167708299999996</v>
      </c>
      <c r="F155" s="4"/>
      <c r="G155" s="4"/>
      <c r="H155" s="2">
        <v>3.5031847133757958</v>
      </c>
      <c r="I155" s="2">
        <f t="shared" si="2"/>
        <v>9.6386443436945939</v>
      </c>
      <c r="J155">
        <v>5</v>
      </c>
    </row>
    <row r="156" spans="1:10" x14ac:dyDescent="0.3">
      <c r="A156" t="s">
        <v>48</v>
      </c>
      <c r="B156" t="s">
        <v>17</v>
      </c>
      <c r="C156" s="4">
        <v>0.708787469</v>
      </c>
      <c r="D156" s="4">
        <v>0.80167708299999996</v>
      </c>
      <c r="F156" s="4"/>
      <c r="G156" s="4"/>
      <c r="H156" s="2">
        <v>3.5031847133757958</v>
      </c>
      <c r="I156" s="2">
        <f t="shared" si="2"/>
        <v>9.6386443436945939</v>
      </c>
      <c r="J156">
        <v>4</v>
      </c>
    </row>
    <row r="157" spans="1:10" x14ac:dyDescent="0.3">
      <c r="A157" t="s">
        <v>48</v>
      </c>
      <c r="B157" t="s">
        <v>18</v>
      </c>
      <c r="C157" s="4">
        <v>0.45255480399999998</v>
      </c>
      <c r="D157" s="4">
        <v>0.57808694400000005</v>
      </c>
      <c r="F157" s="4"/>
      <c r="G157" s="4"/>
      <c r="H157" s="2">
        <v>57.00636942675159</v>
      </c>
      <c r="I157" s="2">
        <f t="shared" si="2"/>
        <v>2552.3289538538725</v>
      </c>
      <c r="J157">
        <v>9</v>
      </c>
    </row>
    <row r="158" spans="1:10" x14ac:dyDescent="0.3">
      <c r="A158" t="s">
        <v>48</v>
      </c>
      <c r="B158" t="s">
        <v>18</v>
      </c>
      <c r="C158" s="4">
        <v>0.45255480399999998</v>
      </c>
      <c r="D158" s="4">
        <v>0.57808694400000005</v>
      </c>
      <c r="F158" s="4"/>
      <c r="G158" s="4"/>
      <c r="H158" s="2">
        <v>25.796178343949045</v>
      </c>
      <c r="I158" s="2">
        <f t="shared" si="2"/>
        <v>522.63756643785325</v>
      </c>
      <c r="J158">
        <v>9</v>
      </c>
    </row>
    <row r="159" spans="1:10" x14ac:dyDescent="0.3">
      <c r="A159" t="s">
        <v>48</v>
      </c>
      <c r="B159" t="s">
        <v>18</v>
      </c>
      <c r="C159" s="4">
        <v>0.45255480399999998</v>
      </c>
      <c r="D159" s="4">
        <v>0.57808694400000005</v>
      </c>
      <c r="F159" s="4"/>
      <c r="G159" s="4"/>
      <c r="H159" s="2">
        <v>19.585987261146496</v>
      </c>
      <c r="I159" s="2">
        <f t="shared" si="2"/>
        <v>301.2872939581726</v>
      </c>
      <c r="J159">
        <v>8.5</v>
      </c>
    </row>
    <row r="160" spans="1:10" x14ac:dyDescent="0.3">
      <c r="A160" t="s">
        <v>48</v>
      </c>
      <c r="B160" t="s">
        <v>18</v>
      </c>
      <c r="C160" s="4">
        <v>0.45255480399999998</v>
      </c>
      <c r="D160" s="4">
        <v>0.57808694400000005</v>
      </c>
      <c r="F160" s="4"/>
      <c r="G160" s="4"/>
      <c r="H160" s="2">
        <v>48.726114649681527</v>
      </c>
      <c r="I160" s="2">
        <f t="shared" si="2"/>
        <v>1864.7192185251802</v>
      </c>
      <c r="J160">
        <v>8</v>
      </c>
    </row>
    <row r="161" spans="1:10" x14ac:dyDescent="0.3">
      <c r="A161" t="s">
        <v>48</v>
      </c>
      <c r="B161" t="s">
        <v>18</v>
      </c>
      <c r="C161" s="4">
        <v>0.45255480399999998</v>
      </c>
      <c r="D161" s="4">
        <v>0.57808694400000005</v>
      </c>
      <c r="F161" s="4"/>
      <c r="G161" s="4"/>
      <c r="H161" s="2">
        <v>28.821656050955411</v>
      </c>
      <c r="I161" s="2">
        <f t="shared" si="2"/>
        <v>652.42071765243509</v>
      </c>
      <c r="J161">
        <v>7</v>
      </c>
    </row>
    <row r="162" spans="1:10" x14ac:dyDescent="0.3">
      <c r="A162" t="s">
        <v>48</v>
      </c>
      <c r="B162" t="s">
        <v>18</v>
      </c>
      <c r="C162" s="4">
        <v>0.45255480399999998</v>
      </c>
      <c r="D162" s="4">
        <v>0.57808694400000005</v>
      </c>
      <c r="F162" s="4"/>
      <c r="G162" s="4"/>
      <c r="H162" s="2">
        <v>4.6178343949044587</v>
      </c>
      <c r="I162" s="2">
        <f t="shared" si="2"/>
        <v>16.748140274890819</v>
      </c>
      <c r="J162">
        <v>6</v>
      </c>
    </row>
    <row r="163" spans="1:10" x14ac:dyDescent="0.3">
      <c r="A163" t="s">
        <v>48</v>
      </c>
      <c r="B163" t="s">
        <v>18</v>
      </c>
      <c r="C163" s="4">
        <v>0.45255480399999998</v>
      </c>
      <c r="D163" s="4">
        <v>0.57808694400000005</v>
      </c>
      <c r="F163" s="4"/>
      <c r="G163" s="4"/>
      <c r="H163" s="2">
        <v>33.375796178343947</v>
      </c>
      <c r="I163" s="2">
        <f t="shared" si="2"/>
        <v>874.88939150885528</v>
      </c>
      <c r="J163">
        <v>6</v>
      </c>
    </row>
    <row r="164" spans="1:10" x14ac:dyDescent="0.3">
      <c r="A164" t="s">
        <v>48</v>
      </c>
      <c r="B164" t="s">
        <v>18</v>
      </c>
      <c r="C164" s="4">
        <v>0.45255480399999998</v>
      </c>
      <c r="D164" s="4">
        <v>0.57808694400000005</v>
      </c>
      <c r="F164" s="4"/>
      <c r="G164" s="4"/>
      <c r="H164" s="2">
        <v>15.923566878980891</v>
      </c>
      <c r="I164" s="2">
        <f t="shared" si="2"/>
        <v>199.14554429121063</v>
      </c>
      <c r="J164">
        <v>5</v>
      </c>
    </row>
    <row r="165" spans="1:10" x14ac:dyDescent="0.3">
      <c r="A165" t="s">
        <v>48</v>
      </c>
      <c r="B165" t="s">
        <v>30</v>
      </c>
      <c r="C165" s="4">
        <v>0.372</v>
      </c>
      <c r="D165" s="4">
        <v>0.73247777800000002</v>
      </c>
      <c r="F165" s="4"/>
      <c r="G165" s="4"/>
      <c r="H165" s="2">
        <v>6.8471337579617835</v>
      </c>
      <c r="I165" s="2">
        <f t="shared" si="2"/>
        <v>36.822011139444854</v>
      </c>
      <c r="J165">
        <v>5</v>
      </c>
    </row>
    <row r="166" spans="1:10" x14ac:dyDescent="0.3">
      <c r="A166" t="s">
        <v>48</v>
      </c>
      <c r="B166" t="s">
        <v>30</v>
      </c>
      <c r="C166" s="4">
        <v>0.372</v>
      </c>
      <c r="D166" s="4">
        <v>0.73247777800000002</v>
      </c>
      <c r="F166" s="4"/>
      <c r="G166" s="4"/>
      <c r="H166" s="2">
        <v>12.420382165605096</v>
      </c>
      <c r="I166" s="2">
        <f t="shared" si="2"/>
        <v>121.16014914677258</v>
      </c>
      <c r="J166">
        <v>5</v>
      </c>
    </row>
    <row r="167" spans="1:10" x14ac:dyDescent="0.3">
      <c r="A167" t="s">
        <v>48</v>
      </c>
      <c r="B167" t="s">
        <v>20</v>
      </c>
      <c r="C167" s="4">
        <v>0.74387999999999999</v>
      </c>
      <c r="D167" s="4">
        <v>0.59130000000000005</v>
      </c>
      <c r="F167" s="4"/>
      <c r="G167" s="4"/>
      <c r="H167" s="2">
        <v>7.3248407643312099</v>
      </c>
      <c r="I167" s="2">
        <f t="shared" si="2"/>
        <v>42.139197172020175</v>
      </c>
      <c r="J167">
        <v>10</v>
      </c>
    </row>
    <row r="168" spans="1:10" x14ac:dyDescent="0.3">
      <c r="A168" t="s">
        <v>48</v>
      </c>
      <c r="B168" t="s">
        <v>20</v>
      </c>
      <c r="C168" s="4">
        <v>0.74387999999999999</v>
      </c>
      <c r="D168" s="4">
        <v>0.59130000000000005</v>
      </c>
      <c r="F168" s="4"/>
      <c r="G168" s="4"/>
      <c r="H168" s="2">
        <v>5.4140127388535033</v>
      </c>
      <c r="I168" s="2">
        <f t="shared" si="2"/>
        <v>23.021224920063954</v>
      </c>
      <c r="J168">
        <v>8.5</v>
      </c>
    </row>
    <row r="169" spans="1:10" x14ac:dyDescent="0.3">
      <c r="A169" t="s">
        <v>48</v>
      </c>
      <c r="B169" t="s">
        <v>20</v>
      </c>
      <c r="C169" s="4">
        <v>0.74387999999999999</v>
      </c>
      <c r="D169" s="4">
        <v>0.59130000000000005</v>
      </c>
      <c r="F169" s="4"/>
      <c r="G169" s="4"/>
      <c r="H169" s="2">
        <v>3.5668789808917194</v>
      </c>
      <c r="I169" s="2">
        <f t="shared" si="2"/>
        <v>9.9923268303557844</v>
      </c>
      <c r="J169">
        <v>7</v>
      </c>
    </row>
    <row r="170" spans="1:10" x14ac:dyDescent="0.3">
      <c r="A170" t="s">
        <v>48</v>
      </c>
      <c r="B170" t="s">
        <v>20</v>
      </c>
      <c r="C170" s="4">
        <v>0.74387999999999999</v>
      </c>
      <c r="D170" s="4">
        <v>0.59130000000000005</v>
      </c>
      <c r="F170" s="4"/>
      <c r="G170" s="4"/>
      <c r="H170" s="2">
        <v>3.6624203821656049</v>
      </c>
      <c r="I170" s="2">
        <f t="shared" si="2"/>
        <v>10.534799293005044</v>
      </c>
      <c r="J170">
        <v>5</v>
      </c>
    </row>
    <row r="171" spans="1:10" x14ac:dyDescent="0.3">
      <c r="A171" t="s">
        <v>48</v>
      </c>
      <c r="B171" t="s">
        <v>27</v>
      </c>
      <c r="C171" s="4">
        <v>0.50857142899999996</v>
      </c>
      <c r="D171" s="4">
        <v>0.49666666700000001</v>
      </c>
      <c r="F171" s="4"/>
      <c r="G171" s="4"/>
      <c r="H171" s="2">
        <v>10.668789808917197</v>
      </c>
      <c r="I171" s="2">
        <f t="shared" si="2"/>
        <v>89.396434832324445</v>
      </c>
      <c r="J171">
        <v>10</v>
      </c>
    </row>
    <row r="172" spans="1:10" x14ac:dyDescent="0.3">
      <c r="A172" t="s">
        <v>48</v>
      </c>
      <c r="B172" t="s">
        <v>27</v>
      </c>
      <c r="C172" s="4">
        <v>0.50857142899999996</v>
      </c>
      <c r="D172" s="4">
        <v>0.49666666700000001</v>
      </c>
      <c r="F172" s="4"/>
      <c r="G172" s="4"/>
      <c r="H172" s="2">
        <v>13.375796178343949</v>
      </c>
      <c r="I172" s="2">
        <f t="shared" si="2"/>
        <v>140.51709605187824</v>
      </c>
      <c r="J172">
        <v>9</v>
      </c>
    </row>
    <row r="173" spans="1:10" x14ac:dyDescent="0.3">
      <c r="A173" t="s">
        <v>48</v>
      </c>
      <c r="B173" t="s">
        <v>22</v>
      </c>
      <c r="C173" s="4">
        <v>0.43836446099999998</v>
      </c>
      <c r="D173" s="4">
        <v>0.58666666700000003</v>
      </c>
      <c r="F173" s="4"/>
      <c r="G173" s="4"/>
      <c r="H173" s="2">
        <v>12.579617834394904</v>
      </c>
      <c r="I173" s="2">
        <f t="shared" si="2"/>
        <v>124.28673419214456</v>
      </c>
      <c r="J173">
        <v>7</v>
      </c>
    </row>
    <row r="174" spans="1:10" x14ac:dyDescent="0.3">
      <c r="A174" t="s">
        <v>48</v>
      </c>
      <c r="B174" t="s">
        <v>22</v>
      </c>
      <c r="C174" s="4">
        <v>0.43836446099999998</v>
      </c>
      <c r="D174" s="4">
        <v>0.58666666700000003</v>
      </c>
      <c r="F174" s="4"/>
      <c r="G174" s="4"/>
      <c r="H174" s="2">
        <v>14.808917197452228</v>
      </c>
      <c r="I174" s="2">
        <f t="shared" si="2"/>
        <v>172.24098125746809</v>
      </c>
      <c r="J174">
        <v>6</v>
      </c>
    </row>
    <row r="175" spans="1:10" x14ac:dyDescent="0.3">
      <c r="A175" t="s">
        <v>48</v>
      </c>
      <c r="B175" t="s">
        <v>22</v>
      </c>
      <c r="C175" s="4">
        <v>0.43836446099999998</v>
      </c>
      <c r="D175" s="4">
        <v>0.58666666700000003</v>
      </c>
      <c r="F175" s="4"/>
      <c r="G175" s="4"/>
      <c r="H175" s="2">
        <v>12.929936305732484</v>
      </c>
      <c r="I175" s="2">
        <f t="shared" si="2"/>
        <v>131.30541975514402</v>
      </c>
      <c r="J175">
        <v>6</v>
      </c>
    </row>
    <row r="176" spans="1:10" x14ac:dyDescent="0.3">
      <c r="A176" t="s">
        <v>48</v>
      </c>
      <c r="B176" t="s">
        <v>22</v>
      </c>
      <c r="C176" s="4">
        <v>0.43836446099999998</v>
      </c>
      <c r="D176" s="4">
        <v>0.58666666700000003</v>
      </c>
      <c r="F176" s="4"/>
      <c r="G176" s="4"/>
      <c r="H176" s="2">
        <v>3.121019108280255</v>
      </c>
      <c r="I176" s="2">
        <f t="shared" si="2"/>
        <v>7.65037522949115</v>
      </c>
      <c r="J176">
        <v>5.5</v>
      </c>
    </row>
    <row r="177" spans="1:10" x14ac:dyDescent="0.3">
      <c r="A177" t="s">
        <v>48</v>
      </c>
      <c r="B177" t="s">
        <v>22</v>
      </c>
      <c r="C177" s="4">
        <v>0.43836446099999998</v>
      </c>
      <c r="D177" s="4">
        <v>0.58666666700000003</v>
      </c>
      <c r="F177" s="4"/>
      <c r="G177" s="4"/>
      <c r="H177" s="2">
        <v>8.2802547770700627</v>
      </c>
      <c r="I177" s="2">
        <f t="shared" si="2"/>
        <v>53.848955176343352</v>
      </c>
      <c r="J177">
        <v>4.5</v>
      </c>
    </row>
    <row r="178" spans="1:10" x14ac:dyDescent="0.3">
      <c r="A178" t="s">
        <v>48</v>
      </c>
      <c r="B178" t="s">
        <v>47</v>
      </c>
      <c r="C178" s="4">
        <v>0.40238543599999999</v>
      </c>
      <c r="D178" s="4">
        <v>0.40883333300000002</v>
      </c>
      <c r="F178" s="4"/>
      <c r="G178" s="4"/>
      <c r="H178" s="2">
        <v>13.694267515923567</v>
      </c>
      <c r="I178" s="2">
        <f t="shared" si="2"/>
        <v>147.28804455777941</v>
      </c>
      <c r="J178">
        <v>8</v>
      </c>
    </row>
    <row r="179" spans="1:10" x14ac:dyDescent="0.3">
      <c r="A179" t="s">
        <v>48</v>
      </c>
      <c r="B179" t="s">
        <v>23</v>
      </c>
      <c r="C179" s="4">
        <v>0.76500000000000001</v>
      </c>
      <c r="D179" s="4">
        <v>0.61247410899999999</v>
      </c>
      <c r="F179" s="4"/>
      <c r="G179" s="4"/>
      <c r="H179" s="2">
        <v>18.630573248407643</v>
      </c>
      <c r="I179" s="2">
        <f t="shared" si="2"/>
        <v>272.61033558023826</v>
      </c>
      <c r="J179">
        <v>8</v>
      </c>
    </row>
    <row r="180" spans="1:10" x14ac:dyDescent="0.3">
      <c r="A180" t="s">
        <v>48</v>
      </c>
      <c r="B180" t="s">
        <v>49</v>
      </c>
      <c r="C180" s="4">
        <v>0.57917600000000002</v>
      </c>
      <c r="D180" s="4">
        <v>0.60285714300000004</v>
      </c>
      <c r="F180" s="4"/>
      <c r="G180" s="4"/>
      <c r="H180" s="2">
        <v>10.350318471337578</v>
      </c>
      <c r="I180" s="2">
        <f t="shared" si="2"/>
        <v>84.138992463036487</v>
      </c>
      <c r="J180">
        <v>6</v>
      </c>
    </row>
    <row r="181" spans="1:10" x14ac:dyDescent="0.3">
      <c r="A181" t="s">
        <v>48</v>
      </c>
      <c r="B181" t="s">
        <v>24</v>
      </c>
      <c r="C181" s="4">
        <v>0.41240947999999999</v>
      </c>
      <c r="D181" s="4">
        <v>0.52705000000000002</v>
      </c>
      <c r="F181" s="4"/>
      <c r="G181" s="4"/>
      <c r="H181" s="2">
        <v>8.4394904458598727</v>
      </c>
      <c r="I181" s="2">
        <f t="shared" si="2"/>
        <v>55.939983391401071</v>
      </c>
      <c r="J181">
        <v>7</v>
      </c>
    </row>
    <row r="182" spans="1:10" x14ac:dyDescent="0.3">
      <c r="A182" t="s">
        <v>48</v>
      </c>
      <c r="B182" t="s">
        <v>24</v>
      </c>
      <c r="C182" s="4">
        <v>0.41240947999999999</v>
      </c>
      <c r="D182" s="4">
        <v>0.52705000000000002</v>
      </c>
      <c r="F182" s="4"/>
      <c r="G182" s="4"/>
      <c r="H182" s="2">
        <v>4.6815286624203818</v>
      </c>
      <c r="I182" s="2">
        <f t="shared" si="2"/>
        <v>17.213344266355083</v>
      </c>
      <c r="J182">
        <v>6</v>
      </c>
    </row>
    <row r="183" spans="1:10" x14ac:dyDescent="0.3">
      <c r="A183" t="s">
        <v>48</v>
      </c>
      <c r="B183" t="s">
        <v>24</v>
      </c>
      <c r="C183" s="4">
        <v>0.41240947999999999</v>
      </c>
      <c r="D183" s="4">
        <v>0.52705000000000002</v>
      </c>
      <c r="F183" s="4"/>
      <c r="G183" s="4"/>
      <c r="H183" s="2">
        <v>3.7898089171974521</v>
      </c>
      <c r="I183" s="2">
        <f t="shared" si="2"/>
        <v>11.280400210831337</v>
      </c>
      <c r="J183">
        <v>6</v>
      </c>
    </row>
    <row r="184" spans="1:10" x14ac:dyDescent="0.3">
      <c r="A184" t="s">
        <v>48</v>
      </c>
      <c r="B184" t="s">
        <v>24</v>
      </c>
      <c r="C184" s="4">
        <v>0.41240947999999999</v>
      </c>
      <c r="D184" s="4">
        <v>0.52705000000000002</v>
      </c>
      <c r="F184" s="4"/>
      <c r="G184" s="4"/>
      <c r="H184" s="2">
        <v>4.936305732484076</v>
      </c>
      <c r="I184" s="2">
        <f t="shared" si="2"/>
        <v>19.137886806385342</v>
      </c>
      <c r="J184">
        <v>5</v>
      </c>
    </row>
    <row r="185" spans="1:10" x14ac:dyDescent="0.3">
      <c r="A185" t="s">
        <v>50</v>
      </c>
      <c r="B185" t="s">
        <v>51</v>
      </c>
      <c r="C185" s="4">
        <v>0.40257753800000001</v>
      </c>
      <c r="D185" s="4">
        <v>0.40843333300000001</v>
      </c>
      <c r="E185" s="18">
        <v>1</v>
      </c>
      <c r="F185" s="18">
        <v>1</v>
      </c>
      <c r="G185" s="17">
        <v>31.2</v>
      </c>
      <c r="H185" s="4">
        <f>G185/PI()</f>
        <v>9.9312684489342686</v>
      </c>
      <c r="I185" s="2">
        <f t="shared" si="2"/>
        <v>77.463893901687285</v>
      </c>
      <c r="J185">
        <v>7</v>
      </c>
    </row>
    <row r="186" spans="1:10" x14ac:dyDescent="0.3">
      <c r="A186" t="s">
        <v>50</v>
      </c>
      <c r="B186" t="s">
        <v>51</v>
      </c>
      <c r="C186" s="4"/>
      <c r="D186" s="4"/>
      <c r="E186" s="18">
        <v>1</v>
      </c>
      <c r="F186" s="18">
        <v>2</v>
      </c>
      <c r="G186" s="17">
        <v>14.3</v>
      </c>
      <c r="H186" s="4">
        <f>G186/PI()</f>
        <v>4.5518313724282073</v>
      </c>
      <c r="I186" s="2">
        <f t="shared" si="2"/>
        <v>16.272797156430844</v>
      </c>
      <c r="J186">
        <v>7</v>
      </c>
    </row>
    <row r="187" spans="1:10" x14ac:dyDescent="0.3">
      <c r="A187" t="s">
        <v>50</v>
      </c>
      <c r="B187" t="s">
        <v>51</v>
      </c>
      <c r="C187" s="4">
        <v>0.40257753800000001</v>
      </c>
      <c r="D187" s="4">
        <v>0.40843333300000001</v>
      </c>
      <c r="E187" s="18">
        <v>2</v>
      </c>
      <c r="F187" s="18">
        <v>1</v>
      </c>
      <c r="G187" s="4">
        <v>27.6</v>
      </c>
      <c r="H187" s="4">
        <f t="shared" ref="H187:H426" si="3">G187/PI()</f>
        <v>8.7853528586726242</v>
      </c>
      <c r="I187" s="2">
        <f t="shared" si="2"/>
        <v>60.618934724841118</v>
      </c>
      <c r="J187">
        <v>7</v>
      </c>
    </row>
    <row r="188" spans="1:10" x14ac:dyDescent="0.3">
      <c r="A188" t="s">
        <v>50</v>
      </c>
      <c r="B188" t="s">
        <v>26</v>
      </c>
      <c r="C188" s="4">
        <v>0.80908761900000004</v>
      </c>
      <c r="D188" s="4">
        <v>0.87473809499999999</v>
      </c>
      <c r="E188" s="18">
        <v>3</v>
      </c>
      <c r="F188" s="18">
        <v>1</v>
      </c>
      <c r="G188" s="4">
        <v>39.6</v>
      </c>
      <c r="H188" s="4">
        <f t="shared" si="3"/>
        <v>12.605071492878112</v>
      </c>
      <c r="I188" s="2">
        <f t="shared" si="2"/>
        <v>124.79020777949331</v>
      </c>
      <c r="J188">
        <v>8</v>
      </c>
    </row>
    <row r="189" spans="1:10" x14ac:dyDescent="0.3">
      <c r="A189" t="s">
        <v>50</v>
      </c>
      <c r="B189" t="s">
        <v>26</v>
      </c>
      <c r="C189" s="4"/>
      <c r="D189" s="4"/>
      <c r="E189" s="18">
        <v>3</v>
      </c>
      <c r="F189" s="18">
        <v>2</v>
      </c>
      <c r="G189" s="4">
        <v>31.5</v>
      </c>
      <c r="H189" s="4">
        <f t="shared" si="3"/>
        <v>10.026761414789407</v>
      </c>
      <c r="I189" s="2">
        <f t="shared" si="2"/>
        <v>78.960746141466586</v>
      </c>
      <c r="J189">
        <v>8</v>
      </c>
    </row>
    <row r="190" spans="1:10" x14ac:dyDescent="0.3">
      <c r="A190" t="s">
        <v>50</v>
      </c>
      <c r="B190" t="s">
        <v>52</v>
      </c>
      <c r="C190" s="4">
        <v>0.78445916699999996</v>
      </c>
      <c r="D190" s="4">
        <v>0.87841666699999998</v>
      </c>
      <c r="E190" s="18">
        <v>4</v>
      </c>
      <c r="F190" s="18">
        <v>1</v>
      </c>
      <c r="G190" s="4">
        <v>11.8</v>
      </c>
      <c r="H190" s="4">
        <f t="shared" si="3"/>
        <v>3.7560566569687301</v>
      </c>
      <c r="I190" s="2">
        <f t="shared" si="2"/>
        <v>11.080367138057753</v>
      </c>
      <c r="J190">
        <v>3.5</v>
      </c>
    </row>
    <row r="191" spans="1:10" x14ac:dyDescent="0.3">
      <c r="A191" t="s">
        <v>50</v>
      </c>
      <c r="B191" t="s">
        <v>53</v>
      </c>
      <c r="C191" s="4">
        <v>0.63206279899999995</v>
      </c>
      <c r="D191" s="4">
        <v>0.75690909100000003</v>
      </c>
      <c r="E191" s="18">
        <v>5</v>
      </c>
      <c r="F191" s="18">
        <v>1</v>
      </c>
      <c r="G191" s="4">
        <v>11.7</v>
      </c>
      <c r="H191" s="4">
        <f t="shared" si="3"/>
        <v>3.7242256683503507</v>
      </c>
      <c r="I191" s="2">
        <f t="shared" si="2"/>
        <v>10.893360079924774</v>
      </c>
      <c r="J191">
        <v>3</v>
      </c>
    </row>
    <row r="192" spans="1:10" x14ac:dyDescent="0.3">
      <c r="A192" t="s">
        <v>50</v>
      </c>
      <c r="B192" t="s">
        <v>54</v>
      </c>
      <c r="C192" s="4">
        <v>0.53</v>
      </c>
      <c r="D192" s="4">
        <v>0.54764999999999997</v>
      </c>
      <c r="E192" s="18">
        <v>6</v>
      </c>
      <c r="F192" s="18">
        <v>1</v>
      </c>
      <c r="G192" s="4">
        <v>25.3</v>
      </c>
      <c r="H192" s="4">
        <f t="shared" si="3"/>
        <v>8.0532401204499049</v>
      </c>
      <c r="I192" s="2">
        <f t="shared" si="2"/>
        <v>50.936743761845648</v>
      </c>
      <c r="J192">
        <v>5</v>
      </c>
    </row>
    <row r="193" spans="1:10" x14ac:dyDescent="0.3">
      <c r="A193" t="s">
        <v>50</v>
      </c>
      <c r="B193" t="s">
        <v>54</v>
      </c>
      <c r="C193" s="4"/>
      <c r="D193" s="4"/>
      <c r="E193" s="18">
        <v>6</v>
      </c>
      <c r="F193" s="18">
        <v>2</v>
      </c>
      <c r="G193" s="4">
        <v>14.5</v>
      </c>
      <c r="H193" s="4">
        <f t="shared" si="3"/>
        <v>4.6154933496649653</v>
      </c>
      <c r="I193" s="2">
        <f t="shared" si="2"/>
        <v>16.7311633925355</v>
      </c>
      <c r="J193">
        <v>5</v>
      </c>
    </row>
    <row r="194" spans="1:10" x14ac:dyDescent="0.3">
      <c r="A194" t="s">
        <v>50</v>
      </c>
      <c r="B194" t="s">
        <v>54</v>
      </c>
      <c r="C194" s="4"/>
      <c r="D194" s="4"/>
      <c r="E194" s="18">
        <v>6</v>
      </c>
      <c r="F194" s="18">
        <v>3</v>
      </c>
      <c r="G194" s="4">
        <v>16.600000000000001</v>
      </c>
      <c r="H194" s="4">
        <f t="shared" si="3"/>
        <v>5.2839441106509257</v>
      </c>
      <c r="I194" s="2">
        <f t="shared" si="2"/>
        <v>21.928368059201343</v>
      </c>
      <c r="J194">
        <v>5</v>
      </c>
    </row>
    <row r="195" spans="1:10" x14ac:dyDescent="0.3">
      <c r="A195" t="s">
        <v>50</v>
      </c>
      <c r="B195" t="s">
        <v>54</v>
      </c>
      <c r="C195" s="4"/>
      <c r="D195" s="4"/>
      <c r="E195" s="18">
        <v>6</v>
      </c>
      <c r="F195" s="18">
        <v>4</v>
      </c>
      <c r="G195" s="4">
        <v>20</v>
      </c>
      <c r="H195" s="4">
        <f t="shared" si="3"/>
        <v>6.366197723675814</v>
      </c>
      <c r="I195" s="2">
        <f t="shared" si="2"/>
        <v>31.830988618379074</v>
      </c>
      <c r="J195">
        <v>5</v>
      </c>
    </row>
    <row r="196" spans="1:10" x14ac:dyDescent="0.3">
      <c r="A196" t="s">
        <v>50</v>
      </c>
      <c r="B196" t="s">
        <v>55</v>
      </c>
      <c r="C196" s="4">
        <v>0.52500000000000002</v>
      </c>
      <c r="D196" s="4">
        <v>0.52500000000000002</v>
      </c>
      <c r="E196" s="18">
        <v>7</v>
      </c>
      <c r="F196" s="18">
        <v>1</v>
      </c>
      <c r="G196" s="4">
        <v>25.6</v>
      </c>
      <c r="H196" s="4">
        <f t="shared" si="3"/>
        <v>8.1487330863050413</v>
      </c>
      <c r="I196" s="2">
        <f t="shared" si="2"/>
        <v>52.151891752352263</v>
      </c>
      <c r="J196">
        <v>5</v>
      </c>
    </row>
    <row r="197" spans="1:10" x14ac:dyDescent="0.3">
      <c r="A197" t="s">
        <v>50</v>
      </c>
      <c r="B197" t="s">
        <v>55</v>
      </c>
      <c r="C197" s="4">
        <v>0.52500000000000002</v>
      </c>
      <c r="D197" s="4">
        <v>0.52500000000000002</v>
      </c>
      <c r="E197" s="18">
        <v>7</v>
      </c>
      <c r="F197" s="18">
        <v>2</v>
      </c>
      <c r="G197" s="4">
        <v>18.7</v>
      </c>
      <c r="H197" s="4">
        <f t="shared" si="3"/>
        <v>5.9523948716368853</v>
      </c>
      <c r="I197" s="2">
        <f t="shared" si="2"/>
        <v>27.827446024902439</v>
      </c>
      <c r="J197">
        <v>5</v>
      </c>
    </row>
    <row r="198" spans="1:10" x14ac:dyDescent="0.3">
      <c r="A198" t="s">
        <v>50</v>
      </c>
      <c r="B198" t="s">
        <v>55</v>
      </c>
      <c r="C198" s="4">
        <v>0.52500000000000002</v>
      </c>
      <c r="D198" s="4">
        <v>0.52500000000000002</v>
      </c>
      <c r="E198" s="18">
        <v>8</v>
      </c>
      <c r="F198" s="18">
        <v>1</v>
      </c>
      <c r="G198" s="4">
        <v>16.2</v>
      </c>
      <c r="H198" s="4">
        <f t="shared" si="3"/>
        <v>5.156620156177409</v>
      </c>
      <c r="I198" s="2">
        <f t="shared" si="2"/>
        <v>20.884311632518507</v>
      </c>
      <c r="J198">
        <v>5</v>
      </c>
    </row>
    <row r="199" spans="1:10" x14ac:dyDescent="0.3">
      <c r="A199" t="s">
        <v>50</v>
      </c>
      <c r="B199" t="s">
        <v>55</v>
      </c>
      <c r="C199" s="4">
        <v>0.52500000000000002</v>
      </c>
      <c r="D199" s="4">
        <v>0.52500000000000002</v>
      </c>
      <c r="E199" s="18">
        <v>8</v>
      </c>
      <c r="F199" s="18">
        <v>2</v>
      </c>
      <c r="G199" s="4">
        <v>33.4</v>
      </c>
      <c r="H199" s="4">
        <f t="shared" si="3"/>
        <v>10.631550198538608</v>
      </c>
      <c r="I199" s="2">
        <f t="shared" si="2"/>
        <v>88.773444157797371</v>
      </c>
      <c r="J199">
        <v>5</v>
      </c>
    </row>
    <row r="200" spans="1:10" x14ac:dyDescent="0.3">
      <c r="A200" t="s">
        <v>50</v>
      </c>
      <c r="B200" t="s">
        <v>55</v>
      </c>
      <c r="C200" s="4">
        <v>0.52500000000000002</v>
      </c>
      <c r="D200" s="4">
        <v>0.52500000000000002</v>
      </c>
      <c r="E200" s="18">
        <v>8</v>
      </c>
      <c r="F200" s="18">
        <v>3</v>
      </c>
      <c r="G200" s="4">
        <v>19.3</v>
      </c>
      <c r="H200" s="4">
        <f t="shared" si="3"/>
        <v>6.1433808033471609</v>
      </c>
      <c r="I200" s="2">
        <f t="shared" si="2"/>
        <v>29.641812376150053</v>
      </c>
      <c r="J200">
        <v>5</v>
      </c>
    </row>
    <row r="201" spans="1:10" x14ac:dyDescent="0.3">
      <c r="A201" t="s">
        <v>50</v>
      </c>
      <c r="B201" t="s">
        <v>55</v>
      </c>
      <c r="C201" s="4">
        <v>0.52500000000000002</v>
      </c>
      <c r="D201" s="4">
        <v>0.52500000000000002</v>
      </c>
      <c r="E201" s="18">
        <v>8</v>
      </c>
      <c r="F201" s="18">
        <v>4</v>
      </c>
      <c r="G201" s="4">
        <v>17.5</v>
      </c>
      <c r="H201" s="4">
        <f t="shared" si="3"/>
        <v>5.5704230082163368</v>
      </c>
      <c r="I201" s="2">
        <f t="shared" si="2"/>
        <v>24.370600660946472</v>
      </c>
      <c r="J201">
        <v>5</v>
      </c>
    </row>
    <row r="202" spans="1:10" x14ac:dyDescent="0.3">
      <c r="A202" t="s">
        <v>50</v>
      </c>
      <c r="B202" t="s">
        <v>55</v>
      </c>
      <c r="C202" s="4">
        <v>0.52500000000000002</v>
      </c>
      <c r="D202" s="4">
        <v>0.52500000000000002</v>
      </c>
      <c r="E202" s="18">
        <v>8</v>
      </c>
      <c r="F202" s="18">
        <v>5</v>
      </c>
      <c r="G202" s="4">
        <v>13.2</v>
      </c>
      <c r="H202" s="4">
        <f t="shared" si="3"/>
        <v>4.2016904976260365</v>
      </c>
      <c r="I202" s="2">
        <f t="shared" si="2"/>
        <v>13.865578642165918</v>
      </c>
      <c r="J202">
        <v>5</v>
      </c>
    </row>
    <row r="203" spans="1:10" x14ac:dyDescent="0.3">
      <c r="A203" t="s">
        <v>50</v>
      </c>
      <c r="B203" t="s">
        <v>55</v>
      </c>
      <c r="C203" s="4">
        <v>0.52500000000000002</v>
      </c>
      <c r="D203" s="4">
        <v>0.52500000000000002</v>
      </c>
      <c r="E203" s="18">
        <v>8</v>
      </c>
      <c r="F203" s="18">
        <v>6</v>
      </c>
      <c r="G203" s="4">
        <v>16.7</v>
      </c>
      <c r="H203" s="4">
        <f t="shared" si="3"/>
        <v>5.3157750992693042</v>
      </c>
      <c r="I203" s="2">
        <f t="shared" si="2"/>
        <v>22.193361039449343</v>
      </c>
      <c r="J203">
        <v>5</v>
      </c>
    </row>
    <row r="204" spans="1:10" x14ac:dyDescent="0.3">
      <c r="A204" t="s">
        <v>50</v>
      </c>
      <c r="B204" t="s">
        <v>55</v>
      </c>
      <c r="C204" s="4">
        <v>0.52500000000000002</v>
      </c>
      <c r="D204" s="4">
        <v>0.52500000000000002</v>
      </c>
      <c r="E204" s="18">
        <v>8</v>
      </c>
      <c r="F204" s="18">
        <v>7</v>
      </c>
      <c r="G204" s="4">
        <v>18.2</v>
      </c>
      <c r="H204" s="4">
        <f t="shared" si="3"/>
        <v>5.79323992854499</v>
      </c>
      <c r="I204" s="2">
        <f t="shared" si="2"/>
        <v>26.359241674879701</v>
      </c>
      <c r="J204">
        <v>5</v>
      </c>
    </row>
    <row r="205" spans="1:10" x14ac:dyDescent="0.3">
      <c r="A205" t="s">
        <v>50</v>
      </c>
      <c r="B205" t="s">
        <v>56</v>
      </c>
      <c r="C205" s="4">
        <v>0.39984676499999999</v>
      </c>
      <c r="D205" s="4">
        <v>0.450333333</v>
      </c>
      <c r="E205" s="18">
        <v>9</v>
      </c>
      <c r="F205" s="18">
        <v>1</v>
      </c>
      <c r="G205" s="4">
        <v>53.6</v>
      </c>
      <c r="H205" s="4">
        <f t="shared" si="3"/>
        <v>17.061409899451181</v>
      </c>
      <c r="I205" s="2">
        <f t="shared" si="2"/>
        <v>228.62289265264585</v>
      </c>
      <c r="J205">
        <v>7</v>
      </c>
    </row>
    <row r="206" spans="1:10" x14ac:dyDescent="0.3">
      <c r="A206" t="s">
        <v>50</v>
      </c>
      <c r="B206" t="s">
        <v>57</v>
      </c>
      <c r="C206" s="4">
        <v>0.61</v>
      </c>
      <c r="D206" s="4">
        <v>0.84088888900000003</v>
      </c>
      <c r="E206" s="18">
        <v>10</v>
      </c>
      <c r="F206" s="18">
        <v>1</v>
      </c>
      <c r="G206" s="4">
        <v>16.7</v>
      </c>
      <c r="H206" s="4">
        <f t="shared" si="3"/>
        <v>5.3157750992693042</v>
      </c>
      <c r="I206" s="2">
        <f t="shared" si="2"/>
        <v>22.193361039449343</v>
      </c>
      <c r="J206">
        <v>6.5</v>
      </c>
    </row>
    <row r="207" spans="1:10" x14ac:dyDescent="0.3">
      <c r="A207" t="s">
        <v>50</v>
      </c>
      <c r="B207" t="s">
        <v>57</v>
      </c>
      <c r="C207" s="4">
        <v>0.61</v>
      </c>
      <c r="D207" s="4">
        <v>0.84088888900000003</v>
      </c>
      <c r="E207" s="18">
        <v>10</v>
      </c>
      <c r="F207" s="18">
        <v>2</v>
      </c>
      <c r="G207" s="4">
        <v>11.2</v>
      </c>
      <c r="H207" s="4">
        <f t="shared" si="3"/>
        <v>3.5650707252584555</v>
      </c>
      <c r="I207" s="2">
        <f t="shared" si="2"/>
        <v>9.9821980307236746</v>
      </c>
      <c r="J207">
        <v>6.5</v>
      </c>
    </row>
    <row r="208" spans="1:10" x14ac:dyDescent="0.3">
      <c r="A208" t="s">
        <v>50</v>
      </c>
      <c r="B208" t="s">
        <v>57</v>
      </c>
      <c r="C208" s="4">
        <v>0.61</v>
      </c>
      <c r="D208" s="4">
        <v>0.84088888900000003</v>
      </c>
      <c r="E208" s="18">
        <v>10</v>
      </c>
      <c r="F208" s="18">
        <v>3</v>
      </c>
      <c r="G208" s="4">
        <v>13.5</v>
      </c>
      <c r="H208" s="4">
        <f t="shared" si="3"/>
        <v>4.2971834634811739</v>
      </c>
      <c r="I208" s="2">
        <f t="shared" si="2"/>
        <v>14.502994189248961</v>
      </c>
      <c r="J208">
        <v>6.5</v>
      </c>
    </row>
    <row r="209" spans="1:10" x14ac:dyDescent="0.3">
      <c r="A209" t="s">
        <v>50</v>
      </c>
      <c r="B209" t="s">
        <v>57</v>
      </c>
      <c r="C209" s="4">
        <v>0.61</v>
      </c>
      <c r="D209" s="4">
        <v>0.84088888900000003</v>
      </c>
      <c r="E209" s="18">
        <v>10</v>
      </c>
      <c r="F209" s="18">
        <v>4</v>
      </c>
      <c r="G209" s="4">
        <v>17.2</v>
      </c>
      <c r="H209" s="4">
        <f t="shared" si="3"/>
        <v>5.4749300423611995</v>
      </c>
      <c r="I209" s="2">
        <f t="shared" si="2"/>
        <v>23.542199182153158</v>
      </c>
      <c r="J209">
        <v>6.5</v>
      </c>
    </row>
    <row r="210" spans="1:10" x14ac:dyDescent="0.3">
      <c r="A210" t="s">
        <v>50</v>
      </c>
      <c r="B210" t="s">
        <v>57</v>
      </c>
      <c r="C210" s="4">
        <v>0.61</v>
      </c>
      <c r="D210" s="4">
        <v>0.84088888900000003</v>
      </c>
      <c r="E210" s="18">
        <v>10</v>
      </c>
      <c r="F210" s="18">
        <v>5</v>
      </c>
      <c r="G210" s="4">
        <v>24.3</v>
      </c>
      <c r="H210" s="4">
        <f t="shared" si="3"/>
        <v>7.7349302342661135</v>
      </c>
      <c r="I210" s="2">
        <f t="shared" si="2"/>
        <v>46.989701173166644</v>
      </c>
      <c r="J210">
        <v>6.5</v>
      </c>
    </row>
    <row r="211" spans="1:10" x14ac:dyDescent="0.3">
      <c r="A211" t="s">
        <v>50</v>
      </c>
      <c r="B211" t="s">
        <v>57</v>
      </c>
      <c r="C211" s="4">
        <v>0.61</v>
      </c>
      <c r="D211" s="4">
        <v>0.84088888900000003</v>
      </c>
      <c r="E211" s="18">
        <v>10</v>
      </c>
      <c r="F211" s="18">
        <v>6</v>
      </c>
      <c r="G211" s="4">
        <v>17.5</v>
      </c>
      <c r="H211" s="4">
        <f t="shared" si="3"/>
        <v>5.5704230082163368</v>
      </c>
      <c r="I211" s="2">
        <f t="shared" si="2"/>
        <v>24.370600660946472</v>
      </c>
      <c r="J211">
        <v>6.5</v>
      </c>
    </row>
    <row r="212" spans="1:10" x14ac:dyDescent="0.3">
      <c r="A212" t="s">
        <v>50</v>
      </c>
      <c r="B212" t="s">
        <v>57</v>
      </c>
      <c r="C212" s="4">
        <v>0.61</v>
      </c>
      <c r="D212" s="4">
        <v>0.84088888900000003</v>
      </c>
      <c r="E212" s="18">
        <v>10</v>
      </c>
      <c r="F212" s="18">
        <v>7</v>
      </c>
      <c r="G212" s="4">
        <v>19.7</v>
      </c>
      <c r="H212" s="4">
        <f t="shared" si="3"/>
        <v>6.2707047578206758</v>
      </c>
      <c r="I212" s="2">
        <f t="shared" si="2"/>
        <v>30.883220932266823</v>
      </c>
      <c r="J212">
        <v>6.5</v>
      </c>
    </row>
    <row r="213" spans="1:10" x14ac:dyDescent="0.3">
      <c r="A213" t="s">
        <v>50</v>
      </c>
      <c r="B213" t="s">
        <v>57</v>
      </c>
      <c r="C213" s="4">
        <v>0.61</v>
      </c>
      <c r="D213" s="4">
        <v>0.84088888900000003</v>
      </c>
      <c r="E213" s="18">
        <v>10</v>
      </c>
      <c r="F213" s="18">
        <v>8</v>
      </c>
      <c r="G213" s="4">
        <v>23.3</v>
      </c>
      <c r="H213" s="4">
        <f t="shared" si="3"/>
        <v>7.416620348082323</v>
      </c>
      <c r="I213" s="2">
        <f t="shared" si="2"/>
        <v>43.201813527579532</v>
      </c>
      <c r="J213">
        <v>6.5</v>
      </c>
    </row>
    <row r="214" spans="1:10" x14ac:dyDescent="0.3">
      <c r="A214" t="s">
        <v>50</v>
      </c>
      <c r="B214" t="s">
        <v>57</v>
      </c>
      <c r="C214" s="4">
        <v>0.61</v>
      </c>
      <c r="D214" s="4">
        <v>0.84088888900000003</v>
      </c>
      <c r="E214" s="18">
        <v>10</v>
      </c>
      <c r="F214" s="18">
        <v>9</v>
      </c>
      <c r="G214" s="4">
        <v>29.4</v>
      </c>
      <c r="H214" s="4">
        <f t="shared" si="3"/>
        <v>9.3583106538034464</v>
      </c>
      <c r="I214" s="2">
        <f t="shared" si="2"/>
        <v>68.783583305455338</v>
      </c>
      <c r="J214">
        <v>6.5</v>
      </c>
    </row>
    <row r="215" spans="1:10" x14ac:dyDescent="0.3">
      <c r="A215" t="s">
        <v>50</v>
      </c>
      <c r="B215" t="s">
        <v>57</v>
      </c>
      <c r="C215" s="4">
        <v>0.61</v>
      </c>
      <c r="D215" s="4">
        <v>0.84088888900000003</v>
      </c>
      <c r="E215" s="18">
        <v>10</v>
      </c>
      <c r="F215" s="18">
        <v>10</v>
      </c>
      <c r="G215" s="4">
        <v>19.3</v>
      </c>
      <c r="H215" s="4">
        <f t="shared" si="3"/>
        <v>6.1433808033471609</v>
      </c>
      <c r="I215" s="2">
        <f t="shared" si="2"/>
        <v>29.641812376150053</v>
      </c>
      <c r="J215">
        <v>6.5</v>
      </c>
    </row>
    <row r="216" spans="1:10" x14ac:dyDescent="0.3">
      <c r="A216" t="s">
        <v>50</v>
      </c>
      <c r="B216" t="s">
        <v>20</v>
      </c>
      <c r="C216" s="4">
        <v>0.74387999999999999</v>
      </c>
      <c r="D216" s="4">
        <v>0.59130000000000005</v>
      </c>
      <c r="E216" s="18">
        <v>11</v>
      </c>
      <c r="F216" s="18">
        <v>1</v>
      </c>
      <c r="G216" s="4">
        <v>31.2</v>
      </c>
      <c r="H216" s="4">
        <f t="shared" si="3"/>
        <v>9.9312684489342686</v>
      </c>
      <c r="I216" s="2">
        <f t="shared" si="2"/>
        <v>77.463893901687285</v>
      </c>
      <c r="J216">
        <v>8</v>
      </c>
    </row>
    <row r="217" spans="1:10" x14ac:dyDescent="0.3">
      <c r="A217" t="s">
        <v>50</v>
      </c>
      <c r="B217" t="s">
        <v>58</v>
      </c>
      <c r="C217" s="4">
        <v>0.371297506</v>
      </c>
      <c r="D217" s="4">
        <v>0.35258402799999999</v>
      </c>
      <c r="E217" s="18">
        <v>12</v>
      </c>
      <c r="F217" s="18">
        <v>1</v>
      </c>
      <c r="G217" s="4">
        <v>29.3</v>
      </c>
      <c r="H217" s="4">
        <f t="shared" si="3"/>
        <v>9.326479665185067</v>
      </c>
      <c r="I217" s="2">
        <f t="shared" ref="I217:I448" si="4">PI()*(H217/2)^2</f>
        <v>68.316463547480609</v>
      </c>
      <c r="J217">
        <v>7</v>
      </c>
    </row>
    <row r="218" spans="1:10" x14ac:dyDescent="0.3">
      <c r="A218" t="s">
        <v>50</v>
      </c>
      <c r="B218" t="s">
        <v>58</v>
      </c>
      <c r="C218" s="4">
        <v>0.371297506</v>
      </c>
      <c r="D218" s="4">
        <v>0.35258402799999999</v>
      </c>
      <c r="E218" s="18">
        <v>13</v>
      </c>
      <c r="F218" s="18">
        <v>1</v>
      </c>
      <c r="G218" s="4">
        <v>16.600000000000001</v>
      </c>
      <c r="H218" s="4">
        <f t="shared" si="3"/>
        <v>5.2839441106509257</v>
      </c>
      <c r="I218" s="2">
        <f t="shared" si="4"/>
        <v>21.928368059201343</v>
      </c>
      <c r="J218">
        <v>7</v>
      </c>
    </row>
    <row r="219" spans="1:10" x14ac:dyDescent="0.3">
      <c r="A219" t="s">
        <v>50</v>
      </c>
      <c r="B219" t="s">
        <v>58</v>
      </c>
      <c r="C219" s="4">
        <v>0.371297506</v>
      </c>
      <c r="D219" s="4">
        <v>0.35258402799999999</v>
      </c>
      <c r="E219" s="18">
        <v>13</v>
      </c>
      <c r="F219" s="18">
        <v>2</v>
      </c>
      <c r="G219" s="4">
        <v>18.399999999999999</v>
      </c>
      <c r="H219" s="4">
        <f t="shared" si="3"/>
        <v>5.856901905781748</v>
      </c>
      <c r="I219" s="2">
        <f t="shared" si="4"/>
        <v>26.941748766596039</v>
      </c>
      <c r="J219">
        <v>7</v>
      </c>
    </row>
    <row r="220" spans="1:10" x14ac:dyDescent="0.3">
      <c r="A220" t="s">
        <v>50</v>
      </c>
      <c r="B220" t="s">
        <v>58</v>
      </c>
      <c r="C220" s="4">
        <v>0.371297506</v>
      </c>
      <c r="D220" s="4">
        <v>0.35258402799999999</v>
      </c>
      <c r="E220" s="18">
        <v>13</v>
      </c>
      <c r="F220" s="18">
        <v>3</v>
      </c>
      <c r="G220" s="4">
        <v>16.3</v>
      </c>
      <c r="H220" s="4">
        <f t="shared" si="3"/>
        <v>5.1884511447957884</v>
      </c>
      <c r="I220" s="2">
        <f t="shared" si="4"/>
        <v>21.142938415042838</v>
      </c>
      <c r="J220">
        <v>7</v>
      </c>
    </row>
    <row r="221" spans="1:10" x14ac:dyDescent="0.3">
      <c r="A221" t="s">
        <v>50</v>
      </c>
      <c r="B221" t="s">
        <v>58</v>
      </c>
      <c r="C221" s="4">
        <v>0.371297506</v>
      </c>
      <c r="D221" s="4">
        <v>0.35258402799999999</v>
      </c>
      <c r="E221" s="18">
        <v>13</v>
      </c>
      <c r="F221" s="18">
        <v>4</v>
      </c>
      <c r="G221" s="4">
        <v>12.2</v>
      </c>
      <c r="H221" s="4">
        <f t="shared" si="3"/>
        <v>3.883380611442246</v>
      </c>
      <c r="I221" s="2">
        <f t="shared" si="4"/>
        <v>11.84431086489885</v>
      </c>
      <c r="J221">
        <v>7</v>
      </c>
    </row>
    <row r="222" spans="1:10" x14ac:dyDescent="0.3">
      <c r="A222" t="s">
        <v>50</v>
      </c>
      <c r="B222" t="s">
        <v>58</v>
      </c>
      <c r="C222" s="4">
        <v>0.371297506</v>
      </c>
      <c r="D222" s="4">
        <v>0.35258402799999999</v>
      </c>
      <c r="E222" s="18">
        <v>13</v>
      </c>
      <c r="F222" s="18">
        <v>5</v>
      </c>
      <c r="G222" s="4">
        <v>10.3</v>
      </c>
      <c r="H222" s="4">
        <f t="shared" si="3"/>
        <v>3.2785918276930444</v>
      </c>
      <c r="I222" s="2">
        <f t="shared" si="4"/>
        <v>8.4423739563095896</v>
      </c>
      <c r="J222">
        <v>7</v>
      </c>
    </row>
    <row r="223" spans="1:10" x14ac:dyDescent="0.3">
      <c r="A223" t="s">
        <v>59</v>
      </c>
      <c r="B223" t="s">
        <v>26</v>
      </c>
      <c r="C223" s="4">
        <v>0.80908761900000004</v>
      </c>
      <c r="D223" s="4">
        <v>0.87473809499999999</v>
      </c>
      <c r="E223" s="18">
        <v>14</v>
      </c>
      <c r="F223" s="18">
        <v>1</v>
      </c>
      <c r="G223" s="4">
        <v>32.5</v>
      </c>
      <c r="H223" s="4">
        <f t="shared" si="3"/>
        <v>10.345071300973197</v>
      </c>
      <c r="I223" s="2">
        <f t="shared" si="4"/>
        <v>84.053704320407235</v>
      </c>
      <c r="J223">
        <v>4.5</v>
      </c>
    </row>
    <row r="224" spans="1:10" x14ac:dyDescent="0.3">
      <c r="A224" t="s">
        <v>59</v>
      </c>
      <c r="B224" t="s">
        <v>60</v>
      </c>
      <c r="C224" s="4">
        <v>0.41</v>
      </c>
      <c r="D224" s="4">
        <v>0.33983503399999998</v>
      </c>
      <c r="E224" s="18">
        <v>15</v>
      </c>
      <c r="F224" s="18">
        <v>1</v>
      </c>
      <c r="G224" s="4">
        <v>15.6</v>
      </c>
      <c r="H224" s="4">
        <f t="shared" si="3"/>
        <v>4.9656342244671343</v>
      </c>
      <c r="I224" s="2">
        <f t="shared" si="4"/>
        <v>19.365973475421821</v>
      </c>
      <c r="J224">
        <v>5.5</v>
      </c>
    </row>
    <row r="225" spans="1:10" x14ac:dyDescent="0.3">
      <c r="A225" t="s">
        <v>59</v>
      </c>
      <c r="B225" t="s">
        <v>60</v>
      </c>
      <c r="C225" s="4">
        <v>0.41</v>
      </c>
      <c r="D225" s="4">
        <v>0.33983503399999998</v>
      </c>
      <c r="E225" s="18">
        <v>15</v>
      </c>
      <c r="F225" s="18">
        <v>2</v>
      </c>
      <c r="G225" s="4">
        <v>8.1999999999999993</v>
      </c>
      <c r="H225" s="4">
        <f t="shared" si="3"/>
        <v>2.6101410667070835</v>
      </c>
      <c r="I225" s="2">
        <f t="shared" ref="I225:I227" si="5">PI()*(H225/2)^2</f>
        <v>5.3507891867495205</v>
      </c>
      <c r="J225">
        <v>5.5</v>
      </c>
    </row>
    <row r="226" spans="1:10" x14ac:dyDescent="0.3">
      <c r="A226" t="s">
        <v>59</v>
      </c>
      <c r="B226" t="s">
        <v>60</v>
      </c>
      <c r="C226" s="4">
        <v>0.41</v>
      </c>
      <c r="D226" s="4">
        <v>0.33983503399999998</v>
      </c>
      <c r="E226" s="18">
        <v>15</v>
      </c>
      <c r="F226" s="18">
        <v>3</v>
      </c>
      <c r="G226" s="4">
        <v>16.100000000000001</v>
      </c>
      <c r="H226" s="4">
        <f t="shared" si="3"/>
        <v>5.1247891675590305</v>
      </c>
      <c r="I226" s="2">
        <f t="shared" si="5"/>
        <v>20.627276399425099</v>
      </c>
      <c r="J226">
        <v>5.5</v>
      </c>
    </row>
    <row r="227" spans="1:10" x14ac:dyDescent="0.3">
      <c r="A227" t="s">
        <v>59</v>
      </c>
      <c r="B227" t="s">
        <v>60</v>
      </c>
      <c r="C227" s="4">
        <v>0.41</v>
      </c>
      <c r="D227" s="4">
        <v>0.33983503399999998</v>
      </c>
      <c r="E227" s="18">
        <v>15</v>
      </c>
      <c r="F227" s="18">
        <v>4</v>
      </c>
      <c r="G227" s="4">
        <v>13.4</v>
      </c>
      <c r="H227" s="4">
        <f t="shared" si="3"/>
        <v>4.2653524748627953</v>
      </c>
      <c r="I227" s="2">
        <f t="shared" si="5"/>
        <v>14.288930790790365</v>
      </c>
      <c r="J227">
        <v>5.5</v>
      </c>
    </row>
    <row r="228" spans="1:10" x14ac:dyDescent="0.3">
      <c r="A228" t="s">
        <v>59</v>
      </c>
      <c r="B228" t="s">
        <v>61</v>
      </c>
      <c r="C228" s="4">
        <v>0.9</v>
      </c>
      <c r="D228" s="4">
        <v>0.61247410899999999</v>
      </c>
      <c r="E228" s="18">
        <v>16</v>
      </c>
      <c r="F228" s="18">
        <v>1</v>
      </c>
      <c r="G228" s="4">
        <v>17.5</v>
      </c>
      <c r="H228" s="4">
        <f t="shared" si="3"/>
        <v>5.5704230082163368</v>
      </c>
      <c r="I228" s="2">
        <f t="shared" si="4"/>
        <v>24.370600660946472</v>
      </c>
      <c r="J228">
        <v>4</v>
      </c>
    </row>
    <row r="229" spans="1:10" x14ac:dyDescent="0.3">
      <c r="A229" t="s">
        <v>59</v>
      </c>
      <c r="B229" t="s">
        <v>61</v>
      </c>
      <c r="C229" s="4">
        <v>0.9</v>
      </c>
      <c r="D229" s="4">
        <v>0.61247410899999999</v>
      </c>
      <c r="E229" s="18">
        <v>17</v>
      </c>
      <c r="F229" s="18">
        <v>1</v>
      </c>
      <c r="G229" s="4">
        <v>20.5</v>
      </c>
      <c r="H229" s="4">
        <f t="shared" si="3"/>
        <v>6.5253526667677093</v>
      </c>
      <c r="I229" s="2">
        <f t="shared" si="4"/>
        <v>33.442432417184513</v>
      </c>
      <c r="J229">
        <v>4</v>
      </c>
    </row>
    <row r="230" spans="1:10" x14ac:dyDescent="0.3">
      <c r="A230" t="s">
        <v>59</v>
      </c>
      <c r="B230" t="s">
        <v>61</v>
      </c>
      <c r="C230" s="4">
        <v>0.9</v>
      </c>
      <c r="D230" s="4">
        <v>0.61247410899999999</v>
      </c>
      <c r="E230" s="18">
        <v>17</v>
      </c>
      <c r="F230" s="18">
        <v>2</v>
      </c>
      <c r="G230" s="4">
        <v>11.3</v>
      </c>
      <c r="H230" s="4">
        <f t="shared" si="3"/>
        <v>3.5969017138768349</v>
      </c>
      <c r="I230" s="2">
        <f t="shared" si="4"/>
        <v>10.16124734170206</v>
      </c>
      <c r="J230">
        <v>4</v>
      </c>
    </row>
    <row r="231" spans="1:10" x14ac:dyDescent="0.3">
      <c r="A231" t="s">
        <v>59</v>
      </c>
      <c r="B231" t="s">
        <v>41</v>
      </c>
      <c r="C231" s="4">
        <v>0.56193137999999998</v>
      </c>
      <c r="D231" s="4">
        <v>0.57808694400000005</v>
      </c>
      <c r="E231" s="18">
        <v>18</v>
      </c>
      <c r="F231" s="18">
        <v>1</v>
      </c>
      <c r="G231" s="4">
        <v>12.1</v>
      </c>
      <c r="H231" s="4">
        <f t="shared" si="3"/>
        <v>3.851549622823867</v>
      </c>
      <c r="I231" s="2">
        <f t="shared" si="4"/>
        <v>11.650937609042197</v>
      </c>
      <c r="J231">
        <v>5</v>
      </c>
    </row>
    <row r="232" spans="1:10" x14ac:dyDescent="0.3">
      <c r="A232" t="s">
        <v>59</v>
      </c>
      <c r="B232" t="s">
        <v>41</v>
      </c>
      <c r="C232" s="4">
        <v>0.56193137999999998</v>
      </c>
      <c r="D232" s="4">
        <v>0.57808694400000005</v>
      </c>
      <c r="E232" s="18">
        <v>18</v>
      </c>
      <c r="F232" s="18">
        <v>2</v>
      </c>
      <c r="G232" s="4">
        <v>13.3</v>
      </c>
      <c r="H232" s="4">
        <f t="shared" si="3"/>
        <v>4.2335214862444159</v>
      </c>
      <c r="I232" s="2">
        <f t="shared" si="4"/>
        <v>14.076458941762681</v>
      </c>
      <c r="J232">
        <v>5</v>
      </c>
    </row>
    <row r="233" spans="1:10" x14ac:dyDescent="0.3">
      <c r="A233" t="s">
        <v>59</v>
      </c>
      <c r="B233" t="s">
        <v>41</v>
      </c>
      <c r="C233" s="4">
        <v>0.56193137999999998</v>
      </c>
      <c r="D233" s="4">
        <v>0.57808694400000005</v>
      </c>
      <c r="E233" s="18">
        <v>18</v>
      </c>
      <c r="F233" s="18">
        <v>3</v>
      </c>
      <c r="G233" s="4">
        <v>24.5</v>
      </c>
      <c r="H233" s="4">
        <f t="shared" si="3"/>
        <v>7.7985922115028714</v>
      </c>
      <c r="I233" s="2">
        <f t="shared" si="4"/>
        <v>47.766377295455086</v>
      </c>
      <c r="J233">
        <v>5</v>
      </c>
    </row>
    <row r="234" spans="1:10" x14ac:dyDescent="0.3">
      <c r="A234" t="s">
        <v>59</v>
      </c>
      <c r="B234" t="s">
        <v>41</v>
      </c>
      <c r="C234" s="4">
        <v>0.56193137999999998</v>
      </c>
      <c r="D234" s="4">
        <v>0.57808694400000005</v>
      </c>
      <c r="E234" s="18">
        <v>18</v>
      </c>
      <c r="F234" s="18">
        <v>4</v>
      </c>
      <c r="G234" s="4">
        <v>13.4</v>
      </c>
      <c r="H234" s="4">
        <f t="shared" si="3"/>
        <v>4.2653524748627953</v>
      </c>
      <c r="I234" s="2">
        <f t="shared" si="4"/>
        <v>14.288930790790365</v>
      </c>
      <c r="J234">
        <v>5</v>
      </c>
    </row>
    <row r="235" spans="1:10" x14ac:dyDescent="0.3">
      <c r="A235" t="s">
        <v>59</v>
      </c>
      <c r="B235" t="s">
        <v>56</v>
      </c>
      <c r="C235" s="4">
        <v>0.39984676499999999</v>
      </c>
      <c r="D235" s="4">
        <v>0.450333333</v>
      </c>
      <c r="E235" s="18">
        <v>19</v>
      </c>
      <c r="F235" s="18">
        <v>1</v>
      </c>
      <c r="G235" s="4">
        <v>42.2</v>
      </c>
      <c r="H235" s="4">
        <f t="shared" si="3"/>
        <v>13.432677196955968</v>
      </c>
      <c r="I235" s="2">
        <f t="shared" si="4"/>
        <v>141.71474442788548</v>
      </c>
      <c r="J235">
        <v>7</v>
      </c>
    </row>
    <row r="236" spans="1:10" x14ac:dyDescent="0.3">
      <c r="A236" t="s">
        <v>59</v>
      </c>
      <c r="B236" t="s">
        <v>38</v>
      </c>
      <c r="C236" s="4">
        <v>1082380952</v>
      </c>
      <c r="D236" s="4">
        <v>0.61247410899999999</v>
      </c>
      <c r="E236" s="18">
        <v>20</v>
      </c>
      <c r="F236" s="18">
        <v>1</v>
      </c>
      <c r="G236" s="4">
        <v>14.4</v>
      </c>
      <c r="H236" s="4">
        <f t="shared" si="3"/>
        <v>4.5836623610465859</v>
      </c>
      <c r="I236" s="2">
        <f t="shared" si="4"/>
        <v>16.501184499767707</v>
      </c>
      <c r="J236">
        <v>6.5</v>
      </c>
    </row>
    <row r="237" spans="1:10" x14ac:dyDescent="0.3">
      <c r="A237" t="s">
        <v>59</v>
      </c>
      <c r="B237" t="s">
        <v>38</v>
      </c>
      <c r="C237" s="4">
        <v>1082380952</v>
      </c>
      <c r="D237" s="4">
        <v>0.61247410899999999</v>
      </c>
      <c r="E237" s="18">
        <v>20</v>
      </c>
      <c r="F237" s="18">
        <v>2</v>
      </c>
      <c r="G237" s="4">
        <v>15.6</v>
      </c>
      <c r="H237" s="4">
        <f t="shared" si="3"/>
        <v>4.9656342244671343</v>
      </c>
      <c r="I237" s="2">
        <f t="shared" si="4"/>
        <v>19.365973475421821</v>
      </c>
    </row>
    <row r="238" spans="1:10" x14ac:dyDescent="0.3">
      <c r="A238" t="s">
        <v>59</v>
      </c>
      <c r="B238" t="s">
        <v>38</v>
      </c>
      <c r="C238" s="4">
        <v>1082380952</v>
      </c>
      <c r="D238" s="4">
        <v>0.61247410899999999</v>
      </c>
      <c r="E238" s="18">
        <v>20</v>
      </c>
      <c r="F238" s="18">
        <v>3</v>
      </c>
      <c r="G238" s="4">
        <v>25.5</v>
      </c>
      <c r="H238" s="4">
        <f t="shared" si="3"/>
        <v>8.1169020976866619</v>
      </c>
      <c r="I238" s="2">
        <f t="shared" si="4"/>
        <v>51.745250872752472</v>
      </c>
    </row>
    <row r="239" spans="1:10" x14ac:dyDescent="0.3">
      <c r="A239" t="s">
        <v>59</v>
      </c>
      <c r="B239" t="s">
        <v>38</v>
      </c>
      <c r="C239" s="4">
        <v>1082380952</v>
      </c>
      <c r="D239" s="4">
        <v>0.61247410899999999</v>
      </c>
      <c r="E239" s="18">
        <v>20</v>
      </c>
      <c r="F239" s="18">
        <v>4</v>
      </c>
      <c r="G239" s="4">
        <v>11.3</v>
      </c>
      <c r="H239" s="4">
        <f t="shared" si="3"/>
        <v>3.5969017138768349</v>
      </c>
      <c r="I239" s="2">
        <f t="shared" si="4"/>
        <v>10.16124734170206</v>
      </c>
    </row>
    <row r="240" spans="1:10" x14ac:dyDescent="0.3">
      <c r="A240" t="s">
        <v>59</v>
      </c>
      <c r="B240" t="s">
        <v>38</v>
      </c>
      <c r="C240" s="4">
        <v>1082380952</v>
      </c>
      <c r="D240" s="4">
        <v>0.61247410899999999</v>
      </c>
      <c r="E240" s="18">
        <v>20</v>
      </c>
      <c r="F240" s="18">
        <v>5</v>
      </c>
      <c r="G240" s="4">
        <v>8.1999999999999993</v>
      </c>
      <c r="H240" s="4">
        <f t="shared" si="3"/>
        <v>2.6101410667070835</v>
      </c>
      <c r="I240" s="2">
        <f t="shared" si="4"/>
        <v>5.3507891867495205</v>
      </c>
    </row>
    <row r="241" spans="1:10" x14ac:dyDescent="0.3">
      <c r="A241" t="s">
        <v>59</v>
      </c>
      <c r="B241" t="s">
        <v>57</v>
      </c>
      <c r="C241" s="4">
        <v>0.61</v>
      </c>
      <c r="D241" s="4">
        <v>0.84088888900000003</v>
      </c>
      <c r="E241" s="18">
        <v>21</v>
      </c>
      <c r="F241" s="18">
        <v>1</v>
      </c>
      <c r="G241" s="4">
        <v>13.5</v>
      </c>
      <c r="H241" s="4">
        <f t="shared" si="3"/>
        <v>4.2971834634811739</v>
      </c>
      <c r="I241" s="2">
        <f t="shared" si="4"/>
        <v>14.502994189248961</v>
      </c>
      <c r="J241">
        <v>6</v>
      </c>
    </row>
    <row r="242" spans="1:10" x14ac:dyDescent="0.3">
      <c r="A242" t="s">
        <v>59</v>
      </c>
      <c r="B242" t="s">
        <v>57</v>
      </c>
      <c r="C242" s="4">
        <v>0.61</v>
      </c>
      <c r="D242" s="4">
        <v>0.84088888900000003</v>
      </c>
      <c r="E242" s="18">
        <v>21</v>
      </c>
      <c r="F242" s="18">
        <v>2</v>
      </c>
      <c r="G242" s="4">
        <v>18.7</v>
      </c>
      <c r="H242" s="4">
        <f t="shared" si="3"/>
        <v>5.9523948716368853</v>
      </c>
      <c r="I242" s="2">
        <f t="shared" si="4"/>
        <v>27.827446024902439</v>
      </c>
      <c r="J242">
        <v>6</v>
      </c>
    </row>
    <row r="243" spans="1:10" x14ac:dyDescent="0.3">
      <c r="A243" t="s">
        <v>59</v>
      </c>
      <c r="B243" t="s">
        <v>57</v>
      </c>
      <c r="C243" s="4">
        <v>0.61</v>
      </c>
      <c r="D243" s="4">
        <v>0.84088888900000003</v>
      </c>
      <c r="E243" s="18">
        <v>21</v>
      </c>
      <c r="F243" s="18">
        <v>3</v>
      </c>
      <c r="G243" s="4">
        <v>17.5</v>
      </c>
      <c r="H243" s="4">
        <f t="shared" si="3"/>
        <v>5.5704230082163368</v>
      </c>
      <c r="I243" s="2">
        <f t="shared" si="4"/>
        <v>24.370600660946472</v>
      </c>
      <c r="J243">
        <v>6</v>
      </c>
    </row>
    <row r="244" spans="1:10" x14ac:dyDescent="0.3">
      <c r="A244" t="s">
        <v>59</v>
      </c>
      <c r="B244" t="s">
        <v>57</v>
      </c>
      <c r="C244" s="4">
        <v>0.61</v>
      </c>
      <c r="D244" s="4">
        <v>0.84088888900000003</v>
      </c>
      <c r="E244" s="18">
        <v>21</v>
      </c>
      <c r="F244" s="18">
        <v>4</v>
      </c>
      <c r="G244" s="4">
        <v>14.3</v>
      </c>
      <c r="H244" s="4">
        <f t="shared" si="3"/>
        <v>4.5518313724282073</v>
      </c>
      <c r="I244" s="2">
        <f t="shared" si="4"/>
        <v>16.272797156430844</v>
      </c>
      <c r="J244">
        <v>6</v>
      </c>
    </row>
    <row r="245" spans="1:10" x14ac:dyDescent="0.3">
      <c r="A245" t="s">
        <v>59</v>
      </c>
      <c r="B245" t="s">
        <v>57</v>
      </c>
      <c r="C245" s="4">
        <v>0.61</v>
      </c>
      <c r="D245" s="4">
        <v>0.84088888900000003</v>
      </c>
      <c r="E245" s="18">
        <v>21</v>
      </c>
      <c r="F245" s="18">
        <v>5</v>
      </c>
      <c r="G245" s="4">
        <v>14.3</v>
      </c>
      <c r="H245" s="4">
        <f t="shared" si="3"/>
        <v>4.5518313724282073</v>
      </c>
      <c r="I245" s="2">
        <f t="shared" si="4"/>
        <v>16.272797156430844</v>
      </c>
      <c r="J245">
        <v>6</v>
      </c>
    </row>
    <row r="246" spans="1:10" x14ac:dyDescent="0.3">
      <c r="A246" t="s">
        <v>59</v>
      </c>
      <c r="B246" t="s">
        <v>57</v>
      </c>
      <c r="C246" s="4">
        <v>0.61</v>
      </c>
      <c r="D246" s="4">
        <v>0.84088888900000003</v>
      </c>
      <c r="E246" s="18">
        <v>21</v>
      </c>
      <c r="F246" s="18">
        <v>6</v>
      </c>
      <c r="G246" s="4">
        <v>15.4</v>
      </c>
      <c r="H246" s="4">
        <f t="shared" si="3"/>
        <v>4.9019722472303764</v>
      </c>
      <c r="I246" s="2">
        <f t="shared" si="4"/>
        <v>18.872593151836949</v>
      </c>
      <c r="J246">
        <v>6</v>
      </c>
    </row>
    <row r="247" spans="1:10" x14ac:dyDescent="0.3">
      <c r="A247" t="s">
        <v>59</v>
      </c>
      <c r="B247" t="s">
        <v>57</v>
      </c>
      <c r="C247" s="4">
        <v>0.61</v>
      </c>
      <c r="D247" s="4">
        <v>0.84088888900000003</v>
      </c>
      <c r="E247" s="18">
        <v>21</v>
      </c>
      <c r="F247" s="18">
        <v>7</v>
      </c>
      <c r="G247" s="4">
        <v>13.5</v>
      </c>
      <c r="H247" s="4">
        <f t="shared" si="3"/>
        <v>4.2971834634811739</v>
      </c>
      <c r="I247" s="2">
        <f t="shared" si="4"/>
        <v>14.502994189248961</v>
      </c>
      <c r="J247">
        <v>6</v>
      </c>
    </row>
    <row r="248" spans="1:10" x14ac:dyDescent="0.3">
      <c r="A248" t="s">
        <v>59</v>
      </c>
      <c r="B248" t="s">
        <v>57</v>
      </c>
      <c r="C248" s="4">
        <v>0.61</v>
      </c>
      <c r="D248" s="4">
        <v>0.84088888900000003</v>
      </c>
      <c r="E248" s="18">
        <v>21</v>
      </c>
      <c r="F248" s="18">
        <v>8</v>
      </c>
      <c r="G248" s="4">
        <v>10.3</v>
      </c>
      <c r="H248" s="4">
        <f t="shared" si="3"/>
        <v>3.2785918276930444</v>
      </c>
      <c r="I248" s="2">
        <f t="shared" si="4"/>
        <v>8.4423739563095896</v>
      </c>
      <c r="J248">
        <v>6</v>
      </c>
    </row>
    <row r="249" spans="1:10" x14ac:dyDescent="0.3">
      <c r="A249" t="s">
        <v>59</v>
      </c>
      <c r="B249" t="s">
        <v>57</v>
      </c>
      <c r="C249" s="4">
        <v>0.61</v>
      </c>
      <c r="D249" s="4">
        <v>0.84088888900000003</v>
      </c>
      <c r="E249" s="18">
        <v>21</v>
      </c>
      <c r="F249" s="18">
        <v>9</v>
      </c>
      <c r="G249" s="4">
        <v>4.2</v>
      </c>
      <c r="H249" s="4">
        <f t="shared" si="3"/>
        <v>1.3369015219719209</v>
      </c>
      <c r="I249" s="2">
        <f t="shared" si="4"/>
        <v>1.403746598070517</v>
      </c>
      <c r="J249">
        <v>6</v>
      </c>
    </row>
    <row r="250" spans="1:10" x14ac:dyDescent="0.3">
      <c r="A250" t="s">
        <v>59</v>
      </c>
      <c r="B250" t="s">
        <v>57</v>
      </c>
      <c r="C250" s="4">
        <v>0.61</v>
      </c>
      <c r="D250" s="4">
        <v>0.84088888900000003</v>
      </c>
      <c r="E250" s="18">
        <v>21</v>
      </c>
      <c r="F250" s="18">
        <v>10</v>
      </c>
      <c r="G250" s="4">
        <v>17.5</v>
      </c>
      <c r="H250" s="4">
        <f t="shared" si="3"/>
        <v>5.5704230082163368</v>
      </c>
      <c r="I250" s="2">
        <f t="shared" si="4"/>
        <v>24.370600660946472</v>
      </c>
      <c r="J250">
        <v>6</v>
      </c>
    </row>
    <row r="251" spans="1:10" x14ac:dyDescent="0.3">
      <c r="A251" t="s">
        <v>59</v>
      </c>
      <c r="B251" t="s">
        <v>57</v>
      </c>
      <c r="C251" s="4">
        <v>0.61</v>
      </c>
      <c r="D251" s="4">
        <v>0.84088888900000003</v>
      </c>
      <c r="E251" s="18">
        <v>21</v>
      </c>
      <c r="F251" s="18">
        <v>11</v>
      </c>
      <c r="G251" s="4">
        <v>13.2</v>
      </c>
      <c r="H251" s="4">
        <f t="shared" si="3"/>
        <v>4.2016904976260365</v>
      </c>
      <c r="I251" s="2">
        <f t="shared" si="4"/>
        <v>13.865578642165918</v>
      </c>
      <c r="J251">
        <v>6</v>
      </c>
    </row>
    <row r="252" spans="1:10" x14ac:dyDescent="0.3">
      <c r="A252" t="s">
        <v>59</v>
      </c>
      <c r="B252" t="s">
        <v>57</v>
      </c>
      <c r="C252" s="4">
        <v>0.61</v>
      </c>
      <c r="D252" s="4">
        <v>0.84088888900000003</v>
      </c>
      <c r="E252" s="18">
        <v>21</v>
      </c>
      <c r="F252" s="18">
        <v>12</v>
      </c>
      <c r="G252" s="4">
        <v>11.4</v>
      </c>
      <c r="H252" s="4">
        <f t="shared" si="3"/>
        <v>3.6287327024952138</v>
      </c>
      <c r="I252" s="2">
        <f t="shared" si="4"/>
        <v>10.34188820211136</v>
      </c>
      <c r="J252">
        <v>6</v>
      </c>
    </row>
    <row r="253" spans="1:10" x14ac:dyDescent="0.3">
      <c r="A253" t="s">
        <v>59</v>
      </c>
      <c r="B253" t="s">
        <v>57</v>
      </c>
      <c r="C253" s="4">
        <v>0.61</v>
      </c>
      <c r="D253" s="4">
        <v>0.84088888900000003</v>
      </c>
      <c r="E253" s="18">
        <v>21</v>
      </c>
      <c r="F253" s="18">
        <v>13</v>
      </c>
      <c r="G253" s="4">
        <v>13.5</v>
      </c>
      <c r="H253" s="4">
        <f t="shared" si="3"/>
        <v>4.2971834634811739</v>
      </c>
      <c r="I253" s="2">
        <f t="shared" si="4"/>
        <v>14.502994189248961</v>
      </c>
      <c r="J253">
        <v>6</v>
      </c>
    </row>
    <row r="254" spans="1:10" x14ac:dyDescent="0.3">
      <c r="A254" t="s">
        <v>59</v>
      </c>
      <c r="B254" t="s">
        <v>22</v>
      </c>
      <c r="C254" s="4">
        <v>0.43836446099999998</v>
      </c>
      <c r="D254" s="4">
        <v>0.58666666700000003</v>
      </c>
      <c r="E254" s="18">
        <v>22</v>
      </c>
      <c r="F254" s="18">
        <v>1</v>
      </c>
      <c r="G254" s="4">
        <v>9.5</v>
      </c>
      <c r="H254" s="4">
        <f t="shared" si="3"/>
        <v>3.0239439187460113</v>
      </c>
      <c r="I254" s="2">
        <f t="shared" si="4"/>
        <v>7.1818668070217768</v>
      </c>
      <c r="J254">
        <v>4</v>
      </c>
    </row>
    <row r="255" spans="1:10" x14ac:dyDescent="0.3">
      <c r="A255" t="s">
        <v>59</v>
      </c>
      <c r="B255" t="s">
        <v>22</v>
      </c>
      <c r="C255" s="4">
        <v>0.43836446099999998</v>
      </c>
      <c r="D255" s="4">
        <v>0.58666666700000003</v>
      </c>
      <c r="E255" s="18">
        <v>22</v>
      </c>
      <c r="F255" s="18">
        <v>2</v>
      </c>
      <c r="G255" s="4">
        <v>7.2</v>
      </c>
      <c r="H255" s="4">
        <f t="shared" si="3"/>
        <v>2.2918311805232929</v>
      </c>
      <c r="I255" s="2">
        <f t="shared" si="4"/>
        <v>4.1252961249419267</v>
      </c>
      <c r="J255">
        <v>4</v>
      </c>
    </row>
    <row r="256" spans="1:10" x14ac:dyDescent="0.3">
      <c r="A256" t="s">
        <v>59</v>
      </c>
      <c r="B256" t="s">
        <v>22</v>
      </c>
      <c r="C256" s="4">
        <v>0.43836446099999998</v>
      </c>
      <c r="D256" s="4">
        <v>0.58666666700000003</v>
      </c>
      <c r="E256" s="18">
        <v>22</v>
      </c>
      <c r="F256" s="18">
        <v>3</v>
      </c>
      <c r="G256" s="4">
        <v>7</v>
      </c>
      <c r="H256" s="4">
        <f t="shared" si="3"/>
        <v>2.228169203286535</v>
      </c>
      <c r="I256" s="2">
        <f t="shared" si="4"/>
        <v>3.8992961057514366</v>
      </c>
      <c r="J256">
        <v>4</v>
      </c>
    </row>
    <row r="257" spans="1:10" x14ac:dyDescent="0.3">
      <c r="A257" t="s">
        <v>59</v>
      </c>
      <c r="B257" t="s">
        <v>22</v>
      </c>
      <c r="C257" s="4">
        <v>0.43836446099999998</v>
      </c>
      <c r="D257" s="4">
        <v>0.58666666700000003</v>
      </c>
      <c r="E257" s="18">
        <v>22</v>
      </c>
      <c r="F257" s="18">
        <v>4</v>
      </c>
      <c r="G257" s="4">
        <v>10.6</v>
      </c>
      <c r="H257" s="4">
        <f t="shared" si="3"/>
        <v>3.3740847935481812</v>
      </c>
      <c r="I257" s="2">
        <f t="shared" si="4"/>
        <v>8.9413247029026799</v>
      </c>
      <c r="J257">
        <v>4</v>
      </c>
    </row>
    <row r="258" spans="1:10" x14ac:dyDescent="0.3">
      <c r="A258" t="s">
        <v>59</v>
      </c>
      <c r="B258" t="s">
        <v>22</v>
      </c>
      <c r="C258" s="4">
        <v>0.43836446099999998</v>
      </c>
      <c r="D258" s="4">
        <v>0.58666666700000003</v>
      </c>
      <c r="E258" s="18">
        <v>22</v>
      </c>
      <c r="F258" s="18">
        <v>5</v>
      </c>
      <c r="G258" s="4">
        <v>76.099999999999994</v>
      </c>
      <c r="H258" s="4">
        <f t="shared" si="3"/>
        <v>24.223382338586468</v>
      </c>
      <c r="I258" s="2">
        <f t="shared" si="4"/>
        <v>460.84984899160747</v>
      </c>
      <c r="J258">
        <v>4</v>
      </c>
    </row>
    <row r="259" spans="1:10" x14ac:dyDescent="0.3">
      <c r="A259" t="s">
        <v>59</v>
      </c>
      <c r="B259" t="s">
        <v>22</v>
      </c>
      <c r="C259" s="4">
        <v>0.43836446099999998</v>
      </c>
      <c r="D259" s="4">
        <v>0.58666666700000003</v>
      </c>
      <c r="E259" s="18">
        <v>22</v>
      </c>
      <c r="F259" s="18">
        <v>6</v>
      </c>
      <c r="G259" s="4">
        <v>73.7</v>
      </c>
      <c r="H259" s="4">
        <f t="shared" si="3"/>
        <v>23.459438611745373</v>
      </c>
      <c r="I259" s="2">
        <f t="shared" si="4"/>
        <v>432.24015642140853</v>
      </c>
      <c r="J259">
        <v>4</v>
      </c>
    </row>
    <row r="260" spans="1:10" x14ac:dyDescent="0.3">
      <c r="A260" t="s">
        <v>59</v>
      </c>
      <c r="B260" t="s">
        <v>22</v>
      </c>
      <c r="C260" s="4">
        <v>0.43836446099999998</v>
      </c>
      <c r="D260" s="4">
        <v>0.58666666700000003</v>
      </c>
      <c r="E260" s="18">
        <v>23</v>
      </c>
      <c r="F260" s="18">
        <v>1</v>
      </c>
      <c r="G260" s="4">
        <v>10.5</v>
      </c>
      <c r="H260" s="4">
        <f t="shared" si="3"/>
        <v>3.3422538049298023</v>
      </c>
      <c r="I260" s="2">
        <f t="shared" si="4"/>
        <v>8.7734162379407312</v>
      </c>
      <c r="J260">
        <v>3.5</v>
      </c>
    </row>
    <row r="261" spans="1:10" x14ac:dyDescent="0.3">
      <c r="A261" t="s">
        <v>59</v>
      </c>
      <c r="B261" t="s">
        <v>22</v>
      </c>
      <c r="C261" s="4">
        <v>0.43836446099999998</v>
      </c>
      <c r="D261" s="4">
        <v>0.58666666700000003</v>
      </c>
      <c r="E261" s="18">
        <v>23</v>
      </c>
      <c r="F261" s="18">
        <v>2</v>
      </c>
      <c r="G261" s="4">
        <v>8.1999999999999993</v>
      </c>
      <c r="H261" s="4">
        <f t="shared" si="3"/>
        <v>2.6101410667070835</v>
      </c>
      <c r="I261" s="2">
        <f t="shared" si="4"/>
        <v>5.3507891867495205</v>
      </c>
      <c r="J261">
        <v>3.5</v>
      </c>
    </row>
    <row r="262" spans="1:10" x14ac:dyDescent="0.3">
      <c r="A262" t="s">
        <v>59</v>
      </c>
      <c r="B262" t="s">
        <v>22</v>
      </c>
      <c r="C262" s="4">
        <v>0.43836446099999998</v>
      </c>
      <c r="D262" s="4">
        <v>0.58666666700000003</v>
      </c>
      <c r="E262" s="18">
        <v>23</v>
      </c>
      <c r="F262" s="18">
        <v>3</v>
      </c>
      <c r="G262" s="4">
        <v>9.4</v>
      </c>
      <c r="H262" s="4">
        <f t="shared" si="3"/>
        <v>2.9921129301276324</v>
      </c>
      <c r="I262" s="2">
        <f t="shared" si="4"/>
        <v>7.0314653857999367</v>
      </c>
      <c r="J262">
        <v>3.5</v>
      </c>
    </row>
    <row r="263" spans="1:10" x14ac:dyDescent="0.3">
      <c r="A263" t="s">
        <v>59</v>
      </c>
      <c r="B263" t="s">
        <v>22</v>
      </c>
      <c r="C263" s="4">
        <v>0.43836446099999998</v>
      </c>
      <c r="D263" s="4">
        <v>0.58666666700000003</v>
      </c>
      <c r="E263" s="18">
        <v>23</v>
      </c>
      <c r="F263" s="18">
        <v>4</v>
      </c>
      <c r="G263" s="4">
        <v>10.5</v>
      </c>
      <c r="H263" s="4">
        <f t="shared" si="3"/>
        <v>3.3422538049298023</v>
      </c>
      <c r="I263" s="2">
        <f t="shared" si="4"/>
        <v>8.7734162379407312</v>
      </c>
      <c r="J263">
        <v>3.5</v>
      </c>
    </row>
    <row r="264" spans="1:10" x14ac:dyDescent="0.3">
      <c r="A264" t="s">
        <v>59</v>
      </c>
      <c r="B264" t="s">
        <v>22</v>
      </c>
      <c r="C264" s="4">
        <v>0.43836446099999998</v>
      </c>
      <c r="D264" s="4">
        <v>0.58666666700000003</v>
      </c>
      <c r="E264" s="18">
        <v>23</v>
      </c>
      <c r="F264" s="18">
        <v>5</v>
      </c>
      <c r="G264" s="4">
        <v>8.4</v>
      </c>
      <c r="H264" s="4">
        <f t="shared" si="3"/>
        <v>2.6738030439438418</v>
      </c>
      <c r="I264" s="2">
        <f t="shared" si="4"/>
        <v>5.6149863922820682</v>
      </c>
      <c r="J264">
        <v>3.5</v>
      </c>
    </row>
    <row r="265" spans="1:10" x14ac:dyDescent="0.3">
      <c r="A265" t="s">
        <v>59</v>
      </c>
      <c r="B265" t="s">
        <v>22</v>
      </c>
      <c r="C265" s="4">
        <v>0.43836446099999998</v>
      </c>
      <c r="D265" s="4">
        <v>0.58666666700000003</v>
      </c>
      <c r="E265" s="18">
        <v>24</v>
      </c>
      <c r="F265" s="18">
        <v>1</v>
      </c>
      <c r="G265" s="4">
        <v>17.399999999999999</v>
      </c>
      <c r="H265" s="4">
        <f t="shared" si="3"/>
        <v>5.5385920195979574</v>
      </c>
      <c r="I265" s="2">
        <f t="shared" si="4"/>
        <v>24.092875285251111</v>
      </c>
      <c r="J265">
        <v>5</v>
      </c>
    </row>
    <row r="266" spans="1:10" x14ac:dyDescent="0.3">
      <c r="A266" t="s">
        <v>59</v>
      </c>
      <c r="B266" t="s">
        <v>22</v>
      </c>
      <c r="C266" s="4">
        <v>0.43836446099999998</v>
      </c>
      <c r="D266" s="4">
        <v>0.58666666700000003</v>
      </c>
      <c r="E266" s="18">
        <v>24</v>
      </c>
      <c r="F266" s="18">
        <v>2</v>
      </c>
      <c r="G266" s="4">
        <v>5.6</v>
      </c>
      <c r="H266" s="4">
        <f t="shared" si="3"/>
        <v>1.7825353626292277</v>
      </c>
      <c r="I266" s="2">
        <f t="shared" si="4"/>
        <v>2.4955495076809187</v>
      </c>
      <c r="J266">
        <v>5</v>
      </c>
    </row>
    <row r="267" spans="1:10" x14ac:dyDescent="0.3">
      <c r="A267" t="s">
        <v>59</v>
      </c>
      <c r="B267" t="s">
        <v>22</v>
      </c>
      <c r="C267" s="4">
        <v>0.43836446099999998</v>
      </c>
      <c r="D267" s="4">
        <v>0.58666666700000003</v>
      </c>
      <c r="E267" s="18">
        <v>24</v>
      </c>
      <c r="F267" s="18">
        <v>3</v>
      </c>
      <c r="G267" s="4">
        <v>13.4</v>
      </c>
      <c r="H267" s="4">
        <f t="shared" si="3"/>
        <v>4.2653524748627953</v>
      </c>
      <c r="I267" s="2">
        <f t="shared" si="4"/>
        <v>14.288930790790365</v>
      </c>
      <c r="J267">
        <v>5</v>
      </c>
    </row>
    <row r="268" spans="1:10" x14ac:dyDescent="0.3">
      <c r="A268" t="s">
        <v>59</v>
      </c>
      <c r="B268" t="s">
        <v>22</v>
      </c>
      <c r="C268" s="4">
        <v>0.43836446099999998</v>
      </c>
      <c r="D268" s="4">
        <v>0.58666666700000003</v>
      </c>
      <c r="E268" s="18">
        <v>24</v>
      </c>
      <c r="F268" s="18">
        <v>4</v>
      </c>
      <c r="G268" s="4">
        <v>21.5</v>
      </c>
      <c r="H268" s="4">
        <f t="shared" si="3"/>
        <v>6.8436625529514998</v>
      </c>
      <c r="I268" s="2">
        <f t="shared" si="4"/>
        <v>36.78468622211431</v>
      </c>
      <c r="J268">
        <v>5</v>
      </c>
    </row>
    <row r="269" spans="1:10" x14ac:dyDescent="0.3">
      <c r="A269" t="s">
        <v>59</v>
      </c>
      <c r="B269" t="s">
        <v>22</v>
      </c>
      <c r="C269" s="4">
        <v>0.43836446099999998</v>
      </c>
      <c r="D269" s="4">
        <v>0.58666666700000003</v>
      </c>
      <c r="E269" s="18">
        <v>25</v>
      </c>
      <c r="F269" s="18">
        <v>1</v>
      </c>
      <c r="G269" s="4">
        <v>11.2</v>
      </c>
      <c r="H269" s="4">
        <f t="shared" si="3"/>
        <v>3.5650707252584555</v>
      </c>
      <c r="I269" s="2">
        <f t="shared" si="4"/>
        <v>9.9821980307236746</v>
      </c>
      <c r="J269">
        <v>5.5</v>
      </c>
    </row>
    <row r="270" spans="1:10" x14ac:dyDescent="0.3">
      <c r="A270" t="s">
        <v>59</v>
      </c>
      <c r="B270" t="s">
        <v>22</v>
      </c>
      <c r="C270" s="4">
        <v>0.43836446099999998</v>
      </c>
      <c r="D270" s="4">
        <v>0.58666666700000003</v>
      </c>
      <c r="E270" s="18">
        <v>25</v>
      </c>
      <c r="F270" s="18">
        <v>2</v>
      </c>
      <c r="G270" s="4">
        <v>16.3</v>
      </c>
      <c r="H270" s="4">
        <f t="shared" si="3"/>
        <v>5.1884511447957884</v>
      </c>
      <c r="I270" s="2">
        <f t="shared" si="4"/>
        <v>21.142938415042838</v>
      </c>
      <c r="J270">
        <v>5.5</v>
      </c>
    </row>
    <row r="271" spans="1:10" x14ac:dyDescent="0.3">
      <c r="A271" t="s">
        <v>59</v>
      </c>
      <c r="B271" t="s">
        <v>22</v>
      </c>
      <c r="C271" s="4">
        <v>0.43836446099999998</v>
      </c>
      <c r="D271" s="4">
        <v>0.58666666700000003</v>
      </c>
      <c r="E271" s="18">
        <v>25</v>
      </c>
      <c r="F271" s="18">
        <v>3</v>
      </c>
      <c r="G271" s="4">
        <v>14.2</v>
      </c>
      <c r="H271" s="4">
        <f t="shared" si="3"/>
        <v>4.520000383809827</v>
      </c>
      <c r="I271" s="2">
        <f t="shared" si="4"/>
        <v>16.046001362524883</v>
      </c>
      <c r="J271">
        <v>5.5</v>
      </c>
    </row>
    <row r="272" spans="1:10" x14ac:dyDescent="0.3">
      <c r="A272" t="s">
        <v>59</v>
      </c>
      <c r="B272" t="s">
        <v>22</v>
      </c>
      <c r="C272" s="4">
        <v>0.43836446099999998</v>
      </c>
      <c r="D272" s="4">
        <v>0.58666666700000003</v>
      </c>
      <c r="E272" s="18">
        <v>25</v>
      </c>
      <c r="F272" s="18">
        <v>4</v>
      </c>
      <c r="G272" s="4">
        <v>12.2</v>
      </c>
      <c r="H272" s="4">
        <f t="shared" si="3"/>
        <v>3.883380611442246</v>
      </c>
      <c r="I272" s="2">
        <f t="shared" si="4"/>
        <v>11.84431086489885</v>
      </c>
      <c r="J272">
        <v>5.5</v>
      </c>
    </row>
    <row r="273" spans="1:10" x14ac:dyDescent="0.3">
      <c r="A273" t="s">
        <v>59</v>
      </c>
      <c r="B273" t="s">
        <v>22</v>
      </c>
      <c r="C273" s="4">
        <v>0.43836446099999998</v>
      </c>
      <c r="D273" s="4">
        <v>0.58666666700000003</v>
      </c>
      <c r="E273" s="18">
        <v>25</v>
      </c>
      <c r="F273" s="18">
        <v>5</v>
      </c>
      <c r="G273" s="4">
        <v>15.2</v>
      </c>
      <c r="H273" s="4">
        <f t="shared" si="3"/>
        <v>4.8383102699936185</v>
      </c>
      <c r="I273" s="2">
        <f t="shared" si="4"/>
        <v>18.385579025975751</v>
      </c>
      <c r="J273">
        <v>5.5</v>
      </c>
    </row>
    <row r="274" spans="1:10" x14ac:dyDescent="0.3">
      <c r="A274" t="s">
        <v>59</v>
      </c>
      <c r="B274" t="s">
        <v>22</v>
      </c>
      <c r="C274" s="4">
        <v>0.43836446099999998</v>
      </c>
      <c r="D274" s="4">
        <v>0.58666666700000003</v>
      </c>
      <c r="E274" s="18">
        <v>25</v>
      </c>
      <c r="F274" s="18">
        <v>6</v>
      </c>
      <c r="G274" s="4">
        <v>9.6</v>
      </c>
      <c r="H274" s="4">
        <f t="shared" si="3"/>
        <v>3.0557749073643903</v>
      </c>
      <c r="I274" s="2">
        <f t="shared" si="4"/>
        <v>7.3338597776745367</v>
      </c>
      <c r="J274">
        <v>5.5</v>
      </c>
    </row>
    <row r="275" spans="1:10" x14ac:dyDescent="0.3">
      <c r="A275" t="s">
        <v>59</v>
      </c>
      <c r="B275" t="s">
        <v>22</v>
      </c>
      <c r="C275" s="4">
        <v>0.43836446099999998</v>
      </c>
      <c r="D275" s="4">
        <v>0.58666666700000003</v>
      </c>
      <c r="E275" s="18">
        <v>25</v>
      </c>
      <c r="F275" s="18">
        <v>7</v>
      </c>
      <c r="G275" s="4">
        <v>13.4</v>
      </c>
      <c r="H275" s="4">
        <f t="shared" si="3"/>
        <v>4.2653524748627953</v>
      </c>
      <c r="I275" s="2">
        <f t="shared" si="4"/>
        <v>14.288930790790365</v>
      </c>
      <c r="J275">
        <v>5.5</v>
      </c>
    </row>
    <row r="276" spans="1:10" x14ac:dyDescent="0.3">
      <c r="A276" t="s">
        <v>59</v>
      </c>
      <c r="B276" t="s">
        <v>22</v>
      </c>
      <c r="C276" s="4">
        <v>0.43836446099999998</v>
      </c>
      <c r="D276" s="4">
        <v>0.58666666700000003</v>
      </c>
      <c r="E276" s="18">
        <v>25</v>
      </c>
      <c r="F276" s="18">
        <v>8</v>
      </c>
      <c r="G276" s="4">
        <v>13.7</v>
      </c>
      <c r="H276" s="4">
        <f t="shared" si="3"/>
        <v>4.3608454407179318</v>
      </c>
      <c r="I276" s="2">
        <f t="shared" si="4"/>
        <v>14.935895634458914</v>
      </c>
      <c r="J276">
        <v>5.5</v>
      </c>
    </row>
    <row r="277" spans="1:10" x14ac:dyDescent="0.3">
      <c r="A277" t="s">
        <v>59</v>
      </c>
      <c r="B277" t="s">
        <v>22</v>
      </c>
      <c r="C277" s="4">
        <v>0.43836446099999998</v>
      </c>
      <c r="D277" s="4">
        <v>0.58666666700000003</v>
      </c>
      <c r="E277" s="18">
        <v>25</v>
      </c>
      <c r="F277" s="18">
        <v>9</v>
      </c>
      <c r="G277" s="4">
        <v>13.2</v>
      </c>
      <c r="H277" s="4">
        <f t="shared" si="3"/>
        <v>4.2016904976260365</v>
      </c>
      <c r="I277" s="2">
        <f t="shared" si="4"/>
        <v>13.865578642165918</v>
      </c>
      <c r="J277">
        <v>5.5</v>
      </c>
    </row>
    <row r="278" spans="1:10" x14ac:dyDescent="0.3">
      <c r="A278" t="s">
        <v>59</v>
      </c>
      <c r="B278" t="s">
        <v>22</v>
      </c>
      <c r="C278" s="4">
        <v>0.43836446099999998</v>
      </c>
      <c r="D278" s="4">
        <v>0.58666666700000003</v>
      </c>
      <c r="E278" s="18">
        <v>25</v>
      </c>
      <c r="F278" s="18">
        <v>10</v>
      </c>
      <c r="G278" s="4">
        <v>12.1</v>
      </c>
      <c r="H278" s="4">
        <f t="shared" si="3"/>
        <v>3.851549622823867</v>
      </c>
      <c r="I278" s="2">
        <f t="shared" si="4"/>
        <v>11.650937609042197</v>
      </c>
      <c r="J278">
        <v>5.5</v>
      </c>
    </row>
    <row r="279" spans="1:10" x14ac:dyDescent="0.3">
      <c r="A279" t="s">
        <v>59</v>
      </c>
      <c r="B279" t="s">
        <v>22</v>
      </c>
      <c r="C279" s="4">
        <v>0.43836446099999998</v>
      </c>
      <c r="D279" s="4">
        <v>0.58666666700000003</v>
      </c>
      <c r="E279" s="18">
        <v>25</v>
      </c>
      <c r="F279" s="18">
        <v>11</v>
      </c>
      <c r="G279" s="4">
        <v>17.3</v>
      </c>
      <c r="H279" s="4">
        <f t="shared" si="3"/>
        <v>5.5067610309795789</v>
      </c>
      <c r="I279" s="2">
        <f t="shared" si="4"/>
        <v>23.81674145898668</v>
      </c>
      <c r="J279">
        <v>5.5</v>
      </c>
    </row>
    <row r="280" spans="1:10" x14ac:dyDescent="0.3">
      <c r="A280" t="s">
        <v>59</v>
      </c>
      <c r="B280" t="s">
        <v>22</v>
      </c>
      <c r="C280" s="4">
        <v>0.43836446099999998</v>
      </c>
      <c r="D280" s="4">
        <v>0.58666666700000003</v>
      </c>
      <c r="E280" s="18">
        <v>25</v>
      </c>
      <c r="F280" s="18">
        <v>12</v>
      </c>
      <c r="G280" s="4">
        <v>13.2</v>
      </c>
      <c r="H280" s="4">
        <f t="shared" si="3"/>
        <v>4.2016904976260365</v>
      </c>
      <c r="I280" s="2">
        <f t="shared" si="4"/>
        <v>13.865578642165918</v>
      </c>
      <c r="J280">
        <v>5.5</v>
      </c>
    </row>
    <row r="281" spans="1:10" x14ac:dyDescent="0.3">
      <c r="A281" t="s">
        <v>59</v>
      </c>
      <c r="B281" t="s">
        <v>58</v>
      </c>
      <c r="C281" s="4">
        <v>0.371297506</v>
      </c>
      <c r="D281" s="4">
        <v>0.35258402799999999</v>
      </c>
      <c r="E281" s="18">
        <v>26</v>
      </c>
      <c r="F281" s="18">
        <v>1</v>
      </c>
      <c r="G281" s="4">
        <v>11.2</v>
      </c>
      <c r="H281" s="4">
        <f t="shared" si="3"/>
        <v>3.5650707252584555</v>
      </c>
      <c r="I281" s="2">
        <f t="shared" si="4"/>
        <v>9.9821980307236746</v>
      </c>
      <c r="J281">
        <v>5</v>
      </c>
    </row>
    <row r="282" spans="1:10" x14ac:dyDescent="0.3">
      <c r="A282" t="s">
        <v>59</v>
      </c>
      <c r="B282" t="s">
        <v>58</v>
      </c>
      <c r="C282" s="4">
        <v>0.371297506</v>
      </c>
      <c r="D282" s="4">
        <v>0.35258402799999999</v>
      </c>
      <c r="E282" s="18">
        <v>26</v>
      </c>
      <c r="F282" s="18">
        <v>2</v>
      </c>
      <c r="G282" s="4">
        <v>13.5</v>
      </c>
      <c r="H282" s="4">
        <f t="shared" si="3"/>
        <v>4.2971834634811739</v>
      </c>
      <c r="I282" s="2">
        <f t="shared" si="4"/>
        <v>14.502994189248961</v>
      </c>
      <c r="J282">
        <v>5</v>
      </c>
    </row>
    <row r="283" spans="1:10" x14ac:dyDescent="0.3">
      <c r="A283" t="s">
        <v>59</v>
      </c>
      <c r="B283" t="s">
        <v>58</v>
      </c>
      <c r="C283" s="4">
        <v>0.371297506</v>
      </c>
      <c r="D283" s="4">
        <v>0.35258402799999999</v>
      </c>
      <c r="E283" s="18">
        <v>26</v>
      </c>
      <c r="F283" s="18">
        <v>3</v>
      </c>
      <c r="G283" s="4">
        <v>11.4</v>
      </c>
      <c r="H283" s="4">
        <f t="shared" si="3"/>
        <v>3.6287327024952138</v>
      </c>
      <c r="I283" s="2">
        <f t="shared" si="4"/>
        <v>10.34188820211136</v>
      </c>
      <c r="J283">
        <v>5</v>
      </c>
    </row>
    <row r="284" spans="1:10" x14ac:dyDescent="0.3">
      <c r="A284" t="s">
        <v>59</v>
      </c>
      <c r="B284" t="s">
        <v>58</v>
      </c>
      <c r="C284" s="4">
        <v>0.371297506</v>
      </c>
      <c r="D284" s="4">
        <v>0.35258402799999999</v>
      </c>
      <c r="E284" s="18">
        <v>26</v>
      </c>
      <c r="F284" s="18">
        <v>4</v>
      </c>
      <c r="G284" s="4">
        <v>18.5</v>
      </c>
      <c r="H284" s="4">
        <f t="shared" si="3"/>
        <v>5.8887328944001274</v>
      </c>
      <c r="I284" s="2">
        <f t="shared" si="4"/>
        <v>27.235389636600587</v>
      </c>
      <c r="J284">
        <v>5</v>
      </c>
    </row>
    <row r="285" spans="1:10" x14ac:dyDescent="0.3">
      <c r="A285" t="s">
        <v>59</v>
      </c>
      <c r="B285" t="s">
        <v>58</v>
      </c>
      <c r="C285" s="4">
        <v>0.371297506</v>
      </c>
      <c r="D285" s="4">
        <v>0.35258402799999999</v>
      </c>
      <c r="E285" s="18">
        <v>26</v>
      </c>
      <c r="F285" s="18">
        <v>5</v>
      </c>
      <c r="G285" s="4">
        <v>22.3</v>
      </c>
      <c r="H285" s="4">
        <f t="shared" si="3"/>
        <v>7.0983104618985324</v>
      </c>
      <c r="I285" s="2">
        <f t="shared" si="4"/>
        <v>39.573080825084325</v>
      </c>
      <c r="J285">
        <v>5</v>
      </c>
    </row>
    <row r="286" spans="1:10" x14ac:dyDescent="0.3">
      <c r="A286" t="s">
        <v>59</v>
      </c>
      <c r="B286" t="s">
        <v>62</v>
      </c>
      <c r="C286" s="4">
        <v>0.693333333</v>
      </c>
      <c r="D286" s="4">
        <v>0.64166666699999997</v>
      </c>
      <c r="E286" s="18">
        <v>27</v>
      </c>
      <c r="F286" s="18">
        <v>1</v>
      </c>
      <c r="G286" s="4">
        <v>32.299999999999997</v>
      </c>
      <c r="H286" s="4">
        <f t="shared" si="3"/>
        <v>10.281409323736439</v>
      </c>
      <c r="I286" s="2">
        <f t="shared" si="4"/>
        <v>83.022380289171736</v>
      </c>
      <c r="J286">
        <v>6</v>
      </c>
    </row>
    <row r="287" spans="1:10" x14ac:dyDescent="0.3">
      <c r="A287" t="s">
        <v>59</v>
      </c>
      <c r="B287" t="s">
        <v>62</v>
      </c>
      <c r="C287" s="4">
        <v>0.693333333</v>
      </c>
      <c r="D287" s="4">
        <v>0.64166666699999997</v>
      </c>
      <c r="E287" s="18">
        <v>28</v>
      </c>
      <c r="F287" s="18">
        <v>1</v>
      </c>
      <c r="G287" s="4">
        <v>16.100000000000001</v>
      </c>
      <c r="H287" s="4">
        <f t="shared" si="3"/>
        <v>5.1247891675590305</v>
      </c>
      <c r="I287" s="2">
        <f t="shared" si="4"/>
        <v>20.627276399425099</v>
      </c>
      <c r="J287">
        <v>4.5</v>
      </c>
    </row>
    <row r="288" spans="1:10" x14ac:dyDescent="0.3">
      <c r="A288" t="s">
        <v>59</v>
      </c>
      <c r="B288" t="s">
        <v>62</v>
      </c>
      <c r="C288" s="4">
        <v>0.693333333</v>
      </c>
      <c r="D288" s="4">
        <v>0.64166666699999997</v>
      </c>
      <c r="E288" s="18">
        <v>28</v>
      </c>
      <c r="F288" s="18">
        <v>2</v>
      </c>
      <c r="G288" s="4">
        <v>14.2</v>
      </c>
      <c r="H288" s="4">
        <f t="shared" si="3"/>
        <v>4.520000383809827</v>
      </c>
      <c r="I288" s="2">
        <f t="shared" si="4"/>
        <v>16.046001362524883</v>
      </c>
      <c r="J288">
        <v>4.5</v>
      </c>
    </row>
    <row r="289" spans="1:10" x14ac:dyDescent="0.3">
      <c r="A289" t="s">
        <v>63</v>
      </c>
      <c r="B289" t="s">
        <v>26</v>
      </c>
      <c r="C289" s="4">
        <v>0.80908761900000004</v>
      </c>
      <c r="D289" s="4">
        <v>0.87473809499999999</v>
      </c>
      <c r="E289" s="18">
        <v>29</v>
      </c>
      <c r="F289" s="18">
        <v>1</v>
      </c>
      <c r="G289" s="4">
        <v>14.3</v>
      </c>
      <c r="H289" s="4">
        <f t="shared" si="3"/>
        <v>4.5518313724282073</v>
      </c>
      <c r="I289" s="2">
        <f t="shared" si="4"/>
        <v>16.272797156430844</v>
      </c>
      <c r="J289">
        <v>4.5</v>
      </c>
    </row>
    <row r="290" spans="1:10" x14ac:dyDescent="0.3">
      <c r="A290" t="s">
        <v>63</v>
      </c>
      <c r="B290" t="s">
        <v>26</v>
      </c>
      <c r="C290" s="4">
        <v>0.80908761900000004</v>
      </c>
      <c r="D290" s="4">
        <v>0.87473809499999999</v>
      </c>
      <c r="E290" s="18">
        <v>29</v>
      </c>
      <c r="F290" s="18">
        <v>2</v>
      </c>
      <c r="G290" s="4">
        <v>13.2</v>
      </c>
      <c r="H290" s="4">
        <f t="shared" si="3"/>
        <v>4.2016904976260365</v>
      </c>
      <c r="I290" s="2">
        <f t="shared" si="4"/>
        <v>13.865578642165918</v>
      </c>
      <c r="J290">
        <v>4.5</v>
      </c>
    </row>
    <row r="291" spans="1:10" x14ac:dyDescent="0.3">
      <c r="A291" t="s">
        <v>63</v>
      </c>
      <c r="B291" t="s">
        <v>52</v>
      </c>
      <c r="C291" s="4">
        <v>0.78445916699999996</v>
      </c>
      <c r="D291" s="4">
        <v>0.87841666699999998</v>
      </c>
      <c r="E291" s="18">
        <v>30</v>
      </c>
      <c r="F291" s="18">
        <v>1</v>
      </c>
      <c r="G291" s="4">
        <v>11.5</v>
      </c>
      <c r="H291" s="4">
        <f t="shared" si="3"/>
        <v>3.6605636911135928</v>
      </c>
      <c r="I291" s="2">
        <f t="shared" si="4"/>
        <v>10.524120611951579</v>
      </c>
      <c r="J291">
        <v>4</v>
      </c>
    </row>
    <row r="292" spans="1:10" x14ac:dyDescent="0.3">
      <c r="A292" t="s">
        <v>63</v>
      </c>
      <c r="B292" t="s">
        <v>52</v>
      </c>
      <c r="C292" s="4">
        <v>0.78445916699999996</v>
      </c>
      <c r="D292" s="4">
        <v>0.87841666699999998</v>
      </c>
      <c r="E292" s="18">
        <v>30</v>
      </c>
      <c r="F292" s="18">
        <v>2</v>
      </c>
      <c r="G292" s="4">
        <v>11.4</v>
      </c>
      <c r="H292" s="4">
        <f t="shared" si="3"/>
        <v>3.6287327024952138</v>
      </c>
      <c r="I292" s="2">
        <f t="shared" si="4"/>
        <v>10.34188820211136</v>
      </c>
      <c r="J292">
        <v>4</v>
      </c>
    </row>
    <row r="293" spans="1:10" x14ac:dyDescent="0.3">
      <c r="A293" t="s">
        <v>63</v>
      </c>
      <c r="B293" t="s">
        <v>64</v>
      </c>
      <c r="C293" s="4">
        <v>0.66</v>
      </c>
      <c r="D293" s="4">
        <v>0.75533333300000005</v>
      </c>
      <c r="E293" s="18">
        <v>31</v>
      </c>
      <c r="F293" s="18">
        <v>1</v>
      </c>
      <c r="G293" s="4">
        <v>15.7</v>
      </c>
      <c r="H293" s="4">
        <f t="shared" si="3"/>
        <v>4.9974652130855137</v>
      </c>
      <c r="I293" s="2">
        <f t="shared" si="4"/>
        <v>19.615050961360641</v>
      </c>
      <c r="J293">
        <v>7</v>
      </c>
    </row>
    <row r="294" spans="1:10" x14ac:dyDescent="0.3">
      <c r="A294" t="s">
        <v>63</v>
      </c>
      <c r="B294" t="s">
        <v>64</v>
      </c>
      <c r="C294" s="4">
        <v>0.66</v>
      </c>
      <c r="D294" s="4">
        <v>0.75533333300000005</v>
      </c>
      <c r="E294" s="18">
        <v>31</v>
      </c>
      <c r="F294" s="18">
        <v>2</v>
      </c>
      <c r="G294" s="4">
        <v>8.6</v>
      </c>
      <c r="H294" s="4">
        <f t="shared" si="3"/>
        <v>2.7374650211805998</v>
      </c>
      <c r="I294" s="2">
        <f t="shared" si="4"/>
        <v>5.8855497955382896</v>
      </c>
      <c r="J294">
        <v>7</v>
      </c>
    </row>
    <row r="295" spans="1:10" x14ac:dyDescent="0.3">
      <c r="A295" t="s">
        <v>63</v>
      </c>
      <c r="B295" t="s">
        <v>44</v>
      </c>
      <c r="C295" s="4">
        <v>0.54247040000000002</v>
      </c>
      <c r="D295" s="4">
        <v>0.54247042099999998</v>
      </c>
      <c r="E295" s="18">
        <v>32</v>
      </c>
      <c r="F295" s="18">
        <v>1</v>
      </c>
      <c r="G295" s="4">
        <v>20.399999999999999</v>
      </c>
      <c r="H295" s="4">
        <f t="shared" si="3"/>
        <v>6.4935216781493299</v>
      </c>
      <c r="I295" s="2">
        <f t="shared" si="4"/>
        <v>33.11696055856158</v>
      </c>
      <c r="J295">
        <v>3.5</v>
      </c>
    </row>
    <row r="296" spans="1:10" x14ac:dyDescent="0.3">
      <c r="A296" t="s">
        <v>63</v>
      </c>
      <c r="B296" t="s">
        <v>44</v>
      </c>
      <c r="C296" s="4">
        <v>0.54247040000000002</v>
      </c>
      <c r="D296" s="4">
        <v>0.54247042099999998</v>
      </c>
      <c r="E296" s="18">
        <v>32</v>
      </c>
      <c r="F296" s="18">
        <v>2</v>
      </c>
      <c r="G296" s="4">
        <v>15.7</v>
      </c>
      <c r="H296" s="4">
        <f t="shared" si="3"/>
        <v>4.9974652130855137</v>
      </c>
      <c r="I296" s="2">
        <f t="shared" si="4"/>
        <v>19.615050961360641</v>
      </c>
      <c r="J296">
        <v>3.5</v>
      </c>
    </row>
    <row r="297" spans="1:10" x14ac:dyDescent="0.3">
      <c r="A297" t="s">
        <v>63</v>
      </c>
      <c r="B297" t="s">
        <v>44</v>
      </c>
      <c r="C297" s="4">
        <v>0.54247040000000002</v>
      </c>
      <c r="D297" s="4">
        <v>0.54247042099999998</v>
      </c>
      <c r="E297" s="18">
        <v>32</v>
      </c>
      <c r="F297" s="18">
        <v>3</v>
      </c>
      <c r="G297" s="4">
        <v>14.2</v>
      </c>
      <c r="H297" s="4">
        <f t="shared" si="3"/>
        <v>4.520000383809827</v>
      </c>
      <c r="I297" s="2">
        <f t="shared" si="4"/>
        <v>16.046001362524883</v>
      </c>
      <c r="J297">
        <v>3.5</v>
      </c>
    </row>
    <row r="298" spans="1:10" x14ac:dyDescent="0.3">
      <c r="A298" t="s">
        <v>63</v>
      </c>
      <c r="B298" t="s">
        <v>55</v>
      </c>
      <c r="C298" s="4">
        <v>0.52500000000000002</v>
      </c>
      <c r="D298" s="4">
        <v>0.52500000000000002</v>
      </c>
      <c r="E298" s="18">
        <v>33</v>
      </c>
      <c r="F298" s="18">
        <v>1</v>
      </c>
      <c r="G298" s="4">
        <v>12.5</v>
      </c>
      <c r="H298" s="4">
        <f t="shared" si="3"/>
        <v>3.9788735772973833</v>
      </c>
      <c r="I298" s="2">
        <f t="shared" si="4"/>
        <v>12.433979929054322</v>
      </c>
      <c r="J298">
        <v>5</v>
      </c>
    </row>
    <row r="299" spans="1:10" x14ac:dyDescent="0.3">
      <c r="A299" t="s">
        <v>63</v>
      </c>
      <c r="B299" t="s">
        <v>55</v>
      </c>
      <c r="C299" s="4">
        <v>0.52500000000000002</v>
      </c>
      <c r="D299" s="4">
        <v>0.52500000000000002</v>
      </c>
      <c r="E299" s="18">
        <v>33</v>
      </c>
      <c r="F299" s="18">
        <v>2</v>
      </c>
      <c r="G299" s="4">
        <v>10.4</v>
      </c>
      <c r="H299" s="4">
        <f t="shared" si="3"/>
        <v>3.3104228163114233</v>
      </c>
      <c r="I299" s="2">
        <f t="shared" si="4"/>
        <v>8.6070993224097005</v>
      </c>
      <c r="J299">
        <v>5</v>
      </c>
    </row>
    <row r="300" spans="1:10" x14ac:dyDescent="0.3">
      <c r="A300" t="s">
        <v>63</v>
      </c>
      <c r="B300" t="s">
        <v>41</v>
      </c>
      <c r="C300" s="4">
        <v>0.56193137999999998</v>
      </c>
      <c r="D300" s="4">
        <v>0.57808694400000005</v>
      </c>
      <c r="E300" s="18">
        <v>34</v>
      </c>
      <c r="F300" s="18">
        <v>1</v>
      </c>
      <c r="G300" s="4">
        <v>21.5</v>
      </c>
      <c r="H300" s="4">
        <f t="shared" si="3"/>
        <v>6.8436625529514998</v>
      </c>
      <c r="I300" s="2">
        <f t="shared" si="4"/>
        <v>36.78468622211431</v>
      </c>
      <c r="J300">
        <v>7</v>
      </c>
    </row>
    <row r="301" spans="1:10" x14ac:dyDescent="0.3">
      <c r="A301" t="s">
        <v>63</v>
      </c>
      <c r="B301" t="s">
        <v>41</v>
      </c>
      <c r="C301" s="4">
        <v>0.56193137999999998</v>
      </c>
      <c r="D301" s="4">
        <v>0.57808694400000005</v>
      </c>
      <c r="E301" s="18">
        <v>34</v>
      </c>
      <c r="F301" s="18">
        <v>2</v>
      </c>
      <c r="G301" s="4">
        <v>28.7</v>
      </c>
      <c r="H301" s="4">
        <f t="shared" si="3"/>
        <v>9.1354937334747923</v>
      </c>
      <c r="I301" s="2">
        <f t="shared" si="4"/>
        <v>65.547167537681631</v>
      </c>
      <c r="J301">
        <v>7</v>
      </c>
    </row>
    <row r="302" spans="1:10" x14ac:dyDescent="0.3">
      <c r="A302" t="s">
        <v>63</v>
      </c>
      <c r="B302" t="s">
        <v>41</v>
      </c>
      <c r="C302" s="4">
        <v>0.56193137999999998</v>
      </c>
      <c r="D302" s="4">
        <v>0.57808694400000005</v>
      </c>
      <c r="E302" s="18">
        <v>34</v>
      </c>
      <c r="F302" s="18">
        <v>3</v>
      </c>
      <c r="G302" s="4">
        <v>26.6</v>
      </c>
      <c r="H302" s="4">
        <f t="shared" si="3"/>
        <v>8.4670429724888319</v>
      </c>
      <c r="I302" s="2">
        <f t="shared" si="4"/>
        <v>56.305835767050723</v>
      </c>
      <c r="J302">
        <v>7</v>
      </c>
    </row>
    <row r="303" spans="1:10" x14ac:dyDescent="0.3">
      <c r="A303" t="s">
        <v>63</v>
      </c>
      <c r="B303" t="s">
        <v>41</v>
      </c>
      <c r="C303" s="4">
        <v>0.56193137999999998</v>
      </c>
      <c r="D303" s="4">
        <v>0.57808694400000005</v>
      </c>
      <c r="E303" s="18">
        <v>34</v>
      </c>
      <c r="F303" s="18">
        <v>4</v>
      </c>
      <c r="G303" s="4">
        <v>11.3</v>
      </c>
      <c r="H303" s="4">
        <f t="shared" si="3"/>
        <v>3.5969017138768349</v>
      </c>
      <c r="I303" s="2">
        <f t="shared" si="4"/>
        <v>10.16124734170206</v>
      </c>
      <c r="J303">
        <v>7</v>
      </c>
    </row>
    <row r="304" spans="1:10" x14ac:dyDescent="0.3">
      <c r="A304" t="s">
        <v>63</v>
      </c>
      <c r="B304" t="s">
        <v>41</v>
      </c>
      <c r="C304" s="4">
        <v>0.56193137999999998</v>
      </c>
      <c r="D304" s="4">
        <v>0.57808694400000005</v>
      </c>
      <c r="E304" s="18">
        <v>35</v>
      </c>
      <c r="F304" s="18">
        <v>1</v>
      </c>
      <c r="G304" s="4">
        <v>31.2</v>
      </c>
      <c r="H304" s="4">
        <f t="shared" si="3"/>
        <v>9.9312684489342686</v>
      </c>
      <c r="I304" s="2">
        <f t="shared" si="4"/>
        <v>77.463893901687285</v>
      </c>
      <c r="J304">
        <v>7</v>
      </c>
    </row>
    <row r="305" spans="1:10" x14ac:dyDescent="0.3">
      <c r="A305" t="s">
        <v>63</v>
      </c>
      <c r="B305" t="s">
        <v>41</v>
      </c>
      <c r="C305" s="4">
        <v>0.56193137999999998</v>
      </c>
      <c r="D305" s="4">
        <v>0.57808694400000005</v>
      </c>
      <c r="E305" s="18">
        <v>35</v>
      </c>
      <c r="F305" s="18">
        <v>2</v>
      </c>
      <c r="G305" s="4">
        <v>31.5</v>
      </c>
      <c r="H305" s="4">
        <f t="shared" si="3"/>
        <v>10.026761414789407</v>
      </c>
      <c r="I305" s="2">
        <f t="shared" si="4"/>
        <v>78.960746141466586</v>
      </c>
      <c r="J305">
        <v>7</v>
      </c>
    </row>
    <row r="306" spans="1:10" x14ac:dyDescent="0.3">
      <c r="A306" t="s">
        <v>63</v>
      </c>
      <c r="B306" t="s">
        <v>41</v>
      </c>
      <c r="C306" s="4">
        <v>0.56193137999999998</v>
      </c>
      <c r="D306" s="4">
        <v>0.57808694400000005</v>
      </c>
      <c r="E306" s="18">
        <v>35</v>
      </c>
      <c r="F306" s="18">
        <v>3</v>
      </c>
      <c r="G306" s="4">
        <v>35.299999999999997</v>
      </c>
      <c r="H306" s="4">
        <f t="shared" si="3"/>
        <v>11.23633898228781</v>
      </c>
      <c r="I306" s="2">
        <f t="shared" si="4"/>
        <v>99.160691518689916</v>
      </c>
      <c r="J306">
        <v>7</v>
      </c>
    </row>
    <row r="307" spans="1:10" x14ac:dyDescent="0.3">
      <c r="A307" t="s">
        <v>63</v>
      </c>
      <c r="B307" t="s">
        <v>41</v>
      </c>
      <c r="C307" s="4">
        <v>0.56193137999999998</v>
      </c>
      <c r="D307" s="4">
        <v>0.57808694400000005</v>
      </c>
      <c r="E307" s="18">
        <v>35</v>
      </c>
      <c r="F307" s="18">
        <v>4</v>
      </c>
      <c r="G307" s="4">
        <v>14.5</v>
      </c>
      <c r="H307" s="4">
        <f t="shared" si="3"/>
        <v>4.6154933496649653</v>
      </c>
      <c r="I307" s="2">
        <f t="shared" si="4"/>
        <v>16.7311633925355</v>
      </c>
      <c r="J307">
        <v>7</v>
      </c>
    </row>
    <row r="308" spans="1:10" x14ac:dyDescent="0.3">
      <c r="A308" t="s">
        <v>63</v>
      </c>
      <c r="B308" t="s">
        <v>56</v>
      </c>
      <c r="C308" s="4">
        <v>0.39984676499999999</v>
      </c>
      <c r="D308" s="4">
        <v>0.450333333</v>
      </c>
      <c r="E308" s="18">
        <v>36</v>
      </c>
      <c r="F308" s="18">
        <v>1</v>
      </c>
      <c r="G308" s="4">
        <v>31.5</v>
      </c>
      <c r="H308" s="4">
        <f t="shared" si="3"/>
        <v>10.026761414789407</v>
      </c>
      <c r="I308" s="2">
        <f t="shared" si="4"/>
        <v>78.960746141466586</v>
      </c>
      <c r="J308">
        <v>8</v>
      </c>
    </row>
    <row r="309" spans="1:10" x14ac:dyDescent="0.3">
      <c r="A309" t="s">
        <v>63</v>
      </c>
      <c r="B309" t="s">
        <v>56</v>
      </c>
      <c r="C309" s="4">
        <v>0.39984676499999999</v>
      </c>
      <c r="D309" s="4">
        <v>0.450333333</v>
      </c>
      <c r="E309" s="18">
        <v>36</v>
      </c>
      <c r="F309" s="18">
        <v>2</v>
      </c>
      <c r="G309" s="4">
        <v>33.299999999999997</v>
      </c>
      <c r="H309" s="4">
        <f t="shared" si="3"/>
        <v>10.599719209920229</v>
      </c>
      <c r="I309" s="2">
        <f t="shared" si="4"/>
        <v>88.242662422585894</v>
      </c>
      <c r="J309">
        <v>8</v>
      </c>
    </row>
    <row r="310" spans="1:10" x14ac:dyDescent="0.3">
      <c r="A310" t="s">
        <v>63</v>
      </c>
      <c r="B310" t="s">
        <v>56</v>
      </c>
      <c r="C310" s="4">
        <v>0.39984676499999999</v>
      </c>
      <c r="D310" s="4">
        <v>0.450333333</v>
      </c>
      <c r="E310" s="18">
        <v>37</v>
      </c>
      <c r="F310" s="18">
        <v>1</v>
      </c>
      <c r="G310" s="4">
        <v>45.7</v>
      </c>
      <c r="H310" s="4">
        <f t="shared" si="3"/>
        <v>14.546761798599235</v>
      </c>
      <c r="I310" s="2">
        <f t="shared" si="4"/>
        <v>166.19675354899624</v>
      </c>
      <c r="J310">
        <v>9</v>
      </c>
    </row>
    <row r="311" spans="1:10" x14ac:dyDescent="0.3">
      <c r="A311" t="s">
        <v>63</v>
      </c>
      <c r="B311" t="s">
        <v>56</v>
      </c>
      <c r="C311" s="4">
        <v>0.39984676499999999</v>
      </c>
      <c r="D311" s="4">
        <v>0.450333333</v>
      </c>
      <c r="E311" s="18">
        <v>37</v>
      </c>
      <c r="F311" s="18">
        <v>2</v>
      </c>
      <c r="G311" s="4">
        <v>41.2</v>
      </c>
      <c r="H311" s="4">
        <f t="shared" si="3"/>
        <v>13.114367310772177</v>
      </c>
      <c r="I311" s="2">
        <f t="shared" si="4"/>
        <v>135.07798330095343</v>
      </c>
      <c r="J311">
        <v>9</v>
      </c>
    </row>
    <row r="312" spans="1:10" x14ac:dyDescent="0.3">
      <c r="A312" t="s">
        <v>63</v>
      </c>
      <c r="B312" t="s">
        <v>56</v>
      </c>
      <c r="C312" s="4">
        <v>0.39984676499999999</v>
      </c>
      <c r="D312" s="4">
        <v>0.450333333</v>
      </c>
      <c r="E312" s="18">
        <v>37</v>
      </c>
      <c r="F312" s="18">
        <v>3</v>
      </c>
      <c r="G312" s="4">
        <v>47.7</v>
      </c>
      <c r="H312" s="4">
        <f t="shared" si="3"/>
        <v>15.183381570966816</v>
      </c>
      <c r="I312" s="2">
        <f t="shared" si="4"/>
        <v>181.06182523377927</v>
      </c>
      <c r="J312">
        <v>9</v>
      </c>
    </row>
    <row r="313" spans="1:10" x14ac:dyDescent="0.3">
      <c r="A313" t="s">
        <v>63</v>
      </c>
      <c r="B313" t="s">
        <v>38</v>
      </c>
      <c r="C313" s="4">
        <v>1082380952</v>
      </c>
      <c r="D313" s="4">
        <v>0.61247410899999999</v>
      </c>
      <c r="E313" s="18">
        <v>38</v>
      </c>
      <c r="F313" s="18">
        <v>1</v>
      </c>
      <c r="G313" s="4">
        <v>24.4</v>
      </c>
      <c r="H313" s="4">
        <f t="shared" si="3"/>
        <v>7.766761222884492</v>
      </c>
      <c r="I313" s="2">
        <f t="shared" si="4"/>
        <v>47.377243459595398</v>
      </c>
      <c r="J313">
        <v>5.5</v>
      </c>
    </row>
    <row r="314" spans="1:10" x14ac:dyDescent="0.3">
      <c r="A314" t="s">
        <v>63</v>
      </c>
      <c r="B314" t="s">
        <v>38</v>
      </c>
      <c r="C314" s="4">
        <v>1082380952</v>
      </c>
      <c r="D314" s="4">
        <v>0.61247410899999999</v>
      </c>
      <c r="E314" s="18">
        <v>38</v>
      </c>
      <c r="F314" s="18">
        <v>2</v>
      </c>
      <c r="G314" s="4">
        <v>16.3</v>
      </c>
      <c r="H314" s="4">
        <f t="shared" si="3"/>
        <v>5.1884511447957884</v>
      </c>
      <c r="I314" s="2">
        <f t="shared" si="4"/>
        <v>21.142938415042838</v>
      </c>
      <c r="J314">
        <v>5.5</v>
      </c>
    </row>
    <row r="315" spans="1:10" x14ac:dyDescent="0.3">
      <c r="A315" t="s">
        <v>63</v>
      </c>
      <c r="B315" t="s">
        <v>57</v>
      </c>
      <c r="C315" s="4">
        <v>0.61</v>
      </c>
      <c r="D315" s="4">
        <v>0.84088888900000003</v>
      </c>
      <c r="E315" s="18">
        <v>39</v>
      </c>
      <c r="F315" s="18">
        <v>1</v>
      </c>
      <c r="G315" s="4">
        <v>21.5</v>
      </c>
      <c r="H315" s="4">
        <f t="shared" si="3"/>
        <v>6.8436625529514998</v>
      </c>
      <c r="I315" s="2">
        <f t="shared" si="4"/>
        <v>36.78468622211431</v>
      </c>
      <c r="J315">
        <v>6.5</v>
      </c>
    </row>
    <row r="316" spans="1:10" x14ac:dyDescent="0.3">
      <c r="A316" t="s">
        <v>63</v>
      </c>
      <c r="B316" t="s">
        <v>57</v>
      </c>
      <c r="C316" s="4">
        <v>0.61</v>
      </c>
      <c r="D316" s="4">
        <v>0.84088888900000003</v>
      </c>
      <c r="E316" s="18">
        <v>39</v>
      </c>
      <c r="F316" s="18">
        <v>2</v>
      </c>
      <c r="G316" s="4">
        <v>20.3</v>
      </c>
      <c r="H316" s="4">
        <f t="shared" si="3"/>
        <v>6.4616906895309514</v>
      </c>
      <c r="I316" s="2">
        <f t="shared" si="4"/>
        <v>32.793080249369581</v>
      </c>
      <c r="J316">
        <v>6.5</v>
      </c>
    </row>
    <row r="317" spans="1:10" x14ac:dyDescent="0.3">
      <c r="A317" t="s">
        <v>63</v>
      </c>
      <c r="B317" t="s">
        <v>57</v>
      </c>
      <c r="C317" s="4">
        <v>0.61</v>
      </c>
      <c r="D317" s="4">
        <v>0.84088888900000003</v>
      </c>
      <c r="E317" s="18">
        <v>39</v>
      </c>
      <c r="F317" s="18">
        <v>3</v>
      </c>
      <c r="G317" s="4">
        <v>20.3</v>
      </c>
      <c r="H317" s="4">
        <f t="shared" si="3"/>
        <v>6.4616906895309514</v>
      </c>
      <c r="I317" s="2">
        <f t="shared" si="4"/>
        <v>32.793080249369581</v>
      </c>
      <c r="J317">
        <v>6.5</v>
      </c>
    </row>
    <row r="318" spans="1:10" x14ac:dyDescent="0.3">
      <c r="A318" t="s">
        <v>63</v>
      </c>
      <c r="B318" t="s">
        <v>57</v>
      </c>
      <c r="C318" s="4">
        <v>0.61</v>
      </c>
      <c r="D318" s="4">
        <v>0.84088888900000003</v>
      </c>
      <c r="E318" s="18">
        <v>39</v>
      </c>
      <c r="F318" s="18">
        <v>4</v>
      </c>
      <c r="G318" s="4">
        <v>25.5</v>
      </c>
      <c r="H318" s="4">
        <f t="shared" si="3"/>
        <v>8.1169020976866619</v>
      </c>
      <c r="I318" s="2">
        <f t="shared" si="4"/>
        <v>51.745250872752472</v>
      </c>
      <c r="J318">
        <v>6.5</v>
      </c>
    </row>
    <row r="319" spans="1:10" x14ac:dyDescent="0.3">
      <c r="A319" t="s">
        <v>63</v>
      </c>
      <c r="B319" t="s">
        <v>57</v>
      </c>
      <c r="C319" s="4">
        <v>0.61</v>
      </c>
      <c r="D319" s="4">
        <v>0.84088888900000003</v>
      </c>
      <c r="E319" s="18">
        <v>39</v>
      </c>
      <c r="F319" s="18">
        <v>5</v>
      </c>
      <c r="G319" s="4">
        <v>22.2</v>
      </c>
      <c r="H319" s="4">
        <f t="shared" si="3"/>
        <v>7.066479473280153</v>
      </c>
      <c r="I319" s="2">
        <f t="shared" si="4"/>
        <v>39.218961076704844</v>
      </c>
      <c r="J319">
        <v>6.5</v>
      </c>
    </row>
    <row r="320" spans="1:10" x14ac:dyDescent="0.3">
      <c r="A320" t="s">
        <v>63</v>
      </c>
      <c r="B320" t="s">
        <v>57</v>
      </c>
      <c r="C320" s="4">
        <v>0.61</v>
      </c>
      <c r="D320" s="4">
        <v>0.84088888900000003</v>
      </c>
      <c r="E320" s="18">
        <v>39</v>
      </c>
      <c r="F320" s="18">
        <v>6</v>
      </c>
      <c r="G320" s="4">
        <v>19.600000000000001</v>
      </c>
      <c r="H320" s="4">
        <f t="shared" si="3"/>
        <v>6.2388737692022982</v>
      </c>
      <c r="I320" s="2">
        <f t="shared" si="4"/>
        <v>30.570481469091263</v>
      </c>
      <c r="J320">
        <v>6.5</v>
      </c>
    </row>
    <row r="321" spans="1:10" x14ac:dyDescent="0.3">
      <c r="A321" t="s">
        <v>63</v>
      </c>
      <c r="B321" t="s">
        <v>57</v>
      </c>
      <c r="C321" s="4">
        <v>0.61</v>
      </c>
      <c r="D321" s="4">
        <v>0.84088888900000003</v>
      </c>
      <c r="E321" s="18">
        <v>39</v>
      </c>
      <c r="F321" s="18">
        <v>7</v>
      </c>
      <c r="G321" s="4">
        <v>17.3</v>
      </c>
      <c r="H321" s="4">
        <f t="shared" si="3"/>
        <v>5.5067610309795789</v>
      </c>
      <c r="I321" s="2">
        <f t="shared" si="4"/>
        <v>23.81674145898668</v>
      </c>
      <c r="J321">
        <v>6.5</v>
      </c>
    </row>
    <row r="322" spans="1:10" x14ac:dyDescent="0.3">
      <c r="A322" t="s">
        <v>63</v>
      </c>
      <c r="B322" t="s">
        <v>57</v>
      </c>
      <c r="C322" s="4">
        <v>0.61</v>
      </c>
      <c r="D322" s="4">
        <v>0.84088888900000003</v>
      </c>
      <c r="E322" s="18">
        <v>39</v>
      </c>
      <c r="F322" s="18">
        <v>8</v>
      </c>
      <c r="G322" s="4">
        <v>14.3</v>
      </c>
      <c r="H322" s="4">
        <f t="shared" si="3"/>
        <v>4.5518313724282073</v>
      </c>
      <c r="I322" s="2">
        <f t="shared" si="4"/>
        <v>16.272797156430844</v>
      </c>
      <c r="J322">
        <v>6.5</v>
      </c>
    </row>
    <row r="323" spans="1:10" x14ac:dyDescent="0.3">
      <c r="A323" t="s">
        <v>63</v>
      </c>
      <c r="B323" t="s">
        <v>57</v>
      </c>
      <c r="C323" s="4">
        <v>0.61</v>
      </c>
      <c r="D323" s="4">
        <v>0.84088888900000003</v>
      </c>
      <c r="E323" s="18">
        <v>40</v>
      </c>
      <c r="F323" s="18">
        <v>1</v>
      </c>
      <c r="G323" s="4">
        <v>19.3</v>
      </c>
      <c r="H323" s="4">
        <f t="shared" si="3"/>
        <v>6.1433808033471609</v>
      </c>
      <c r="I323" s="2">
        <f t="shared" si="4"/>
        <v>29.641812376150053</v>
      </c>
      <c r="J323">
        <v>8</v>
      </c>
    </row>
    <row r="324" spans="1:10" x14ac:dyDescent="0.3">
      <c r="A324" t="s">
        <v>63</v>
      </c>
      <c r="B324" t="s">
        <v>57</v>
      </c>
      <c r="C324" s="4">
        <v>0.61</v>
      </c>
      <c r="D324" s="4">
        <v>0.84088888900000003</v>
      </c>
      <c r="E324" s="18">
        <v>40</v>
      </c>
      <c r="F324" s="18">
        <v>2</v>
      </c>
      <c r="G324" s="4">
        <v>25.6</v>
      </c>
      <c r="H324" s="4">
        <f t="shared" si="3"/>
        <v>8.1487330863050413</v>
      </c>
      <c r="I324" s="2">
        <f t="shared" si="4"/>
        <v>52.151891752352263</v>
      </c>
      <c r="J324">
        <v>8</v>
      </c>
    </row>
    <row r="325" spans="1:10" x14ac:dyDescent="0.3">
      <c r="A325" t="s">
        <v>63</v>
      </c>
      <c r="B325" t="s">
        <v>57</v>
      </c>
      <c r="C325" s="4">
        <v>0.61</v>
      </c>
      <c r="D325" s="4">
        <v>0.84088888900000003</v>
      </c>
      <c r="E325" s="18">
        <v>40</v>
      </c>
      <c r="F325" s="18">
        <v>3</v>
      </c>
      <c r="G325" s="4">
        <v>11.4</v>
      </c>
      <c r="H325" s="4">
        <f t="shared" si="3"/>
        <v>3.6287327024952138</v>
      </c>
      <c r="I325" s="2">
        <f t="shared" si="4"/>
        <v>10.34188820211136</v>
      </c>
      <c r="J325">
        <v>8</v>
      </c>
    </row>
    <row r="326" spans="1:10" x14ac:dyDescent="0.3">
      <c r="A326" t="s">
        <v>63</v>
      </c>
      <c r="B326" t="s">
        <v>57</v>
      </c>
      <c r="C326" s="4">
        <v>0.61</v>
      </c>
      <c r="D326" s="4">
        <v>0.84088888900000003</v>
      </c>
      <c r="E326" s="18">
        <v>40</v>
      </c>
      <c r="F326" s="18">
        <v>4</v>
      </c>
      <c r="G326" s="4">
        <v>17.3</v>
      </c>
      <c r="H326" s="4">
        <f t="shared" si="3"/>
        <v>5.5067610309795789</v>
      </c>
      <c r="I326" s="2">
        <f t="shared" si="4"/>
        <v>23.81674145898668</v>
      </c>
      <c r="J326">
        <v>8</v>
      </c>
    </row>
    <row r="327" spans="1:10" x14ac:dyDescent="0.3">
      <c r="A327" t="s">
        <v>63</v>
      </c>
      <c r="B327" t="s">
        <v>57</v>
      </c>
      <c r="C327" s="4">
        <v>0.61</v>
      </c>
      <c r="D327" s="4">
        <v>0.84088888900000003</v>
      </c>
      <c r="E327" s="18">
        <v>40</v>
      </c>
      <c r="F327" s="18">
        <v>5</v>
      </c>
      <c r="G327" s="4">
        <v>8.6</v>
      </c>
      <c r="H327" s="4">
        <f t="shared" si="3"/>
        <v>2.7374650211805998</v>
      </c>
      <c r="I327" s="2">
        <f t="shared" si="4"/>
        <v>5.8855497955382896</v>
      </c>
      <c r="J327">
        <v>8</v>
      </c>
    </row>
    <row r="328" spans="1:10" x14ac:dyDescent="0.3">
      <c r="A328" t="s">
        <v>63</v>
      </c>
      <c r="B328" t="s">
        <v>57</v>
      </c>
      <c r="C328" s="4">
        <v>0.61</v>
      </c>
      <c r="D328" s="4">
        <v>0.84088888900000003</v>
      </c>
      <c r="E328" s="18">
        <v>40</v>
      </c>
      <c r="F328" s="18">
        <v>6</v>
      </c>
      <c r="G328" s="4">
        <v>12.2</v>
      </c>
      <c r="H328" s="4">
        <f t="shared" si="3"/>
        <v>3.883380611442246</v>
      </c>
      <c r="I328" s="2">
        <f t="shared" si="4"/>
        <v>11.84431086489885</v>
      </c>
      <c r="J328">
        <v>8</v>
      </c>
    </row>
    <row r="329" spans="1:10" x14ac:dyDescent="0.3">
      <c r="A329" t="s">
        <v>63</v>
      </c>
      <c r="B329" t="s">
        <v>57</v>
      </c>
      <c r="C329" s="4">
        <v>0.61</v>
      </c>
      <c r="D329" s="4">
        <v>0.84088888900000003</v>
      </c>
      <c r="E329" s="18">
        <v>40</v>
      </c>
      <c r="F329" s="18">
        <v>7</v>
      </c>
      <c r="G329" s="4">
        <v>9.3000000000000007</v>
      </c>
      <c r="H329" s="4">
        <f t="shared" si="3"/>
        <v>2.9602819415092534</v>
      </c>
      <c r="I329" s="2">
        <f t="shared" si="4"/>
        <v>6.8826555140090138</v>
      </c>
      <c r="J329">
        <v>8</v>
      </c>
    </row>
    <row r="330" spans="1:10" x14ac:dyDescent="0.3">
      <c r="A330" t="s">
        <v>63</v>
      </c>
      <c r="B330" t="s">
        <v>57</v>
      </c>
      <c r="C330" s="4">
        <v>0.61</v>
      </c>
      <c r="D330" s="4">
        <v>0.84088888900000003</v>
      </c>
      <c r="E330" s="18">
        <v>40</v>
      </c>
      <c r="F330" s="18">
        <v>8</v>
      </c>
      <c r="G330" s="4">
        <v>27.4</v>
      </c>
      <c r="H330" s="4">
        <f t="shared" si="3"/>
        <v>8.7216908814358636</v>
      </c>
      <c r="I330" s="2">
        <f t="shared" si="4"/>
        <v>59.743582537835657</v>
      </c>
      <c r="J330">
        <v>8</v>
      </c>
    </row>
    <row r="331" spans="1:10" x14ac:dyDescent="0.3">
      <c r="A331" t="s">
        <v>63</v>
      </c>
      <c r="B331" t="s">
        <v>57</v>
      </c>
      <c r="C331" s="4">
        <v>0.61</v>
      </c>
      <c r="D331" s="4">
        <v>0.84088888900000003</v>
      </c>
      <c r="E331" s="18">
        <v>40</v>
      </c>
      <c r="F331" s="18">
        <v>9</v>
      </c>
      <c r="G331" s="4">
        <v>25.2</v>
      </c>
      <c r="H331" s="4">
        <f t="shared" si="3"/>
        <v>8.0214091318315255</v>
      </c>
      <c r="I331" s="2">
        <f t="shared" si="4"/>
        <v>50.534877530538616</v>
      </c>
      <c r="J331">
        <v>8</v>
      </c>
    </row>
    <row r="332" spans="1:10" x14ac:dyDescent="0.3">
      <c r="A332" t="s">
        <v>63</v>
      </c>
      <c r="B332" t="s">
        <v>22</v>
      </c>
      <c r="C332" s="4">
        <v>0.43836446099999998</v>
      </c>
      <c r="D332" s="4">
        <v>0.58666666700000003</v>
      </c>
      <c r="E332" s="18">
        <v>41</v>
      </c>
      <c r="F332" s="18">
        <v>1</v>
      </c>
      <c r="G332" s="4">
        <v>12.5</v>
      </c>
      <c r="H332" s="4">
        <f t="shared" si="3"/>
        <v>3.9788735772973833</v>
      </c>
      <c r="I332" s="2">
        <f t="shared" si="4"/>
        <v>12.433979929054322</v>
      </c>
      <c r="J332">
        <v>5</v>
      </c>
    </row>
    <row r="333" spans="1:10" x14ac:dyDescent="0.3">
      <c r="A333" t="s">
        <v>63</v>
      </c>
      <c r="B333" t="s">
        <v>22</v>
      </c>
      <c r="C333" s="4">
        <v>0.43836446099999998</v>
      </c>
      <c r="D333" s="4">
        <v>0.58666666700000003</v>
      </c>
      <c r="E333" s="18">
        <v>41</v>
      </c>
      <c r="F333" s="18">
        <v>2</v>
      </c>
      <c r="G333" s="4">
        <v>20.399999999999999</v>
      </c>
      <c r="H333" s="4">
        <f t="shared" si="3"/>
        <v>6.4935216781493299</v>
      </c>
      <c r="I333" s="2">
        <f t="shared" si="4"/>
        <v>33.11696055856158</v>
      </c>
      <c r="J333">
        <v>5</v>
      </c>
    </row>
    <row r="334" spans="1:10" x14ac:dyDescent="0.3">
      <c r="A334" t="s">
        <v>63</v>
      </c>
      <c r="B334" t="s">
        <v>22</v>
      </c>
      <c r="C334" s="4">
        <v>0.43836446099999998</v>
      </c>
      <c r="D334" s="4">
        <v>0.58666666700000003</v>
      </c>
      <c r="E334" s="18">
        <v>41</v>
      </c>
      <c r="F334" s="18">
        <v>3</v>
      </c>
      <c r="G334" s="4">
        <v>14.5</v>
      </c>
      <c r="H334" s="4">
        <f t="shared" si="3"/>
        <v>4.6154933496649653</v>
      </c>
      <c r="I334" s="2">
        <f t="shared" si="4"/>
        <v>16.7311633925355</v>
      </c>
      <c r="J334">
        <v>5</v>
      </c>
    </row>
    <row r="335" spans="1:10" x14ac:dyDescent="0.3">
      <c r="A335" t="s">
        <v>63</v>
      </c>
      <c r="B335" t="s">
        <v>22</v>
      </c>
      <c r="C335" s="4">
        <v>0.43836446099999998</v>
      </c>
      <c r="D335" s="4">
        <v>0.58666666700000003</v>
      </c>
      <c r="E335" s="18">
        <v>41</v>
      </c>
      <c r="F335" s="18">
        <v>4</v>
      </c>
      <c r="G335" s="4">
        <v>13.7</v>
      </c>
      <c r="H335" s="4">
        <f t="shared" si="3"/>
        <v>4.3608454407179318</v>
      </c>
      <c r="I335" s="2">
        <f t="shared" si="4"/>
        <v>14.935895634458914</v>
      </c>
      <c r="J335">
        <v>5</v>
      </c>
    </row>
    <row r="336" spans="1:10" x14ac:dyDescent="0.3">
      <c r="A336" t="s">
        <v>63</v>
      </c>
      <c r="B336" t="s">
        <v>22</v>
      </c>
      <c r="C336" s="4">
        <v>0.43836446099999998</v>
      </c>
      <c r="D336" s="4">
        <v>0.58666666700000003</v>
      </c>
      <c r="E336" s="18">
        <v>41</v>
      </c>
      <c r="F336" s="18">
        <v>5</v>
      </c>
      <c r="G336" s="4">
        <v>16.3</v>
      </c>
      <c r="H336" s="4">
        <f t="shared" si="3"/>
        <v>5.1884511447957884</v>
      </c>
      <c r="I336" s="2">
        <f t="shared" si="4"/>
        <v>21.142938415042838</v>
      </c>
      <c r="J336">
        <v>5</v>
      </c>
    </row>
    <row r="337" spans="1:10" x14ac:dyDescent="0.3">
      <c r="A337" t="s">
        <v>63</v>
      </c>
      <c r="B337" t="s">
        <v>22</v>
      </c>
      <c r="C337" s="4">
        <v>0.43836446099999998</v>
      </c>
      <c r="D337" s="4">
        <v>0.58666666700000003</v>
      </c>
      <c r="E337" s="18">
        <v>41</v>
      </c>
      <c r="F337" s="18">
        <v>6</v>
      </c>
      <c r="G337" s="4">
        <v>11.4</v>
      </c>
      <c r="H337" s="4">
        <f t="shared" si="3"/>
        <v>3.6287327024952138</v>
      </c>
      <c r="I337" s="2">
        <f t="shared" si="4"/>
        <v>10.34188820211136</v>
      </c>
      <c r="J337">
        <v>5</v>
      </c>
    </row>
    <row r="338" spans="1:10" x14ac:dyDescent="0.3">
      <c r="A338" t="s">
        <v>63</v>
      </c>
      <c r="B338" t="s">
        <v>22</v>
      </c>
      <c r="C338" s="4">
        <v>0.43836446099999998</v>
      </c>
      <c r="D338" s="4">
        <v>0.58666666700000003</v>
      </c>
      <c r="E338" s="18">
        <v>41</v>
      </c>
      <c r="F338" s="18">
        <v>7</v>
      </c>
      <c r="G338" s="4">
        <v>16.5</v>
      </c>
      <c r="H338" s="4">
        <f t="shared" si="3"/>
        <v>5.2521131220325463</v>
      </c>
      <c r="I338" s="2">
        <f t="shared" si="4"/>
        <v>21.664966628384253</v>
      </c>
      <c r="J338">
        <v>5</v>
      </c>
    </row>
    <row r="339" spans="1:10" x14ac:dyDescent="0.3">
      <c r="A339" t="s">
        <v>63</v>
      </c>
      <c r="B339" t="s">
        <v>22</v>
      </c>
      <c r="C339" s="4">
        <v>0.43836446099999998</v>
      </c>
      <c r="D339" s="4">
        <v>0.58666666700000003</v>
      </c>
      <c r="E339" s="18">
        <v>41</v>
      </c>
      <c r="F339" s="18">
        <v>8</v>
      </c>
      <c r="G339" s="4">
        <v>19.399999999999999</v>
      </c>
      <c r="H339" s="4">
        <f t="shared" si="3"/>
        <v>6.1752117919655385</v>
      </c>
      <c r="I339" s="2">
        <f t="shared" si="4"/>
        <v>29.949777191032862</v>
      </c>
      <c r="J339">
        <v>5</v>
      </c>
    </row>
    <row r="340" spans="1:10" x14ac:dyDescent="0.3">
      <c r="A340" t="s">
        <v>63</v>
      </c>
      <c r="B340" t="s">
        <v>22</v>
      </c>
      <c r="C340" s="4">
        <v>0.43836446099999998</v>
      </c>
      <c r="D340" s="4">
        <v>0.58666666700000003</v>
      </c>
      <c r="E340" s="18">
        <v>42</v>
      </c>
      <c r="F340" s="18">
        <v>1</v>
      </c>
      <c r="G340" s="4">
        <v>20.5</v>
      </c>
      <c r="H340" s="4">
        <f t="shared" si="3"/>
        <v>6.5253526667677093</v>
      </c>
      <c r="I340" s="2">
        <f t="shared" si="4"/>
        <v>33.442432417184513</v>
      </c>
      <c r="J340">
        <v>6.5</v>
      </c>
    </row>
    <row r="341" spans="1:10" x14ac:dyDescent="0.3">
      <c r="A341" t="s">
        <v>63</v>
      </c>
      <c r="B341" t="s">
        <v>22</v>
      </c>
      <c r="C341" s="4">
        <v>0.43836446099999998</v>
      </c>
      <c r="D341" s="4">
        <v>0.58666666700000003</v>
      </c>
      <c r="E341" s="18">
        <v>42</v>
      </c>
      <c r="F341" s="18">
        <v>2</v>
      </c>
      <c r="G341" s="4">
        <v>15.6</v>
      </c>
      <c r="H341" s="4">
        <f t="shared" si="3"/>
        <v>4.9656342244671343</v>
      </c>
      <c r="I341" s="2">
        <f t="shared" si="4"/>
        <v>19.365973475421821</v>
      </c>
      <c r="J341">
        <v>6.5</v>
      </c>
    </row>
    <row r="342" spans="1:10" x14ac:dyDescent="0.3">
      <c r="A342" t="s">
        <v>63</v>
      </c>
      <c r="B342" t="s">
        <v>22</v>
      </c>
      <c r="C342" s="4">
        <v>0.43836446099999998</v>
      </c>
      <c r="D342" s="4">
        <v>0.58666666700000003</v>
      </c>
      <c r="E342" s="18">
        <v>42</v>
      </c>
      <c r="F342" s="18">
        <v>3</v>
      </c>
      <c r="G342" s="4">
        <v>14.3</v>
      </c>
      <c r="H342" s="4">
        <f t="shared" si="3"/>
        <v>4.5518313724282073</v>
      </c>
      <c r="I342" s="2">
        <f t="shared" si="4"/>
        <v>16.272797156430844</v>
      </c>
      <c r="J342">
        <v>6.5</v>
      </c>
    </row>
    <row r="343" spans="1:10" x14ac:dyDescent="0.3">
      <c r="A343" t="s">
        <v>63</v>
      </c>
      <c r="B343" t="s">
        <v>22</v>
      </c>
      <c r="C343" s="4">
        <v>0.43836446099999998</v>
      </c>
      <c r="D343" s="4">
        <v>0.58666666700000003</v>
      </c>
      <c r="E343" s="18">
        <v>42</v>
      </c>
      <c r="F343" s="18">
        <v>4</v>
      </c>
      <c r="G343" s="4">
        <v>10.6</v>
      </c>
      <c r="H343" s="4">
        <f t="shared" si="3"/>
        <v>3.3740847935481812</v>
      </c>
      <c r="I343" s="2">
        <f t="shared" si="4"/>
        <v>8.9413247029026799</v>
      </c>
      <c r="J343">
        <v>6.5</v>
      </c>
    </row>
    <row r="344" spans="1:10" x14ac:dyDescent="0.3">
      <c r="A344" t="s">
        <v>63</v>
      </c>
      <c r="B344" t="s">
        <v>22</v>
      </c>
      <c r="C344" s="4">
        <v>0.43836446099999998</v>
      </c>
      <c r="D344" s="4">
        <v>0.58666666700000003</v>
      </c>
      <c r="E344" s="18">
        <v>42</v>
      </c>
      <c r="F344" s="18">
        <v>5</v>
      </c>
      <c r="G344" s="4">
        <v>10</v>
      </c>
      <c r="H344" s="4">
        <f t="shared" si="3"/>
        <v>3.183098861837907</v>
      </c>
      <c r="I344" s="2">
        <f t="shared" si="4"/>
        <v>7.9577471545947684</v>
      </c>
      <c r="J344">
        <v>6.5</v>
      </c>
    </row>
    <row r="345" spans="1:10" x14ac:dyDescent="0.3">
      <c r="A345" t="s">
        <v>63</v>
      </c>
      <c r="B345" t="s">
        <v>58</v>
      </c>
      <c r="C345" s="4">
        <v>0.371297506</v>
      </c>
      <c r="D345" s="4">
        <v>0.35258402799999999</v>
      </c>
      <c r="E345" s="18">
        <v>43</v>
      </c>
      <c r="F345" s="18">
        <v>1</v>
      </c>
      <c r="G345" s="4">
        <v>16.399999999999999</v>
      </c>
      <c r="H345" s="4">
        <f t="shared" si="3"/>
        <v>5.2202821334141669</v>
      </c>
      <c r="I345" s="2">
        <f t="shared" si="4"/>
        <v>21.403156746998082</v>
      </c>
      <c r="J345">
        <v>6</v>
      </c>
    </row>
    <row r="346" spans="1:10" x14ac:dyDescent="0.3">
      <c r="A346" t="s">
        <v>63</v>
      </c>
      <c r="B346" t="s">
        <v>58</v>
      </c>
      <c r="C346" s="4">
        <v>0.371297506</v>
      </c>
      <c r="D346" s="4">
        <v>0.35258402799999999</v>
      </c>
      <c r="E346" s="18">
        <v>43</v>
      </c>
      <c r="F346" s="18">
        <v>2</v>
      </c>
      <c r="G346" s="4">
        <v>13.2</v>
      </c>
      <c r="H346" s="4">
        <f t="shared" si="3"/>
        <v>4.2016904976260365</v>
      </c>
      <c r="I346" s="2">
        <f t="shared" si="4"/>
        <v>13.865578642165918</v>
      </c>
      <c r="J346">
        <v>6</v>
      </c>
    </row>
    <row r="347" spans="1:10" x14ac:dyDescent="0.3">
      <c r="A347" t="s">
        <v>63</v>
      </c>
      <c r="B347" t="s">
        <v>58</v>
      </c>
      <c r="C347" s="4">
        <v>0.371297506</v>
      </c>
      <c r="D347" s="4">
        <v>0.35258402799999999</v>
      </c>
      <c r="E347" s="18">
        <v>43</v>
      </c>
      <c r="F347" s="18">
        <v>3</v>
      </c>
      <c r="G347" s="4">
        <v>18.5</v>
      </c>
      <c r="H347" s="4">
        <f t="shared" si="3"/>
        <v>5.8887328944001274</v>
      </c>
      <c r="I347" s="2">
        <f t="shared" si="4"/>
        <v>27.235389636600587</v>
      </c>
      <c r="J347">
        <v>6</v>
      </c>
    </row>
    <row r="348" spans="1:10" x14ac:dyDescent="0.3">
      <c r="A348" t="s">
        <v>63</v>
      </c>
      <c r="B348" t="s">
        <v>62</v>
      </c>
      <c r="C348" s="4">
        <v>0.693333333</v>
      </c>
      <c r="D348" s="4">
        <v>0.64166666699999997</v>
      </c>
      <c r="E348" s="18">
        <v>44</v>
      </c>
      <c r="F348" s="18">
        <v>1</v>
      </c>
      <c r="G348" s="4">
        <v>18.5</v>
      </c>
      <c r="H348" s="4">
        <f t="shared" si="3"/>
        <v>5.8887328944001274</v>
      </c>
      <c r="I348" s="2">
        <f t="shared" si="4"/>
        <v>27.235389636600587</v>
      </c>
      <c r="J348">
        <v>5</v>
      </c>
    </row>
    <row r="349" spans="1:10" x14ac:dyDescent="0.3">
      <c r="A349" t="s">
        <v>63</v>
      </c>
      <c r="B349" t="s">
        <v>62</v>
      </c>
      <c r="C349" s="4">
        <v>0.693333333</v>
      </c>
      <c r="D349" s="4">
        <v>0.64166666699999997</v>
      </c>
      <c r="E349" s="18">
        <v>44</v>
      </c>
      <c r="F349" s="18">
        <v>2</v>
      </c>
      <c r="G349" s="4">
        <v>11.2</v>
      </c>
      <c r="H349" s="4">
        <f t="shared" si="3"/>
        <v>3.5650707252584555</v>
      </c>
      <c r="I349" s="2">
        <f t="shared" si="4"/>
        <v>9.9821980307236746</v>
      </c>
      <c r="J349">
        <v>5</v>
      </c>
    </row>
    <row r="350" spans="1:10" x14ac:dyDescent="0.3">
      <c r="A350" t="s">
        <v>65</v>
      </c>
      <c r="B350" t="s">
        <v>60</v>
      </c>
      <c r="C350" s="4">
        <v>0.41</v>
      </c>
      <c r="D350" s="4">
        <v>0.33983503399999998</v>
      </c>
      <c r="E350" s="18">
        <v>45</v>
      </c>
      <c r="F350" s="18">
        <v>1</v>
      </c>
      <c r="G350" s="4">
        <v>17.3</v>
      </c>
      <c r="H350" s="4">
        <f t="shared" si="3"/>
        <v>5.5067610309795789</v>
      </c>
      <c r="I350" s="2">
        <f t="shared" si="4"/>
        <v>23.81674145898668</v>
      </c>
      <c r="J350">
        <v>6</v>
      </c>
    </row>
    <row r="351" spans="1:10" x14ac:dyDescent="0.3">
      <c r="A351" t="s">
        <v>65</v>
      </c>
      <c r="B351" t="s">
        <v>60</v>
      </c>
      <c r="C351" s="4">
        <v>0.41</v>
      </c>
      <c r="D351" s="4">
        <v>0.33983503399999998</v>
      </c>
      <c r="E351" s="18">
        <v>45</v>
      </c>
      <c r="F351" s="18">
        <v>2</v>
      </c>
      <c r="G351" s="4">
        <v>22.6</v>
      </c>
      <c r="H351" s="4">
        <f t="shared" si="3"/>
        <v>7.1938034277536698</v>
      </c>
      <c r="I351" s="2">
        <f t="shared" si="4"/>
        <v>40.64498936680824</v>
      </c>
      <c r="J351">
        <v>6</v>
      </c>
    </row>
    <row r="352" spans="1:10" x14ac:dyDescent="0.3">
      <c r="A352" t="s">
        <v>65</v>
      </c>
      <c r="B352" t="s">
        <v>44</v>
      </c>
      <c r="C352" s="4">
        <v>0.54247040000000002</v>
      </c>
      <c r="D352" s="4">
        <v>0.54247042099999998</v>
      </c>
      <c r="E352" s="18">
        <v>46</v>
      </c>
      <c r="F352" s="18">
        <v>1</v>
      </c>
      <c r="G352" s="4">
        <v>19.3</v>
      </c>
      <c r="H352" s="4">
        <f t="shared" si="3"/>
        <v>6.1433808033471609</v>
      </c>
      <c r="I352" s="2">
        <f t="shared" si="4"/>
        <v>29.641812376150053</v>
      </c>
      <c r="J352">
        <v>2.8</v>
      </c>
    </row>
    <row r="353" spans="1:10" x14ac:dyDescent="0.3">
      <c r="A353" t="s">
        <v>65</v>
      </c>
      <c r="B353" t="s">
        <v>44</v>
      </c>
      <c r="C353" s="4">
        <v>0.54247040000000002</v>
      </c>
      <c r="D353" s="4">
        <v>0.54247042099999998</v>
      </c>
      <c r="E353" s="18">
        <v>46</v>
      </c>
      <c r="F353" s="18">
        <v>2</v>
      </c>
      <c r="G353" s="4">
        <v>12.5</v>
      </c>
      <c r="H353" s="4">
        <f t="shared" si="3"/>
        <v>3.9788735772973833</v>
      </c>
      <c r="I353" s="2">
        <f t="shared" si="4"/>
        <v>12.433979929054322</v>
      </c>
      <c r="J353">
        <v>2.8</v>
      </c>
    </row>
    <row r="354" spans="1:10" x14ac:dyDescent="0.3">
      <c r="A354" t="s">
        <v>65</v>
      </c>
      <c r="B354" t="s">
        <v>53</v>
      </c>
      <c r="C354" s="4">
        <v>0.63206279899999995</v>
      </c>
      <c r="D354" s="4">
        <v>0.75690909100000003</v>
      </c>
      <c r="E354" s="18">
        <v>47</v>
      </c>
      <c r="F354" s="18">
        <v>1</v>
      </c>
      <c r="G354" s="4">
        <v>7.6</v>
      </c>
      <c r="H354" s="4">
        <f t="shared" si="3"/>
        <v>2.4191551349968092</v>
      </c>
      <c r="I354" s="2">
        <f t="shared" si="4"/>
        <v>4.5963947564939378</v>
      </c>
      <c r="J354">
        <v>3</v>
      </c>
    </row>
    <row r="355" spans="1:10" x14ac:dyDescent="0.3">
      <c r="A355" t="s">
        <v>65</v>
      </c>
      <c r="B355" t="s">
        <v>61</v>
      </c>
      <c r="C355" s="4">
        <v>0.9</v>
      </c>
      <c r="D355" s="4">
        <v>0.61247410899999999</v>
      </c>
      <c r="E355" s="18">
        <v>48</v>
      </c>
      <c r="F355" s="18">
        <v>1</v>
      </c>
      <c r="G355" s="4">
        <v>17.7</v>
      </c>
      <c r="H355" s="4">
        <f t="shared" si="3"/>
        <v>5.6340849854530948</v>
      </c>
      <c r="I355" s="2">
        <f t="shared" si="4"/>
        <v>24.930826060629943</v>
      </c>
      <c r="J355">
        <v>5</v>
      </c>
    </row>
    <row r="356" spans="1:10" x14ac:dyDescent="0.3">
      <c r="A356" t="s">
        <v>65</v>
      </c>
      <c r="B356" t="s">
        <v>61</v>
      </c>
      <c r="C356" s="4">
        <v>0.9</v>
      </c>
      <c r="D356" s="4">
        <v>0.61247410899999999</v>
      </c>
      <c r="E356" s="18">
        <v>48</v>
      </c>
      <c r="F356" s="18">
        <v>2</v>
      </c>
      <c r="G356" s="4">
        <v>10.5</v>
      </c>
      <c r="H356" s="4">
        <f t="shared" si="3"/>
        <v>3.3422538049298023</v>
      </c>
      <c r="I356" s="2">
        <f t="shared" si="4"/>
        <v>8.7734162379407312</v>
      </c>
      <c r="J356">
        <v>5</v>
      </c>
    </row>
    <row r="357" spans="1:10" x14ac:dyDescent="0.3">
      <c r="A357" t="s">
        <v>65</v>
      </c>
      <c r="B357" t="s">
        <v>55</v>
      </c>
      <c r="C357" s="4">
        <v>0.52500000000000002</v>
      </c>
      <c r="D357" s="4">
        <v>0.52500000000000002</v>
      </c>
      <c r="E357" s="18">
        <v>49</v>
      </c>
      <c r="F357" s="18">
        <v>1</v>
      </c>
      <c r="G357" s="4">
        <v>14.2</v>
      </c>
      <c r="H357" s="4">
        <f t="shared" si="3"/>
        <v>4.520000383809827</v>
      </c>
      <c r="I357" s="2">
        <f t="shared" si="4"/>
        <v>16.046001362524883</v>
      </c>
      <c r="J357">
        <v>8</v>
      </c>
    </row>
    <row r="358" spans="1:10" x14ac:dyDescent="0.3">
      <c r="A358" t="s">
        <v>65</v>
      </c>
      <c r="B358" t="s">
        <v>55</v>
      </c>
      <c r="C358" s="4">
        <v>0.52500000000000002</v>
      </c>
      <c r="D358" s="4">
        <v>0.52500000000000002</v>
      </c>
      <c r="E358" s="18">
        <v>50</v>
      </c>
      <c r="F358" s="18">
        <v>1</v>
      </c>
      <c r="G358" s="4">
        <v>24.3</v>
      </c>
      <c r="H358" s="4">
        <f t="shared" si="3"/>
        <v>7.7349302342661135</v>
      </c>
      <c r="I358" s="2">
        <f t="shared" si="4"/>
        <v>46.989701173166644</v>
      </c>
      <c r="J358">
        <v>6</v>
      </c>
    </row>
    <row r="359" spans="1:10" x14ac:dyDescent="0.3">
      <c r="A359" t="s">
        <v>65</v>
      </c>
      <c r="B359" t="s">
        <v>55</v>
      </c>
      <c r="C359" s="4">
        <v>0.52500000000000002</v>
      </c>
      <c r="D359" s="4">
        <v>0.52500000000000002</v>
      </c>
      <c r="E359" s="18">
        <v>50</v>
      </c>
      <c r="F359" s="18">
        <v>2</v>
      </c>
      <c r="G359" s="4">
        <v>21.2</v>
      </c>
      <c r="H359" s="4">
        <f t="shared" si="3"/>
        <v>6.7481695870963625</v>
      </c>
      <c r="I359" s="2">
        <f t="shared" si="4"/>
        <v>35.76529881161072</v>
      </c>
      <c r="J359">
        <v>6</v>
      </c>
    </row>
    <row r="360" spans="1:10" x14ac:dyDescent="0.3">
      <c r="A360" t="s">
        <v>65</v>
      </c>
      <c r="B360" t="s">
        <v>66</v>
      </c>
      <c r="C360" s="4">
        <v>0.62643652800000005</v>
      </c>
      <c r="D360" s="4">
        <v>0.57808694400000005</v>
      </c>
      <c r="E360" s="18">
        <v>51</v>
      </c>
      <c r="F360" s="18">
        <v>1</v>
      </c>
      <c r="G360" s="4">
        <v>15.4</v>
      </c>
      <c r="H360" s="4">
        <f t="shared" si="3"/>
        <v>4.9019722472303764</v>
      </c>
      <c r="I360" s="2">
        <f t="shared" si="4"/>
        <v>18.872593151836949</v>
      </c>
      <c r="J360">
        <v>5.5</v>
      </c>
    </row>
    <row r="361" spans="1:10" x14ac:dyDescent="0.3">
      <c r="A361" t="s">
        <v>65</v>
      </c>
      <c r="B361" t="s">
        <v>66</v>
      </c>
      <c r="C361" s="4">
        <v>0.62643652800000005</v>
      </c>
      <c r="D361" s="4">
        <v>0.57808694400000005</v>
      </c>
      <c r="E361" s="18">
        <v>51</v>
      </c>
      <c r="F361" s="18">
        <v>2</v>
      </c>
      <c r="G361" s="4">
        <v>16.2</v>
      </c>
      <c r="H361" s="4">
        <f t="shared" si="3"/>
        <v>5.156620156177409</v>
      </c>
      <c r="I361" s="2">
        <f t="shared" si="4"/>
        <v>20.884311632518507</v>
      </c>
      <c r="J361">
        <v>5.5</v>
      </c>
    </row>
    <row r="362" spans="1:10" x14ac:dyDescent="0.3">
      <c r="A362" t="s">
        <v>65</v>
      </c>
      <c r="B362" t="s">
        <v>66</v>
      </c>
      <c r="C362" s="4">
        <v>0.62643652800000005</v>
      </c>
      <c r="D362" s="4">
        <v>0.57808694400000005</v>
      </c>
      <c r="E362" s="18">
        <v>51</v>
      </c>
      <c r="F362" s="18">
        <v>3</v>
      </c>
      <c r="G362" s="4">
        <v>13.4</v>
      </c>
      <c r="H362" s="4">
        <f t="shared" si="3"/>
        <v>4.2653524748627953</v>
      </c>
      <c r="I362" s="2">
        <f t="shared" si="4"/>
        <v>14.288930790790365</v>
      </c>
      <c r="J362">
        <v>5.5</v>
      </c>
    </row>
    <row r="363" spans="1:10" x14ac:dyDescent="0.3">
      <c r="A363" t="s">
        <v>65</v>
      </c>
      <c r="B363" t="s">
        <v>66</v>
      </c>
      <c r="C363" s="4">
        <v>0.62643652800000005</v>
      </c>
      <c r="D363" s="4">
        <v>0.57808694400000005</v>
      </c>
      <c r="E363" s="18">
        <v>51</v>
      </c>
      <c r="F363" s="18">
        <v>4</v>
      </c>
      <c r="G363" s="4">
        <v>18.5</v>
      </c>
      <c r="H363" s="4">
        <f t="shared" si="3"/>
        <v>5.8887328944001274</v>
      </c>
      <c r="I363" s="2">
        <f t="shared" si="4"/>
        <v>27.235389636600587</v>
      </c>
      <c r="J363">
        <v>5.5</v>
      </c>
    </row>
    <row r="364" spans="1:10" x14ac:dyDescent="0.3">
      <c r="A364" t="s">
        <v>65</v>
      </c>
      <c r="B364" t="s">
        <v>66</v>
      </c>
      <c r="C364" s="4">
        <v>0.62643652800000005</v>
      </c>
      <c r="D364" s="4">
        <v>0.57808694400000005</v>
      </c>
      <c r="E364" s="18">
        <v>51</v>
      </c>
      <c r="F364" s="18">
        <v>5</v>
      </c>
      <c r="G364" s="4">
        <v>15.5</v>
      </c>
      <c r="H364" s="4">
        <f t="shared" si="3"/>
        <v>4.9338032358487558</v>
      </c>
      <c r="I364" s="2">
        <f t="shared" si="4"/>
        <v>19.118487538913932</v>
      </c>
      <c r="J364">
        <v>5.5</v>
      </c>
    </row>
    <row r="365" spans="1:10" x14ac:dyDescent="0.3">
      <c r="A365" t="s">
        <v>65</v>
      </c>
      <c r="B365" t="s">
        <v>66</v>
      </c>
      <c r="C365" s="4">
        <v>0.62643652800000005</v>
      </c>
      <c r="D365" s="4">
        <v>0.57808694400000005</v>
      </c>
      <c r="E365" s="18">
        <v>51</v>
      </c>
      <c r="F365" s="18">
        <v>6</v>
      </c>
      <c r="G365" s="4">
        <v>17.7</v>
      </c>
      <c r="H365" s="4">
        <f t="shared" si="3"/>
        <v>5.6340849854530948</v>
      </c>
      <c r="I365" s="2">
        <f t="shared" si="4"/>
        <v>24.930826060629943</v>
      </c>
      <c r="J365">
        <v>5.5</v>
      </c>
    </row>
    <row r="366" spans="1:10" x14ac:dyDescent="0.3">
      <c r="A366" t="s">
        <v>65</v>
      </c>
      <c r="B366" t="s">
        <v>66</v>
      </c>
      <c r="C366" s="4">
        <v>0.62643652800000005</v>
      </c>
      <c r="D366" s="4">
        <v>0.57808694400000005</v>
      </c>
      <c r="E366" s="18">
        <v>51</v>
      </c>
      <c r="F366" s="18">
        <v>7</v>
      </c>
      <c r="G366" s="4">
        <v>12.2</v>
      </c>
      <c r="H366" s="4">
        <f t="shared" si="3"/>
        <v>3.883380611442246</v>
      </c>
      <c r="I366" s="2">
        <f t="shared" si="4"/>
        <v>11.84431086489885</v>
      </c>
      <c r="J366">
        <v>5.5</v>
      </c>
    </row>
    <row r="367" spans="1:10" x14ac:dyDescent="0.3">
      <c r="A367" t="s">
        <v>65</v>
      </c>
      <c r="B367" t="s">
        <v>41</v>
      </c>
      <c r="C367" s="4">
        <v>0.56193137999999998</v>
      </c>
      <c r="D367" s="4">
        <v>0.57808694400000005</v>
      </c>
      <c r="E367" s="18">
        <v>52</v>
      </c>
      <c r="F367" s="18">
        <v>1</v>
      </c>
      <c r="G367" s="4">
        <v>22.2</v>
      </c>
      <c r="H367" s="4">
        <f t="shared" si="3"/>
        <v>7.066479473280153</v>
      </c>
      <c r="I367" s="2">
        <f t="shared" si="4"/>
        <v>39.218961076704844</v>
      </c>
      <c r="J367">
        <v>6.5</v>
      </c>
    </row>
    <row r="368" spans="1:10" x14ac:dyDescent="0.3">
      <c r="A368" t="s">
        <v>65</v>
      </c>
      <c r="B368" t="s">
        <v>41</v>
      </c>
      <c r="C368" s="4">
        <v>0.56193137999999998</v>
      </c>
      <c r="D368" s="4">
        <v>0.57808694400000005</v>
      </c>
      <c r="E368" s="18">
        <v>52</v>
      </c>
      <c r="F368" s="18">
        <v>2</v>
      </c>
      <c r="G368" s="4">
        <v>20.399999999999999</v>
      </c>
      <c r="H368" s="4">
        <f t="shared" si="3"/>
        <v>6.4935216781493299</v>
      </c>
      <c r="I368" s="2">
        <f t="shared" si="4"/>
        <v>33.11696055856158</v>
      </c>
      <c r="J368">
        <v>6.5</v>
      </c>
    </row>
    <row r="369" spans="1:10" x14ac:dyDescent="0.3">
      <c r="A369" t="s">
        <v>65</v>
      </c>
      <c r="B369" t="s">
        <v>41</v>
      </c>
      <c r="C369" s="4">
        <v>0.56193137999999998</v>
      </c>
      <c r="D369" s="4">
        <v>0.57808694400000005</v>
      </c>
      <c r="E369" s="18">
        <v>52</v>
      </c>
      <c r="F369" s="18">
        <v>3</v>
      </c>
      <c r="G369" s="4">
        <v>23.3</v>
      </c>
      <c r="H369" s="4">
        <f t="shared" si="3"/>
        <v>7.416620348082323</v>
      </c>
      <c r="I369" s="2">
        <f t="shared" si="4"/>
        <v>43.201813527579532</v>
      </c>
      <c r="J369">
        <v>6.5</v>
      </c>
    </row>
    <row r="370" spans="1:10" x14ac:dyDescent="0.3">
      <c r="A370" t="s">
        <v>65</v>
      </c>
      <c r="B370" t="s">
        <v>41</v>
      </c>
      <c r="C370" s="4">
        <v>0.56193137999999998</v>
      </c>
      <c r="D370" s="4">
        <v>0.57808694400000005</v>
      </c>
      <c r="E370" s="18">
        <v>52</v>
      </c>
      <c r="F370" s="18">
        <v>4</v>
      </c>
      <c r="G370" s="4">
        <v>14.4</v>
      </c>
      <c r="H370" s="4">
        <f t="shared" si="3"/>
        <v>4.5836623610465859</v>
      </c>
      <c r="I370" s="2">
        <f t="shared" si="4"/>
        <v>16.501184499767707</v>
      </c>
      <c r="J370">
        <v>6.5</v>
      </c>
    </row>
    <row r="371" spans="1:10" x14ac:dyDescent="0.3">
      <c r="A371" t="s">
        <v>65</v>
      </c>
      <c r="B371" t="s">
        <v>41</v>
      </c>
      <c r="C371" s="4">
        <v>0.56193137999999998</v>
      </c>
      <c r="D371" s="4">
        <v>0.57808694400000005</v>
      </c>
      <c r="E371" s="18">
        <v>52</v>
      </c>
      <c r="F371" s="18">
        <v>5</v>
      </c>
      <c r="G371" s="4">
        <v>17.7</v>
      </c>
      <c r="H371" s="4">
        <f t="shared" si="3"/>
        <v>5.6340849854530948</v>
      </c>
      <c r="I371" s="2">
        <f t="shared" si="4"/>
        <v>24.930826060629943</v>
      </c>
      <c r="J371">
        <v>6.5</v>
      </c>
    </row>
    <row r="372" spans="1:10" x14ac:dyDescent="0.3">
      <c r="A372" t="s">
        <v>65</v>
      </c>
      <c r="B372" t="s">
        <v>41</v>
      </c>
      <c r="C372" s="4">
        <v>0.56193137999999998</v>
      </c>
      <c r="D372" s="4">
        <v>0.57808694400000005</v>
      </c>
      <c r="E372" s="18">
        <v>52</v>
      </c>
      <c r="F372" s="18">
        <v>6</v>
      </c>
      <c r="G372" s="4">
        <v>18.5</v>
      </c>
      <c r="H372" s="4">
        <f t="shared" si="3"/>
        <v>5.8887328944001274</v>
      </c>
      <c r="I372" s="2">
        <f t="shared" si="4"/>
        <v>27.235389636600587</v>
      </c>
      <c r="J372">
        <v>6.5</v>
      </c>
    </row>
    <row r="373" spans="1:10" x14ac:dyDescent="0.3">
      <c r="A373" t="s">
        <v>65</v>
      </c>
      <c r="B373" t="s">
        <v>41</v>
      </c>
      <c r="C373" s="4">
        <v>0.56193137999999998</v>
      </c>
      <c r="D373" s="4">
        <v>0.57808694400000005</v>
      </c>
      <c r="E373" s="18">
        <v>53</v>
      </c>
      <c r="F373" s="18">
        <v>1</v>
      </c>
      <c r="G373" s="4">
        <v>14.3</v>
      </c>
      <c r="H373" s="4">
        <f t="shared" si="3"/>
        <v>4.5518313724282073</v>
      </c>
      <c r="I373" s="2">
        <f t="shared" si="4"/>
        <v>16.272797156430844</v>
      </c>
      <c r="J373">
        <v>4</v>
      </c>
    </row>
    <row r="374" spans="1:10" x14ac:dyDescent="0.3">
      <c r="A374" t="s">
        <v>65</v>
      </c>
      <c r="B374" t="s">
        <v>41</v>
      </c>
      <c r="C374" s="4">
        <v>0.56193137999999998</v>
      </c>
      <c r="D374" s="4">
        <v>0.57808694400000005</v>
      </c>
      <c r="E374" s="18">
        <v>53</v>
      </c>
      <c r="F374" s="18">
        <v>2</v>
      </c>
      <c r="G374" s="4">
        <v>11.3</v>
      </c>
      <c r="H374" s="4">
        <f t="shared" si="3"/>
        <v>3.5969017138768349</v>
      </c>
      <c r="I374" s="2">
        <f t="shared" si="4"/>
        <v>10.16124734170206</v>
      </c>
      <c r="J374">
        <v>4</v>
      </c>
    </row>
    <row r="375" spans="1:10" x14ac:dyDescent="0.3">
      <c r="A375" t="s">
        <v>65</v>
      </c>
      <c r="B375" t="s">
        <v>41</v>
      </c>
      <c r="C375" s="4">
        <v>0.56193137999999998</v>
      </c>
      <c r="D375" s="4">
        <v>0.57808694400000005</v>
      </c>
      <c r="E375" s="18">
        <v>53</v>
      </c>
      <c r="F375" s="18">
        <v>3</v>
      </c>
      <c r="G375" s="4">
        <v>9.6999999999999993</v>
      </c>
      <c r="H375" s="4">
        <f t="shared" si="3"/>
        <v>3.0876058959827692</v>
      </c>
      <c r="I375" s="2">
        <f t="shared" si="4"/>
        <v>7.4874442977582154</v>
      </c>
      <c r="J375">
        <v>4</v>
      </c>
    </row>
    <row r="376" spans="1:10" x14ac:dyDescent="0.3">
      <c r="A376" t="s">
        <v>65</v>
      </c>
      <c r="B376" t="s">
        <v>56</v>
      </c>
      <c r="C376" s="4">
        <v>0.39984676499999999</v>
      </c>
      <c r="D376" s="4">
        <v>0.450333333</v>
      </c>
      <c r="E376" s="18">
        <v>54</v>
      </c>
      <c r="F376" s="18">
        <v>1</v>
      </c>
      <c r="G376" s="4">
        <v>53.3</v>
      </c>
      <c r="H376" s="4">
        <f t="shared" si="3"/>
        <v>16.965916933596041</v>
      </c>
      <c r="I376" s="2">
        <f t="shared" si="4"/>
        <v>226.07084314016723</v>
      </c>
      <c r="J376">
        <v>10</v>
      </c>
    </row>
    <row r="377" spans="1:10" x14ac:dyDescent="0.3">
      <c r="A377" t="s">
        <v>65</v>
      </c>
      <c r="B377" t="s">
        <v>56</v>
      </c>
      <c r="C377" s="4">
        <v>0.39984676499999999</v>
      </c>
      <c r="D377" s="4">
        <v>0.450333333</v>
      </c>
      <c r="E377" s="18">
        <v>54</v>
      </c>
      <c r="F377" s="18">
        <v>2</v>
      </c>
      <c r="G377" s="4">
        <v>41.5</v>
      </c>
      <c r="H377" s="4">
        <f t="shared" si="3"/>
        <v>13.209860276627314</v>
      </c>
      <c r="I377" s="2">
        <f t="shared" si="4"/>
        <v>137.0523003700084</v>
      </c>
      <c r="J377">
        <v>10</v>
      </c>
    </row>
    <row r="378" spans="1:10" x14ac:dyDescent="0.3">
      <c r="A378" t="s">
        <v>65</v>
      </c>
      <c r="B378" t="s">
        <v>56</v>
      </c>
      <c r="C378" s="4">
        <v>0.39984676499999999</v>
      </c>
      <c r="D378" s="4">
        <v>0.450333333</v>
      </c>
      <c r="E378" s="18">
        <v>55</v>
      </c>
      <c r="F378" s="18">
        <v>1</v>
      </c>
      <c r="G378" s="4">
        <v>47.7</v>
      </c>
      <c r="H378" s="4">
        <f t="shared" si="3"/>
        <v>15.183381570966816</v>
      </c>
      <c r="I378" s="2">
        <f t="shared" si="4"/>
        <v>181.06182523377927</v>
      </c>
      <c r="J378">
        <v>9</v>
      </c>
    </row>
    <row r="379" spans="1:10" x14ac:dyDescent="0.3">
      <c r="A379" t="s">
        <v>65</v>
      </c>
      <c r="B379" t="s">
        <v>56</v>
      </c>
      <c r="C379" s="4">
        <v>0.39984676499999999</v>
      </c>
      <c r="D379" s="4">
        <v>0.450333333</v>
      </c>
      <c r="E379" s="18">
        <v>56</v>
      </c>
      <c r="F379" s="18">
        <v>1</v>
      </c>
      <c r="G379" s="4">
        <v>38.5</v>
      </c>
      <c r="H379" s="4">
        <f t="shared" si="3"/>
        <v>12.254930618075941</v>
      </c>
      <c r="I379" s="2">
        <f t="shared" si="4"/>
        <v>117.95370719898092</v>
      </c>
      <c r="J379">
        <v>10</v>
      </c>
    </row>
    <row r="380" spans="1:10" x14ac:dyDescent="0.3">
      <c r="A380" t="s">
        <v>65</v>
      </c>
      <c r="B380" t="s">
        <v>56</v>
      </c>
      <c r="C380" s="4">
        <v>0.39984676499999999</v>
      </c>
      <c r="D380" s="4">
        <v>0.450333333</v>
      </c>
      <c r="E380" s="18">
        <v>56</v>
      </c>
      <c r="F380" s="18">
        <v>2</v>
      </c>
      <c r="G380" s="4">
        <v>40.299999999999997</v>
      </c>
      <c r="H380" s="4">
        <f t="shared" si="3"/>
        <v>12.827888413206765</v>
      </c>
      <c r="I380" s="2">
        <f t="shared" si="4"/>
        <v>129.24097576305815</v>
      </c>
      <c r="J380">
        <v>10</v>
      </c>
    </row>
    <row r="381" spans="1:10" x14ac:dyDescent="0.3">
      <c r="A381" t="s">
        <v>65</v>
      </c>
      <c r="B381" t="s">
        <v>56</v>
      </c>
      <c r="C381" s="4">
        <v>0.39984676499999999</v>
      </c>
      <c r="D381" s="4">
        <v>0.450333333</v>
      </c>
      <c r="E381" s="18">
        <v>56</v>
      </c>
      <c r="F381" s="18">
        <v>3</v>
      </c>
      <c r="G381" s="4">
        <v>40.700000000000003</v>
      </c>
      <c r="H381" s="4">
        <f t="shared" si="3"/>
        <v>12.955212367680282</v>
      </c>
      <c r="I381" s="2">
        <f t="shared" si="4"/>
        <v>131.81928584114689</v>
      </c>
      <c r="J381">
        <v>10</v>
      </c>
    </row>
    <row r="382" spans="1:10" x14ac:dyDescent="0.3">
      <c r="A382" t="s">
        <v>65</v>
      </c>
      <c r="B382" t="s">
        <v>56</v>
      </c>
      <c r="C382" s="4">
        <v>0.39984676499999999</v>
      </c>
      <c r="D382" s="4">
        <v>0.450333333</v>
      </c>
      <c r="E382" s="18">
        <v>56</v>
      </c>
      <c r="F382" s="18">
        <v>4</v>
      </c>
      <c r="G382" s="4">
        <v>31.5</v>
      </c>
      <c r="H382" s="4">
        <f t="shared" si="3"/>
        <v>10.026761414789407</v>
      </c>
      <c r="I382" s="2">
        <f t="shared" si="4"/>
        <v>78.960746141466586</v>
      </c>
      <c r="J382">
        <v>10</v>
      </c>
    </row>
    <row r="383" spans="1:10" x14ac:dyDescent="0.3">
      <c r="A383" t="s">
        <v>65</v>
      </c>
      <c r="B383" t="s">
        <v>38</v>
      </c>
      <c r="C383" s="4">
        <v>1082380952</v>
      </c>
      <c r="D383" s="4">
        <v>0.61247410899999999</v>
      </c>
      <c r="E383" s="18">
        <v>57</v>
      </c>
      <c r="F383" s="18">
        <v>1</v>
      </c>
      <c r="G383" s="4">
        <v>12.5</v>
      </c>
      <c r="H383" s="4">
        <f t="shared" si="3"/>
        <v>3.9788735772973833</v>
      </c>
      <c r="I383" s="2">
        <f t="shared" si="4"/>
        <v>12.433979929054322</v>
      </c>
      <c r="J383">
        <v>4.5</v>
      </c>
    </row>
    <row r="384" spans="1:10" x14ac:dyDescent="0.3">
      <c r="A384" t="s">
        <v>65</v>
      </c>
      <c r="B384" t="s">
        <v>38</v>
      </c>
      <c r="C384" s="4">
        <v>1082380952</v>
      </c>
      <c r="D384" s="4">
        <v>0.61247410899999999</v>
      </c>
      <c r="E384" s="18">
        <v>57</v>
      </c>
      <c r="F384" s="18">
        <v>2</v>
      </c>
      <c r="G384" s="4">
        <v>13.6</v>
      </c>
      <c r="H384" s="4">
        <f t="shared" si="3"/>
        <v>4.3290144520995533</v>
      </c>
      <c r="I384" s="2">
        <f t="shared" si="4"/>
        <v>14.718649137138479</v>
      </c>
      <c r="J384">
        <v>4.5</v>
      </c>
    </row>
    <row r="385" spans="1:10" x14ac:dyDescent="0.3">
      <c r="A385" t="s">
        <v>65</v>
      </c>
      <c r="B385" t="s">
        <v>38</v>
      </c>
      <c r="C385" s="4">
        <v>1082380952</v>
      </c>
      <c r="D385" s="4">
        <v>0.61247410899999999</v>
      </c>
      <c r="E385" s="18">
        <v>57</v>
      </c>
      <c r="F385" s="18">
        <v>3</v>
      </c>
      <c r="G385" s="4">
        <v>9.5</v>
      </c>
      <c r="H385" s="4">
        <f t="shared" si="3"/>
        <v>3.0239439187460113</v>
      </c>
      <c r="I385" s="2">
        <f t="shared" si="4"/>
        <v>7.1818668070217768</v>
      </c>
      <c r="J385">
        <v>4.5</v>
      </c>
    </row>
    <row r="386" spans="1:10" x14ac:dyDescent="0.3">
      <c r="A386" t="s">
        <v>65</v>
      </c>
      <c r="B386" t="s">
        <v>38</v>
      </c>
      <c r="C386" s="4">
        <v>1082380952</v>
      </c>
      <c r="D386" s="4">
        <v>0.61247410899999999</v>
      </c>
      <c r="E386" s="18">
        <v>58</v>
      </c>
      <c r="F386" s="18">
        <v>1</v>
      </c>
      <c r="G386" s="4">
        <v>31.2</v>
      </c>
      <c r="H386" s="4">
        <f t="shared" si="3"/>
        <v>9.9312684489342686</v>
      </c>
      <c r="I386" s="2">
        <f t="shared" si="4"/>
        <v>77.463893901687285</v>
      </c>
      <c r="J386">
        <v>4.5</v>
      </c>
    </row>
    <row r="387" spans="1:10" x14ac:dyDescent="0.3">
      <c r="A387" t="s">
        <v>65</v>
      </c>
      <c r="B387" t="s">
        <v>57</v>
      </c>
      <c r="C387" s="4">
        <v>0.61</v>
      </c>
      <c r="D387" s="4">
        <v>0.84088888900000003</v>
      </c>
      <c r="E387" s="18">
        <v>59</v>
      </c>
      <c r="F387" s="18">
        <v>1</v>
      </c>
      <c r="G387" s="4">
        <v>18.5</v>
      </c>
      <c r="H387" s="4">
        <f t="shared" si="3"/>
        <v>5.8887328944001274</v>
      </c>
      <c r="I387" s="2">
        <f t="shared" si="4"/>
        <v>27.235389636600587</v>
      </c>
      <c r="J387">
        <v>6</v>
      </c>
    </row>
    <row r="388" spans="1:10" x14ac:dyDescent="0.3">
      <c r="A388" t="s">
        <v>65</v>
      </c>
      <c r="B388" t="s">
        <v>57</v>
      </c>
      <c r="C388" s="4">
        <v>0.61</v>
      </c>
      <c r="D388" s="4">
        <v>0.84088888900000003</v>
      </c>
      <c r="E388" s="18">
        <v>59</v>
      </c>
      <c r="F388" s="18">
        <v>2</v>
      </c>
      <c r="G388" s="4">
        <v>17.399999999999999</v>
      </c>
      <c r="H388" s="4">
        <f t="shared" si="3"/>
        <v>5.5385920195979574</v>
      </c>
      <c r="I388" s="2">
        <f t="shared" si="4"/>
        <v>24.092875285251111</v>
      </c>
      <c r="J388">
        <v>6</v>
      </c>
    </row>
    <row r="389" spans="1:10" x14ac:dyDescent="0.3">
      <c r="A389" t="s">
        <v>65</v>
      </c>
      <c r="B389" t="s">
        <v>57</v>
      </c>
      <c r="C389" s="4">
        <v>0.61</v>
      </c>
      <c r="D389" s="4">
        <v>0.84088888900000003</v>
      </c>
      <c r="E389" s="18">
        <v>59</v>
      </c>
      <c r="F389" s="18">
        <v>3</v>
      </c>
      <c r="G389" s="4">
        <v>16.3</v>
      </c>
      <c r="H389" s="4">
        <f t="shared" si="3"/>
        <v>5.1884511447957884</v>
      </c>
      <c r="I389" s="2">
        <f t="shared" si="4"/>
        <v>21.142938415042838</v>
      </c>
      <c r="J389">
        <v>6</v>
      </c>
    </row>
    <row r="390" spans="1:10" x14ac:dyDescent="0.3">
      <c r="A390" t="s">
        <v>65</v>
      </c>
      <c r="B390" t="s">
        <v>57</v>
      </c>
      <c r="C390" s="4">
        <v>0.61</v>
      </c>
      <c r="D390" s="4">
        <v>0.84088888900000003</v>
      </c>
      <c r="E390" s="18">
        <v>59</v>
      </c>
      <c r="F390" s="18">
        <v>4</v>
      </c>
      <c r="G390" s="4">
        <v>8.5</v>
      </c>
      <c r="H390" s="4">
        <f t="shared" si="3"/>
        <v>2.7056340325622208</v>
      </c>
      <c r="I390" s="2">
        <f t="shared" si="4"/>
        <v>5.7494723191947186</v>
      </c>
      <c r="J390">
        <v>6</v>
      </c>
    </row>
    <row r="391" spans="1:10" x14ac:dyDescent="0.3">
      <c r="A391" t="s">
        <v>65</v>
      </c>
      <c r="B391" t="s">
        <v>57</v>
      </c>
      <c r="C391" s="4">
        <v>0.61</v>
      </c>
      <c r="D391" s="4">
        <v>0.84088888900000003</v>
      </c>
      <c r="E391" s="18">
        <v>59</v>
      </c>
      <c r="F391" s="18">
        <v>5</v>
      </c>
      <c r="G391" s="4">
        <v>5.4</v>
      </c>
      <c r="H391" s="4">
        <f t="shared" si="3"/>
        <v>1.7188733853924698</v>
      </c>
      <c r="I391" s="2">
        <f t="shared" si="4"/>
        <v>2.3204790702798346</v>
      </c>
      <c r="J391">
        <v>6</v>
      </c>
    </row>
    <row r="392" spans="1:10" x14ac:dyDescent="0.3">
      <c r="A392" t="s">
        <v>65</v>
      </c>
      <c r="B392" t="s">
        <v>57</v>
      </c>
      <c r="C392" s="4">
        <v>0.61</v>
      </c>
      <c r="D392" s="4">
        <v>0.84088888900000003</v>
      </c>
      <c r="E392" s="18">
        <v>59</v>
      </c>
      <c r="F392" s="18">
        <v>6</v>
      </c>
      <c r="G392" s="4">
        <v>9.3000000000000007</v>
      </c>
      <c r="H392" s="4">
        <f t="shared" si="3"/>
        <v>2.9602819415092534</v>
      </c>
      <c r="I392" s="2">
        <f t="shared" si="4"/>
        <v>6.8826555140090138</v>
      </c>
      <c r="J392">
        <v>6</v>
      </c>
    </row>
    <row r="393" spans="1:10" x14ac:dyDescent="0.3">
      <c r="A393" t="s">
        <v>65</v>
      </c>
      <c r="B393" t="s">
        <v>57</v>
      </c>
      <c r="C393" s="4">
        <v>0.61</v>
      </c>
      <c r="D393" s="4">
        <v>0.84088888900000003</v>
      </c>
      <c r="E393" s="18">
        <v>59</v>
      </c>
      <c r="F393" s="18">
        <v>7</v>
      </c>
      <c r="G393" s="4">
        <v>8.1999999999999993</v>
      </c>
      <c r="H393" s="4">
        <f t="shared" si="3"/>
        <v>2.6101410667070835</v>
      </c>
      <c r="I393" s="2">
        <f t="shared" si="4"/>
        <v>5.3507891867495205</v>
      </c>
      <c r="J393">
        <v>6</v>
      </c>
    </row>
    <row r="394" spans="1:10" x14ac:dyDescent="0.3">
      <c r="A394" t="s">
        <v>65</v>
      </c>
      <c r="B394" t="s">
        <v>57</v>
      </c>
      <c r="C394" s="4">
        <v>0.61</v>
      </c>
      <c r="D394" s="4">
        <v>0.84088888900000003</v>
      </c>
      <c r="E394" s="18">
        <v>60</v>
      </c>
      <c r="F394" s="18">
        <v>1</v>
      </c>
      <c r="G394" s="4">
        <v>16.5</v>
      </c>
      <c r="H394" s="4">
        <f t="shared" si="3"/>
        <v>5.2521131220325463</v>
      </c>
      <c r="I394" s="2">
        <f t="shared" si="4"/>
        <v>21.664966628384253</v>
      </c>
      <c r="J394">
        <v>8</v>
      </c>
    </row>
    <row r="395" spans="1:10" x14ac:dyDescent="0.3">
      <c r="A395" t="s">
        <v>65</v>
      </c>
      <c r="B395" t="s">
        <v>57</v>
      </c>
      <c r="C395" s="4">
        <v>0.61</v>
      </c>
      <c r="D395" s="4">
        <v>0.84088888900000003</v>
      </c>
      <c r="E395" s="18">
        <v>60</v>
      </c>
      <c r="F395" s="18">
        <v>2</v>
      </c>
      <c r="G395" s="4">
        <v>14.8</v>
      </c>
      <c r="H395" s="4">
        <f t="shared" si="3"/>
        <v>4.7109863155201026</v>
      </c>
      <c r="I395" s="2">
        <f t="shared" si="4"/>
        <v>17.430649367424383</v>
      </c>
      <c r="J395">
        <v>8</v>
      </c>
    </row>
    <row r="396" spans="1:10" x14ac:dyDescent="0.3">
      <c r="A396" t="s">
        <v>65</v>
      </c>
      <c r="B396" t="s">
        <v>57</v>
      </c>
      <c r="C396" s="4">
        <v>0.61</v>
      </c>
      <c r="D396" s="4">
        <v>0.84088888900000003</v>
      </c>
      <c r="E396" s="18">
        <v>60</v>
      </c>
      <c r="F396" s="18">
        <v>3</v>
      </c>
      <c r="G396" s="4">
        <v>27.6</v>
      </c>
      <c r="H396" s="4">
        <f t="shared" si="3"/>
        <v>8.7853528586726242</v>
      </c>
      <c r="I396" s="2">
        <f t="shared" si="4"/>
        <v>60.618934724841118</v>
      </c>
      <c r="J396">
        <v>8</v>
      </c>
    </row>
    <row r="397" spans="1:10" x14ac:dyDescent="0.3">
      <c r="A397" t="s">
        <v>65</v>
      </c>
      <c r="B397" t="s">
        <v>57</v>
      </c>
      <c r="C397" s="4">
        <v>0.61</v>
      </c>
      <c r="D397" s="4">
        <v>0.84088888900000003</v>
      </c>
      <c r="E397" s="18">
        <v>60</v>
      </c>
      <c r="F397" s="18">
        <v>4</v>
      </c>
      <c r="G397" s="4">
        <v>10.5</v>
      </c>
      <c r="H397" s="4">
        <f t="shared" si="3"/>
        <v>3.3422538049298023</v>
      </c>
      <c r="I397" s="2">
        <f t="shared" si="4"/>
        <v>8.7734162379407312</v>
      </c>
      <c r="J397">
        <v>8</v>
      </c>
    </row>
    <row r="398" spans="1:10" x14ac:dyDescent="0.3">
      <c r="A398" t="s">
        <v>65</v>
      </c>
      <c r="B398" t="s">
        <v>57</v>
      </c>
      <c r="C398" s="4">
        <v>0.61</v>
      </c>
      <c r="D398" s="4">
        <v>0.84088888900000003</v>
      </c>
      <c r="E398" s="18">
        <v>60</v>
      </c>
      <c r="F398" s="18">
        <v>5</v>
      </c>
      <c r="G398" s="4">
        <v>24.6</v>
      </c>
      <c r="H398" s="4">
        <f t="shared" si="3"/>
        <v>7.8304232001212517</v>
      </c>
      <c r="I398" s="2">
        <f t="shared" si="4"/>
        <v>48.157102680745702</v>
      </c>
      <c r="J398">
        <v>8</v>
      </c>
    </row>
    <row r="399" spans="1:10" x14ac:dyDescent="0.3">
      <c r="A399" t="s">
        <v>65</v>
      </c>
      <c r="B399" t="s">
        <v>57</v>
      </c>
      <c r="C399" s="4">
        <v>0.61</v>
      </c>
      <c r="D399" s="4">
        <v>0.84088888900000003</v>
      </c>
      <c r="E399" s="18">
        <v>60</v>
      </c>
      <c r="F399" s="18">
        <v>6</v>
      </c>
      <c r="G399" s="4">
        <v>21.3</v>
      </c>
      <c r="H399" s="4">
        <f t="shared" si="3"/>
        <v>6.7800005757147419</v>
      </c>
      <c r="I399" s="2">
        <f t="shared" si="4"/>
        <v>36.103503065681004</v>
      </c>
      <c r="J399">
        <v>8</v>
      </c>
    </row>
    <row r="400" spans="1:10" x14ac:dyDescent="0.3">
      <c r="A400" t="s">
        <v>65</v>
      </c>
      <c r="B400" t="s">
        <v>57</v>
      </c>
      <c r="C400" s="4">
        <v>0.61</v>
      </c>
      <c r="D400" s="4">
        <v>0.84088888900000003</v>
      </c>
      <c r="E400" s="18">
        <v>60</v>
      </c>
      <c r="F400" s="18">
        <v>7</v>
      </c>
      <c r="G400" s="4">
        <v>13.6</v>
      </c>
      <c r="H400" s="4">
        <f t="shared" si="3"/>
        <v>4.3290144520995533</v>
      </c>
      <c r="I400" s="2">
        <f t="shared" si="4"/>
        <v>14.718649137138479</v>
      </c>
      <c r="J400">
        <v>8</v>
      </c>
    </row>
    <row r="401" spans="1:10" x14ac:dyDescent="0.3">
      <c r="A401" t="s">
        <v>65</v>
      </c>
      <c r="B401" t="s">
        <v>57</v>
      </c>
      <c r="C401" s="4">
        <v>0.61</v>
      </c>
      <c r="D401" s="4">
        <v>0.84088888900000003</v>
      </c>
      <c r="E401" s="18">
        <v>60</v>
      </c>
      <c r="F401" s="18">
        <v>8</v>
      </c>
      <c r="G401" s="4">
        <v>16.3</v>
      </c>
      <c r="H401" s="4">
        <f t="shared" si="3"/>
        <v>5.1884511447957884</v>
      </c>
      <c r="I401" s="2">
        <f t="shared" si="4"/>
        <v>21.142938415042838</v>
      </c>
      <c r="J401">
        <v>8</v>
      </c>
    </row>
    <row r="402" spans="1:10" x14ac:dyDescent="0.3">
      <c r="A402" t="s">
        <v>65</v>
      </c>
      <c r="B402" t="s">
        <v>57</v>
      </c>
      <c r="C402" s="4">
        <v>0.61</v>
      </c>
      <c r="D402" s="4">
        <v>0.84088888900000003</v>
      </c>
      <c r="E402" s="18">
        <v>60</v>
      </c>
      <c r="F402" s="18">
        <v>9</v>
      </c>
      <c r="G402" s="4">
        <v>23.4</v>
      </c>
      <c r="H402" s="4">
        <f t="shared" si="3"/>
        <v>7.4484513367007015</v>
      </c>
      <c r="I402" s="2">
        <f t="shared" si="4"/>
        <v>43.573440319699095</v>
      </c>
      <c r="J402">
        <v>8</v>
      </c>
    </row>
    <row r="403" spans="1:10" x14ac:dyDescent="0.3">
      <c r="A403" t="s">
        <v>65</v>
      </c>
      <c r="B403" t="s">
        <v>57</v>
      </c>
      <c r="C403" s="4">
        <v>0.61</v>
      </c>
      <c r="D403" s="4">
        <v>0.84088888900000003</v>
      </c>
      <c r="E403" s="18">
        <v>60</v>
      </c>
      <c r="F403" s="18">
        <v>10</v>
      </c>
      <c r="G403" s="4">
        <v>15.3</v>
      </c>
      <c r="H403" s="4">
        <f t="shared" si="3"/>
        <v>4.8701412586119979</v>
      </c>
      <c r="I403" s="2">
        <f t="shared" si="4"/>
        <v>18.628290314190895</v>
      </c>
      <c r="J403">
        <v>8</v>
      </c>
    </row>
    <row r="404" spans="1:10" x14ac:dyDescent="0.3">
      <c r="A404" t="s">
        <v>65</v>
      </c>
      <c r="B404" t="s">
        <v>57</v>
      </c>
      <c r="C404" s="4">
        <v>0.61</v>
      </c>
      <c r="D404" s="4">
        <v>0.84088888900000003</v>
      </c>
      <c r="E404" s="18">
        <v>60</v>
      </c>
      <c r="F404" s="18">
        <v>11</v>
      </c>
      <c r="G404" s="4">
        <v>13.5</v>
      </c>
      <c r="H404" s="4">
        <f t="shared" si="3"/>
        <v>4.2971834634811739</v>
      </c>
      <c r="I404" s="2">
        <f t="shared" si="4"/>
        <v>14.502994189248961</v>
      </c>
      <c r="J404">
        <v>8</v>
      </c>
    </row>
    <row r="405" spans="1:10" x14ac:dyDescent="0.3">
      <c r="A405" t="s">
        <v>65</v>
      </c>
      <c r="B405" t="s">
        <v>57</v>
      </c>
      <c r="C405" s="4">
        <v>0.61</v>
      </c>
      <c r="D405" s="4">
        <v>0.84088888900000003</v>
      </c>
      <c r="E405" s="18">
        <v>60</v>
      </c>
      <c r="F405" s="18">
        <v>12</v>
      </c>
      <c r="G405" s="4">
        <v>15.2</v>
      </c>
      <c r="H405" s="4">
        <f t="shared" si="3"/>
        <v>4.8383102699936185</v>
      </c>
      <c r="I405" s="2">
        <f t="shared" si="4"/>
        <v>18.385579025975751</v>
      </c>
      <c r="J405">
        <v>8</v>
      </c>
    </row>
    <row r="406" spans="1:10" x14ac:dyDescent="0.3">
      <c r="A406" t="s">
        <v>65</v>
      </c>
      <c r="B406" t="s">
        <v>57</v>
      </c>
      <c r="C406" s="4">
        <v>0.61</v>
      </c>
      <c r="D406" s="4">
        <v>0.84088888900000003</v>
      </c>
      <c r="E406" s="18">
        <v>61</v>
      </c>
      <c r="F406" s="18">
        <v>1</v>
      </c>
      <c r="G406" s="4">
        <v>7.5</v>
      </c>
      <c r="H406" s="4">
        <f t="shared" si="3"/>
        <v>2.3873241463784303</v>
      </c>
      <c r="I406" s="2">
        <f t="shared" si="4"/>
        <v>4.4762327744595574</v>
      </c>
      <c r="J406">
        <v>4</v>
      </c>
    </row>
    <row r="407" spans="1:10" x14ac:dyDescent="0.3">
      <c r="A407" t="s">
        <v>65</v>
      </c>
      <c r="B407" t="s">
        <v>57</v>
      </c>
      <c r="C407" s="4">
        <v>0.61</v>
      </c>
      <c r="D407" s="4">
        <v>0.84088888900000003</v>
      </c>
      <c r="E407" s="18">
        <v>61</v>
      </c>
      <c r="F407" s="18">
        <v>2</v>
      </c>
      <c r="G407" s="4">
        <v>6.3</v>
      </c>
      <c r="H407" s="4">
        <f t="shared" si="3"/>
        <v>2.0053522829578814</v>
      </c>
      <c r="I407" s="2">
        <f t="shared" si="4"/>
        <v>3.1584298456586635</v>
      </c>
      <c r="J407">
        <v>4</v>
      </c>
    </row>
    <row r="408" spans="1:10" x14ac:dyDescent="0.3">
      <c r="A408" t="s">
        <v>65</v>
      </c>
      <c r="B408" t="s">
        <v>22</v>
      </c>
      <c r="C408" s="4">
        <v>0.43836446099999998</v>
      </c>
      <c r="D408" s="4">
        <v>0.58666666700000003</v>
      </c>
      <c r="E408" s="18">
        <v>62</v>
      </c>
      <c r="F408" s="18">
        <v>1</v>
      </c>
      <c r="G408" s="4">
        <v>17.3</v>
      </c>
      <c r="H408" s="4">
        <f t="shared" si="3"/>
        <v>5.5067610309795789</v>
      </c>
      <c r="I408" s="2">
        <f t="shared" si="4"/>
        <v>23.81674145898668</v>
      </c>
      <c r="J408">
        <v>6</v>
      </c>
    </row>
    <row r="409" spans="1:10" x14ac:dyDescent="0.3">
      <c r="A409" t="s">
        <v>65</v>
      </c>
      <c r="B409" t="s">
        <v>22</v>
      </c>
      <c r="C409" s="4">
        <v>0.43836446099999998</v>
      </c>
      <c r="D409" s="4">
        <v>0.58666666700000003</v>
      </c>
      <c r="E409" s="18">
        <v>62</v>
      </c>
      <c r="F409" s="18">
        <v>2</v>
      </c>
      <c r="G409" s="4">
        <v>8.5</v>
      </c>
      <c r="H409" s="4">
        <f t="shared" si="3"/>
        <v>2.7056340325622208</v>
      </c>
      <c r="I409" s="2">
        <f t="shared" si="4"/>
        <v>5.7494723191947186</v>
      </c>
      <c r="J409">
        <v>6</v>
      </c>
    </row>
    <row r="410" spans="1:10" x14ac:dyDescent="0.3">
      <c r="A410" t="s">
        <v>65</v>
      </c>
      <c r="B410" t="s">
        <v>22</v>
      </c>
      <c r="C410" s="4">
        <v>0.43836446099999998</v>
      </c>
      <c r="D410" s="4">
        <v>0.58666666700000003</v>
      </c>
      <c r="E410" s="18">
        <v>62</v>
      </c>
      <c r="F410" s="18">
        <v>3</v>
      </c>
      <c r="G410" s="4">
        <v>12.3</v>
      </c>
      <c r="H410" s="4">
        <f t="shared" si="3"/>
        <v>3.9152116000606259</v>
      </c>
      <c r="I410" s="2">
        <f t="shared" si="4"/>
        <v>12.039275670186425</v>
      </c>
      <c r="J410">
        <v>6</v>
      </c>
    </row>
    <row r="411" spans="1:10" x14ac:dyDescent="0.3">
      <c r="A411" t="s">
        <v>65</v>
      </c>
      <c r="B411" t="s">
        <v>22</v>
      </c>
      <c r="C411" s="4">
        <v>0.43836446099999998</v>
      </c>
      <c r="D411" s="4">
        <v>0.58666666700000003</v>
      </c>
      <c r="E411" s="18">
        <v>62</v>
      </c>
      <c r="F411" s="18">
        <v>4</v>
      </c>
      <c r="G411" s="4">
        <v>16.399999999999999</v>
      </c>
      <c r="H411" s="4">
        <f t="shared" si="3"/>
        <v>5.2202821334141669</v>
      </c>
      <c r="I411" s="2">
        <f t="shared" si="4"/>
        <v>21.403156746998082</v>
      </c>
      <c r="J411">
        <v>6</v>
      </c>
    </row>
    <row r="412" spans="1:10" x14ac:dyDescent="0.3">
      <c r="A412" t="s">
        <v>65</v>
      </c>
      <c r="B412" t="s">
        <v>22</v>
      </c>
      <c r="C412" s="4">
        <v>0.43836446099999998</v>
      </c>
      <c r="D412" s="4">
        <v>0.58666666700000003</v>
      </c>
      <c r="E412" s="18">
        <v>62</v>
      </c>
      <c r="F412" s="18">
        <v>5</v>
      </c>
      <c r="G412" s="4">
        <v>12.4</v>
      </c>
      <c r="H412" s="4">
        <f t="shared" si="3"/>
        <v>3.9470425886790048</v>
      </c>
      <c r="I412" s="2">
        <f t="shared" si="4"/>
        <v>12.235832024904916</v>
      </c>
      <c r="J412">
        <v>6</v>
      </c>
    </row>
    <row r="413" spans="1:10" x14ac:dyDescent="0.3">
      <c r="A413" t="s">
        <v>65</v>
      </c>
      <c r="B413" t="s">
        <v>22</v>
      </c>
      <c r="C413" s="4">
        <v>0.43836446099999998</v>
      </c>
      <c r="D413" s="4">
        <v>0.58666666700000003</v>
      </c>
      <c r="E413" s="18">
        <v>62</v>
      </c>
      <c r="F413" s="18">
        <v>6</v>
      </c>
      <c r="G413" s="4">
        <v>11.2</v>
      </c>
      <c r="H413" s="4">
        <f t="shared" si="3"/>
        <v>3.5650707252584555</v>
      </c>
      <c r="I413" s="2">
        <f t="shared" si="4"/>
        <v>9.9821980307236746</v>
      </c>
      <c r="J413">
        <v>6</v>
      </c>
    </row>
    <row r="414" spans="1:10" x14ac:dyDescent="0.3">
      <c r="A414" t="s">
        <v>65</v>
      </c>
      <c r="B414" t="s">
        <v>22</v>
      </c>
      <c r="C414" s="4">
        <v>0.43836446099999998</v>
      </c>
      <c r="D414" s="4">
        <v>0.58666666700000003</v>
      </c>
      <c r="E414" s="18">
        <v>62</v>
      </c>
      <c r="F414" s="18">
        <v>7</v>
      </c>
      <c r="G414" s="4">
        <v>19.399999999999999</v>
      </c>
      <c r="H414" s="4">
        <f t="shared" si="3"/>
        <v>6.1752117919655385</v>
      </c>
      <c r="I414" s="2">
        <f t="shared" si="4"/>
        <v>29.949777191032862</v>
      </c>
      <c r="J414">
        <v>6</v>
      </c>
    </row>
    <row r="415" spans="1:10" x14ac:dyDescent="0.3">
      <c r="A415" t="s">
        <v>65</v>
      </c>
      <c r="B415" t="s">
        <v>58</v>
      </c>
      <c r="C415" s="4">
        <v>0.371297506</v>
      </c>
      <c r="D415" s="4">
        <v>0.35258402799999999</v>
      </c>
      <c r="E415" s="18">
        <v>63</v>
      </c>
      <c r="F415" s="18">
        <v>1</v>
      </c>
      <c r="G415" s="4">
        <v>15.4</v>
      </c>
      <c r="H415" s="4">
        <f t="shared" si="3"/>
        <v>4.9019722472303764</v>
      </c>
      <c r="I415" s="2">
        <f t="shared" si="4"/>
        <v>18.872593151836949</v>
      </c>
      <c r="J415">
        <v>5</v>
      </c>
    </row>
    <row r="416" spans="1:10" x14ac:dyDescent="0.3">
      <c r="A416" t="s">
        <v>65</v>
      </c>
      <c r="B416" t="s">
        <v>58</v>
      </c>
      <c r="C416" s="4">
        <v>0.371297506</v>
      </c>
      <c r="D416" s="4">
        <v>0.35258402799999999</v>
      </c>
      <c r="E416" s="18">
        <v>63</v>
      </c>
      <c r="F416" s="18">
        <v>2</v>
      </c>
      <c r="G416" s="4">
        <v>10.3</v>
      </c>
      <c r="H416" s="4">
        <f t="shared" si="3"/>
        <v>3.2785918276930444</v>
      </c>
      <c r="I416" s="2">
        <f t="shared" si="4"/>
        <v>8.4423739563095896</v>
      </c>
      <c r="J416">
        <v>5</v>
      </c>
    </row>
    <row r="417" spans="1:10" x14ac:dyDescent="0.3">
      <c r="A417" t="s">
        <v>65</v>
      </c>
      <c r="B417" t="s">
        <v>58</v>
      </c>
      <c r="C417" s="4">
        <v>0.371297506</v>
      </c>
      <c r="D417" s="4">
        <v>0.35258402799999999</v>
      </c>
      <c r="E417" s="18">
        <v>64</v>
      </c>
      <c r="F417" s="18">
        <v>1</v>
      </c>
      <c r="G417" s="4">
        <v>26.6</v>
      </c>
      <c r="H417" s="4">
        <f t="shared" si="3"/>
        <v>8.4670429724888319</v>
      </c>
      <c r="I417" s="2">
        <f t="shared" si="4"/>
        <v>56.305835767050723</v>
      </c>
      <c r="J417">
        <v>8</v>
      </c>
    </row>
    <row r="418" spans="1:10" x14ac:dyDescent="0.3">
      <c r="A418" t="s">
        <v>65</v>
      </c>
      <c r="B418" t="s">
        <v>58</v>
      </c>
      <c r="C418" s="4">
        <v>0.371297506</v>
      </c>
      <c r="D418" s="4">
        <v>0.35258402799999999</v>
      </c>
      <c r="E418" s="18">
        <v>64</v>
      </c>
      <c r="F418" s="18">
        <v>2</v>
      </c>
      <c r="G418" s="4">
        <v>12.4</v>
      </c>
      <c r="H418" s="4">
        <f t="shared" si="3"/>
        <v>3.9470425886790048</v>
      </c>
      <c r="I418" s="2">
        <f t="shared" si="4"/>
        <v>12.235832024904916</v>
      </c>
      <c r="J418">
        <v>8</v>
      </c>
    </row>
    <row r="419" spans="1:10" x14ac:dyDescent="0.3">
      <c r="A419" t="s">
        <v>65</v>
      </c>
      <c r="B419" t="s">
        <v>58</v>
      </c>
      <c r="C419" s="4">
        <v>0.371297506</v>
      </c>
      <c r="D419" s="4">
        <v>0.35258402799999999</v>
      </c>
      <c r="E419" s="18">
        <v>64</v>
      </c>
      <c r="F419" s="18">
        <v>3</v>
      </c>
      <c r="G419" s="4">
        <v>18.399999999999999</v>
      </c>
      <c r="H419" s="4">
        <f t="shared" si="3"/>
        <v>5.856901905781748</v>
      </c>
      <c r="I419" s="2">
        <f t="shared" si="4"/>
        <v>26.941748766596039</v>
      </c>
      <c r="J419">
        <v>8</v>
      </c>
    </row>
    <row r="420" spans="1:10" x14ac:dyDescent="0.3">
      <c r="A420" t="s">
        <v>65</v>
      </c>
      <c r="B420" t="s">
        <v>58</v>
      </c>
      <c r="C420" s="4">
        <v>0.371297506</v>
      </c>
      <c r="D420" s="4">
        <v>0.35258402799999999</v>
      </c>
      <c r="E420" s="18">
        <v>64</v>
      </c>
      <c r="F420" s="18">
        <v>4</v>
      </c>
      <c r="G420" s="4">
        <v>26.6</v>
      </c>
      <c r="H420" s="4">
        <f t="shared" si="3"/>
        <v>8.4670429724888319</v>
      </c>
      <c r="I420" s="2">
        <f t="shared" si="4"/>
        <v>56.305835767050723</v>
      </c>
      <c r="J420">
        <v>8</v>
      </c>
    </row>
    <row r="421" spans="1:10" x14ac:dyDescent="0.3">
      <c r="A421" t="s">
        <v>65</v>
      </c>
      <c r="B421" t="s">
        <v>58</v>
      </c>
      <c r="C421" s="4">
        <v>0.371297506</v>
      </c>
      <c r="D421" s="4">
        <v>0.35258402799999999</v>
      </c>
      <c r="E421" s="18">
        <v>64</v>
      </c>
      <c r="F421" s="18">
        <v>5</v>
      </c>
      <c r="G421" s="4">
        <v>30.4</v>
      </c>
      <c r="H421" s="4">
        <f t="shared" si="3"/>
        <v>9.6766205399872369</v>
      </c>
      <c r="I421" s="2">
        <f t="shared" si="4"/>
        <v>73.542316103903005</v>
      </c>
      <c r="J421">
        <v>8</v>
      </c>
    </row>
    <row r="422" spans="1:10" x14ac:dyDescent="0.3">
      <c r="A422" t="s">
        <v>65</v>
      </c>
      <c r="B422" t="s">
        <v>58</v>
      </c>
      <c r="C422" s="4">
        <v>0.371297506</v>
      </c>
      <c r="D422" s="4">
        <v>0.35258402799999999</v>
      </c>
      <c r="E422" s="18">
        <v>65</v>
      </c>
      <c r="F422" s="18">
        <v>1</v>
      </c>
      <c r="G422" s="4">
        <v>15.6</v>
      </c>
      <c r="H422" s="4">
        <f t="shared" si="3"/>
        <v>4.9656342244671343</v>
      </c>
      <c r="I422" s="2">
        <f t="shared" si="4"/>
        <v>19.365973475421821</v>
      </c>
      <c r="J422">
        <v>6.5</v>
      </c>
    </row>
    <row r="423" spans="1:10" x14ac:dyDescent="0.3">
      <c r="A423" t="s">
        <v>65</v>
      </c>
      <c r="B423" t="s">
        <v>58</v>
      </c>
      <c r="C423" s="4">
        <v>0.371297506</v>
      </c>
      <c r="D423" s="4">
        <v>0.35258402799999999</v>
      </c>
      <c r="E423" s="18">
        <v>65</v>
      </c>
      <c r="F423" s="18">
        <v>2</v>
      </c>
      <c r="G423" s="4">
        <v>13.4</v>
      </c>
      <c r="H423" s="4">
        <f t="shared" si="3"/>
        <v>4.2653524748627953</v>
      </c>
      <c r="I423" s="2">
        <f t="shared" si="4"/>
        <v>14.288930790790365</v>
      </c>
      <c r="J423">
        <v>6.5</v>
      </c>
    </row>
    <row r="424" spans="1:10" x14ac:dyDescent="0.3">
      <c r="A424" t="s">
        <v>65</v>
      </c>
      <c r="B424" t="s">
        <v>58</v>
      </c>
      <c r="C424" s="4">
        <v>0.371297506</v>
      </c>
      <c r="D424" s="4">
        <v>0.35258402799999999</v>
      </c>
      <c r="E424" s="18">
        <v>65</v>
      </c>
      <c r="F424" s="18">
        <v>3</v>
      </c>
      <c r="G424" s="4">
        <v>21.2</v>
      </c>
      <c r="H424" s="4">
        <f t="shared" si="3"/>
        <v>6.7481695870963625</v>
      </c>
      <c r="I424" s="2">
        <f t="shared" si="4"/>
        <v>35.76529881161072</v>
      </c>
      <c r="J424">
        <v>6.5</v>
      </c>
    </row>
    <row r="425" spans="1:10" x14ac:dyDescent="0.3">
      <c r="A425" t="s">
        <v>65</v>
      </c>
      <c r="B425" t="s">
        <v>58</v>
      </c>
      <c r="C425" s="4">
        <v>0.371297506</v>
      </c>
      <c r="D425" s="4">
        <v>0.35258402799999999</v>
      </c>
      <c r="E425" s="18">
        <v>65</v>
      </c>
      <c r="F425" s="18">
        <v>4</v>
      </c>
      <c r="G425" s="4">
        <v>15.3</v>
      </c>
      <c r="H425" s="4">
        <f t="shared" si="3"/>
        <v>4.8701412586119979</v>
      </c>
      <c r="I425" s="2">
        <f t="shared" si="4"/>
        <v>18.628290314190895</v>
      </c>
      <c r="J425">
        <v>6.5</v>
      </c>
    </row>
    <row r="426" spans="1:10" x14ac:dyDescent="0.3">
      <c r="A426" t="s">
        <v>65</v>
      </c>
      <c r="B426" t="s">
        <v>58</v>
      </c>
      <c r="C426" s="4">
        <v>0.371297506</v>
      </c>
      <c r="D426" s="4">
        <v>0.35258402799999999</v>
      </c>
      <c r="E426" s="18">
        <v>65</v>
      </c>
      <c r="F426" s="18">
        <v>5</v>
      </c>
      <c r="G426" s="4">
        <v>24.2</v>
      </c>
      <c r="H426" s="4">
        <f t="shared" si="3"/>
        <v>7.7030992456477341</v>
      </c>
      <c r="I426" s="2">
        <f t="shared" si="4"/>
        <v>46.603750436168788</v>
      </c>
      <c r="J426">
        <v>6.5</v>
      </c>
    </row>
    <row r="427" spans="1:10" x14ac:dyDescent="0.3">
      <c r="A427" t="s">
        <v>67</v>
      </c>
      <c r="B427" t="s">
        <v>26</v>
      </c>
      <c r="C427" s="4">
        <v>0.80908761900000004</v>
      </c>
      <c r="D427" s="4">
        <v>0.87473809499999999</v>
      </c>
      <c r="E427" s="18">
        <v>66</v>
      </c>
      <c r="F427" s="18">
        <v>1</v>
      </c>
      <c r="G427" s="4">
        <v>24.3</v>
      </c>
      <c r="H427" s="4">
        <f t="shared" ref="H427:H628" si="6">G427/PI()</f>
        <v>7.7349302342661135</v>
      </c>
      <c r="I427" s="2">
        <f t="shared" si="4"/>
        <v>46.989701173166644</v>
      </c>
      <c r="J427">
        <v>7</v>
      </c>
    </row>
    <row r="428" spans="1:10" x14ac:dyDescent="0.3">
      <c r="A428" t="s">
        <v>67</v>
      </c>
      <c r="B428" t="s">
        <v>68</v>
      </c>
      <c r="C428" s="4">
        <v>0.77800000000000002</v>
      </c>
      <c r="D428" s="4">
        <v>0.77386111099999999</v>
      </c>
      <c r="E428" s="18">
        <v>67</v>
      </c>
      <c r="F428" s="18">
        <v>1</v>
      </c>
      <c r="G428" s="4">
        <v>11.4</v>
      </c>
      <c r="H428" s="4">
        <f t="shared" si="6"/>
        <v>3.6287327024952138</v>
      </c>
      <c r="I428" s="2">
        <f t="shared" si="4"/>
        <v>10.34188820211136</v>
      </c>
      <c r="J428">
        <v>3.5</v>
      </c>
    </row>
    <row r="429" spans="1:10" x14ac:dyDescent="0.3">
      <c r="A429" t="s">
        <v>67</v>
      </c>
      <c r="B429" t="s">
        <v>60</v>
      </c>
      <c r="C429" s="4">
        <v>0.41</v>
      </c>
      <c r="D429" s="4">
        <v>0.33983503399999998</v>
      </c>
      <c r="E429" s="18">
        <v>68</v>
      </c>
      <c r="F429" s="18">
        <v>1</v>
      </c>
      <c r="G429" s="4">
        <v>12.5</v>
      </c>
      <c r="H429" s="4">
        <f t="shared" si="6"/>
        <v>3.9788735772973833</v>
      </c>
      <c r="I429" s="2">
        <f t="shared" si="4"/>
        <v>12.433979929054322</v>
      </c>
      <c r="J429">
        <v>6</v>
      </c>
    </row>
    <row r="430" spans="1:10" x14ac:dyDescent="0.3">
      <c r="A430" t="s">
        <v>67</v>
      </c>
      <c r="B430" t="s">
        <v>60</v>
      </c>
      <c r="C430" s="4">
        <v>0.41</v>
      </c>
      <c r="D430" s="4">
        <v>0.33983503399999998</v>
      </c>
      <c r="E430" s="18">
        <v>68</v>
      </c>
      <c r="F430" s="18">
        <v>2</v>
      </c>
      <c r="G430" s="4">
        <v>10.5</v>
      </c>
      <c r="H430" s="4">
        <f t="shared" si="6"/>
        <v>3.3422538049298023</v>
      </c>
      <c r="I430" s="2">
        <f t="shared" si="4"/>
        <v>8.7734162379407312</v>
      </c>
      <c r="J430">
        <v>6</v>
      </c>
    </row>
    <row r="431" spans="1:10" x14ac:dyDescent="0.3">
      <c r="A431" t="s">
        <v>67</v>
      </c>
      <c r="B431" t="s">
        <v>60</v>
      </c>
      <c r="C431" s="4">
        <v>0.41</v>
      </c>
      <c r="D431" s="4">
        <v>0.33983503399999998</v>
      </c>
      <c r="E431" s="18">
        <v>68</v>
      </c>
      <c r="F431" s="18">
        <v>3</v>
      </c>
      <c r="G431" s="4">
        <v>6.2</v>
      </c>
      <c r="H431" s="4">
        <f t="shared" si="6"/>
        <v>1.9735212943395024</v>
      </c>
      <c r="I431" s="2">
        <f t="shared" si="4"/>
        <v>3.0589580062262289</v>
      </c>
      <c r="J431">
        <v>6</v>
      </c>
    </row>
    <row r="432" spans="1:10" x14ac:dyDescent="0.3">
      <c r="A432" t="s">
        <v>67</v>
      </c>
      <c r="B432" t="s">
        <v>60</v>
      </c>
      <c r="C432" s="4">
        <v>0.41</v>
      </c>
      <c r="D432" s="4">
        <v>0.33983503399999998</v>
      </c>
      <c r="E432" s="18">
        <v>68</v>
      </c>
      <c r="F432" s="18">
        <v>4</v>
      </c>
      <c r="G432" s="4">
        <v>5.2</v>
      </c>
      <c r="H432" s="4">
        <f t="shared" si="6"/>
        <v>1.6552114081557117</v>
      </c>
      <c r="I432" s="2">
        <f t="shared" si="4"/>
        <v>2.1517748306024251</v>
      </c>
      <c r="J432">
        <v>6</v>
      </c>
    </row>
    <row r="433" spans="1:10" x14ac:dyDescent="0.3">
      <c r="A433" t="s">
        <v>67</v>
      </c>
      <c r="B433" t="s">
        <v>60</v>
      </c>
      <c r="C433" s="4">
        <v>0.41</v>
      </c>
      <c r="D433" s="4">
        <v>0.33983503399999998</v>
      </c>
      <c r="E433" s="18">
        <v>68</v>
      </c>
      <c r="F433" s="18">
        <v>5</v>
      </c>
      <c r="G433" s="4">
        <v>9.4</v>
      </c>
      <c r="H433" s="4">
        <f t="shared" si="6"/>
        <v>2.9921129301276324</v>
      </c>
      <c r="I433" s="2">
        <f t="shared" si="4"/>
        <v>7.0314653857999367</v>
      </c>
      <c r="J433">
        <v>6</v>
      </c>
    </row>
    <row r="434" spans="1:10" x14ac:dyDescent="0.3">
      <c r="A434" t="s">
        <v>67</v>
      </c>
      <c r="B434" t="s">
        <v>60</v>
      </c>
      <c r="C434" s="4">
        <v>0.41</v>
      </c>
      <c r="D434" s="4">
        <v>0.33983503399999998</v>
      </c>
      <c r="E434" s="18">
        <v>68</v>
      </c>
      <c r="F434" s="18">
        <v>6</v>
      </c>
      <c r="G434" s="4">
        <v>12.1</v>
      </c>
      <c r="H434" s="4">
        <f t="shared" si="6"/>
        <v>3.851549622823867</v>
      </c>
      <c r="I434" s="2">
        <f t="shared" si="4"/>
        <v>11.650937609042197</v>
      </c>
      <c r="J434">
        <v>6</v>
      </c>
    </row>
    <row r="435" spans="1:10" x14ac:dyDescent="0.3">
      <c r="A435" t="s">
        <v>67</v>
      </c>
      <c r="B435" t="s">
        <v>69</v>
      </c>
      <c r="C435" s="4">
        <v>0.31264018999999998</v>
      </c>
      <c r="D435" s="4">
        <v>0.356821212</v>
      </c>
      <c r="E435" s="18">
        <v>69</v>
      </c>
      <c r="F435" s="18">
        <v>1</v>
      </c>
      <c r="G435" s="4">
        <v>13.3</v>
      </c>
      <c r="H435" s="4">
        <f t="shared" si="6"/>
        <v>4.2335214862444159</v>
      </c>
      <c r="I435" s="2">
        <f t="shared" si="4"/>
        <v>14.076458941762681</v>
      </c>
      <c r="J435">
        <v>5</v>
      </c>
    </row>
    <row r="436" spans="1:10" x14ac:dyDescent="0.3">
      <c r="A436" t="s">
        <v>67</v>
      </c>
      <c r="B436" t="s">
        <v>70</v>
      </c>
      <c r="C436" s="4">
        <v>0.55560299999999996</v>
      </c>
      <c r="D436" s="4">
        <v>0.55961111100000005</v>
      </c>
      <c r="E436" s="18">
        <v>70</v>
      </c>
      <c r="F436" s="18">
        <v>1</v>
      </c>
      <c r="G436" s="4">
        <v>5.6</v>
      </c>
      <c r="H436" s="4">
        <f t="shared" si="6"/>
        <v>1.7825353626292277</v>
      </c>
      <c r="I436" s="2">
        <f t="shared" si="4"/>
        <v>2.4955495076809187</v>
      </c>
      <c r="J436">
        <v>3.5</v>
      </c>
    </row>
    <row r="437" spans="1:10" x14ac:dyDescent="0.3">
      <c r="A437" t="s">
        <v>67</v>
      </c>
      <c r="B437" t="s">
        <v>61</v>
      </c>
      <c r="C437" s="4">
        <v>0.9</v>
      </c>
      <c r="D437" s="4">
        <v>0.61247410899999999</v>
      </c>
      <c r="E437" s="18">
        <v>71</v>
      </c>
      <c r="F437" s="18">
        <v>1</v>
      </c>
      <c r="G437" s="4">
        <v>27.7</v>
      </c>
      <c r="H437" s="4">
        <f t="shared" si="6"/>
        <v>8.8171838472910018</v>
      </c>
      <c r="I437" s="2">
        <f t="shared" si="4"/>
        <v>61.058998142490189</v>
      </c>
      <c r="J437">
        <v>7</v>
      </c>
    </row>
    <row r="438" spans="1:10" x14ac:dyDescent="0.3">
      <c r="A438" t="s">
        <v>67</v>
      </c>
      <c r="B438" t="s">
        <v>61</v>
      </c>
      <c r="C438" s="4">
        <v>0.9</v>
      </c>
      <c r="D438" s="4">
        <v>0.61247410899999999</v>
      </c>
      <c r="E438" s="18">
        <v>72</v>
      </c>
      <c r="F438" s="18">
        <v>1</v>
      </c>
      <c r="G438" s="4">
        <v>15.3</v>
      </c>
      <c r="H438" s="4">
        <f t="shared" si="6"/>
        <v>4.8701412586119979</v>
      </c>
      <c r="I438" s="2">
        <f t="shared" si="4"/>
        <v>18.628290314190895</v>
      </c>
      <c r="J438">
        <v>6</v>
      </c>
    </row>
    <row r="439" spans="1:10" x14ac:dyDescent="0.3">
      <c r="A439" t="s">
        <v>67</v>
      </c>
      <c r="B439" t="s">
        <v>61</v>
      </c>
      <c r="C439" s="4">
        <v>0.9</v>
      </c>
      <c r="D439" s="4">
        <v>0.61247410899999999</v>
      </c>
      <c r="E439" s="18">
        <v>72</v>
      </c>
      <c r="F439" s="18">
        <v>2</v>
      </c>
      <c r="G439" s="4">
        <v>9.6999999999999993</v>
      </c>
      <c r="H439" s="4">
        <f t="shared" si="6"/>
        <v>3.0876058959827692</v>
      </c>
      <c r="I439" s="2">
        <f t="shared" si="4"/>
        <v>7.4874442977582154</v>
      </c>
      <c r="J439">
        <v>6</v>
      </c>
    </row>
    <row r="440" spans="1:10" x14ac:dyDescent="0.3">
      <c r="A440" t="s">
        <v>67</v>
      </c>
      <c r="B440" t="s">
        <v>66</v>
      </c>
      <c r="C440" s="4">
        <v>0.62643652800000005</v>
      </c>
      <c r="D440" s="4">
        <v>0.57808694400000005</v>
      </c>
      <c r="E440" s="18">
        <v>73</v>
      </c>
      <c r="F440" s="18">
        <v>1</v>
      </c>
      <c r="G440" s="4">
        <v>13.2</v>
      </c>
      <c r="H440" s="4">
        <f t="shared" si="6"/>
        <v>4.2016904976260365</v>
      </c>
      <c r="I440" s="2">
        <f t="shared" si="4"/>
        <v>13.865578642165918</v>
      </c>
      <c r="J440">
        <v>6</v>
      </c>
    </row>
    <row r="441" spans="1:10" x14ac:dyDescent="0.3">
      <c r="A441" t="s">
        <v>67</v>
      </c>
      <c r="B441" t="s">
        <v>66</v>
      </c>
      <c r="C441" s="4">
        <v>0.62643652800000005</v>
      </c>
      <c r="D441" s="4">
        <v>0.57808694400000005</v>
      </c>
      <c r="E441" s="18">
        <v>73</v>
      </c>
      <c r="F441" s="18">
        <v>2</v>
      </c>
      <c r="G441" s="4">
        <v>11.4</v>
      </c>
      <c r="H441" s="4">
        <f t="shared" si="6"/>
        <v>3.6287327024952138</v>
      </c>
      <c r="I441" s="2">
        <f t="shared" si="4"/>
        <v>10.34188820211136</v>
      </c>
      <c r="J441">
        <v>6</v>
      </c>
    </row>
    <row r="442" spans="1:10" x14ac:dyDescent="0.3">
      <c r="A442" t="s">
        <v>67</v>
      </c>
      <c r="B442" t="s">
        <v>66</v>
      </c>
      <c r="C442" s="4">
        <v>0.62643652800000005</v>
      </c>
      <c r="D442" s="4">
        <v>0.57808694400000005</v>
      </c>
      <c r="E442" s="18">
        <v>73</v>
      </c>
      <c r="F442" s="18">
        <v>3</v>
      </c>
      <c r="G442" s="4">
        <v>10.199999999999999</v>
      </c>
      <c r="H442" s="4">
        <f t="shared" si="6"/>
        <v>3.246760839074665</v>
      </c>
      <c r="I442" s="2">
        <f t="shared" si="4"/>
        <v>8.279240139640395</v>
      </c>
      <c r="J442">
        <v>6</v>
      </c>
    </row>
    <row r="443" spans="1:10" x14ac:dyDescent="0.3">
      <c r="A443" t="s">
        <v>67</v>
      </c>
      <c r="B443" t="s">
        <v>66</v>
      </c>
      <c r="C443" s="4">
        <v>0.62643652800000005</v>
      </c>
      <c r="D443" s="4">
        <v>0.57808694400000005</v>
      </c>
      <c r="E443" s="18">
        <v>73</v>
      </c>
      <c r="F443" s="18">
        <v>4</v>
      </c>
      <c r="G443" s="4">
        <v>14.3</v>
      </c>
      <c r="H443" s="4">
        <f t="shared" si="6"/>
        <v>4.5518313724282073</v>
      </c>
      <c r="I443" s="2">
        <f t="shared" si="4"/>
        <v>16.272797156430844</v>
      </c>
      <c r="J443">
        <v>6</v>
      </c>
    </row>
    <row r="444" spans="1:10" x14ac:dyDescent="0.3">
      <c r="A444" t="s">
        <v>67</v>
      </c>
      <c r="B444" t="s">
        <v>66</v>
      </c>
      <c r="C444" s="4">
        <v>0.62643652800000005</v>
      </c>
      <c r="D444" s="4">
        <v>0.57808694400000005</v>
      </c>
      <c r="E444" s="18">
        <v>73</v>
      </c>
      <c r="F444" s="18">
        <v>5</v>
      </c>
      <c r="G444" s="4">
        <v>13.1</v>
      </c>
      <c r="H444" s="4">
        <f t="shared" si="6"/>
        <v>4.169859509007658</v>
      </c>
      <c r="I444" s="2">
        <f t="shared" si="4"/>
        <v>13.65628989200008</v>
      </c>
      <c r="J444">
        <v>6</v>
      </c>
    </row>
    <row r="445" spans="1:10" x14ac:dyDescent="0.3">
      <c r="A445" t="s">
        <v>67</v>
      </c>
      <c r="B445" t="s">
        <v>66</v>
      </c>
      <c r="C445" s="4">
        <v>0.62643652800000005</v>
      </c>
      <c r="D445" s="4">
        <v>0.57808694400000005</v>
      </c>
      <c r="E445" s="18">
        <v>73</v>
      </c>
      <c r="F445" s="18">
        <v>6</v>
      </c>
      <c r="G445" s="4">
        <v>11.5</v>
      </c>
      <c r="H445" s="4">
        <f t="shared" si="6"/>
        <v>3.6605636911135928</v>
      </c>
      <c r="I445" s="2">
        <f t="shared" si="4"/>
        <v>10.524120611951579</v>
      </c>
      <c r="J445">
        <v>6</v>
      </c>
    </row>
    <row r="446" spans="1:10" x14ac:dyDescent="0.3">
      <c r="A446" t="s">
        <v>67</v>
      </c>
      <c r="B446" t="s">
        <v>56</v>
      </c>
      <c r="C446" s="4">
        <v>0.39984676499999999</v>
      </c>
      <c r="D446" s="4">
        <v>0.450333333</v>
      </c>
      <c r="E446" s="18">
        <v>74</v>
      </c>
      <c r="F446" s="18">
        <v>1</v>
      </c>
      <c r="G446" s="4">
        <v>64.5</v>
      </c>
      <c r="H446" s="4">
        <f t="shared" si="6"/>
        <v>20.5309876588545</v>
      </c>
      <c r="I446" s="2">
        <f t="shared" si="4"/>
        <v>331.0621759990288</v>
      </c>
      <c r="J446">
        <v>10</v>
      </c>
    </row>
    <row r="447" spans="1:10" x14ac:dyDescent="0.3">
      <c r="A447" t="s">
        <v>67</v>
      </c>
      <c r="B447" t="s">
        <v>56</v>
      </c>
      <c r="C447" s="4">
        <v>0.39984676499999999</v>
      </c>
      <c r="D447" s="4">
        <v>0.450333333</v>
      </c>
      <c r="E447" s="18">
        <v>75</v>
      </c>
      <c r="F447" s="18">
        <v>1</v>
      </c>
      <c r="G447" s="4">
        <v>41.2</v>
      </c>
      <c r="H447" s="4">
        <f t="shared" si="6"/>
        <v>13.114367310772177</v>
      </c>
      <c r="I447" s="2">
        <f t="shared" si="4"/>
        <v>135.07798330095343</v>
      </c>
      <c r="J447">
        <v>10</v>
      </c>
    </row>
    <row r="448" spans="1:10" x14ac:dyDescent="0.3">
      <c r="A448" t="s">
        <v>67</v>
      </c>
      <c r="B448" t="s">
        <v>56</v>
      </c>
      <c r="C448" s="4">
        <v>0.39984676499999999</v>
      </c>
      <c r="D448" s="4">
        <v>0.450333333</v>
      </c>
      <c r="E448" s="18">
        <v>75</v>
      </c>
      <c r="F448" s="18">
        <v>2</v>
      </c>
      <c r="G448" s="4">
        <v>55.5</v>
      </c>
      <c r="H448" s="4">
        <f t="shared" si="6"/>
        <v>17.666198683200381</v>
      </c>
      <c r="I448" s="2">
        <f t="shared" si="4"/>
        <v>245.11850672940528</v>
      </c>
      <c r="J448">
        <v>10</v>
      </c>
    </row>
    <row r="449" spans="1:10" x14ac:dyDescent="0.3">
      <c r="A449" t="s">
        <v>67</v>
      </c>
      <c r="B449" t="s">
        <v>56</v>
      </c>
      <c r="C449" s="4">
        <v>0.39984676499999999</v>
      </c>
      <c r="D449" s="4">
        <v>0.450333333</v>
      </c>
      <c r="E449" s="18">
        <v>76</v>
      </c>
      <c r="F449" s="18">
        <v>1</v>
      </c>
      <c r="G449" s="4">
        <v>47.3</v>
      </c>
      <c r="H449" s="4">
        <f t="shared" si="6"/>
        <v>15.056057616493298</v>
      </c>
      <c r="I449" s="2">
        <f t="shared" ref="I449:I646" si="7">PI()*(H449/2)^2</f>
        <v>178.03788131503325</v>
      </c>
      <c r="J449">
        <v>9</v>
      </c>
    </row>
    <row r="450" spans="1:10" x14ac:dyDescent="0.3">
      <c r="A450" t="s">
        <v>67</v>
      </c>
      <c r="B450" t="s">
        <v>56</v>
      </c>
      <c r="C450" s="4">
        <v>0.39984676499999999</v>
      </c>
      <c r="D450" s="4">
        <v>0.450333333</v>
      </c>
      <c r="E450" s="18">
        <v>77</v>
      </c>
      <c r="F450" s="18">
        <v>1</v>
      </c>
      <c r="G450" s="4">
        <v>17.100000000000001</v>
      </c>
      <c r="H450" s="4">
        <f t="shared" si="6"/>
        <v>5.443099053742821</v>
      </c>
      <c r="I450" s="2">
        <f t="shared" si="7"/>
        <v>23.26924845475056</v>
      </c>
      <c r="J450">
        <v>9</v>
      </c>
    </row>
    <row r="451" spans="1:10" x14ac:dyDescent="0.3">
      <c r="A451" t="s">
        <v>67</v>
      </c>
      <c r="B451" t="s">
        <v>56</v>
      </c>
      <c r="C451" s="4">
        <v>0.39984676499999999</v>
      </c>
      <c r="D451" s="4">
        <v>0.450333333</v>
      </c>
      <c r="E451" s="18">
        <v>78</v>
      </c>
      <c r="F451" s="18">
        <v>1</v>
      </c>
      <c r="G451" s="4">
        <v>51</v>
      </c>
      <c r="H451" s="4">
        <f t="shared" si="6"/>
        <v>16.233804195373324</v>
      </c>
      <c r="I451" s="2">
        <f t="shared" si="7"/>
        <v>206.98100349100989</v>
      </c>
      <c r="J451">
        <v>8</v>
      </c>
    </row>
    <row r="452" spans="1:10" x14ac:dyDescent="0.3">
      <c r="A452" t="s">
        <v>67</v>
      </c>
      <c r="B452" t="s">
        <v>56</v>
      </c>
      <c r="C452" s="4">
        <v>0.39984676499999999</v>
      </c>
      <c r="D452" s="4">
        <v>0.450333333</v>
      </c>
      <c r="E452" s="18">
        <v>79</v>
      </c>
      <c r="F452" s="18">
        <v>1</v>
      </c>
      <c r="G452" s="4">
        <v>30.2</v>
      </c>
      <c r="H452" s="4">
        <f t="shared" si="6"/>
        <v>9.6129585627504781</v>
      </c>
      <c r="I452" s="2">
        <f t="shared" si="7"/>
        <v>72.577837148766108</v>
      </c>
      <c r="J452">
        <v>11</v>
      </c>
    </row>
    <row r="453" spans="1:10" x14ac:dyDescent="0.3">
      <c r="A453" t="s">
        <v>67</v>
      </c>
      <c r="B453" t="s">
        <v>56</v>
      </c>
      <c r="C453" s="4">
        <v>0.39984676499999999</v>
      </c>
      <c r="D453" s="4">
        <v>0.450333333</v>
      </c>
      <c r="E453" s="18">
        <v>79</v>
      </c>
      <c r="F453" s="18">
        <v>2</v>
      </c>
      <c r="G453" s="4">
        <v>42.1</v>
      </c>
      <c r="H453" s="4">
        <f t="shared" si="6"/>
        <v>13.400846208337589</v>
      </c>
      <c r="I453" s="2">
        <f t="shared" si="7"/>
        <v>141.04390634275313</v>
      </c>
      <c r="J453">
        <v>11</v>
      </c>
    </row>
    <row r="454" spans="1:10" x14ac:dyDescent="0.3">
      <c r="A454" t="s">
        <v>67</v>
      </c>
      <c r="B454" t="s">
        <v>56</v>
      </c>
      <c r="C454" s="4">
        <v>0.39984676499999999</v>
      </c>
      <c r="D454" s="4">
        <v>0.450333333</v>
      </c>
      <c r="E454" s="18">
        <v>79</v>
      </c>
      <c r="F454" s="18">
        <v>3</v>
      </c>
      <c r="G454" s="4">
        <v>40.299999999999997</v>
      </c>
      <c r="H454" s="4">
        <f t="shared" si="6"/>
        <v>12.827888413206765</v>
      </c>
      <c r="I454" s="2">
        <f t="shared" si="7"/>
        <v>129.24097576305815</v>
      </c>
      <c r="J454">
        <v>11</v>
      </c>
    </row>
    <row r="455" spans="1:10" x14ac:dyDescent="0.3">
      <c r="A455" t="s">
        <v>67</v>
      </c>
      <c r="B455" t="s">
        <v>56</v>
      </c>
      <c r="C455" s="4">
        <v>0.39984676499999999</v>
      </c>
      <c r="D455" s="4">
        <v>0.450333333</v>
      </c>
      <c r="E455" s="18">
        <v>79</v>
      </c>
      <c r="F455" s="18">
        <v>4</v>
      </c>
      <c r="G455" s="4">
        <v>38.5</v>
      </c>
      <c r="H455" s="4">
        <f t="shared" si="6"/>
        <v>12.254930618075941</v>
      </c>
      <c r="I455" s="2">
        <f t="shared" si="7"/>
        <v>117.95370719898092</v>
      </c>
      <c r="J455">
        <v>11</v>
      </c>
    </row>
    <row r="456" spans="1:10" x14ac:dyDescent="0.3">
      <c r="A456" t="s">
        <v>67</v>
      </c>
      <c r="B456" t="s">
        <v>56</v>
      </c>
      <c r="C456" s="4">
        <v>0.39984676499999999</v>
      </c>
      <c r="D456" s="4">
        <v>0.450333333</v>
      </c>
      <c r="E456" s="18">
        <v>80</v>
      </c>
      <c r="F456" s="18">
        <v>1</v>
      </c>
      <c r="G456" s="4">
        <v>29.4</v>
      </c>
      <c r="H456" s="4">
        <f t="shared" si="6"/>
        <v>9.3583106538034464</v>
      </c>
      <c r="I456" s="2">
        <f t="shared" si="7"/>
        <v>68.783583305455338</v>
      </c>
      <c r="J456">
        <v>7</v>
      </c>
    </row>
    <row r="457" spans="1:10" x14ac:dyDescent="0.3">
      <c r="A457" t="s">
        <v>67</v>
      </c>
      <c r="B457" t="s">
        <v>56</v>
      </c>
      <c r="C457" s="4">
        <v>0.39984676499999999</v>
      </c>
      <c r="D457" s="4">
        <v>0.450333333</v>
      </c>
      <c r="E457" s="18">
        <v>80</v>
      </c>
      <c r="F457" s="18">
        <v>2</v>
      </c>
      <c r="G457" s="4">
        <v>45.5</v>
      </c>
      <c r="H457" s="4">
        <f t="shared" si="6"/>
        <v>14.483099821362476</v>
      </c>
      <c r="I457" s="2">
        <f t="shared" si="7"/>
        <v>164.74526046799815</v>
      </c>
      <c r="J457">
        <v>7</v>
      </c>
    </row>
    <row r="458" spans="1:10" x14ac:dyDescent="0.3">
      <c r="A458" t="s">
        <v>67</v>
      </c>
      <c r="B458" t="s">
        <v>56</v>
      </c>
      <c r="C458" s="4">
        <v>0.39984676499999999</v>
      </c>
      <c r="D458" s="4">
        <v>0.450333333</v>
      </c>
      <c r="E458" s="18">
        <v>81</v>
      </c>
      <c r="F458" s="18">
        <v>1</v>
      </c>
      <c r="G458" s="4">
        <v>38.4</v>
      </c>
      <c r="H458" s="4">
        <f t="shared" si="6"/>
        <v>12.223099629457561</v>
      </c>
      <c r="I458" s="2">
        <f t="shared" si="7"/>
        <v>117.34175644279259</v>
      </c>
      <c r="J458">
        <v>7</v>
      </c>
    </row>
    <row r="459" spans="1:10" x14ac:dyDescent="0.3">
      <c r="A459" t="s">
        <v>67</v>
      </c>
      <c r="B459" t="s">
        <v>56</v>
      </c>
      <c r="C459" s="4">
        <v>0.39984676499999999</v>
      </c>
      <c r="D459" s="4">
        <v>0.450333333</v>
      </c>
      <c r="E459" s="18">
        <v>81</v>
      </c>
      <c r="F459" s="18">
        <v>2</v>
      </c>
      <c r="G459" s="4">
        <v>17.5</v>
      </c>
      <c r="H459" s="4">
        <f t="shared" si="6"/>
        <v>5.5704230082163368</v>
      </c>
      <c r="I459" s="2">
        <f t="shared" si="7"/>
        <v>24.370600660946472</v>
      </c>
      <c r="J459">
        <v>7</v>
      </c>
    </row>
    <row r="460" spans="1:10" x14ac:dyDescent="0.3">
      <c r="A460" t="s">
        <v>67</v>
      </c>
      <c r="B460" t="s">
        <v>38</v>
      </c>
      <c r="C460" s="4">
        <v>1082380952</v>
      </c>
      <c r="D460" s="4">
        <v>0.61247410899999999</v>
      </c>
      <c r="E460" s="18">
        <v>82</v>
      </c>
      <c r="F460" s="18">
        <v>1</v>
      </c>
      <c r="G460" s="4">
        <v>15.4</v>
      </c>
      <c r="H460" s="4">
        <f t="shared" si="6"/>
        <v>4.9019722472303764</v>
      </c>
      <c r="I460" s="2">
        <f t="shared" si="7"/>
        <v>18.872593151836949</v>
      </c>
      <c r="J460">
        <v>5</v>
      </c>
    </row>
    <row r="461" spans="1:10" x14ac:dyDescent="0.3">
      <c r="A461" t="s">
        <v>67</v>
      </c>
      <c r="B461" t="s">
        <v>38</v>
      </c>
      <c r="C461" s="4">
        <v>1082380952</v>
      </c>
      <c r="D461" s="4">
        <v>0.61247410899999999</v>
      </c>
      <c r="E461" s="18">
        <v>82</v>
      </c>
      <c r="F461" s="18">
        <v>2</v>
      </c>
      <c r="G461" s="4">
        <v>10.3</v>
      </c>
      <c r="H461" s="4">
        <f t="shared" si="6"/>
        <v>3.2785918276930444</v>
      </c>
      <c r="I461" s="2">
        <f t="shared" si="7"/>
        <v>8.4423739563095896</v>
      </c>
      <c r="J461">
        <v>5</v>
      </c>
    </row>
    <row r="462" spans="1:10" x14ac:dyDescent="0.3">
      <c r="A462" t="s">
        <v>67</v>
      </c>
      <c r="B462" t="s">
        <v>38</v>
      </c>
      <c r="C462" s="4">
        <v>1082380952</v>
      </c>
      <c r="D462" s="4">
        <v>0.61247410899999999</v>
      </c>
      <c r="E462" s="18">
        <v>82</v>
      </c>
      <c r="F462" s="18">
        <v>3</v>
      </c>
      <c r="G462" s="4">
        <v>7.2</v>
      </c>
      <c r="H462" s="4">
        <f t="shared" si="6"/>
        <v>2.2918311805232929</v>
      </c>
      <c r="I462" s="2">
        <f t="shared" si="7"/>
        <v>4.1252961249419267</v>
      </c>
      <c r="J462">
        <v>5</v>
      </c>
    </row>
    <row r="463" spans="1:10" x14ac:dyDescent="0.3">
      <c r="A463" t="s">
        <v>67</v>
      </c>
      <c r="B463" t="s">
        <v>38</v>
      </c>
      <c r="C463" s="4">
        <v>1082380952</v>
      </c>
      <c r="D463" s="4">
        <v>0.61247410899999999</v>
      </c>
      <c r="E463" s="18">
        <v>83</v>
      </c>
      <c r="F463" s="18">
        <v>1</v>
      </c>
      <c r="G463" s="4">
        <v>20.399999999999999</v>
      </c>
      <c r="H463" s="4">
        <f t="shared" si="6"/>
        <v>6.4935216781493299</v>
      </c>
      <c r="I463" s="2">
        <f t="shared" si="7"/>
        <v>33.11696055856158</v>
      </c>
      <c r="J463">
        <v>6</v>
      </c>
    </row>
    <row r="464" spans="1:10" x14ac:dyDescent="0.3">
      <c r="A464" t="s">
        <v>67</v>
      </c>
      <c r="B464" t="s">
        <v>57</v>
      </c>
      <c r="C464" s="4">
        <v>0.61</v>
      </c>
      <c r="D464" s="4">
        <v>0.84088888900000003</v>
      </c>
      <c r="E464" s="18">
        <v>84</v>
      </c>
      <c r="F464" s="18">
        <v>1</v>
      </c>
      <c r="G464" s="4">
        <v>15.2</v>
      </c>
      <c r="H464" s="4">
        <f t="shared" si="6"/>
        <v>4.8383102699936185</v>
      </c>
      <c r="I464" s="2">
        <f t="shared" si="7"/>
        <v>18.385579025975751</v>
      </c>
      <c r="J464">
        <v>8</v>
      </c>
    </row>
    <row r="465" spans="1:10" x14ac:dyDescent="0.3">
      <c r="A465" t="s">
        <v>67</v>
      </c>
      <c r="B465" t="s">
        <v>57</v>
      </c>
      <c r="C465" s="4">
        <v>0.61</v>
      </c>
      <c r="D465" s="4">
        <v>0.84088888900000003</v>
      </c>
      <c r="E465" s="18">
        <v>84</v>
      </c>
      <c r="F465" s="18">
        <v>2</v>
      </c>
      <c r="G465" s="4">
        <v>2.4</v>
      </c>
      <c r="H465" s="4">
        <f t="shared" si="6"/>
        <v>0.76394372684109757</v>
      </c>
      <c r="I465" s="2">
        <f t="shared" si="7"/>
        <v>0.45836623610465854</v>
      </c>
      <c r="J465">
        <v>8</v>
      </c>
    </row>
    <row r="466" spans="1:10" x14ac:dyDescent="0.3">
      <c r="A466" t="s">
        <v>67</v>
      </c>
      <c r="B466" t="s">
        <v>57</v>
      </c>
      <c r="C466" s="4">
        <v>0.61</v>
      </c>
      <c r="D466" s="4">
        <v>0.84088888900000003</v>
      </c>
      <c r="E466" s="18">
        <v>84</v>
      </c>
      <c r="F466" s="18">
        <v>3</v>
      </c>
      <c r="G466" s="4">
        <v>13.2</v>
      </c>
      <c r="H466" s="4">
        <f t="shared" si="6"/>
        <v>4.2016904976260365</v>
      </c>
      <c r="I466" s="2">
        <f t="shared" si="7"/>
        <v>13.865578642165918</v>
      </c>
      <c r="J466">
        <v>8</v>
      </c>
    </row>
    <row r="467" spans="1:10" x14ac:dyDescent="0.3">
      <c r="A467" t="s">
        <v>67</v>
      </c>
      <c r="B467" t="s">
        <v>57</v>
      </c>
      <c r="C467" s="4">
        <v>0.61</v>
      </c>
      <c r="D467" s="4">
        <v>0.84088888900000003</v>
      </c>
      <c r="E467" s="18">
        <v>84</v>
      </c>
      <c r="F467" s="18">
        <v>4</v>
      </c>
      <c r="G467" s="4">
        <v>14.3</v>
      </c>
      <c r="H467" s="4">
        <f t="shared" si="6"/>
        <v>4.5518313724282073</v>
      </c>
      <c r="I467" s="2">
        <f t="shared" si="7"/>
        <v>16.272797156430844</v>
      </c>
      <c r="J467">
        <v>8</v>
      </c>
    </row>
    <row r="468" spans="1:10" x14ac:dyDescent="0.3">
      <c r="A468" t="s">
        <v>67</v>
      </c>
      <c r="B468" t="s">
        <v>57</v>
      </c>
      <c r="C468" s="4">
        <v>0.61</v>
      </c>
      <c r="D468" s="4">
        <v>0.84088888900000003</v>
      </c>
      <c r="E468" s="18">
        <v>84</v>
      </c>
      <c r="F468" s="18">
        <v>5</v>
      </c>
      <c r="G468" s="4">
        <v>7</v>
      </c>
      <c r="H468" s="4">
        <f t="shared" si="6"/>
        <v>2.228169203286535</v>
      </c>
      <c r="I468" s="2">
        <f t="shared" si="7"/>
        <v>3.8992961057514366</v>
      </c>
      <c r="J468">
        <v>8</v>
      </c>
    </row>
    <row r="469" spans="1:10" x14ac:dyDescent="0.3">
      <c r="A469" t="s">
        <v>67</v>
      </c>
      <c r="B469" t="s">
        <v>57</v>
      </c>
      <c r="C469" s="4">
        <v>0.61</v>
      </c>
      <c r="D469" s="4">
        <v>0.84088888900000003</v>
      </c>
      <c r="E469" s="18">
        <v>84</v>
      </c>
      <c r="F469" s="18">
        <v>6</v>
      </c>
      <c r="G469" s="4">
        <v>15.2</v>
      </c>
      <c r="H469" s="4">
        <f t="shared" si="6"/>
        <v>4.8383102699936185</v>
      </c>
      <c r="I469" s="2">
        <f t="shared" si="7"/>
        <v>18.385579025975751</v>
      </c>
      <c r="J469">
        <v>8</v>
      </c>
    </row>
    <row r="470" spans="1:10" x14ac:dyDescent="0.3">
      <c r="A470" t="s">
        <v>67</v>
      </c>
      <c r="B470" t="s">
        <v>57</v>
      </c>
      <c r="C470" s="4">
        <v>0.61</v>
      </c>
      <c r="D470" s="4">
        <v>0.84088888900000003</v>
      </c>
      <c r="E470" s="18">
        <v>84</v>
      </c>
      <c r="F470" s="18">
        <v>7</v>
      </c>
      <c r="G470" s="4">
        <v>14.4</v>
      </c>
      <c r="H470" s="4">
        <f t="shared" si="6"/>
        <v>4.5836623610465859</v>
      </c>
      <c r="I470" s="2">
        <f t="shared" si="7"/>
        <v>16.501184499767707</v>
      </c>
      <c r="J470">
        <v>8</v>
      </c>
    </row>
    <row r="471" spans="1:10" x14ac:dyDescent="0.3">
      <c r="A471" t="s">
        <v>67</v>
      </c>
      <c r="B471" t="s">
        <v>57</v>
      </c>
      <c r="C471" s="4">
        <v>0.61</v>
      </c>
      <c r="D471" s="4">
        <v>0.84088888900000003</v>
      </c>
      <c r="E471" s="18">
        <v>84</v>
      </c>
      <c r="F471" s="18">
        <v>8</v>
      </c>
      <c r="G471" s="4">
        <v>13</v>
      </c>
      <c r="H471" s="4">
        <f t="shared" si="6"/>
        <v>4.1380285203892786</v>
      </c>
      <c r="I471" s="2">
        <f t="shared" si="7"/>
        <v>13.448592691265155</v>
      </c>
      <c r="J471">
        <v>8</v>
      </c>
    </row>
    <row r="472" spans="1:10" x14ac:dyDescent="0.3">
      <c r="A472" t="s">
        <v>67</v>
      </c>
      <c r="B472" t="s">
        <v>57</v>
      </c>
      <c r="C472" s="4">
        <v>0.61</v>
      </c>
      <c r="D472" s="4">
        <v>0.84088888900000003</v>
      </c>
      <c r="E472" s="18">
        <v>84</v>
      </c>
      <c r="F472" s="18">
        <v>9</v>
      </c>
      <c r="G472" s="4">
        <v>14.2</v>
      </c>
      <c r="H472" s="4">
        <f t="shared" si="6"/>
        <v>4.520000383809827</v>
      </c>
      <c r="I472" s="2">
        <f t="shared" si="7"/>
        <v>16.046001362524883</v>
      </c>
      <c r="J472">
        <v>8</v>
      </c>
    </row>
    <row r="473" spans="1:10" x14ac:dyDescent="0.3">
      <c r="A473" t="s">
        <v>67</v>
      </c>
      <c r="B473" t="s">
        <v>22</v>
      </c>
      <c r="C473" s="4">
        <v>0.43836446099999998</v>
      </c>
      <c r="D473" s="4">
        <v>0.58666666700000003</v>
      </c>
      <c r="E473" s="18">
        <v>85</v>
      </c>
      <c r="F473" s="18">
        <v>1</v>
      </c>
      <c r="G473" s="4">
        <v>15.3</v>
      </c>
      <c r="H473" s="4">
        <f t="shared" si="6"/>
        <v>4.8701412586119979</v>
      </c>
      <c r="I473" s="2">
        <f t="shared" si="7"/>
        <v>18.628290314190895</v>
      </c>
      <c r="J473">
        <v>7</v>
      </c>
    </row>
    <row r="474" spans="1:10" x14ac:dyDescent="0.3">
      <c r="A474" t="s">
        <v>67</v>
      </c>
      <c r="B474" t="s">
        <v>22</v>
      </c>
      <c r="C474" s="4">
        <v>0.43836446099999998</v>
      </c>
      <c r="D474" s="4">
        <v>0.58666666700000003</v>
      </c>
      <c r="E474" s="18">
        <v>85</v>
      </c>
      <c r="F474" s="18">
        <v>2</v>
      </c>
      <c r="G474" s="4">
        <v>11.2</v>
      </c>
      <c r="H474" s="4">
        <f t="shared" si="6"/>
        <v>3.5650707252584555</v>
      </c>
      <c r="I474" s="2">
        <f t="shared" si="7"/>
        <v>9.9821980307236746</v>
      </c>
      <c r="J474">
        <v>7</v>
      </c>
    </row>
    <row r="475" spans="1:10" x14ac:dyDescent="0.3">
      <c r="A475" t="s">
        <v>67</v>
      </c>
      <c r="B475" t="s">
        <v>22</v>
      </c>
      <c r="C475" s="4">
        <v>0.43836446099999998</v>
      </c>
      <c r="D475" s="4">
        <v>0.58666666700000003</v>
      </c>
      <c r="E475" s="18">
        <v>85</v>
      </c>
      <c r="F475" s="18">
        <v>3</v>
      </c>
      <c r="G475" s="4">
        <v>13.2</v>
      </c>
      <c r="H475" s="4">
        <f t="shared" si="6"/>
        <v>4.2016904976260365</v>
      </c>
      <c r="I475" s="2">
        <f t="shared" si="7"/>
        <v>13.865578642165918</v>
      </c>
      <c r="J475">
        <v>7</v>
      </c>
    </row>
    <row r="476" spans="1:10" x14ac:dyDescent="0.3">
      <c r="A476" t="s">
        <v>67</v>
      </c>
      <c r="B476" t="s">
        <v>22</v>
      </c>
      <c r="C476" s="4">
        <v>0.43836446099999998</v>
      </c>
      <c r="D476" s="4">
        <v>0.58666666700000003</v>
      </c>
      <c r="E476" s="18">
        <v>85</v>
      </c>
      <c r="F476" s="18">
        <v>4</v>
      </c>
      <c r="G476" s="4">
        <v>16.399999999999999</v>
      </c>
      <c r="H476" s="4">
        <f t="shared" si="6"/>
        <v>5.2202821334141669</v>
      </c>
      <c r="I476" s="2">
        <f t="shared" si="7"/>
        <v>21.403156746998082</v>
      </c>
      <c r="J476">
        <v>7</v>
      </c>
    </row>
    <row r="477" spans="1:10" x14ac:dyDescent="0.3">
      <c r="A477" t="s">
        <v>67</v>
      </c>
      <c r="B477" t="s">
        <v>22</v>
      </c>
      <c r="C477" s="4">
        <v>0.43836446099999998</v>
      </c>
      <c r="D477" s="4">
        <v>0.58666666700000003</v>
      </c>
      <c r="E477" s="18">
        <v>85</v>
      </c>
      <c r="F477" s="18">
        <v>5</v>
      </c>
      <c r="G477" s="4">
        <v>21.3</v>
      </c>
      <c r="H477" s="4">
        <f t="shared" si="6"/>
        <v>6.7800005757147419</v>
      </c>
      <c r="I477" s="2">
        <f t="shared" si="7"/>
        <v>36.103503065681004</v>
      </c>
      <c r="J477">
        <v>7</v>
      </c>
    </row>
    <row r="478" spans="1:10" x14ac:dyDescent="0.3">
      <c r="A478" t="s">
        <v>67</v>
      </c>
      <c r="B478" t="s">
        <v>22</v>
      </c>
      <c r="C478" s="4">
        <v>0.43836446099999998</v>
      </c>
      <c r="D478" s="4">
        <v>0.58666666700000003</v>
      </c>
      <c r="E478" s="18">
        <v>85</v>
      </c>
      <c r="F478" s="18">
        <v>6</v>
      </c>
      <c r="G478" s="4">
        <v>15.4</v>
      </c>
      <c r="H478" s="4">
        <f t="shared" si="6"/>
        <v>4.9019722472303764</v>
      </c>
      <c r="I478" s="2">
        <f t="shared" si="7"/>
        <v>18.872593151836949</v>
      </c>
      <c r="J478">
        <v>7</v>
      </c>
    </row>
    <row r="479" spans="1:10" x14ac:dyDescent="0.3">
      <c r="A479" t="s">
        <v>67</v>
      </c>
      <c r="B479" t="s">
        <v>22</v>
      </c>
      <c r="C479" s="4">
        <v>0.43836446099999998</v>
      </c>
      <c r="D479" s="4">
        <v>0.58666666700000003</v>
      </c>
      <c r="E479" s="18">
        <v>85</v>
      </c>
      <c r="F479" s="18">
        <v>7</v>
      </c>
      <c r="G479" s="4">
        <v>9.1999999999999993</v>
      </c>
      <c r="H479" s="4">
        <f t="shared" si="6"/>
        <v>2.928450952890874</v>
      </c>
      <c r="I479" s="2">
        <f t="shared" si="7"/>
        <v>6.7354371916490097</v>
      </c>
      <c r="J479">
        <v>7</v>
      </c>
    </row>
    <row r="480" spans="1:10" x14ac:dyDescent="0.3">
      <c r="A480" t="s">
        <v>67</v>
      </c>
      <c r="B480" t="s">
        <v>22</v>
      </c>
      <c r="C480" s="4">
        <v>0.43836446099999998</v>
      </c>
      <c r="D480" s="4">
        <v>0.58666666700000003</v>
      </c>
      <c r="E480" s="18">
        <v>86</v>
      </c>
      <c r="F480" s="18">
        <v>1</v>
      </c>
      <c r="G480" s="4">
        <v>15.4</v>
      </c>
      <c r="H480" s="4">
        <f t="shared" si="6"/>
        <v>4.9019722472303764</v>
      </c>
      <c r="I480" s="2">
        <f t="shared" si="7"/>
        <v>18.872593151836949</v>
      </c>
      <c r="J480">
        <v>6</v>
      </c>
    </row>
    <row r="481" spans="1:10" x14ac:dyDescent="0.3">
      <c r="A481" t="s">
        <v>67</v>
      </c>
      <c r="B481" t="s">
        <v>22</v>
      </c>
      <c r="C481" s="4">
        <v>0.43836446099999998</v>
      </c>
      <c r="D481" s="4">
        <v>0.58666666700000003</v>
      </c>
      <c r="E481" s="18">
        <v>86</v>
      </c>
      <c r="F481" s="18">
        <v>2</v>
      </c>
      <c r="G481" s="4">
        <v>16.3</v>
      </c>
      <c r="H481" s="4">
        <f t="shared" si="6"/>
        <v>5.1884511447957884</v>
      </c>
      <c r="I481" s="2">
        <f t="shared" si="7"/>
        <v>21.142938415042838</v>
      </c>
      <c r="J481">
        <v>6</v>
      </c>
    </row>
    <row r="482" spans="1:10" x14ac:dyDescent="0.3">
      <c r="A482" t="s">
        <v>67</v>
      </c>
      <c r="B482" t="s">
        <v>22</v>
      </c>
      <c r="C482" s="4">
        <v>0.43836446099999998</v>
      </c>
      <c r="D482" s="4">
        <v>0.58666666700000003</v>
      </c>
      <c r="E482" s="18">
        <v>86</v>
      </c>
      <c r="F482" s="18">
        <v>3</v>
      </c>
      <c r="G482" s="4">
        <v>22.3</v>
      </c>
      <c r="H482" s="4">
        <f t="shared" si="6"/>
        <v>7.0983104618985324</v>
      </c>
      <c r="I482" s="2">
        <f t="shared" si="7"/>
        <v>39.573080825084325</v>
      </c>
      <c r="J482">
        <v>6</v>
      </c>
    </row>
    <row r="483" spans="1:10" x14ac:dyDescent="0.3">
      <c r="A483" t="s">
        <v>67</v>
      </c>
      <c r="B483" t="s">
        <v>22</v>
      </c>
      <c r="C483" s="4">
        <v>0.43836446099999998</v>
      </c>
      <c r="D483" s="4">
        <v>0.58666666700000003</v>
      </c>
      <c r="E483" s="18">
        <v>86</v>
      </c>
      <c r="F483" s="18">
        <v>4</v>
      </c>
      <c r="G483" s="4">
        <v>15.4</v>
      </c>
      <c r="H483" s="4">
        <f t="shared" si="6"/>
        <v>4.9019722472303764</v>
      </c>
      <c r="I483" s="2">
        <f t="shared" si="7"/>
        <v>18.872593151836949</v>
      </c>
      <c r="J483">
        <v>6</v>
      </c>
    </row>
    <row r="484" spans="1:10" x14ac:dyDescent="0.3">
      <c r="A484" t="s">
        <v>71</v>
      </c>
      <c r="B484" t="s">
        <v>72</v>
      </c>
      <c r="C484" s="4">
        <v>0.43916666700000001</v>
      </c>
      <c r="D484" s="4">
        <v>0.51877777800000002</v>
      </c>
      <c r="E484" s="18">
        <v>87</v>
      </c>
      <c r="F484" s="18">
        <v>1</v>
      </c>
      <c r="G484" s="4">
        <v>18.2</v>
      </c>
      <c r="H484" s="4">
        <f t="shared" si="6"/>
        <v>5.79323992854499</v>
      </c>
      <c r="I484" s="2">
        <f t="shared" si="7"/>
        <v>26.359241674879701</v>
      </c>
      <c r="J484">
        <v>6</v>
      </c>
    </row>
    <row r="485" spans="1:10" x14ac:dyDescent="0.3">
      <c r="A485" t="s">
        <v>71</v>
      </c>
      <c r="B485" t="s">
        <v>72</v>
      </c>
      <c r="C485" s="4">
        <v>0.43916666700000001</v>
      </c>
      <c r="D485" s="4">
        <v>0.51877777800000002</v>
      </c>
      <c r="E485" s="18">
        <v>87</v>
      </c>
      <c r="F485" s="18">
        <v>2</v>
      </c>
      <c r="G485" s="4">
        <v>13.2</v>
      </c>
      <c r="H485" s="4">
        <f t="shared" si="6"/>
        <v>4.2016904976260365</v>
      </c>
      <c r="I485" s="2">
        <f t="shared" si="7"/>
        <v>13.865578642165918</v>
      </c>
      <c r="J485">
        <v>6</v>
      </c>
    </row>
    <row r="486" spans="1:10" x14ac:dyDescent="0.3">
      <c r="A486" t="s">
        <v>71</v>
      </c>
      <c r="B486" t="s">
        <v>60</v>
      </c>
      <c r="C486" s="4">
        <v>0.41</v>
      </c>
      <c r="D486" s="4">
        <v>0.33983503399999998</v>
      </c>
      <c r="E486" s="18">
        <v>88</v>
      </c>
      <c r="F486" s="18">
        <v>1</v>
      </c>
      <c r="G486" s="4">
        <v>25.4</v>
      </c>
      <c r="H486" s="4">
        <f t="shared" si="6"/>
        <v>8.0850711090682825</v>
      </c>
      <c r="I486" s="2">
        <f t="shared" si="7"/>
        <v>51.340201542583586</v>
      </c>
      <c r="J486">
        <v>7</v>
      </c>
    </row>
    <row r="487" spans="1:10" x14ac:dyDescent="0.3">
      <c r="A487" t="s">
        <v>71</v>
      </c>
      <c r="B487" t="s">
        <v>53</v>
      </c>
      <c r="C487" s="4">
        <v>0.63206279899999995</v>
      </c>
      <c r="D487" s="4">
        <v>0.75690909100000003</v>
      </c>
      <c r="E487" s="18">
        <v>89</v>
      </c>
      <c r="F487" s="18">
        <v>1</v>
      </c>
      <c r="G487" s="4">
        <v>19.399999999999999</v>
      </c>
      <c r="H487" s="4">
        <f t="shared" si="6"/>
        <v>6.1752117919655385</v>
      </c>
      <c r="I487" s="2">
        <f t="shared" si="7"/>
        <v>29.949777191032862</v>
      </c>
      <c r="J487">
        <v>5</v>
      </c>
    </row>
    <row r="488" spans="1:10" x14ac:dyDescent="0.3">
      <c r="A488" t="s">
        <v>71</v>
      </c>
      <c r="B488" t="s">
        <v>53</v>
      </c>
      <c r="C488" s="4">
        <v>0.63206279899999995</v>
      </c>
      <c r="D488" s="4">
        <v>0.75690909100000003</v>
      </c>
      <c r="E488" s="18">
        <v>90</v>
      </c>
      <c r="F488" s="18">
        <v>1</v>
      </c>
      <c r="G488" s="4">
        <v>24.3</v>
      </c>
      <c r="H488" s="4">
        <f t="shared" si="6"/>
        <v>7.7349302342661135</v>
      </c>
      <c r="I488" s="2">
        <f t="shared" si="7"/>
        <v>46.989701173166644</v>
      </c>
      <c r="J488">
        <v>5.5</v>
      </c>
    </row>
    <row r="489" spans="1:10" x14ac:dyDescent="0.3">
      <c r="A489" t="s">
        <v>71</v>
      </c>
      <c r="B489" t="s">
        <v>53</v>
      </c>
      <c r="C489" s="4">
        <v>0.63206279899999995</v>
      </c>
      <c r="D489" s="4">
        <v>0.75690909100000003</v>
      </c>
      <c r="E489" s="18">
        <v>90</v>
      </c>
      <c r="F489" s="18">
        <v>2</v>
      </c>
      <c r="G489" s="4">
        <v>14.1</v>
      </c>
      <c r="H489" s="4">
        <f t="shared" si="6"/>
        <v>4.4881693951914485</v>
      </c>
      <c r="I489" s="2">
        <f t="shared" si="7"/>
        <v>15.820797118049855</v>
      </c>
      <c r="J489">
        <v>5.5</v>
      </c>
    </row>
    <row r="490" spans="1:10" x14ac:dyDescent="0.3">
      <c r="A490" t="s">
        <v>71</v>
      </c>
      <c r="B490" t="s">
        <v>53</v>
      </c>
      <c r="C490" s="4">
        <v>0.63206279899999995</v>
      </c>
      <c r="D490" s="4">
        <v>0.75690909100000003</v>
      </c>
      <c r="E490" s="18">
        <v>90</v>
      </c>
      <c r="F490" s="18">
        <v>3</v>
      </c>
      <c r="G490" s="4">
        <v>13.2</v>
      </c>
      <c r="H490" s="4">
        <f t="shared" si="6"/>
        <v>4.2016904976260365</v>
      </c>
      <c r="I490" s="2">
        <f t="shared" si="7"/>
        <v>13.865578642165918</v>
      </c>
      <c r="J490">
        <v>5.5</v>
      </c>
    </row>
    <row r="491" spans="1:10" x14ac:dyDescent="0.3">
      <c r="A491" t="s">
        <v>71</v>
      </c>
      <c r="B491" t="s">
        <v>53</v>
      </c>
      <c r="C491" s="4">
        <v>0.63206279899999995</v>
      </c>
      <c r="D491" s="4">
        <v>0.75690909100000003</v>
      </c>
      <c r="E491" s="18">
        <v>90</v>
      </c>
      <c r="F491" s="18">
        <v>4</v>
      </c>
      <c r="G491" s="4">
        <v>8.3000000000000007</v>
      </c>
      <c r="H491" s="4">
        <f t="shared" si="6"/>
        <v>2.6419720553254629</v>
      </c>
      <c r="I491" s="2">
        <f t="shared" si="7"/>
        <v>5.4820920148003358</v>
      </c>
      <c r="J491">
        <v>5.5</v>
      </c>
    </row>
    <row r="492" spans="1:10" x14ac:dyDescent="0.3">
      <c r="A492" t="s">
        <v>71</v>
      </c>
      <c r="B492" t="s">
        <v>53</v>
      </c>
      <c r="C492" s="4">
        <v>0.63206279899999995</v>
      </c>
      <c r="D492" s="4">
        <v>0.75690909100000003</v>
      </c>
      <c r="E492" s="18">
        <v>91</v>
      </c>
      <c r="F492" s="18">
        <v>1</v>
      </c>
      <c r="G492" s="4">
        <v>14.5</v>
      </c>
      <c r="H492" s="4">
        <f t="shared" si="6"/>
        <v>4.6154933496649653</v>
      </c>
      <c r="I492" s="2">
        <f t="shared" si="7"/>
        <v>16.7311633925355</v>
      </c>
      <c r="J492">
        <v>4.5</v>
      </c>
    </row>
    <row r="493" spans="1:10" x14ac:dyDescent="0.3">
      <c r="A493" t="s">
        <v>71</v>
      </c>
      <c r="B493" t="s">
        <v>61</v>
      </c>
      <c r="C493" s="4">
        <v>0.9</v>
      </c>
      <c r="D493" s="4">
        <v>0.61247410899999999</v>
      </c>
      <c r="E493" s="18">
        <v>92</v>
      </c>
      <c r="F493" s="18">
        <v>1</v>
      </c>
      <c r="G493" s="4">
        <v>8.3000000000000007</v>
      </c>
      <c r="H493" s="4">
        <f t="shared" si="6"/>
        <v>2.6419720553254629</v>
      </c>
      <c r="I493" s="2">
        <f t="shared" si="7"/>
        <v>5.4820920148003358</v>
      </c>
      <c r="J493">
        <v>3</v>
      </c>
    </row>
    <row r="494" spans="1:10" x14ac:dyDescent="0.3">
      <c r="A494" t="s">
        <v>71</v>
      </c>
      <c r="B494" t="s">
        <v>55</v>
      </c>
      <c r="C494" s="4">
        <v>0.52500000000000002</v>
      </c>
      <c r="D494" s="4">
        <v>0.52500000000000002</v>
      </c>
      <c r="E494" s="18">
        <v>93</v>
      </c>
      <c r="F494" s="18">
        <v>1</v>
      </c>
      <c r="G494" s="4">
        <v>20.3</v>
      </c>
      <c r="H494" s="4">
        <f t="shared" si="6"/>
        <v>6.4616906895309514</v>
      </c>
      <c r="I494" s="2">
        <f t="shared" si="7"/>
        <v>32.793080249369581</v>
      </c>
      <c r="J494">
        <v>6</v>
      </c>
    </row>
    <row r="495" spans="1:10" x14ac:dyDescent="0.3">
      <c r="A495" t="s">
        <v>71</v>
      </c>
      <c r="B495" t="s">
        <v>55</v>
      </c>
      <c r="C495" s="4">
        <v>0.52500000000000002</v>
      </c>
      <c r="D495" s="4">
        <v>0.52500000000000002</v>
      </c>
      <c r="E495" s="18">
        <v>93</v>
      </c>
      <c r="F495" s="18">
        <v>2</v>
      </c>
      <c r="G495" s="4">
        <v>20.2</v>
      </c>
      <c r="H495" s="4">
        <f t="shared" si="6"/>
        <v>6.429859700912572</v>
      </c>
      <c r="I495" s="2">
        <f t="shared" si="7"/>
        <v>32.470791489608487</v>
      </c>
      <c r="J495">
        <v>6</v>
      </c>
    </row>
    <row r="496" spans="1:10" x14ac:dyDescent="0.3">
      <c r="A496" t="s">
        <v>71</v>
      </c>
      <c r="B496" t="s">
        <v>55</v>
      </c>
      <c r="C496" s="4">
        <v>0.52500000000000002</v>
      </c>
      <c r="D496" s="4">
        <v>0.52500000000000002</v>
      </c>
      <c r="E496" s="18">
        <v>93</v>
      </c>
      <c r="F496" s="18">
        <v>3</v>
      </c>
      <c r="G496" s="4">
        <v>16.399999999999999</v>
      </c>
      <c r="H496" s="4">
        <f t="shared" si="6"/>
        <v>5.2202821334141669</v>
      </c>
      <c r="I496" s="2">
        <f t="shared" si="7"/>
        <v>21.403156746998082</v>
      </c>
      <c r="J496">
        <v>6</v>
      </c>
    </row>
    <row r="497" spans="1:10" x14ac:dyDescent="0.3">
      <c r="A497" t="s">
        <v>71</v>
      </c>
      <c r="B497" t="s">
        <v>66</v>
      </c>
      <c r="C497" s="4">
        <v>0.62643652800000005</v>
      </c>
      <c r="D497" s="4">
        <v>0.57808694400000005</v>
      </c>
      <c r="E497" s="18">
        <v>94</v>
      </c>
      <c r="F497" s="18">
        <v>1</v>
      </c>
      <c r="G497" s="4">
        <v>16.5</v>
      </c>
      <c r="H497" s="4">
        <f t="shared" si="6"/>
        <v>5.2521131220325463</v>
      </c>
      <c r="I497" s="2">
        <f t="shared" si="7"/>
        <v>21.664966628384253</v>
      </c>
      <c r="J497">
        <v>6</v>
      </c>
    </row>
    <row r="498" spans="1:10" x14ac:dyDescent="0.3">
      <c r="A498" t="s">
        <v>71</v>
      </c>
      <c r="B498" t="s">
        <v>66</v>
      </c>
      <c r="C498" s="4">
        <v>0.62643652800000005</v>
      </c>
      <c r="D498" s="4">
        <v>0.57808694400000005</v>
      </c>
      <c r="E498" s="18">
        <v>94</v>
      </c>
      <c r="F498" s="18">
        <v>2</v>
      </c>
      <c r="G498" s="4">
        <v>20.5</v>
      </c>
      <c r="H498" s="4">
        <f t="shared" si="6"/>
        <v>6.5253526667677093</v>
      </c>
      <c r="I498" s="2">
        <f t="shared" si="7"/>
        <v>33.442432417184513</v>
      </c>
      <c r="J498">
        <v>6</v>
      </c>
    </row>
    <row r="499" spans="1:10" x14ac:dyDescent="0.3">
      <c r="A499" t="s">
        <v>71</v>
      </c>
      <c r="B499" t="s">
        <v>66</v>
      </c>
      <c r="C499" s="4">
        <v>0.62643652800000005</v>
      </c>
      <c r="D499" s="4">
        <v>0.57808694400000005</v>
      </c>
      <c r="E499" s="18">
        <v>94</v>
      </c>
      <c r="F499" s="18">
        <v>3</v>
      </c>
      <c r="G499" s="4">
        <v>28.3</v>
      </c>
      <c r="H499" s="4">
        <f t="shared" si="6"/>
        <v>9.0081697790012765</v>
      </c>
      <c r="I499" s="2">
        <f t="shared" si="7"/>
        <v>63.732801186434038</v>
      </c>
      <c r="J499">
        <v>6</v>
      </c>
    </row>
    <row r="500" spans="1:10" x14ac:dyDescent="0.3">
      <c r="A500" t="s">
        <v>71</v>
      </c>
      <c r="B500" t="s">
        <v>66</v>
      </c>
      <c r="C500" s="4">
        <v>0.62643652800000005</v>
      </c>
      <c r="D500" s="4">
        <v>0.57808694400000005</v>
      </c>
      <c r="E500" s="18">
        <v>94</v>
      </c>
      <c r="F500" s="18">
        <v>4</v>
      </c>
      <c r="G500" s="4">
        <v>17.2</v>
      </c>
      <c r="H500" s="4">
        <f t="shared" si="6"/>
        <v>5.4749300423611995</v>
      </c>
      <c r="I500" s="2">
        <f t="shared" si="7"/>
        <v>23.542199182153158</v>
      </c>
      <c r="J500">
        <v>6</v>
      </c>
    </row>
    <row r="501" spans="1:10" x14ac:dyDescent="0.3">
      <c r="A501" t="s">
        <v>71</v>
      </c>
      <c r="B501" t="s">
        <v>66</v>
      </c>
      <c r="C501" s="4">
        <v>0.62643652800000005</v>
      </c>
      <c r="D501" s="4">
        <v>0.57808694400000005</v>
      </c>
      <c r="E501" s="18">
        <v>95</v>
      </c>
      <c r="F501" s="18">
        <v>1</v>
      </c>
      <c r="G501" s="4">
        <v>31.7</v>
      </c>
      <c r="H501" s="4">
        <f t="shared" si="6"/>
        <v>10.090423392026164</v>
      </c>
      <c r="I501" s="2">
        <f t="shared" si="7"/>
        <v>79.966605381807341</v>
      </c>
      <c r="J501">
        <v>6.5</v>
      </c>
    </row>
    <row r="502" spans="1:10" x14ac:dyDescent="0.3">
      <c r="A502" t="s">
        <v>71</v>
      </c>
      <c r="B502" t="s">
        <v>66</v>
      </c>
      <c r="C502" s="4">
        <v>0.62643652800000005</v>
      </c>
      <c r="D502" s="4">
        <v>0.57808694400000005</v>
      </c>
      <c r="E502" s="18">
        <v>95</v>
      </c>
      <c r="F502" s="18">
        <v>2</v>
      </c>
      <c r="G502" s="4">
        <v>21.3</v>
      </c>
      <c r="H502" s="4">
        <f t="shared" si="6"/>
        <v>6.7800005757147419</v>
      </c>
      <c r="I502" s="2">
        <f t="shared" si="7"/>
        <v>36.103503065681004</v>
      </c>
      <c r="J502">
        <v>6.5</v>
      </c>
    </row>
    <row r="503" spans="1:10" x14ac:dyDescent="0.3">
      <c r="A503" t="s">
        <v>71</v>
      </c>
      <c r="B503" t="s">
        <v>66</v>
      </c>
      <c r="C503" s="4">
        <v>0.62643652800000005</v>
      </c>
      <c r="D503" s="4">
        <v>0.57808694400000005</v>
      </c>
      <c r="E503" s="18">
        <v>95</v>
      </c>
      <c r="F503" s="18">
        <v>3</v>
      </c>
      <c r="G503" s="4">
        <v>18.399999999999999</v>
      </c>
      <c r="H503" s="4">
        <f t="shared" si="6"/>
        <v>5.856901905781748</v>
      </c>
      <c r="I503" s="2">
        <f t="shared" si="7"/>
        <v>26.941748766596039</v>
      </c>
      <c r="J503">
        <v>6.5</v>
      </c>
    </row>
    <row r="504" spans="1:10" x14ac:dyDescent="0.3">
      <c r="A504" t="s">
        <v>71</v>
      </c>
      <c r="B504" t="s">
        <v>66</v>
      </c>
      <c r="C504" s="4">
        <v>0.62643652800000005</v>
      </c>
      <c r="D504" s="4">
        <v>0.57808694400000005</v>
      </c>
      <c r="E504" s="18">
        <v>95</v>
      </c>
      <c r="F504" s="18">
        <v>4</v>
      </c>
      <c r="G504" s="4">
        <v>17.5</v>
      </c>
      <c r="H504" s="4">
        <f t="shared" si="6"/>
        <v>5.5704230082163368</v>
      </c>
      <c r="I504" s="2">
        <f t="shared" si="7"/>
        <v>24.370600660946472</v>
      </c>
      <c r="J504">
        <v>6.5</v>
      </c>
    </row>
    <row r="505" spans="1:10" x14ac:dyDescent="0.3">
      <c r="A505" t="s">
        <v>71</v>
      </c>
      <c r="B505" t="s">
        <v>66</v>
      </c>
      <c r="C505" s="4">
        <v>0.62643652800000005</v>
      </c>
      <c r="D505" s="4">
        <v>0.57808694400000005</v>
      </c>
      <c r="E505" s="18">
        <v>95</v>
      </c>
      <c r="F505" s="18">
        <v>5</v>
      </c>
      <c r="G505" s="4">
        <v>19.5</v>
      </c>
      <c r="H505" s="4">
        <f t="shared" si="6"/>
        <v>6.2070427805839179</v>
      </c>
      <c r="I505" s="2">
        <f t="shared" si="7"/>
        <v>30.259333555346597</v>
      </c>
      <c r="J505">
        <v>6.5</v>
      </c>
    </row>
    <row r="506" spans="1:10" x14ac:dyDescent="0.3">
      <c r="A506" t="s">
        <v>71</v>
      </c>
      <c r="B506" t="s">
        <v>66</v>
      </c>
      <c r="C506" s="4">
        <v>0.62643652800000005</v>
      </c>
      <c r="D506" s="4">
        <v>0.57808694400000005</v>
      </c>
      <c r="E506" s="18">
        <v>96</v>
      </c>
      <c r="F506" s="18">
        <v>1</v>
      </c>
      <c r="G506" s="4">
        <v>18.600000000000001</v>
      </c>
      <c r="H506" s="4">
        <f t="shared" si="6"/>
        <v>5.9205638830185068</v>
      </c>
      <c r="I506" s="2">
        <f t="shared" si="7"/>
        <v>27.530622056036055</v>
      </c>
      <c r="J506">
        <v>7</v>
      </c>
    </row>
    <row r="507" spans="1:10" x14ac:dyDescent="0.3">
      <c r="A507" t="s">
        <v>71</v>
      </c>
      <c r="B507" t="s">
        <v>66</v>
      </c>
      <c r="C507" s="4">
        <v>0.62643652800000005</v>
      </c>
      <c r="D507" s="4">
        <v>0.57808694400000005</v>
      </c>
      <c r="E507" s="18">
        <v>96</v>
      </c>
      <c r="F507" s="18">
        <v>2</v>
      </c>
      <c r="G507" s="4">
        <v>19.5</v>
      </c>
      <c r="H507" s="4">
        <f t="shared" si="6"/>
        <v>6.2070427805839179</v>
      </c>
      <c r="I507" s="2">
        <f t="shared" si="7"/>
        <v>30.259333555346597</v>
      </c>
      <c r="J507">
        <v>7</v>
      </c>
    </row>
    <row r="508" spans="1:10" x14ac:dyDescent="0.3">
      <c r="A508" t="s">
        <v>71</v>
      </c>
      <c r="B508" t="s">
        <v>66</v>
      </c>
      <c r="C508" s="4">
        <v>0.62643652800000005</v>
      </c>
      <c r="D508" s="4">
        <v>0.57808694400000005</v>
      </c>
      <c r="E508" s="18">
        <v>96</v>
      </c>
      <c r="F508" s="18">
        <v>3</v>
      </c>
      <c r="G508" s="4">
        <v>18.600000000000001</v>
      </c>
      <c r="H508" s="4">
        <f t="shared" si="6"/>
        <v>5.9205638830185068</v>
      </c>
      <c r="I508" s="2">
        <f t="shared" si="7"/>
        <v>27.530622056036055</v>
      </c>
      <c r="J508">
        <v>7</v>
      </c>
    </row>
    <row r="509" spans="1:10" x14ac:dyDescent="0.3">
      <c r="A509" t="s">
        <v>71</v>
      </c>
      <c r="B509" t="s">
        <v>66</v>
      </c>
      <c r="C509" s="4">
        <v>0.62643652800000005</v>
      </c>
      <c r="D509" s="4">
        <v>0.57808694400000005</v>
      </c>
      <c r="E509" s="18">
        <v>96</v>
      </c>
      <c r="F509" s="18">
        <v>4</v>
      </c>
      <c r="G509" s="4">
        <v>25.3</v>
      </c>
      <c r="H509" s="4">
        <f t="shared" si="6"/>
        <v>8.0532401204499049</v>
      </c>
      <c r="I509" s="2">
        <f t="shared" si="7"/>
        <v>50.936743761845648</v>
      </c>
      <c r="J509">
        <v>7</v>
      </c>
    </row>
    <row r="510" spans="1:10" x14ac:dyDescent="0.3">
      <c r="A510" t="s">
        <v>71</v>
      </c>
      <c r="B510" t="s">
        <v>66</v>
      </c>
      <c r="C510" s="4">
        <v>0.62643652800000005</v>
      </c>
      <c r="D510" s="4">
        <v>0.57808694400000005</v>
      </c>
      <c r="E510" s="18">
        <v>96</v>
      </c>
      <c r="F510" s="18">
        <v>5</v>
      </c>
      <c r="G510" s="4">
        <v>23.2</v>
      </c>
      <c r="H510" s="4">
        <f t="shared" si="6"/>
        <v>7.3847893594639435</v>
      </c>
      <c r="I510" s="2">
        <f t="shared" si="7"/>
        <v>42.831778284890873</v>
      </c>
      <c r="J510">
        <v>7</v>
      </c>
    </row>
    <row r="511" spans="1:10" x14ac:dyDescent="0.3">
      <c r="A511" t="s">
        <v>71</v>
      </c>
      <c r="B511" t="s">
        <v>66</v>
      </c>
      <c r="C511" s="4">
        <v>0.62643652800000005</v>
      </c>
      <c r="D511" s="4">
        <v>0.57808694400000005</v>
      </c>
      <c r="E511" s="18">
        <v>96</v>
      </c>
      <c r="F511" s="18">
        <v>6</v>
      </c>
      <c r="G511" s="4">
        <v>22.4</v>
      </c>
      <c r="H511" s="4">
        <f t="shared" si="6"/>
        <v>7.130141450516911</v>
      </c>
      <c r="I511" s="2">
        <f t="shared" si="7"/>
        <v>39.928792122894698</v>
      </c>
      <c r="J511">
        <v>7</v>
      </c>
    </row>
    <row r="512" spans="1:10" x14ac:dyDescent="0.3">
      <c r="A512" t="s">
        <v>71</v>
      </c>
      <c r="B512" t="s">
        <v>66</v>
      </c>
      <c r="C512" s="4">
        <v>0.62643652800000005</v>
      </c>
      <c r="D512" s="4">
        <v>0.57808694400000005</v>
      </c>
      <c r="E512" s="18">
        <v>97</v>
      </c>
      <c r="F512" s="18">
        <v>1</v>
      </c>
      <c r="G512" s="4">
        <v>30.4</v>
      </c>
      <c r="H512" s="4">
        <f t="shared" si="6"/>
        <v>9.6766205399872369</v>
      </c>
      <c r="I512" s="2">
        <f t="shared" si="7"/>
        <v>73.542316103903005</v>
      </c>
      <c r="J512">
        <v>6</v>
      </c>
    </row>
    <row r="513" spans="1:10" x14ac:dyDescent="0.3">
      <c r="A513" t="s">
        <v>71</v>
      </c>
      <c r="B513" t="s">
        <v>66</v>
      </c>
      <c r="C513" s="4">
        <v>0.62643652800000005</v>
      </c>
      <c r="D513" s="4">
        <v>0.57808694400000005</v>
      </c>
      <c r="E513" s="18">
        <v>97</v>
      </c>
      <c r="F513" s="18">
        <v>2</v>
      </c>
      <c r="G513" s="4">
        <v>18.3</v>
      </c>
      <c r="H513" s="4">
        <f t="shared" si="6"/>
        <v>5.8250709171633694</v>
      </c>
      <c r="I513" s="2">
        <f t="shared" si="7"/>
        <v>26.649699446022414</v>
      </c>
      <c r="J513">
        <v>6</v>
      </c>
    </row>
    <row r="514" spans="1:10" x14ac:dyDescent="0.3">
      <c r="A514" t="s">
        <v>71</v>
      </c>
      <c r="B514" t="s">
        <v>66</v>
      </c>
      <c r="C514" s="4">
        <v>0.62643652800000005</v>
      </c>
      <c r="D514" s="4">
        <v>0.57808694400000005</v>
      </c>
      <c r="E514" s="18">
        <v>97</v>
      </c>
      <c r="F514" s="18">
        <v>3</v>
      </c>
      <c r="G514" s="4">
        <v>25.5</v>
      </c>
      <c r="H514" s="4">
        <f t="shared" si="6"/>
        <v>8.1169020976866619</v>
      </c>
      <c r="I514" s="2">
        <f t="shared" si="7"/>
        <v>51.745250872752472</v>
      </c>
      <c r="J514">
        <v>6</v>
      </c>
    </row>
    <row r="515" spans="1:10" x14ac:dyDescent="0.3">
      <c r="A515" t="s">
        <v>71</v>
      </c>
      <c r="B515" t="s">
        <v>66</v>
      </c>
      <c r="C515" s="4">
        <v>0.62643652800000005</v>
      </c>
      <c r="D515" s="4">
        <v>0.57808694400000005</v>
      </c>
      <c r="E515" s="18">
        <v>97</v>
      </c>
      <c r="F515" s="18">
        <v>4</v>
      </c>
      <c r="G515" s="4">
        <v>21.3</v>
      </c>
      <c r="H515" s="4">
        <f t="shared" si="6"/>
        <v>6.7800005757147419</v>
      </c>
      <c r="I515" s="2">
        <f t="shared" si="7"/>
        <v>36.103503065681004</v>
      </c>
      <c r="J515">
        <v>6</v>
      </c>
    </row>
    <row r="516" spans="1:10" x14ac:dyDescent="0.3">
      <c r="A516" t="s">
        <v>71</v>
      </c>
      <c r="B516" t="s">
        <v>66</v>
      </c>
      <c r="C516" s="4">
        <v>0.62643652800000005</v>
      </c>
      <c r="D516" s="4">
        <v>0.57808694400000005</v>
      </c>
      <c r="E516" s="18">
        <v>97</v>
      </c>
      <c r="F516" s="18">
        <v>5</v>
      </c>
      <c r="G516" s="4">
        <v>21.6</v>
      </c>
      <c r="H516" s="4">
        <f t="shared" si="6"/>
        <v>6.8754935415698792</v>
      </c>
      <c r="I516" s="2">
        <f t="shared" si="7"/>
        <v>37.127665124477353</v>
      </c>
      <c r="J516">
        <v>6</v>
      </c>
    </row>
    <row r="517" spans="1:10" x14ac:dyDescent="0.3">
      <c r="A517" t="s">
        <v>71</v>
      </c>
      <c r="B517" t="s">
        <v>66</v>
      </c>
      <c r="C517" s="4">
        <v>0.62643652800000005</v>
      </c>
      <c r="D517" s="4">
        <v>0.57808694400000005</v>
      </c>
      <c r="E517" s="18">
        <v>97</v>
      </c>
      <c r="F517" s="18">
        <v>6</v>
      </c>
      <c r="G517" s="4">
        <v>17.399999999999999</v>
      </c>
      <c r="H517" s="4">
        <f t="shared" si="6"/>
        <v>5.5385920195979574</v>
      </c>
      <c r="I517" s="2">
        <f t="shared" si="7"/>
        <v>24.092875285251111</v>
      </c>
      <c r="J517">
        <v>6</v>
      </c>
    </row>
    <row r="518" spans="1:10" x14ac:dyDescent="0.3">
      <c r="A518" t="s">
        <v>71</v>
      </c>
      <c r="B518" t="s">
        <v>66</v>
      </c>
      <c r="C518" s="4">
        <v>0.62643652800000005</v>
      </c>
      <c r="D518" s="4">
        <v>0.57808694400000005</v>
      </c>
      <c r="E518" s="18">
        <v>98</v>
      </c>
      <c r="F518" s="18">
        <v>1</v>
      </c>
      <c r="G518" s="4">
        <v>20.2</v>
      </c>
      <c r="H518" s="4">
        <f t="shared" si="6"/>
        <v>6.429859700912572</v>
      </c>
      <c r="I518" s="2">
        <f t="shared" si="7"/>
        <v>32.470791489608487</v>
      </c>
      <c r="J518">
        <v>6</v>
      </c>
    </row>
    <row r="519" spans="1:10" x14ac:dyDescent="0.3">
      <c r="A519" t="s">
        <v>71</v>
      </c>
      <c r="B519" t="s">
        <v>66</v>
      </c>
      <c r="C519" s="4">
        <v>0.62643652800000005</v>
      </c>
      <c r="D519" s="4">
        <v>0.57808694400000005</v>
      </c>
      <c r="E519" s="18">
        <v>98</v>
      </c>
      <c r="F519" s="18">
        <v>2</v>
      </c>
      <c r="G519" s="4">
        <v>12.9</v>
      </c>
      <c r="H519" s="4">
        <f t="shared" si="6"/>
        <v>4.1061975317709001</v>
      </c>
      <c r="I519" s="2">
        <f t="shared" si="7"/>
        <v>13.242487039961153</v>
      </c>
      <c r="J519">
        <v>6</v>
      </c>
    </row>
    <row r="520" spans="1:10" x14ac:dyDescent="0.3">
      <c r="A520" t="s">
        <v>71</v>
      </c>
      <c r="B520" t="s">
        <v>66</v>
      </c>
      <c r="C520" s="4">
        <v>0.62643652800000005</v>
      </c>
      <c r="D520" s="4">
        <v>0.57808694400000005</v>
      </c>
      <c r="E520" s="18">
        <v>98</v>
      </c>
      <c r="F520" s="18">
        <v>3</v>
      </c>
      <c r="G520" s="4">
        <v>14.5</v>
      </c>
      <c r="H520" s="4">
        <f t="shared" si="6"/>
        <v>4.6154933496649653</v>
      </c>
      <c r="I520" s="2">
        <f t="shared" si="7"/>
        <v>16.7311633925355</v>
      </c>
      <c r="J520">
        <v>6</v>
      </c>
    </row>
    <row r="521" spans="1:10" x14ac:dyDescent="0.3">
      <c r="A521" t="s">
        <v>71</v>
      </c>
      <c r="B521" t="s">
        <v>66</v>
      </c>
      <c r="C521" s="4">
        <v>0.62643652800000005</v>
      </c>
      <c r="D521" s="4">
        <v>0.57808694400000005</v>
      </c>
      <c r="E521" s="18">
        <v>98</v>
      </c>
      <c r="F521" s="18">
        <v>4</v>
      </c>
      <c r="G521" s="4">
        <v>13.3</v>
      </c>
      <c r="H521" s="4">
        <f t="shared" si="6"/>
        <v>4.2335214862444159</v>
      </c>
      <c r="I521" s="2">
        <f t="shared" si="7"/>
        <v>14.076458941762681</v>
      </c>
      <c r="J521">
        <v>6</v>
      </c>
    </row>
    <row r="522" spans="1:10" x14ac:dyDescent="0.3">
      <c r="A522" t="s">
        <v>71</v>
      </c>
      <c r="B522" t="s">
        <v>66</v>
      </c>
      <c r="C522" s="4">
        <v>0.62643652800000005</v>
      </c>
      <c r="D522" s="4">
        <v>0.57808694400000005</v>
      </c>
      <c r="E522" s="18">
        <v>98</v>
      </c>
      <c r="F522" s="18">
        <v>5</v>
      </c>
      <c r="G522" s="4">
        <v>25.4</v>
      </c>
      <c r="H522" s="4">
        <f t="shared" si="6"/>
        <v>8.0850711090682825</v>
      </c>
      <c r="I522" s="2">
        <f t="shared" si="7"/>
        <v>51.340201542583586</v>
      </c>
      <c r="J522">
        <v>6</v>
      </c>
    </row>
    <row r="523" spans="1:10" x14ac:dyDescent="0.3">
      <c r="A523" t="s">
        <v>71</v>
      </c>
      <c r="B523" t="s">
        <v>66</v>
      </c>
      <c r="C523" s="4">
        <v>0.62643652800000005</v>
      </c>
      <c r="D523" s="4">
        <v>0.57808694400000005</v>
      </c>
      <c r="E523" s="18">
        <v>98</v>
      </c>
      <c r="F523" s="18">
        <v>6</v>
      </c>
      <c r="G523" s="4">
        <v>20.399999999999999</v>
      </c>
      <c r="H523" s="4">
        <f t="shared" si="6"/>
        <v>6.4935216781493299</v>
      </c>
      <c r="I523" s="2">
        <f t="shared" si="7"/>
        <v>33.11696055856158</v>
      </c>
      <c r="J523">
        <v>6</v>
      </c>
    </row>
    <row r="524" spans="1:10" x14ac:dyDescent="0.3">
      <c r="A524" t="s">
        <v>71</v>
      </c>
      <c r="B524" t="s">
        <v>66</v>
      </c>
      <c r="C524" s="4">
        <v>0.62643652800000005</v>
      </c>
      <c r="D524" s="4">
        <v>0.57808694400000005</v>
      </c>
      <c r="E524" s="18">
        <v>98</v>
      </c>
      <c r="F524" s="18">
        <v>7</v>
      </c>
      <c r="G524" s="4">
        <v>25.3</v>
      </c>
      <c r="H524" s="4">
        <f t="shared" si="6"/>
        <v>8.0532401204499049</v>
      </c>
      <c r="I524" s="2">
        <f t="shared" si="7"/>
        <v>50.936743761845648</v>
      </c>
      <c r="J524">
        <v>6</v>
      </c>
    </row>
    <row r="525" spans="1:10" x14ac:dyDescent="0.3">
      <c r="A525" t="s">
        <v>71</v>
      </c>
      <c r="B525" t="s">
        <v>66</v>
      </c>
      <c r="C525" s="4">
        <v>0.62643652800000005</v>
      </c>
      <c r="D525" s="4">
        <v>0.57808694400000005</v>
      </c>
      <c r="E525" s="18">
        <v>98</v>
      </c>
      <c r="F525" s="18">
        <v>8</v>
      </c>
      <c r="G525" s="4">
        <v>18.5</v>
      </c>
      <c r="H525" s="4">
        <f t="shared" si="6"/>
        <v>5.8887328944001274</v>
      </c>
      <c r="I525" s="2">
        <f t="shared" si="7"/>
        <v>27.235389636600587</v>
      </c>
      <c r="J525">
        <v>6</v>
      </c>
    </row>
    <row r="526" spans="1:10" x14ac:dyDescent="0.3">
      <c r="A526" t="s">
        <v>71</v>
      </c>
      <c r="B526" t="s">
        <v>66</v>
      </c>
      <c r="C526" s="4">
        <v>0.62643652800000005</v>
      </c>
      <c r="D526" s="4">
        <v>0.57808694400000005</v>
      </c>
      <c r="E526" s="18">
        <v>98</v>
      </c>
      <c r="F526" s="18">
        <v>9</v>
      </c>
      <c r="G526" s="4">
        <v>19.600000000000001</v>
      </c>
      <c r="H526" s="4">
        <f t="shared" si="6"/>
        <v>6.2388737692022982</v>
      </c>
      <c r="I526" s="2">
        <f t="shared" si="7"/>
        <v>30.570481469091263</v>
      </c>
      <c r="J526">
        <v>6</v>
      </c>
    </row>
    <row r="527" spans="1:10" x14ac:dyDescent="0.3">
      <c r="A527" t="s">
        <v>71</v>
      </c>
      <c r="B527" t="s">
        <v>66</v>
      </c>
      <c r="C527" s="4">
        <v>0.62643652800000005</v>
      </c>
      <c r="D527" s="4">
        <v>0.57808694400000005</v>
      </c>
      <c r="E527" s="18">
        <v>98</v>
      </c>
      <c r="F527" s="18">
        <v>10</v>
      </c>
      <c r="G527" s="4">
        <v>14.7</v>
      </c>
      <c r="H527" s="4">
        <f t="shared" si="6"/>
        <v>4.6791553269017232</v>
      </c>
      <c r="I527" s="2">
        <f t="shared" si="7"/>
        <v>17.195895826363834</v>
      </c>
      <c r="J527">
        <v>6</v>
      </c>
    </row>
    <row r="528" spans="1:10" x14ac:dyDescent="0.3">
      <c r="A528" t="s">
        <v>71</v>
      </c>
      <c r="B528" t="s">
        <v>66</v>
      </c>
      <c r="C528" s="4">
        <v>0.62643652800000005</v>
      </c>
      <c r="D528" s="4">
        <v>0.57808694400000005</v>
      </c>
      <c r="E528" s="18">
        <v>98</v>
      </c>
      <c r="F528" s="18">
        <v>11</v>
      </c>
      <c r="G528" s="4">
        <v>18.600000000000001</v>
      </c>
      <c r="H528" s="4">
        <f t="shared" si="6"/>
        <v>5.9205638830185068</v>
      </c>
      <c r="I528" s="2">
        <f t="shared" si="7"/>
        <v>27.530622056036055</v>
      </c>
      <c r="J528">
        <v>6</v>
      </c>
    </row>
    <row r="529" spans="1:10" x14ac:dyDescent="0.3">
      <c r="A529" t="s">
        <v>71</v>
      </c>
      <c r="B529" t="s">
        <v>66</v>
      </c>
      <c r="C529" s="4">
        <v>0.62643652800000005</v>
      </c>
      <c r="D529" s="4">
        <v>0.57808694400000005</v>
      </c>
      <c r="E529" s="18">
        <v>98</v>
      </c>
      <c r="F529" s="18">
        <v>12</v>
      </c>
      <c r="G529" s="4">
        <v>26.6</v>
      </c>
      <c r="H529" s="4">
        <f t="shared" si="6"/>
        <v>8.4670429724888319</v>
      </c>
      <c r="I529" s="2">
        <f t="shared" si="7"/>
        <v>56.305835767050723</v>
      </c>
      <c r="J529">
        <v>6</v>
      </c>
    </row>
    <row r="530" spans="1:10" x14ac:dyDescent="0.3">
      <c r="A530" t="s">
        <v>71</v>
      </c>
      <c r="B530" t="s">
        <v>66</v>
      </c>
      <c r="C530" s="4">
        <v>0.62643652800000005</v>
      </c>
      <c r="D530" s="4">
        <v>0.57808694400000005</v>
      </c>
      <c r="E530" s="18">
        <v>98</v>
      </c>
      <c r="F530" s="18">
        <v>13</v>
      </c>
      <c r="G530" s="4">
        <v>20.2</v>
      </c>
      <c r="H530" s="4">
        <f t="shared" si="6"/>
        <v>6.429859700912572</v>
      </c>
      <c r="I530" s="2">
        <f t="shared" si="7"/>
        <v>32.470791489608487</v>
      </c>
      <c r="J530">
        <v>6</v>
      </c>
    </row>
    <row r="531" spans="1:10" x14ac:dyDescent="0.3">
      <c r="A531" t="s">
        <v>71</v>
      </c>
      <c r="B531" t="s">
        <v>66</v>
      </c>
      <c r="C531" s="4">
        <v>0.62643652800000005</v>
      </c>
      <c r="D531" s="4">
        <v>0.57808694400000005</v>
      </c>
      <c r="E531" s="18">
        <v>99</v>
      </c>
      <c r="F531" s="18">
        <v>1</v>
      </c>
      <c r="G531" s="4">
        <v>15.2</v>
      </c>
      <c r="H531" s="4">
        <f t="shared" si="6"/>
        <v>4.8383102699936185</v>
      </c>
      <c r="I531" s="2">
        <f t="shared" si="7"/>
        <v>18.385579025975751</v>
      </c>
      <c r="J531">
        <v>5.5</v>
      </c>
    </row>
    <row r="532" spans="1:10" x14ac:dyDescent="0.3">
      <c r="A532" t="s">
        <v>71</v>
      </c>
      <c r="B532" t="s">
        <v>66</v>
      </c>
      <c r="C532" s="4">
        <v>0.62643652800000005</v>
      </c>
      <c r="D532" s="4">
        <v>0.57808694400000005</v>
      </c>
      <c r="E532" s="18">
        <v>99</v>
      </c>
      <c r="F532" s="18">
        <v>2</v>
      </c>
      <c r="G532" s="4">
        <v>13.3</v>
      </c>
      <c r="H532" s="4">
        <f t="shared" si="6"/>
        <v>4.2335214862444159</v>
      </c>
      <c r="I532" s="2">
        <f t="shared" si="7"/>
        <v>14.076458941762681</v>
      </c>
      <c r="J532">
        <v>5.5</v>
      </c>
    </row>
    <row r="533" spans="1:10" x14ac:dyDescent="0.3">
      <c r="A533" t="s">
        <v>71</v>
      </c>
      <c r="B533" t="s">
        <v>66</v>
      </c>
      <c r="C533" s="4">
        <v>0.62643652800000005</v>
      </c>
      <c r="D533" s="4">
        <v>0.57808694400000005</v>
      </c>
      <c r="E533" s="18">
        <v>99</v>
      </c>
      <c r="F533" s="18">
        <v>3</v>
      </c>
      <c r="G533" s="4">
        <v>14.2</v>
      </c>
      <c r="H533" s="4">
        <f t="shared" si="6"/>
        <v>4.520000383809827</v>
      </c>
      <c r="I533" s="2">
        <f t="shared" si="7"/>
        <v>16.046001362524883</v>
      </c>
      <c r="J533">
        <v>5.5</v>
      </c>
    </row>
    <row r="534" spans="1:10" x14ac:dyDescent="0.3">
      <c r="A534" t="s">
        <v>71</v>
      </c>
      <c r="B534" t="s">
        <v>66</v>
      </c>
      <c r="C534" s="4">
        <v>0.62643652800000005</v>
      </c>
      <c r="D534" s="4">
        <v>0.57808694400000005</v>
      </c>
      <c r="E534" s="18">
        <v>99</v>
      </c>
      <c r="F534" s="18">
        <v>4</v>
      </c>
      <c r="G534" s="4">
        <v>13.3</v>
      </c>
      <c r="H534" s="4">
        <f t="shared" si="6"/>
        <v>4.2335214862444159</v>
      </c>
      <c r="I534" s="2">
        <f t="shared" si="7"/>
        <v>14.076458941762681</v>
      </c>
      <c r="J534">
        <v>5.5</v>
      </c>
    </row>
    <row r="535" spans="1:10" x14ac:dyDescent="0.3">
      <c r="A535" t="s">
        <v>71</v>
      </c>
      <c r="B535" t="s">
        <v>66</v>
      </c>
      <c r="C535" s="4">
        <v>0.62643652800000005</v>
      </c>
      <c r="D535" s="4">
        <v>0.57808694400000005</v>
      </c>
      <c r="E535" s="18">
        <v>99</v>
      </c>
      <c r="F535" s="18">
        <v>5</v>
      </c>
      <c r="G535" s="4">
        <v>12.1</v>
      </c>
      <c r="H535" s="4">
        <f t="shared" si="6"/>
        <v>3.851549622823867</v>
      </c>
      <c r="I535" s="2">
        <f t="shared" si="7"/>
        <v>11.650937609042197</v>
      </c>
      <c r="J535">
        <v>5.5</v>
      </c>
    </row>
    <row r="536" spans="1:10" x14ac:dyDescent="0.3">
      <c r="A536" t="s">
        <v>71</v>
      </c>
      <c r="B536" t="s">
        <v>66</v>
      </c>
      <c r="C536" s="4">
        <v>0.62643652800000005</v>
      </c>
      <c r="D536" s="4">
        <v>0.57808694400000005</v>
      </c>
      <c r="E536" s="18">
        <v>99</v>
      </c>
      <c r="F536" s="18">
        <v>6</v>
      </c>
      <c r="G536" s="4">
        <v>14.2</v>
      </c>
      <c r="H536" s="4">
        <f t="shared" si="6"/>
        <v>4.520000383809827</v>
      </c>
      <c r="I536" s="2">
        <f t="shared" si="7"/>
        <v>16.046001362524883</v>
      </c>
      <c r="J536">
        <v>5.5</v>
      </c>
    </row>
    <row r="537" spans="1:10" x14ac:dyDescent="0.3">
      <c r="A537" t="s">
        <v>71</v>
      </c>
      <c r="B537" t="s">
        <v>66</v>
      </c>
      <c r="C537" s="4">
        <v>0.62643652800000005</v>
      </c>
      <c r="D537" s="4">
        <v>0.57808694400000005</v>
      </c>
      <c r="E537" s="18">
        <v>99</v>
      </c>
      <c r="F537" s="18">
        <v>7</v>
      </c>
      <c r="G537" s="4">
        <v>17.7</v>
      </c>
      <c r="H537" s="4">
        <f t="shared" si="6"/>
        <v>5.6340849854530948</v>
      </c>
      <c r="I537" s="2">
        <f t="shared" si="7"/>
        <v>24.930826060629943</v>
      </c>
      <c r="J537">
        <v>5.5</v>
      </c>
    </row>
    <row r="538" spans="1:10" x14ac:dyDescent="0.3">
      <c r="A538" t="s">
        <v>71</v>
      </c>
      <c r="B538" t="s">
        <v>66</v>
      </c>
      <c r="C538" s="4">
        <v>0.62643652800000005</v>
      </c>
      <c r="D538" s="4">
        <v>0.57808694400000005</v>
      </c>
      <c r="E538" s="18">
        <v>99</v>
      </c>
      <c r="F538" s="18">
        <v>8</v>
      </c>
      <c r="G538" s="4">
        <v>16.7</v>
      </c>
      <c r="H538" s="4">
        <f t="shared" si="6"/>
        <v>5.3157750992693042</v>
      </c>
      <c r="I538" s="2">
        <f t="shared" si="7"/>
        <v>22.193361039449343</v>
      </c>
      <c r="J538">
        <v>5.5</v>
      </c>
    </row>
    <row r="539" spans="1:10" x14ac:dyDescent="0.3">
      <c r="A539" t="s">
        <v>71</v>
      </c>
      <c r="B539" t="s">
        <v>66</v>
      </c>
      <c r="C539" s="4">
        <v>0.62643652800000005</v>
      </c>
      <c r="D539" s="4">
        <v>0.57808694400000005</v>
      </c>
      <c r="E539" s="18">
        <v>99</v>
      </c>
      <c r="F539" s="18">
        <v>9</v>
      </c>
      <c r="G539" s="4">
        <v>13.7</v>
      </c>
      <c r="H539" s="4">
        <f t="shared" si="6"/>
        <v>4.3608454407179318</v>
      </c>
      <c r="I539" s="2">
        <f t="shared" si="7"/>
        <v>14.935895634458914</v>
      </c>
      <c r="J539">
        <v>5.5</v>
      </c>
    </row>
    <row r="540" spans="1:10" x14ac:dyDescent="0.3">
      <c r="A540" t="s">
        <v>71</v>
      </c>
      <c r="B540" t="s">
        <v>66</v>
      </c>
      <c r="C540" s="4">
        <v>0.62643652800000005</v>
      </c>
      <c r="D540" s="4">
        <v>0.57808694400000005</v>
      </c>
      <c r="E540" s="18">
        <v>99</v>
      </c>
      <c r="F540" s="18">
        <v>10</v>
      </c>
      <c r="G540" s="4">
        <v>14.5</v>
      </c>
      <c r="H540" s="4">
        <f t="shared" si="6"/>
        <v>4.6154933496649653</v>
      </c>
      <c r="I540" s="2">
        <f t="shared" si="7"/>
        <v>16.7311633925355</v>
      </c>
      <c r="J540">
        <v>5.5</v>
      </c>
    </row>
    <row r="541" spans="1:10" x14ac:dyDescent="0.3">
      <c r="A541" t="s">
        <v>71</v>
      </c>
      <c r="B541" t="s">
        <v>66</v>
      </c>
      <c r="C541" s="4">
        <v>0.62643652800000005</v>
      </c>
      <c r="D541" s="4">
        <v>0.57808694400000005</v>
      </c>
      <c r="E541" s="18">
        <v>99</v>
      </c>
      <c r="F541" s="18">
        <v>11</v>
      </c>
      <c r="G541" s="4">
        <v>7.3</v>
      </c>
      <c r="H541" s="4">
        <f t="shared" si="6"/>
        <v>2.3236621691416719</v>
      </c>
      <c r="I541" s="2">
        <f t="shared" si="7"/>
        <v>4.2406834586835513</v>
      </c>
      <c r="J541">
        <v>5.5</v>
      </c>
    </row>
    <row r="542" spans="1:10" x14ac:dyDescent="0.3">
      <c r="A542" t="s">
        <v>71</v>
      </c>
      <c r="B542" t="s">
        <v>66</v>
      </c>
      <c r="C542" s="4">
        <v>0.62643652800000005</v>
      </c>
      <c r="D542" s="4">
        <v>0.57808694400000005</v>
      </c>
      <c r="E542" s="18">
        <v>99</v>
      </c>
      <c r="F542" s="18">
        <v>12</v>
      </c>
      <c r="G542" s="4">
        <v>16.5</v>
      </c>
      <c r="H542" s="4">
        <f t="shared" si="6"/>
        <v>5.2521131220325463</v>
      </c>
      <c r="I542" s="2">
        <f t="shared" si="7"/>
        <v>21.664966628384253</v>
      </c>
      <c r="J542">
        <v>5.5</v>
      </c>
    </row>
    <row r="543" spans="1:10" x14ac:dyDescent="0.3">
      <c r="A543" t="s">
        <v>71</v>
      </c>
      <c r="B543" t="s">
        <v>66</v>
      </c>
      <c r="C543" s="4">
        <v>0.62643652800000005</v>
      </c>
      <c r="D543" s="4">
        <v>0.57808694400000005</v>
      </c>
      <c r="E543" s="18">
        <v>100</v>
      </c>
      <c r="F543" s="18">
        <v>1</v>
      </c>
      <c r="G543" s="4">
        <v>20.2</v>
      </c>
      <c r="H543" s="4">
        <f t="shared" si="6"/>
        <v>6.429859700912572</v>
      </c>
      <c r="I543" s="2">
        <f t="shared" si="7"/>
        <v>32.470791489608487</v>
      </c>
      <c r="J543">
        <v>6.5</v>
      </c>
    </row>
    <row r="544" spans="1:10" x14ac:dyDescent="0.3">
      <c r="A544" t="s">
        <v>71</v>
      </c>
      <c r="B544" t="s">
        <v>66</v>
      </c>
      <c r="C544" s="4">
        <v>0.62643652800000005</v>
      </c>
      <c r="D544" s="4">
        <v>0.57808694400000005</v>
      </c>
      <c r="E544" s="18">
        <v>100</v>
      </c>
      <c r="F544" s="18">
        <v>2</v>
      </c>
      <c r="G544">
        <v>29.7</v>
      </c>
      <c r="H544" s="4">
        <f t="shared" si="6"/>
        <v>9.4538036196585828</v>
      </c>
      <c r="I544" s="2">
        <f t="shared" si="7"/>
        <v>70.194491875964971</v>
      </c>
      <c r="J544">
        <v>6.5</v>
      </c>
    </row>
    <row r="545" spans="1:10" x14ac:dyDescent="0.3">
      <c r="A545" t="s">
        <v>71</v>
      </c>
      <c r="B545" t="s">
        <v>66</v>
      </c>
      <c r="C545" s="4">
        <v>0.62643652800000005</v>
      </c>
      <c r="D545" s="4">
        <v>0.57808694400000005</v>
      </c>
      <c r="E545" s="18">
        <v>100</v>
      </c>
      <c r="F545" s="18">
        <v>3</v>
      </c>
      <c r="G545">
        <v>26.3</v>
      </c>
      <c r="H545" s="4">
        <f t="shared" si="6"/>
        <v>8.3715500066336954</v>
      </c>
      <c r="I545" s="2">
        <f t="shared" si="7"/>
        <v>55.042941293616558</v>
      </c>
      <c r="J545">
        <v>6.5</v>
      </c>
    </row>
    <row r="546" spans="1:10" x14ac:dyDescent="0.3">
      <c r="A546" t="s">
        <v>71</v>
      </c>
      <c r="B546" t="s">
        <v>66</v>
      </c>
      <c r="C546" s="4">
        <v>0.62643652800000005</v>
      </c>
      <c r="D546" s="4">
        <v>0.57808694400000005</v>
      </c>
      <c r="E546" s="18">
        <v>100</v>
      </c>
      <c r="F546" s="18">
        <v>4</v>
      </c>
      <c r="G546">
        <v>31.2</v>
      </c>
      <c r="H546" s="4">
        <f t="shared" si="6"/>
        <v>9.9312684489342686</v>
      </c>
      <c r="I546" s="2">
        <f t="shared" si="7"/>
        <v>77.463893901687285</v>
      </c>
      <c r="J546">
        <v>6.5</v>
      </c>
    </row>
    <row r="547" spans="1:10" x14ac:dyDescent="0.3">
      <c r="A547" t="s">
        <v>71</v>
      </c>
      <c r="B547" t="s">
        <v>66</v>
      </c>
      <c r="C547" s="4">
        <v>0.62643652800000005</v>
      </c>
      <c r="D547" s="4">
        <v>0.57808694400000005</v>
      </c>
      <c r="E547" s="18">
        <v>100</v>
      </c>
      <c r="F547" s="18">
        <v>5</v>
      </c>
      <c r="G547">
        <v>23.2</v>
      </c>
      <c r="H547" s="4">
        <f t="shared" si="6"/>
        <v>7.3847893594639435</v>
      </c>
      <c r="I547" s="2">
        <f t="shared" si="7"/>
        <v>42.831778284890873</v>
      </c>
      <c r="J547">
        <v>6.5</v>
      </c>
    </row>
    <row r="548" spans="1:10" x14ac:dyDescent="0.3">
      <c r="A548" t="s">
        <v>71</v>
      </c>
      <c r="B548" t="s">
        <v>66</v>
      </c>
      <c r="C548" s="4">
        <v>0.62643652800000005</v>
      </c>
      <c r="D548" s="4">
        <v>0.57808694400000005</v>
      </c>
      <c r="E548" s="18">
        <v>100</v>
      </c>
      <c r="F548" s="18">
        <v>6</v>
      </c>
      <c r="G548">
        <v>30.5</v>
      </c>
      <c r="H548" s="4">
        <f t="shared" si="6"/>
        <v>9.7084515286056163</v>
      </c>
      <c r="I548" s="2">
        <f t="shared" si="7"/>
        <v>74.02694290561783</v>
      </c>
      <c r="J548">
        <v>6.5</v>
      </c>
    </row>
    <row r="549" spans="1:10" x14ac:dyDescent="0.3">
      <c r="A549" t="s">
        <v>71</v>
      </c>
      <c r="B549" t="s">
        <v>66</v>
      </c>
      <c r="C549" s="4">
        <v>0.62643652800000005</v>
      </c>
      <c r="D549" s="4">
        <v>0.57808694400000005</v>
      </c>
      <c r="E549" s="18">
        <v>100</v>
      </c>
      <c r="F549" s="18">
        <v>7</v>
      </c>
      <c r="G549">
        <v>20.3</v>
      </c>
      <c r="H549" s="4">
        <f t="shared" si="6"/>
        <v>6.4616906895309514</v>
      </c>
      <c r="I549" s="2">
        <f t="shared" si="7"/>
        <v>32.793080249369581</v>
      </c>
      <c r="J549">
        <v>6.5</v>
      </c>
    </row>
    <row r="550" spans="1:10" x14ac:dyDescent="0.3">
      <c r="A550" t="s">
        <v>71</v>
      </c>
      <c r="B550" t="s">
        <v>66</v>
      </c>
      <c r="C550" s="4">
        <v>0.62643652800000005</v>
      </c>
      <c r="D550" s="4">
        <v>0.57808694400000005</v>
      </c>
      <c r="E550" s="18">
        <v>100</v>
      </c>
      <c r="F550" s="18">
        <v>8</v>
      </c>
      <c r="G550">
        <v>33.5</v>
      </c>
      <c r="H550" s="4">
        <f t="shared" si="6"/>
        <v>10.663381187156988</v>
      </c>
      <c r="I550" s="2">
        <f t="shared" si="7"/>
        <v>89.305817442439775</v>
      </c>
      <c r="J550">
        <v>6.5</v>
      </c>
    </row>
    <row r="551" spans="1:10" x14ac:dyDescent="0.3">
      <c r="A551" t="s">
        <v>71</v>
      </c>
      <c r="B551" t="s">
        <v>38</v>
      </c>
      <c r="C551" s="4">
        <v>1082380952</v>
      </c>
      <c r="D551" s="4">
        <v>0.61247410899999999</v>
      </c>
      <c r="E551" s="18">
        <v>101</v>
      </c>
      <c r="F551" s="18">
        <v>1</v>
      </c>
      <c r="G551" s="4">
        <v>14.6</v>
      </c>
      <c r="H551" s="4">
        <f t="shared" si="6"/>
        <v>4.6473243382833438</v>
      </c>
      <c r="I551" s="2">
        <f t="shared" si="7"/>
        <v>16.962733834734205</v>
      </c>
      <c r="J551">
        <v>6</v>
      </c>
    </row>
    <row r="552" spans="1:10" x14ac:dyDescent="0.3">
      <c r="A552" t="s">
        <v>71</v>
      </c>
      <c r="B552" t="s">
        <v>73</v>
      </c>
      <c r="C552" s="4">
        <v>0.39</v>
      </c>
      <c r="D552" s="4">
        <v>0.28861111099999998</v>
      </c>
      <c r="E552" s="18">
        <v>102</v>
      </c>
      <c r="F552" s="18">
        <v>1</v>
      </c>
      <c r="G552" s="4">
        <v>16.5</v>
      </c>
      <c r="H552" s="4">
        <f t="shared" si="6"/>
        <v>5.2521131220325463</v>
      </c>
      <c r="I552" s="2">
        <f t="shared" si="7"/>
        <v>21.664966628384253</v>
      </c>
      <c r="J552">
        <v>4.5</v>
      </c>
    </row>
    <row r="553" spans="1:10" x14ac:dyDescent="0.3">
      <c r="A553" t="s">
        <v>71</v>
      </c>
      <c r="B553" t="s">
        <v>22</v>
      </c>
      <c r="C553" s="4">
        <v>0.43836446099999998</v>
      </c>
      <c r="D553" s="4">
        <v>0.58666666700000003</v>
      </c>
      <c r="E553" s="18">
        <v>103</v>
      </c>
      <c r="F553" s="18">
        <v>1</v>
      </c>
      <c r="G553" s="4">
        <v>5.3</v>
      </c>
      <c r="H553" s="4">
        <f t="shared" si="6"/>
        <v>1.6870423967740906</v>
      </c>
      <c r="I553" s="2">
        <f t="shared" si="7"/>
        <v>2.23533117572567</v>
      </c>
      <c r="J553">
        <v>6</v>
      </c>
    </row>
    <row r="554" spans="1:10" x14ac:dyDescent="0.3">
      <c r="A554" t="s">
        <v>71</v>
      </c>
      <c r="B554" t="s">
        <v>22</v>
      </c>
      <c r="C554" s="4">
        <v>0.43836446099999998</v>
      </c>
      <c r="D554" s="4">
        <v>0.58666666700000003</v>
      </c>
      <c r="E554" s="18">
        <v>103</v>
      </c>
      <c r="F554" s="18">
        <v>2</v>
      </c>
      <c r="G554" s="4">
        <v>17.2</v>
      </c>
      <c r="H554" s="4">
        <f t="shared" si="6"/>
        <v>5.4749300423611995</v>
      </c>
      <c r="I554" s="2">
        <f t="shared" si="7"/>
        <v>23.542199182153158</v>
      </c>
      <c r="J554">
        <v>6</v>
      </c>
    </row>
    <row r="555" spans="1:10" x14ac:dyDescent="0.3">
      <c r="A555" t="s">
        <v>71</v>
      </c>
      <c r="B555" t="s">
        <v>22</v>
      </c>
      <c r="C555" s="4">
        <v>0.43836446099999998</v>
      </c>
      <c r="D555" s="4">
        <v>0.58666666700000003</v>
      </c>
      <c r="E555" s="18">
        <v>103</v>
      </c>
      <c r="F555" s="18">
        <v>3</v>
      </c>
      <c r="G555" s="4">
        <v>12.2</v>
      </c>
      <c r="H555" s="4">
        <f t="shared" si="6"/>
        <v>3.883380611442246</v>
      </c>
      <c r="I555" s="2">
        <f t="shared" si="7"/>
        <v>11.84431086489885</v>
      </c>
      <c r="J555">
        <v>6</v>
      </c>
    </row>
    <row r="556" spans="1:10" x14ac:dyDescent="0.3">
      <c r="A556" t="s">
        <v>71</v>
      </c>
      <c r="B556" t="s">
        <v>22</v>
      </c>
      <c r="C556" s="4">
        <v>0.43836446099999998</v>
      </c>
      <c r="D556" s="4">
        <v>0.58666666700000003</v>
      </c>
      <c r="E556" s="18">
        <v>103</v>
      </c>
      <c r="F556" s="18">
        <v>4</v>
      </c>
      <c r="G556" s="4">
        <v>12.1</v>
      </c>
      <c r="H556" s="4">
        <f t="shared" si="6"/>
        <v>3.851549622823867</v>
      </c>
      <c r="I556" s="2">
        <f t="shared" si="7"/>
        <v>11.650937609042197</v>
      </c>
      <c r="J556">
        <v>6</v>
      </c>
    </row>
    <row r="557" spans="1:10" x14ac:dyDescent="0.3">
      <c r="A557" t="s">
        <v>71</v>
      </c>
      <c r="B557" t="s">
        <v>22</v>
      </c>
      <c r="C557" s="4">
        <v>0.43836446099999998</v>
      </c>
      <c r="D557" s="4">
        <v>0.58666666700000003</v>
      </c>
      <c r="E557" s="18">
        <v>103</v>
      </c>
      <c r="F557" s="18">
        <v>5</v>
      </c>
      <c r="G557" s="4">
        <v>15.3</v>
      </c>
      <c r="H557" s="4">
        <f t="shared" si="6"/>
        <v>4.8701412586119979</v>
      </c>
      <c r="I557" s="2">
        <f t="shared" si="7"/>
        <v>18.628290314190895</v>
      </c>
      <c r="J557">
        <v>6</v>
      </c>
    </row>
    <row r="558" spans="1:10" x14ac:dyDescent="0.3">
      <c r="A558" t="s">
        <v>71</v>
      </c>
      <c r="B558" t="s">
        <v>22</v>
      </c>
      <c r="C558" s="4">
        <v>0.43836446099999998</v>
      </c>
      <c r="D558" s="4">
        <v>0.58666666700000003</v>
      </c>
      <c r="E558" s="18">
        <v>104</v>
      </c>
      <c r="F558" s="18">
        <v>1</v>
      </c>
      <c r="G558" s="4">
        <v>14.5</v>
      </c>
      <c r="H558" s="4">
        <f t="shared" si="6"/>
        <v>4.6154933496649653</v>
      </c>
      <c r="I558" s="2">
        <f t="shared" si="7"/>
        <v>16.7311633925355</v>
      </c>
      <c r="J558">
        <v>5.5</v>
      </c>
    </row>
    <row r="559" spans="1:10" x14ac:dyDescent="0.3">
      <c r="A559" t="s">
        <v>71</v>
      </c>
      <c r="B559" t="s">
        <v>22</v>
      </c>
      <c r="C559" s="4">
        <v>0.43836446099999998</v>
      </c>
      <c r="D559" s="4">
        <v>0.58666666700000003</v>
      </c>
      <c r="E559" s="18">
        <v>104</v>
      </c>
      <c r="F559" s="18">
        <v>2</v>
      </c>
      <c r="G559" s="4">
        <v>12</v>
      </c>
      <c r="H559" s="4">
        <f t="shared" si="6"/>
        <v>3.8197186342054881</v>
      </c>
      <c r="I559" s="2">
        <f t="shared" si="7"/>
        <v>11.459155902616464</v>
      </c>
      <c r="J559">
        <v>5.5</v>
      </c>
    </row>
    <row r="560" spans="1:10" x14ac:dyDescent="0.3">
      <c r="A560" t="s">
        <v>71</v>
      </c>
      <c r="B560" t="s">
        <v>22</v>
      </c>
      <c r="C560" s="4">
        <v>0.43836446099999998</v>
      </c>
      <c r="D560" s="4">
        <v>0.58666666700000003</v>
      </c>
      <c r="E560" s="18">
        <v>104</v>
      </c>
      <c r="F560" s="18">
        <v>3</v>
      </c>
      <c r="G560" s="4">
        <v>13.4</v>
      </c>
      <c r="H560" s="4">
        <f t="shared" si="6"/>
        <v>4.2653524748627953</v>
      </c>
      <c r="I560" s="2">
        <f t="shared" si="7"/>
        <v>14.288930790790365</v>
      </c>
      <c r="J560">
        <v>5.5</v>
      </c>
    </row>
    <row r="561" spans="1:10" x14ac:dyDescent="0.3">
      <c r="A561" t="s">
        <v>71</v>
      </c>
      <c r="B561" t="s">
        <v>22</v>
      </c>
      <c r="C561" s="4">
        <v>0.43836446099999998</v>
      </c>
      <c r="D561" s="4">
        <v>0.58666666700000003</v>
      </c>
      <c r="E561" s="18">
        <v>104</v>
      </c>
      <c r="F561" s="18">
        <v>4</v>
      </c>
      <c r="G561" s="4">
        <v>12.3</v>
      </c>
      <c r="H561" s="4">
        <f t="shared" si="6"/>
        <v>3.9152116000606259</v>
      </c>
      <c r="I561" s="2">
        <f t="shared" si="7"/>
        <v>12.039275670186425</v>
      </c>
      <c r="J561">
        <v>5.5</v>
      </c>
    </row>
    <row r="562" spans="1:10" x14ac:dyDescent="0.3">
      <c r="A562" t="s">
        <v>71</v>
      </c>
      <c r="B562" t="s">
        <v>22</v>
      </c>
      <c r="C562" s="4">
        <v>0.43836446099999998</v>
      </c>
      <c r="D562" s="4">
        <v>0.58666666700000003</v>
      </c>
      <c r="E562" s="18">
        <v>104</v>
      </c>
      <c r="F562" s="18">
        <v>5</v>
      </c>
      <c r="G562" s="4">
        <v>11.4</v>
      </c>
      <c r="H562" s="4">
        <f t="shared" si="6"/>
        <v>3.6287327024952138</v>
      </c>
      <c r="I562" s="2">
        <f t="shared" si="7"/>
        <v>10.34188820211136</v>
      </c>
      <c r="J562">
        <v>5.5</v>
      </c>
    </row>
    <row r="563" spans="1:10" x14ac:dyDescent="0.3">
      <c r="A563" t="s">
        <v>71</v>
      </c>
      <c r="B563" t="s">
        <v>22</v>
      </c>
      <c r="C563" s="4">
        <v>0.43836446099999998</v>
      </c>
      <c r="D563" s="4">
        <v>0.58666666700000003</v>
      </c>
      <c r="E563" s="18">
        <v>104</v>
      </c>
      <c r="F563" s="18">
        <v>6</v>
      </c>
      <c r="G563" s="4">
        <v>12</v>
      </c>
      <c r="H563" s="4">
        <f t="shared" si="6"/>
        <v>3.8197186342054881</v>
      </c>
      <c r="I563" s="2">
        <f t="shared" si="7"/>
        <v>11.459155902616464</v>
      </c>
      <c r="J563">
        <v>5.5</v>
      </c>
    </row>
    <row r="564" spans="1:10" x14ac:dyDescent="0.3">
      <c r="A564" t="s">
        <v>71</v>
      </c>
      <c r="B564" t="s">
        <v>47</v>
      </c>
      <c r="C564" s="4">
        <v>0.40238543599999999</v>
      </c>
      <c r="D564" s="4">
        <v>0.40883333300000002</v>
      </c>
      <c r="E564" s="18">
        <v>105</v>
      </c>
      <c r="F564" s="18">
        <v>1</v>
      </c>
      <c r="G564" s="4">
        <v>53.4</v>
      </c>
      <c r="H564" s="4">
        <f t="shared" si="6"/>
        <v>16.997747922214423</v>
      </c>
      <c r="I564" s="2">
        <f t="shared" si="7"/>
        <v>226.91993476156256</v>
      </c>
      <c r="J564">
        <v>12</v>
      </c>
    </row>
    <row r="565" spans="1:10" x14ac:dyDescent="0.3">
      <c r="A565" t="s">
        <v>71</v>
      </c>
      <c r="B565" t="s">
        <v>47</v>
      </c>
      <c r="C565" s="4">
        <v>0.40238543599999999</v>
      </c>
      <c r="D565" s="4">
        <v>0.40883333300000002</v>
      </c>
      <c r="E565" s="18">
        <v>106</v>
      </c>
      <c r="F565" s="18">
        <v>1</v>
      </c>
      <c r="G565" s="4">
        <v>70.5</v>
      </c>
      <c r="H565" s="4">
        <f t="shared" si="6"/>
        <v>22.440846975957243</v>
      </c>
      <c r="I565" s="2">
        <f t="shared" si="7"/>
        <v>395.51992795124636</v>
      </c>
      <c r="J565">
        <v>12</v>
      </c>
    </row>
    <row r="566" spans="1:10" x14ac:dyDescent="0.3">
      <c r="A566" t="s">
        <v>71</v>
      </c>
      <c r="B566" t="s">
        <v>62</v>
      </c>
      <c r="C566" s="4">
        <v>0.693333333</v>
      </c>
      <c r="D566" s="4">
        <v>0.64166666699999997</v>
      </c>
      <c r="E566" s="18">
        <v>107</v>
      </c>
      <c r="F566" s="18">
        <v>1</v>
      </c>
      <c r="G566" s="4">
        <v>31.6</v>
      </c>
      <c r="H566" s="4">
        <f t="shared" si="6"/>
        <v>10.058592403407786</v>
      </c>
      <c r="I566" s="2">
        <f t="shared" si="7"/>
        <v>79.462879986921521</v>
      </c>
      <c r="J566">
        <v>6</v>
      </c>
    </row>
    <row r="567" spans="1:10" x14ac:dyDescent="0.3">
      <c r="A567" t="s">
        <v>74</v>
      </c>
      <c r="B567" t="s">
        <v>75</v>
      </c>
      <c r="C567" s="4">
        <v>0.86</v>
      </c>
      <c r="D567" s="4">
        <v>0.65666666699999998</v>
      </c>
      <c r="E567" s="18">
        <v>108</v>
      </c>
      <c r="F567" s="18">
        <v>1</v>
      </c>
      <c r="G567" s="4">
        <v>27.5</v>
      </c>
      <c r="H567" s="4">
        <f t="shared" si="6"/>
        <v>8.753521870054243</v>
      </c>
      <c r="I567" s="2">
        <f t="shared" si="7"/>
        <v>60.18046285662291</v>
      </c>
      <c r="J567">
        <v>7</v>
      </c>
    </row>
    <row r="568" spans="1:10" x14ac:dyDescent="0.3">
      <c r="A568" t="s">
        <v>74</v>
      </c>
      <c r="B568" t="s">
        <v>75</v>
      </c>
      <c r="C568" s="4">
        <v>0.86</v>
      </c>
      <c r="D568" s="4">
        <v>0.65666666699999998</v>
      </c>
      <c r="E568" s="18">
        <v>108</v>
      </c>
      <c r="F568" s="18">
        <v>2</v>
      </c>
      <c r="G568" s="4">
        <v>30.2</v>
      </c>
      <c r="H568" s="4">
        <f t="shared" si="6"/>
        <v>9.6129585627504781</v>
      </c>
      <c r="I568" s="2">
        <f t="shared" si="7"/>
        <v>72.577837148766108</v>
      </c>
      <c r="J568">
        <v>7</v>
      </c>
    </row>
    <row r="569" spans="1:10" x14ac:dyDescent="0.3">
      <c r="A569" t="s">
        <v>74</v>
      </c>
      <c r="B569" t="s">
        <v>75</v>
      </c>
      <c r="C569" s="4">
        <v>0.86</v>
      </c>
      <c r="D569" s="4">
        <v>0.65666666699999998</v>
      </c>
      <c r="E569" s="18">
        <v>108</v>
      </c>
      <c r="F569" s="18">
        <v>3</v>
      </c>
      <c r="G569" s="4">
        <v>23.4</v>
      </c>
      <c r="H569" s="4">
        <f t="shared" si="6"/>
        <v>7.4484513367007015</v>
      </c>
      <c r="I569" s="2">
        <f t="shared" si="7"/>
        <v>43.573440319699095</v>
      </c>
      <c r="J569">
        <v>7</v>
      </c>
    </row>
    <row r="570" spans="1:10" x14ac:dyDescent="0.3">
      <c r="A570" t="s">
        <v>74</v>
      </c>
      <c r="B570" t="s">
        <v>75</v>
      </c>
      <c r="C570" s="4">
        <v>0.86</v>
      </c>
      <c r="D570" s="4">
        <v>0.65666666699999998</v>
      </c>
      <c r="E570" s="18">
        <v>108</v>
      </c>
      <c r="F570" s="18">
        <v>4</v>
      </c>
      <c r="G570" s="4">
        <v>18.5</v>
      </c>
      <c r="H570" s="4">
        <f t="shared" si="6"/>
        <v>5.8887328944001274</v>
      </c>
      <c r="I570" s="2">
        <f t="shared" si="7"/>
        <v>27.235389636600587</v>
      </c>
      <c r="J570">
        <v>7</v>
      </c>
    </row>
    <row r="571" spans="1:10" x14ac:dyDescent="0.3">
      <c r="A571" t="s">
        <v>74</v>
      </c>
      <c r="B571" t="s">
        <v>75</v>
      </c>
      <c r="C571" s="4">
        <v>0.86</v>
      </c>
      <c r="D571" s="4">
        <v>0.65666666699999998</v>
      </c>
      <c r="E571" s="18">
        <v>108</v>
      </c>
      <c r="F571" s="18">
        <v>5</v>
      </c>
      <c r="G571" s="4">
        <v>14.3</v>
      </c>
      <c r="H571" s="4">
        <f t="shared" si="6"/>
        <v>4.5518313724282073</v>
      </c>
      <c r="I571" s="2">
        <f t="shared" si="7"/>
        <v>16.272797156430844</v>
      </c>
      <c r="J571">
        <v>7</v>
      </c>
    </row>
    <row r="572" spans="1:10" x14ac:dyDescent="0.3">
      <c r="A572" t="s">
        <v>74</v>
      </c>
      <c r="B572" t="s">
        <v>75</v>
      </c>
      <c r="C572" s="4">
        <v>0.86</v>
      </c>
      <c r="D572" s="4">
        <v>0.65666666699999998</v>
      </c>
      <c r="E572" s="18">
        <v>108</v>
      </c>
      <c r="F572" s="18">
        <v>6</v>
      </c>
      <c r="G572" s="4">
        <v>20.2</v>
      </c>
      <c r="H572" s="4">
        <f t="shared" si="6"/>
        <v>6.429859700912572</v>
      </c>
      <c r="I572" s="2">
        <f t="shared" si="7"/>
        <v>32.470791489608487</v>
      </c>
      <c r="J572">
        <v>7</v>
      </c>
    </row>
    <row r="573" spans="1:10" x14ac:dyDescent="0.3">
      <c r="A573" t="s">
        <v>74</v>
      </c>
      <c r="B573" t="s">
        <v>75</v>
      </c>
      <c r="C573" s="4">
        <v>0.86</v>
      </c>
      <c r="D573" s="4">
        <v>0.65666666699999998</v>
      </c>
      <c r="E573" s="18">
        <v>109</v>
      </c>
      <c r="F573" s="18">
        <v>1</v>
      </c>
      <c r="G573" s="4">
        <v>31.5</v>
      </c>
      <c r="H573" s="4">
        <f t="shared" si="6"/>
        <v>10.026761414789407</v>
      </c>
      <c r="I573" s="2">
        <f t="shared" si="7"/>
        <v>78.960746141466586</v>
      </c>
      <c r="J573">
        <v>7</v>
      </c>
    </row>
    <row r="574" spans="1:10" x14ac:dyDescent="0.3">
      <c r="A574" t="s">
        <v>74</v>
      </c>
      <c r="B574" t="s">
        <v>60</v>
      </c>
      <c r="C574" s="4">
        <v>0.41</v>
      </c>
      <c r="D574" s="4">
        <v>0.33983503399999998</v>
      </c>
      <c r="E574" s="18">
        <v>110</v>
      </c>
      <c r="F574" s="18">
        <v>1</v>
      </c>
      <c r="G574" s="4">
        <v>17.5</v>
      </c>
      <c r="H574" s="4">
        <f t="shared" si="6"/>
        <v>5.5704230082163368</v>
      </c>
      <c r="I574" s="2">
        <f t="shared" si="7"/>
        <v>24.370600660946472</v>
      </c>
      <c r="J574">
        <v>6</v>
      </c>
    </row>
    <row r="575" spans="1:10" x14ac:dyDescent="0.3">
      <c r="A575" t="s">
        <v>74</v>
      </c>
      <c r="B575" t="s">
        <v>60</v>
      </c>
      <c r="C575" s="4">
        <v>0.41</v>
      </c>
      <c r="D575" s="4">
        <v>0.33983503399999998</v>
      </c>
      <c r="E575" s="18">
        <v>110</v>
      </c>
      <c r="F575" s="18">
        <v>2</v>
      </c>
      <c r="G575" s="4">
        <v>17.3</v>
      </c>
      <c r="H575" s="4">
        <f t="shared" si="6"/>
        <v>5.5067610309795789</v>
      </c>
      <c r="I575" s="2">
        <f t="shared" si="7"/>
        <v>23.81674145898668</v>
      </c>
      <c r="J575">
        <v>6</v>
      </c>
    </row>
    <row r="576" spans="1:10" x14ac:dyDescent="0.3">
      <c r="A576" t="s">
        <v>74</v>
      </c>
      <c r="B576" t="s">
        <v>53</v>
      </c>
      <c r="C576" s="4">
        <v>0.63206279899999995</v>
      </c>
      <c r="D576" s="4">
        <v>0.75690909100000003</v>
      </c>
      <c r="E576" s="18">
        <v>111</v>
      </c>
      <c r="F576" s="18">
        <v>1</v>
      </c>
      <c r="G576" s="4">
        <v>30.5</v>
      </c>
      <c r="H576" s="4">
        <f t="shared" si="6"/>
        <v>9.7084515286056163</v>
      </c>
      <c r="I576" s="2">
        <f t="shared" si="7"/>
        <v>74.02694290561783</v>
      </c>
      <c r="J576">
        <v>6</v>
      </c>
    </row>
    <row r="577" spans="1:10" x14ac:dyDescent="0.3">
      <c r="A577" t="s">
        <v>74</v>
      </c>
      <c r="B577" t="s">
        <v>66</v>
      </c>
      <c r="C577" s="4">
        <v>0.62643652800000005</v>
      </c>
      <c r="D577" s="4">
        <v>0.57808694400000005</v>
      </c>
      <c r="E577" s="18">
        <v>112</v>
      </c>
      <c r="F577" s="18">
        <v>1</v>
      </c>
      <c r="G577" s="4">
        <v>11.2</v>
      </c>
      <c r="H577" s="4">
        <f t="shared" si="6"/>
        <v>3.5650707252584555</v>
      </c>
      <c r="I577" s="2">
        <f t="shared" si="7"/>
        <v>9.9821980307236746</v>
      </c>
      <c r="J577">
        <v>7</v>
      </c>
    </row>
    <row r="578" spans="1:10" x14ac:dyDescent="0.3">
      <c r="A578" t="s">
        <v>74</v>
      </c>
      <c r="B578" t="s">
        <v>66</v>
      </c>
      <c r="C578" s="4">
        <v>0.62643652800000005</v>
      </c>
      <c r="D578" s="4">
        <v>0.57808694400000005</v>
      </c>
      <c r="E578" s="18">
        <v>112</v>
      </c>
      <c r="F578" s="18">
        <v>2</v>
      </c>
      <c r="G578" s="4">
        <v>9.6999999999999993</v>
      </c>
      <c r="H578" s="4">
        <f t="shared" si="6"/>
        <v>3.0876058959827692</v>
      </c>
      <c r="I578" s="2">
        <f t="shared" si="7"/>
        <v>7.4874442977582154</v>
      </c>
      <c r="J578">
        <v>7</v>
      </c>
    </row>
    <row r="579" spans="1:10" x14ac:dyDescent="0.3">
      <c r="A579" t="s">
        <v>74</v>
      </c>
      <c r="B579" t="s">
        <v>66</v>
      </c>
      <c r="C579" s="4">
        <v>0.62643652800000005</v>
      </c>
      <c r="D579" s="4">
        <v>0.57808694400000005</v>
      </c>
      <c r="E579" s="18">
        <v>112</v>
      </c>
      <c r="F579" s="18">
        <v>3</v>
      </c>
      <c r="G579" s="4">
        <v>20.5</v>
      </c>
      <c r="H579" s="4">
        <f t="shared" si="6"/>
        <v>6.5253526667677093</v>
      </c>
      <c r="I579" s="2">
        <f t="shared" si="7"/>
        <v>33.442432417184513</v>
      </c>
      <c r="J579">
        <v>7</v>
      </c>
    </row>
    <row r="580" spans="1:10" x14ac:dyDescent="0.3">
      <c r="A580" t="s">
        <v>74</v>
      </c>
      <c r="B580" t="s">
        <v>66</v>
      </c>
      <c r="C580" s="4">
        <v>0.62643652800000005</v>
      </c>
      <c r="D580" s="4">
        <v>0.57808694400000005</v>
      </c>
      <c r="E580" s="18">
        <v>112</v>
      </c>
      <c r="F580" s="18">
        <v>4</v>
      </c>
      <c r="G580" s="4">
        <v>9.3000000000000007</v>
      </c>
      <c r="H580" s="4">
        <f t="shared" si="6"/>
        <v>2.9602819415092534</v>
      </c>
      <c r="I580" s="2">
        <f t="shared" si="7"/>
        <v>6.8826555140090138</v>
      </c>
      <c r="J580">
        <v>7</v>
      </c>
    </row>
    <row r="581" spans="1:10" x14ac:dyDescent="0.3">
      <c r="A581" t="s">
        <v>74</v>
      </c>
      <c r="B581" t="s">
        <v>66</v>
      </c>
      <c r="C581" s="4">
        <v>0.62643652800000005</v>
      </c>
      <c r="D581" s="4">
        <v>0.57808694400000005</v>
      </c>
      <c r="E581" s="18">
        <v>112</v>
      </c>
      <c r="F581" s="18">
        <v>5</v>
      </c>
      <c r="G581" s="4">
        <v>17.7</v>
      </c>
      <c r="H581" s="4">
        <f t="shared" si="6"/>
        <v>5.6340849854530948</v>
      </c>
      <c r="I581" s="2">
        <f t="shared" si="7"/>
        <v>24.930826060629943</v>
      </c>
      <c r="J581">
        <v>7</v>
      </c>
    </row>
    <row r="582" spans="1:10" x14ac:dyDescent="0.3">
      <c r="A582" t="s">
        <v>74</v>
      </c>
      <c r="B582" t="s">
        <v>66</v>
      </c>
      <c r="C582" s="4">
        <v>0.62643652800000005</v>
      </c>
      <c r="D582" s="4">
        <v>0.57808694400000005</v>
      </c>
      <c r="E582" s="18">
        <v>112</v>
      </c>
      <c r="F582" s="18">
        <v>6</v>
      </c>
      <c r="G582" s="4">
        <v>9.4</v>
      </c>
      <c r="H582" s="4">
        <f t="shared" si="6"/>
        <v>2.9921129301276324</v>
      </c>
      <c r="I582" s="2">
        <f t="shared" si="7"/>
        <v>7.0314653857999367</v>
      </c>
      <c r="J582">
        <v>7</v>
      </c>
    </row>
    <row r="583" spans="1:10" x14ac:dyDescent="0.3">
      <c r="A583" t="s">
        <v>74</v>
      </c>
      <c r="B583" t="s">
        <v>66</v>
      </c>
      <c r="C583" s="4">
        <v>0.62643652800000005</v>
      </c>
      <c r="D583" s="4">
        <v>0.57808694400000005</v>
      </c>
      <c r="E583" s="18">
        <v>113</v>
      </c>
      <c r="F583" s="18">
        <v>1</v>
      </c>
      <c r="G583" s="4">
        <v>18.5</v>
      </c>
      <c r="H583" s="4">
        <f t="shared" si="6"/>
        <v>5.8887328944001274</v>
      </c>
      <c r="I583" s="2">
        <f t="shared" si="7"/>
        <v>27.235389636600587</v>
      </c>
      <c r="J583">
        <v>7.5</v>
      </c>
    </row>
    <row r="584" spans="1:10" x14ac:dyDescent="0.3">
      <c r="A584" t="s">
        <v>74</v>
      </c>
      <c r="B584" t="s">
        <v>66</v>
      </c>
      <c r="C584" s="4">
        <v>0.62643652800000005</v>
      </c>
      <c r="D584" s="4">
        <v>0.57808694400000005</v>
      </c>
      <c r="E584" s="18">
        <v>113</v>
      </c>
      <c r="F584" s="18">
        <v>2</v>
      </c>
      <c r="G584" s="4">
        <v>16</v>
      </c>
      <c r="H584" s="4">
        <f t="shared" si="6"/>
        <v>5.0929581789406511</v>
      </c>
      <c r="I584" s="2">
        <f t="shared" si="7"/>
        <v>20.371832715762604</v>
      </c>
      <c r="J584">
        <v>7.5</v>
      </c>
    </row>
    <row r="585" spans="1:10" x14ac:dyDescent="0.3">
      <c r="A585" t="s">
        <v>74</v>
      </c>
      <c r="B585" t="s">
        <v>66</v>
      </c>
      <c r="C585" s="4">
        <v>0.62643652800000005</v>
      </c>
      <c r="D585" s="4">
        <v>0.57808694400000005</v>
      </c>
      <c r="E585" s="18">
        <v>113</v>
      </c>
      <c r="F585" s="18">
        <v>3</v>
      </c>
      <c r="G585" s="4">
        <v>20.399999999999999</v>
      </c>
      <c r="H585" s="4">
        <f t="shared" si="6"/>
        <v>6.4935216781493299</v>
      </c>
      <c r="I585" s="2">
        <f t="shared" si="7"/>
        <v>33.11696055856158</v>
      </c>
      <c r="J585">
        <v>7.5</v>
      </c>
    </row>
    <row r="586" spans="1:10" x14ac:dyDescent="0.3">
      <c r="A586" t="s">
        <v>74</v>
      </c>
      <c r="B586" t="s">
        <v>66</v>
      </c>
      <c r="C586" s="4">
        <v>0.62643652800000005</v>
      </c>
      <c r="D586" s="4">
        <v>0.57808694400000005</v>
      </c>
      <c r="E586" s="18">
        <v>113</v>
      </c>
      <c r="F586" s="18">
        <v>4</v>
      </c>
      <c r="G586" s="4">
        <v>18.2</v>
      </c>
      <c r="H586" s="4">
        <f t="shared" si="6"/>
        <v>5.79323992854499</v>
      </c>
      <c r="I586" s="2">
        <f t="shared" si="7"/>
        <v>26.359241674879701</v>
      </c>
      <c r="J586">
        <v>7.5</v>
      </c>
    </row>
    <row r="587" spans="1:10" x14ac:dyDescent="0.3">
      <c r="A587" t="s">
        <v>74</v>
      </c>
      <c r="B587" t="s">
        <v>66</v>
      </c>
      <c r="C587" s="4">
        <v>0.62643652800000005</v>
      </c>
      <c r="D587" s="4">
        <v>0.57808694400000005</v>
      </c>
      <c r="E587" s="18">
        <v>113</v>
      </c>
      <c r="F587" s="18">
        <v>5</v>
      </c>
      <c r="G587" s="4">
        <v>7.5</v>
      </c>
      <c r="H587" s="4">
        <f t="shared" si="6"/>
        <v>2.3873241463784303</v>
      </c>
      <c r="I587" s="2">
        <f t="shared" si="7"/>
        <v>4.4762327744595574</v>
      </c>
      <c r="J587">
        <v>7.5</v>
      </c>
    </row>
    <row r="588" spans="1:10" x14ac:dyDescent="0.3">
      <c r="A588" t="s">
        <v>74</v>
      </c>
      <c r="B588" t="s">
        <v>66</v>
      </c>
      <c r="C588" s="4">
        <v>0.62643652800000005</v>
      </c>
      <c r="D588" s="4">
        <v>0.57808694400000005</v>
      </c>
      <c r="E588" s="18">
        <v>113</v>
      </c>
      <c r="F588" s="18">
        <v>6</v>
      </c>
      <c r="G588" s="4">
        <v>18.3</v>
      </c>
      <c r="H588" s="4">
        <f t="shared" si="6"/>
        <v>5.8250709171633694</v>
      </c>
      <c r="I588" s="2">
        <f t="shared" si="7"/>
        <v>26.649699446022414</v>
      </c>
      <c r="J588">
        <v>7.5</v>
      </c>
    </row>
    <row r="589" spans="1:10" x14ac:dyDescent="0.3">
      <c r="A589" t="s">
        <v>74</v>
      </c>
      <c r="B589" t="s">
        <v>66</v>
      </c>
      <c r="C589" s="4">
        <v>0.62643652800000005</v>
      </c>
      <c r="D589" s="4">
        <v>0.57808694400000005</v>
      </c>
      <c r="E589" s="18">
        <v>113</v>
      </c>
      <c r="F589" s="18">
        <v>7</v>
      </c>
      <c r="G589" s="4">
        <v>18.399999999999999</v>
      </c>
      <c r="H589" s="4">
        <f t="shared" si="6"/>
        <v>5.856901905781748</v>
      </c>
      <c r="I589" s="2">
        <f t="shared" si="7"/>
        <v>26.941748766596039</v>
      </c>
      <c r="J589">
        <v>7.5</v>
      </c>
    </row>
    <row r="590" spans="1:10" x14ac:dyDescent="0.3">
      <c r="A590" t="s">
        <v>74</v>
      </c>
      <c r="B590" t="s">
        <v>66</v>
      </c>
      <c r="C590" s="4">
        <v>0.62643652800000005</v>
      </c>
      <c r="D590" s="4">
        <v>0.57808694400000005</v>
      </c>
      <c r="E590" s="18">
        <v>114</v>
      </c>
      <c r="F590" s="18">
        <v>1</v>
      </c>
      <c r="G590" s="4">
        <v>19.3</v>
      </c>
      <c r="H590" s="4">
        <f t="shared" si="6"/>
        <v>6.1433808033471609</v>
      </c>
      <c r="I590" s="2">
        <f t="shared" si="7"/>
        <v>29.641812376150053</v>
      </c>
      <c r="J590">
        <v>7</v>
      </c>
    </row>
    <row r="591" spans="1:10" x14ac:dyDescent="0.3">
      <c r="A591" t="s">
        <v>74</v>
      </c>
      <c r="B591" t="s">
        <v>66</v>
      </c>
      <c r="C591" s="4">
        <v>0.62643652800000005</v>
      </c>
      <c r="D591" s="4">
        <v>0.57808694400000005</v>
      </c>
      <c r="E591" s="18">
        <v>114</v>
      </c>
      <c r="F591" s="18">
        <v>2</v>
      </c>
      <c r="G591" s="4">
        <v>18.100000000000001</v>
      </c>
      <c r="H591" s="4">
        <f t="shared" si="6"/>
        <v>5.7614089399266115</v>
      </c>
      <c r="I591" s="2">
        <f t="shared" si="7"/>
        <v>26.070375453167916</v>
      </c>
      <c r="J591">
        <v>7</v>
      </c>
    </row>
    <row r="592" spans="1:10" x14ac:dyDescent="0.3">
      <c r="A592" t="s">
        <v>74</v>
      </c>
      <c r="B592" t="s">
        <v>66</v>
      </c>
      <c r="C592" s="4">
        <v>0.62643652800000005</v>
      </c>
      <c r="D592" s="4">
        <v>0.57808694400000005</v>
      </c>
      <c r="E592" s="18">
        <v>114</v>
      </c>
      <c r="F592" s="18">
        <v>3</v>
      </c>
      <c r="G592" s="4">
        <v>15</v>
      </c>
      <c r="H592" s="4">
        <f t="shared" si="6"/>
        <v>4.7746482927568605</v>
      </c>
      <c r="I592" s="2">
        <f t="shared" si="7"/>
        <v>17.904931097838229</v>
      </c>
      <c r="J592">
        <v>7</v>
      </c>
    </row>
    <row r="593" spans="1:10" x14ac:dyDescent="0.3">
      <c r="A593" t="s">
        <v>74</v>
      </c>
      <c r="B593" t="s">
        <v>66</v>
      </c>
      <c r="C593" s="4">
        <v>0.62643652800000005</v>
      </c>
      <c r="D593" s="4">
        <v>0.57808694400000005</v>
      </c>
      <c r="E593" s="18">
        <v>114</v>
      </c>
      <c r="F593" s="18">
        <v>4</v>
      </c>
      <c r="G593" s="4">
        <v>15.6</v>
      </c>
      <c r="H593" s="4">
        <f t="shared" si="6"/>
        <v>4.9656342244671343</v>
      </c>
      <c r="I593" s="2">
        <f t="shared" si="7"/>
        <v>19.365973475421821</v>
      </c>
      <c r="J593">
        <v>7</v>
      </c>
    </row>
    <row r="594" spans="1:10" x14ac:dyDescent="0.3">
      <c r="A594" t="s">
        <v>74</v>
      </c>
      <c r="B594" t="s">
        <v>66</v>
      </c>
      <c r="C594" s="4">
        <v>0.62643652800000005</v>
      </c>
      <c r="D594" s="4">
        <v>0.57808694400000005</v>
      </c>
      <c r="E594" s="18">
        <v>114</v>
      </c>
      <c r="F594" s="18">
        <v>5</v>
      </c>
      <c r="G594" s="4">
        <v>16.3</v>
      </c>
      <c r="H594" s="4">
        <f t="shared" si="6"/>
        <v>5.1884511447957884</v>
      </c>
      <c r="I594" s="2">
        <f t="shared" si="7"/>
        <v>21.142938415042838</v>
      </c>
      <c r="J594">
        <v>7</v>
      </c>
    </row>
    <row r="595" spans="1:10" x14ac:dyDescent="0.3">
      <c r="A595" t="s">
        <v>74</v>
      </c>
      <c r="B595" t="s">
        <v>66</v>
      </c>
      <c r="C595" s="4">
        <v>0.62643652800000005</v>
      </c>
      <c r="D595" s="4">
        <v>0.57808694400000005</v>
      </c>
      <c r="E595" s="18">
        <v>114</v>
      </c>
      <c r="F595" s="18">
        <v>6</v>
      </c>
      <c r="G595" s="4">
        <v>16.3</v>
      </c>
      <c r="H595" s="4">
        <f t="shared" si="6"/>
        <v>5.1884511447957884</v>
      </c>
      <c r="I595" s="2">
        <f t="shared" si="7"/>
        <v>21.142938415042838</v>
      </c>
      <c r="J595">
        <v>7</v>
      </c>
    </row>
    <row r="596" spans="1:10" x14ac:dyDescent="0.3">
      <c r="A596" t="s">
        <v>74</v>
      </c>
      <c r="B596" t="s">
        <v>66</v>
      </c>
      <c r="C596" s="4">
        <v>0.62643652800000005</v>
      </c>
      <c r="D596" s="4">
        <v>0.57808694400000005</v>
      </c>
      <c r="E596" s="18">
        <v>114</v>
      </c>
      <c r="F596" s="18">
        <v>7</v>
      </c>
      <c r="G596" s="4">
        <v>20.5</v>
      </c>
      <c r="H596" s="4">
        <f t="shared" si="6"/>
        <v>6.5253526667677093</v>
      </c>
      <c r="I596" s="2">
        <f t="shared" si="7"/>
        <v>33.442432417184513</v>
      </c>
      <c r="J596">
        <v>7</v>
      </c>
    </row>
    <row r="597" spans="1:10" x14ac:dyDescent="0.3">
      <c r="A597" t="s">
        <v>74</v>
      </c>
      <c r="B597" t="s">
        <v>56</v>
      </c>
      <c r="C597" s="4">
        <v>0.39984676499999999</v>
      </c>
      <c r="D597" s="4">
        <v>0.450333333</v>
      </c>
      <c r="E597" s="18">
        <v>115</v>
      </c>
      <c r="F597" s="18">
        <v>1</v>
      </c>
      <c r="G597" s="4">
        <v>17.5</v>
      </c>
      <c r="H597" s="4">
        <f t="shared" si="6"/>
        <v>5.5704230082163368</v>
      </c>
      <c r="I597" s="2">
        <f t="shared" si="7"/>
        <v>24.370600660946472</v>
      </c>
      <c r="J597">
        <v>9</v>
      </c>
    </row>
    <row r="598" spans="1:10" x14ac:dyDescent="0.3">
      <c r="A598" t="s">
        <v>74</v>
      </c>
      <c r="B598" t="s">
        <v>56</v>
      </c>
      <c r="C598" s="4">
        <v>0.39984676499999999</v>
      </c>
      <c r="D598" s="4">
        <v>0.450333333</v>
      </c>
      <c r="E598" s="18">
        <v>115</v>
      </c>
      <c r="F598" s="18">
        <v>2</v>
      </c>
      <c r="G598" s="4">
        <v>43.4</v>
      </c>
      <c r="H598" s="4">
        <f t="shared" si="6"/>
        <v>13.814649060376516</v>
      </c>
      <c r="I598" s="2">
        <f t="shared" si="7"/>
        <v>149.88894230508521</v>
      </c>
      <c r="J598">
        <v>9</v>
      </c>
    </row>
    <row r="599" spans="1:10" x14ac:dyDescent="0.3">
      <c r="A599" t="s">
        <v>74</v>
      </c>
      <c r="B599" t="s">
        <v>56</v>
      </c>
      <c r="C599" s="4">
        <v>0.39984676499999999</v>
      </c>
      <c r="D599" s="4">
        <v>0.450333333</v>
      </c>
      <c r="E599" s="18">
        <v>115</v>
      </c>
      <c r="F599" s="18">
        <v>3</v>
      </c>
      <c r="G599" s="4">
        <v>23.3</v>
      </c>
      <c r="H599" s="4">
        <f t="shared" si="6"/>
        <v>7.416620348082323</v>
      </c>
      <c r="I599" s="2">
        <f t="shared" si="7"/>
        <v>43.201813527579532</v>
      </c>
      <c r="J599">
        <v>9</v>
      </c>
    </row>
    <row r="600" spans="1:10" x14ac:dyDescent="0.3">
      <c r="A600" t="s">
        <v>74</v>
      </c>
      <c r="B600" t="s">
        <v>38</v>
      </c>
      <c r="C600" s="4">
        <v>1082380952</v>
      </c>
      <c r="D600" s="4">
        <v>0.61247410899999999</v>
      </c>
      <c r="E600" s="18">
        <v>116</v>
      </c>
      <c r="F600" s="18">
        <v>1</v>
      </c>
      <c r="G600" s="4">
        <v>16.100000000000001</v>
      </c>
      <c r="H600" s="4">
        <f t="shared" si="6"/>
        <v>5.1247891675590305</v>
      </c>
      <c r="I600" s="2">
        <f t="shared" si="7"/>
        <v>20.627276399425099</v>
      </c>
      <c r="J600">
        <v>5</v>
      </c>
    </row>
    <row r="601" spans="1:10" x14ac:dyDescent="0.3">
      <c r="A601" t="s">
        <v>74</v>
      </c>
      <c r="B601" t="s">
        <v>57</v>
      </c>
      <c r="C601" s="4">
        <v>0.61</v>
      </c>
      <c r="D601" s="4">
        <v>0.84088888900000003</v>
      </c>
      <c r="E601" s="18">
        <v>117</v>
      </c>
      <c r="F601" s="18">
        <v>1</v>
      </c>
      <c r="G601" s="4">
        <v>12.2</v>
      </c>
      <c r="H601" s="4">
        <f t="shared" si="6"/>
        <v>3.883380611442246</v>
      </c>
      <c r="I601" s="2">
        <f t="shared" si="7"/>
        <v>11.84431086489885</v>
      </c>
      <c r="J601">
        <v>6</v>
      </c>
    </row>
    <row r="602" spans="1:10" x14ac:dyDescent="0.3">
      <c r="A602" t="s">
        <v>74</v>
      </c>
      <c r="B602" t="s">
        <v>57</v>
      </c>
      <c r="C602" s="4">
        <v>0.61</v>
      </c>
      <c r="D602" s="4">
        <v>0.84088888900000003</v>
      </c>
      <c r="E602" s="18">
        <v>118</v>
      </c>
      <c r="F602" s="18">
        <v>1</v>
      </c>
      <c r="G602" s="4">
        <v>14.5</v>
      </c>
      <c r="H602" s="4">
        <f t="shared" si="6"/>
        <v>4.6154933496649653</v>
      </c>
      <c r="I602" s="2">
        <f t="shared" si="7"/>
        <v>16.7311633925355</v>
      </c>
      <c r="J602">
        <v>5</v>
      </c>
    </row>
    <row r="603" spans="1:10" x14ac:dyDescent="0.3">
      <c r="A603" t="s">
        <v>74</v>
      </c>
      <c r="B603" t="s">
        <v>57</v>
      </c>
      <c r="C603" s="4">
        <v>0.61</v>
      </c>
      <c r="D603" s="4">
        <v>0.84088888900000003</v>
      </c>
      <c r="E603" s="18">
        <v>118</v>
      </c>
      <c r="F603" s="18">
        <v>2</v>
      </c>
      <c r="G603" s="4">
        <v>13</v>
      </c>
      <c r="H603" s="4">
        <f t="shared" si="6"/>
        <v>4.1380285203892786</v>
      </c>
      <c r="I603" s="2">
        <f t="shared" si="7"/>
        <v>13.448592691265155</v>
      </c>
      <c r="J603">
        <v>5</v>
      </c>
    </row>
    <row r="604" spans="1:10" x14ac:dyDescent="0.3">
      <c r="A604" t="s">
        <v>74</v>
      </c>
      <c r="B604" t="s">
        <v>57</v>
      </c>
      <c r="C604" s="4">
        <v>0.61</v>
      </c>
      <c r="D604" s="4">
        <v>0.84088888900000003</v>
      </c>
      <c r="E604" s="18">
        <v>118</v>
      </c>
      <c r="F604" s="18">
        <v>3</v>
      </c>
      <c r="G604" s="4">
        <v>12.6</v>
      </c>
      <c r="H604" s="4">
        <f t="shared" si="6"/>
        <v>4.0107045659157627</v>
      </c>
      <c r="I604" s="2">
        <f t="shared" si="7"/>
        <v>12.633719382634654</v>
      </c>
      <c r="J604">
        <v>5</v>
      </c>
    </row>
    <row r="605" spans="1:10" x14ac:dyDescent="0.3">
      <c r="A605" t="s">
        <v>74</v>
      </c>
      <c r="B605" t="s">
        <v>57</v>
      </c>
      <c r="C605" s="4">
        <v>0.61</v>
      </c>
      <c r="D605" s="4">
        <v>0.84088888900000003</v>
      </c>
      <c r="E605" s="18">
        <v>119</v>
      </c>
      <c r="F605" s="18">
        <v>1</v>
      </c>
      <c r="G605" s="4">
        <v>21.7</v>
      </c>
      <c r="H605" s="4">
        <f t="shared" si="6"/>
        <v>6.9073245301882578</v>
      </c>
      <c r="I605" s="2">
        <f t="shared" si="7"/>
        <v>37.472235576271302</v>
      </c>
      <c r="J605">
        <v>8</v>
      </c>
    </row>
    <row r="606" spans="1:10" x14ac:dyDescent="0.3">
      <c r="A606" t="s">
        <v>74</v>
      </c>
      <c r="B606" t="s">
        <v>57</v>
      </c>
      <c r="C606" s="4">
        <v>0.61</v>
      </c>
      <c r="D606" s="4">
        <v>0.84088888900000003</v>
      </c>
      <c r="E606" s="18">
        <v>119</v>
      </c>
      <c r="F606" s="18">
        <v>2</v>
      </c>
      <c r="G606" s="4">
        <v>14.5</v>
      </c>
      <c r="H606" s="4">
        <f t="shared" si="6"/>
        <v>4.6154933496649653</v>
      </c>
      <c r="I606" s="2">
        <f t="shared" si="7"/>
        <v>16.7311633925355</v>
      </c>
      <c r="J606">
        <v>8</v>
      </c>
    </row>
    <row r="607" spans="1:10" x14ac:dyDescent="0.3">
      <c r="A607" t="s">
        <v>74</v>
      </c>
      <c r="B607" t="s">
        <v>57</v>
      </c>
      <c r="C607" s="4">
        <v>0.61</v>
      </c>
      <c r="D607" s="4">
        <v>0.84088888900000003</v>
      </c>
      <c r="E607" s="18">
        <v>119</v>
      </c>
      <c r="F607" s="18">
        <v>3</v>
      </c>
      <c r="G607" s="4">
        <v>17.3</v>
      </c>
      <c r="H607" s="4">
        <f t="shared" si="6"/>
        <v>5.5067610309795789</v>
      </c>
      <c r="I607" s="2">
        <f t="shared" si="7"/>
        <v>23.81674145898668</v>
      </c>
      <c r="J607">
        <v>8</v>
      </c>
    </row>
    <row r="608" spans="1:10" x14ac:dyDescent="0.3">
      <c r="A608" t="s">
        <v>74</v>
      </c>
      <c r="B608" t="s">
        <v>57</v>
      </c>
      <c r="C608" s="4">
        <v>0.61</v>
      </c>
      <c r="D608" s="4">
        <v>0.84088888900000003</v>
      </c>
      <c r="E608" s="18">
        <v>119</v>
      </c>
      <c r="F608" s="18">
        <v>4</v>
      </c>
      <c r="G608" s="4">
        <v>22.2</v>
      </c>
      <c r="H608" s="4">
        <f t="shared" si="6"/>
        <v>7.066479473280153</v>
      </c>
      <c r="I608" s="2">
        <f t="shared" si="7"/>
        <v>39.218961076704844</v>
      </c>
      <c r="J608">
        <v>8</v>
      </c>
    </row>
    <row r="609" spans="1:10" x14ac:dyDescent="0.3">
      <c r="A609" t="s">
        <v>74</v>
      </c>
      <c r="B609" t="s">
        <v>57</v>
      </c>
      <c r="C609" s="4">
        <v>0.61</v>
      </c>
      <c r="D609" s="4">
        <v>0.84088888900000003</v>
      </c>
      <c r="E609" s="18">
        <v>119</v>
      </c>
      <c r="F609" s="18">
        <v>5</v>
      </c>
      <c r="G609" s="4">
        <v>17.3</v>
      </c>
      <c r="H609" s="4">
        <f t="shared" si="6"/>
        <v>5.5067610309795789</v>
      </c>
      <c r="I609" s="2">
        <f t="shared" si="7"/>
        <v>23.81674145898668</v>
      </c>
      <c r="J609">
        <v>8</v>
      </c>
    </row>
    <row r="610" spans="1:10" x14ac:dyDescent="0.3">
      <c r="A610" t="s">
        <v>74</v>
      </c>
      <c r="B610" t="s">
        <v>22</v>
      </c>
      <c r="C610" s="4">
        <v>0.43836446099999998</v>
      </c>
      <c r="D610" s="4">
        <v>0.58666666700000003</v>
      </c>
      <c r="E610" s="18">
        <v>120</v>
      </c>
      <c r="F610" s="18">
        <v>1</v>
      </c>
      <c r="G610" s="4">
        <v>12.3</v>
      </c>
      <c r="H610" s="4">
        <f t="shared" si="6"/>
        <v>3.9152116000606259</v>
      </c>
      <c r="I610" s="2">
        <f t="shared" si="7"/>
        <v>12.039275670186425</v>
      </c>
      <c r="J610">
        <v>5</v>
      </c>
    </row>
    <row r="611" spans="1:10" x14ac:dyDescent="0.3">
      <c r="A611" t="s">
        <v>74</v>
      </c>
      <c r="B611" t="s">
        <v>22</v>
      </c>
      <c r="C611" s="4">
        <v>0.43836446099999998</v>
      </c>
      <c r="D611" s="4">
        <v>0.58666666700000003</v>
      </c>
      <c r="E611" s="18">
        <v>120</v>
      </c>
      <c r="F611" s="18">
        <v>2</v>
      </c>
      <c r="G611" s="4">
        <v>12.5</v>
      </c>
      <c r="H611" s="4">
        <f t="shared" si="6"/>
        <v>3.9788735772973833</v>
      </c>
      <c r="I611" s="2">
        <f t="shared" si="7"/>
        <v>12.433979929054322</v>
      </c>
      <c r="J611">
        <v>5</v>
      </c>
    </row>
    <row r="612" spans="1:10" x14ac:dyDescent="0.3">
      <c r="A612" t="s">
        <v>74</v>
      </c>
      <c r="B612" t="s">
        <v>22</v>
      </c>
      <c r="C612" s="4">
        <v>0.43836446099999998</v>
      </c>
      <c r="D612" s="4">
        <v>0.58666666700000003</v>
      </c>
      <c r="E612" s="18">
        <v>120</v>
      </c>
      <c r="F612" s="18">
        <v>3</v>
      </c>
      <c r="G612" s="4">
        <v>8.6999999999999993</v>
      </c>
      <c r="H612" s="4">
        <f t="shared" si="6"/>
        <v>2.7692960097989787</v>
      </c>
      <c r="I612" s="2">
        <f t="shared" si="7"/>
        <v>6.0232188213127777</v>
      </c>
      <c r="J612">
        <v>5</v>
      </c>
    </row>
    <row r="613" spans="1:10" x14ac:dyDescent="0.3">
      <c r="A613" t="s">
        <v>74</v>
      </c>
      <c r="B613" t="s">
        <v>22</v>
      </c>
      <c r="C613" s="4">
        <v>0.43836446099999998</v>
      </c>
      <c r="D613" s="4">
        <v>0.58666666700000003</v>
      </c>
      <c r="E613" s="18">
        <v>121</v>
      </c>
      <c r="F613" s="18">
        <v>1</v>
      </c>
      <c r="G613" s="4">
        <v>16.600000000000001</v>
      </c>
      <c r="H613" s="4">
        <f t="shared" si="6"/>
        <v>5.2839441106509257</v>
      </c>
      <c r="I613" s="2">
        <f t="shared" si="7"/>
        <v>21.928368059201343</v>
      </c>
      <c r="J613">
        <v>6.5</v>
      </c>
    </row>
    <row r="614" spans="1:10" x14ac:dyDescent="0.3">
      <c r="A614" t="s">
        <v>74</v>
      </c>
      <c r="B614" t="s">
        <v>22</v>
      </c>
      <c r="C614" s="4">
        <v>0.43836446099999998</v>
      </c>
      <c r="D614" s="4">
        <v>0.58666666700000003</v>
      </c>
      <c r="E614" s="18">
        <v>121</v>
      </c>
      <c r="F614" s="18">
        <v>2</v>
      </c>
      <c r="G614" s="4">
        <v>13.4</v>
      </c>
      <c r="H614" s="4">
        <f t="shared" si="6"/>
        <v>4.2653524748627953</v>
      </c>
      <c r="I614" s="2">
        <f t="shared" si="7"/>
        <v>14.288930790790365</v>
      </c>
      <c r="J614">
        <v>6.5</v>
      </c>
    </row>
    <row r="615" spans="1:10" x14ac:dyDescent="0.3">
      <c r="A615" t="s">
        <v>74</v>
      </c>
      <c r="B615" t="s">
        <v>22</v>
      </c>
      <c r="C615" s="4">
        <v>0.43836446099999998</v>
      </c>
      <c r="D615" s="4">
        <v>0.58666666700000003</v>
      </c>
      <c r="E615" s="18">
        <v>121</v>
      </c>
      <c r="F615" s="18">
        <v>3</v>
      </c>
      <c r="G615" s="4">
        <v>20.399999999999999</v>
      </c>
      <c r="H615" s="4">
        <f t="shared" si="6"/>
        <v>6.4935216781493299</v>
      </c>
      <c r="I615" s="2">
        <f t="shared" si="7"/>
        <v>33.11696055856158</v>
      </c>
      <c r="J615">
        <v>6.5</v>
      </c>
    </row>
    <row r="616" spans="1:10" x14ac:dyDescent="0.3">
      <c r="A616" t="s">
        <v>74</v>
      </c>
      <c r="B616" t="s">
        <v>47</v>
      </c>
      <c r="C616" s="4">
        <v>0.40238543599999999</v>
      </c>
      <c r="D616" s="4">
        <v>0.40883333300000002</v>
      </c>
      <c r="E616" s="18">
        <v>122</v>
      </c>
      <c r="F616" s="18">
        <v>1</v>
      </c>
      <c r="G616" s="4">
        <v>90.2</v>
      </c>
      <c r="H616" s="4">
        <f t="shared" si="6"/>
        <v>28.71155173377792</v>
      </c>
      <c r="I616" s="2">
        <f t="shared" si="7"/>
        <v>647.44549159669214</v>
      </c>
      <c r="J616">
        <v>11</v>
      </c>
    </row>
    <row r="617" spans="1:10" x14ac:dyDescent="0.3">
      <c r="A617" t="s">
        <v>74</v>
      </c>
      <c r="B617" t="s">
        <v>49</v>
      </c>
      <c r="C617" s="4">
        <v>0.57917600000000002</v>
      </c>
      <c r="D617" s="4">
        <v>0.60285714300000004</v>
      </c>
      <c r="E617" s="18">
        <v>123</v>
      </c>
      <c r="F617" s="18">
        <v>1</v>
      </c>
      <c r="G617" s="4">
        <v>56.6</v>
      </c>
      <c r="H617" s="4">
        <f t="shared" si="6"/>
        <v>18.016339558002553</v>
      </c>
      <c r="I617" s="2">
        <f t="shared" si="7"/>
        <v>254.93120474573615</v>
      </c>
      <c r="J617">
        <v>8</v>
      </c>
    </row>
    <row r="618" spans="1:10" x14ac:dyDescent="0.3">
      <c r="A618" t="s">
        <v>74</v>
      </c>
      <c r="B618" t="s">
        <v>49</v>
      </c>
      <c r="C618" s="4">
        <v>0.57917600000000002</v>
      </c>
      <c r="D618" s="4">
        <v>0.60285714300000004</v>
      </c>
      <c r="E618" s="18">
        <v>123</v>
      </c>
      <c r="F618" s="18">
        <v>2</v>
      </c>
      <c r="G618" s="4">
        <v>14.5</v>
      </c>
      <c r="H618" s="4">
        <f t="shared" si="6"/>
        <v>4.6154933496649653</v>
      </c>
      <c r="I618" s="2">
        <f t="shared" si="7"/>
        <v>16.7311633925355</v>
      </c>
      <c r="J618">
        <v>8</v>
      </c>
    </row>
    <row r="619" spans="1:10" x14ac:dyDescent="0.3">
      <c r="A619" t="s">
        <v>74</v>
      </c>
      <c r="B619" t="s">
        <v>49</v>
      </c>
      <c r="C619" s="4">
        <v>0.57917600000000002</v>
      </c>
      <c r="D619" s="4">
        <v>0.60285714300000004</v>
      </c>
      <c r="E619" s="18">
        <v>123</v>
      </c>
      <c r="F619" s="18">
        <v>3</v>
      </c>
      <c r="G619" s="4">
        <v>37.700000000000003</v>
      </c>
      <c r="H619" s="4">
        <f t="shared" si="6"/>
        <v>12.000282709128909</v>
      </c>
      <c r="I619" s="2">
        <f t="shared" si="7"/>
        <v>113.10266453353996</v>
      </c>
      <c r="J619">
        <v>8</v>
      </c>
    </row>
    <row r="620" spans="1:10" x14ac:dyDescent="0.3">
      <c r="A620" t="s">
        <v>74</v>
      </c>
      <c r="B620" t="s">
        <v>49</v>
      </c>
      <c r="C620" s="4">
        <v>0.57917600000000002</v>
      </c>
      <c r="D620" s="4">
        <v>0.60285714300000004</v>
      </c>
      <c r="E620" s="18">
        <v>123</v>
      </c>
      <c r="F620" s="18">
        <v>4</v>
      </c>
      <c r="G620" s="4">
        <v>30.4</v>
      </c>
      <c r="H620" s="4">
        <f t="shared" si="6"/>
        <v>9.6766205399872369</v>
      </c>
      <c r="I620" s="2">
        <f t="shared" si="7"/>
        <v>73.542316103903005</v>
      </c>
      <c r="J620">
        <v>8</v>
      </c>
    </row>
    <row r="621" spans="1:10" x14ac:dyDescent="0.3">
      <c r="A621" t="s">
        <v>74</v>
      </c>
      <c r="B621" t="s">
        <v>49</v>
      </c>
      <c r="C621" s="4">
        <v>0.57917600000000002</v>
      </c>
      <c r="D621" s="4">
        <v>0.60285714300000004</v>
      </c>
      <c r="E621" s="18">
        <v>123</v>
      </c>
      <c r="F621" s="18">
        <v>5</v>
      </c>
      <c r="G621" s="4">
        <v>43.3</v>
      </c>
      <c r="H621" s="4">
        <f t="shared" si="6"/>
        <v>13.782818071758136</v>
      </c>
      <c r="I621" s="2">
        <f t="shared" si="7"/>
        <v>149.19900562678183</v>
      </c>
      <c r="J621">
        <v>8</v>
      </c>
    </row>
    <row r="622" spans="1:10" x14ac:dyDescent="0.3">
      <c r="A622" t="s">
        <v>76</v>
      </c>
      <c r="B622" t="s">
        <v>26</v>
      </c>
      <c r="C622" s="4">
        <v>0.80908761900000004</v>
      </c>
      <c r="D622" s="4">
        <v>0.87473809499999999</v>
      </c>
      <c r="E622" s="18">
        <v>124</v>
      </c>
      <c r="F622" s="18">
        <v>1</v>
      </c>
      <c r="G622" s="4">
        <v>58.3</v>
      </c>
      <c r="H622" s="4">
        <f t="shared" si="6"/>
        <v>18.557466364514998</v>
      </c>
      <c r="I622" s="2">
        <f t="shared" si="7"/>
        <v>270.47507226280612</v>
      </c>
      <c r="J622">
        <v>12</v>
      </c>
    </row>
    <row r="623" spans="1:10" x14ac:dyDescent="0.3">
      <c r="A623" t="s">
        <v>76</v>
      </c>
      <c r="B623" t="s">
        <v>26</v>
      </c>
      <c r="C623" s="4">
        <v>0.80908761900000004</v>
      </c>
      <c r="D623" s="4">
        <v>0.87473809499999999</v>
      </c>
      <c r="E623" s="18">
        <v>124</v>
      </c>
      <c r="F623" s="18">
        <v>2</v>
      </c>
      <c r="G623" s="4">
        <v>22.3</v>
      </c>
      <c r="H623" s="4">
        <f t="shared" si="6"/>
        <v>7.0983104618985324</v>
      </c>
      <c r="I623" s="2">
        <f t="shared" si="7"/>
        <v>39.573080825084325</v>
      </c>
      <c r="J623">
        <v>12</v>
      </c>
    </row>
    <row r="624" spans="1:10" x14ac:dyDescent="0.3">
      <c r="A624" t="s">
        <v>76</v>
      </c>
      <c r="B624" t="s">
        <v>26</v>
      </c>
      <c r="C624" s="4">
        <v>0.80908761900000004</v>
      </c>
      <c r="D624" s="4">
        <v>0.87473809499999999</v>
      </c>
      <c r="E624" s="18">
        <v>125</v>
      </c>
      <c r="F624" s="18">
        <v>1</v>
      </c>
      <c r="G624" s="4">
        <v>84.2</v>
      </c>
      <c r="H624" s="4">
        <f t="shared" si="6"/>
        <v>26.801692416675177</v>
      </c>
      <c r="I624" s="2">
        <f t="shared" si="7"/>
        <v>564.17562537101253</v>
      </c>
      <c r="J624">
        <v>12</v>
      </c>
    </row>
    <row r="625" spans="1:10" x14ac:dyDescent="0.3">
      <c r="A625" t="s">
        <v>76</v>
      </c>
      <c r="B625" t="s">
        <v>69</v>
      </c>
      <c r="C625" s="4">
        <v>0.31264018999999998</v>
      </c>
      <c r="D625" s="4">
        <v>0.356821212</v>
      </c>
      <c r="E625" s="18">
        <v>126</v>
      </c>
      <c r="F625" s="18">
        <v>1</v>
      </c>
      <c r="G625" s="4">
        <v>43.3</v>
      </c>
      <c r="H625" s="4">
        <f t="shared" si="6"/>
        <v>13.782818071758136</v>
      </c>
      <c r="I625" s="2">
        <f t="shared" si="7"/>
        <v>149.19900562678183</v>
      </c>
      <c r="J625">
        <v>6</v>
      </c>
    </row>
    <row r="626" spans="1:10" x14ac:dyDescent="0.3">
      <c r="A626" t="s">
        <v>76</v>
      </c>
      <c r="B626" t="s">
        <v>69</v>
      </c>
      <c r="C626" s="4">
        <v>0.31264018999999998</v>
      </c>
      <c r="D626" s="4">
        <v>0.356821212</v>
      </c>
      <c r="E626" s="18">
        <v>127</v>
      </c>
      <c r="F626" s="18">
        <v>1</v>
      </c>
      <c r="G626" s="4">
        <v>24.3</v>
      </c>
      <c r="H626" s="4">
        <f t="shared" si="6"/>
        <v>7.7349302342661135</v>
      </c>
      <c r="I626" s="2">
        <f t="shared" si="7"/>
        <v>46.989701173166644</v>
      </c>
      <c r="J626">
        <v>5</v>
      </c>
    </row>
    <row r="627" spans="1:10" x14ac:dyDescent="0.3">
      <c r="A627" t="s">
        <v>76</v>
      </c>
      <c r="B627" t="s">
        <v>69</v>
      </c>
      <c r="C627" s="4">
        <v>0.31264018999999998</v>
      </c>
      <c r="D627" s="4">
        <v>0.356821212</v>
      </c>
      <c r="E627" s="18">
        <v>128</v>
      </c>
      <c r="F627" s="18">
        <v>1</v>
      </c>
      <c r="G627" s="4">
        <v>23.2</v>
      </c>
      <c r="H627" s="4">
        <f t="shared" si="6"/>
        <v>7.3847893594639435</v>
      </c>
      <c r="I627" s="2">
        <f t="shared" si="7"/>
        <v>42.831778284890873</v>
      </c>
      <c r="J627">
        <v>4.5</v>
      </c>
    </row>
    <row r="628" spans="1:10" x14ac:dyDescent="0.3">
      <c r="A628" t="s">
        <v>76</v>
      </c>
      <c r="B628" t="s">
        <v>55</v>
      </c>
      <c r="C628" s="4">
        <v>0.52500000000000002</v>
      </c>
      <c r="D628" s="4">
        <v>0.52500000000000002</v>
      </c>
      <c r="E628" s="18">
        <v>129</v>
      </c>
      <c r="F628" s="18">
        <v>1</v>
      </c>
      <c r="G628" s="4">
        <v>20.5</v>
      </c>
      <c r="H628" s="4">
        <f t="shared" si="6"/>
        <v>6.5253526667677093</v>
      </c>
      <c r="I628" s="2">
        <f t="shared" si="7"/>
        <v>33.442432417184513</v>
      </c>
      <c r="J628">
        <v>6</v>
      </c>
    </row>
    <row r="629" spans="1:10" x14ac:dyDescent="0.3">
      <c r="A629" t="s">
        <v>76</v>
      </c>
      <c r="B629" t="s">
        <v>55</v>
      </c>
      <c r="C629" s="4">
        <v>0.52500000000000002</v>
      </c>
      <c r="D629" s="4">
        <v>0.52500000000000002</v>
      </c>
      <c r="E629" s="18">
        <v>130</v>
      </c>
      <c r="F629" s="18">
        <v>1</v>
      </c>
      <c r="G629" s="4">
        <v>49.6</v>
      </c>
      <c r="H629" s="4">
        <f t="shared" ref="H629:H745" si="8">G629/PI()</f>
        <v>15.788170354716019</v>
      </c>
      <c r="I629" s="2">
        <f t="shared" si="7"/>
        <v>195.77331239847865</v>
      </c>
      <c r="J629">
        <v>8</v>
      </c>
    </row>
    <row r="630" spans="1:10" x14ac:dyDescent="0.3">
      <c r="A630" t="s">
        <v>76</v>
      </c>
      <c r="B630" t="s">
        <v>55</v>
      </c>
      <c r="C630" s="4">
        <v>0.52500000000000002</v>
      </c>
      <c r="D630" s="4">
        <v>0.52500000000000002</v>
      </c>
      <c r="E630" s="18">
        <v>131</v>
      </c>
      <c r="F630" s="18">
        <v>1</v>
      </c>
      <c r="G630" s="4">
        <v>47.5</v>
      </c>
      <c r="H630" s="4">
        <f t="shared" si="8"/>
        <v>15.119719593730057</v>
      </c>
      <c r="I630" s="2">
        <f t="shared" si="7"/>
        <v>179.54667017554442</v>
      </c>
      <c r="J630">
        <v>10</v>
      </c>
    </row>
    <row r="631" spans="1:10" x14ac:dyDescent="0.3">
      <c r="A631" t="s">
        <v>76</v>
      </c>
      <c r="B631" t="s">
        <v>55</v>
      </c>
      <c r="C631" s="4">
        <v>0.52500000000000002</v>
      </c>
      <c r="D631" s="4">
        <v>0.52500000000000002</v>
      </c>
      <c r="E631" s="18">
        <v>131</v>
      </c>
      <c r="F631" s="18">
        <v>2</v>
      </c>
      <c r="G631" s="4">
        <v>26.6</v>
      </c>
      <c r="H631" s="4">
        <f t="shared" si="8"/>
        <v>8.4670429724888319</v>
      </c>
      <c r="I631" s="2">
        <f t="shared" si="7"/>
        <v>56.305835767050723</v>
      </c>
      <c r="J631">
        <v>10</v>
      </c>
    </row>
    <row r="632" spans="1:10" x14ac:dyDescent="0.3">
      <c r="A632" t="s">
        <v>76</v>
      </c>
      <c r="B632" t="s">
        <v>55</v>
      </c>
      <c r="C632" s="4">
        <v>0.52500000000000002</v>
      </c>
      <c r="D632" s="4">
        <v>0.52500000000000002</v>
      </c>
      <c r="E632" s="18">
        <v>131</v>
      </c>
      <c r="F632" s="18">
        <v>3</v>
      </c>
      <c r="G632" s="4">
        <v>44.6</v>
      </c>
      <c r="H632" s="4">
        <f t="shared" si="8"/>
        <v>14.196620923797065</v>
      </c>
      <c r="I632" s="2">
        <f t="shared" si="7"/>
        <v>158.2923233003373</v>
      </c>
      <c r="J632">
        <v>10</v>
      </c>
    </row>
    <row r="633" spans="1:10" x14ac:dyDescent="0.3">
      <c r="A633" t="s">
        <v>76</v>
      </c>
      <c r="B633" t="s">
        <v>55</v>
      </c>
      <c r="C633" s="4">
        <v>0.52500000000000002</v>
      </c>
      <c r="D633" s="4">
        <v>0.52500000000000002</v>
      </c>
      <c r="E633" s="18">
        <v>132</v>
      </c>
      <c r="F633" s="18">
        <v>1</v>
      </c>
      <c r="G633" s="4">
        <v>27.4</v>
      </c>
      <c r="H633" s="4">
        <f t="shared" si="8"/>
        <v>8.7216908814358636</v>
      </c>
      <c r="I633" s="2">
        <f t="shared" si="7"/>
        <v>59.743582537835657</v>
      </c>
      <c r="J633">
        <v>6.5</v>
      </c>
    </row>
    <row r="634" spans="1:10" x14ac:dyDescent="0.3">
      <c r="A634" t="s">
        <v>76</v>
      </c>
      <c r="B634" t="s">
        <v>55</v>
      </c>
      <c r="C634" s="4">
        <v>0.52500000000000002</v>
      </c>
      <c r="D634" s="4">
        <v>0.52500000000000002</v>
      </c>
      <c r="E634" s="18">
        <v>133</v>
      </c>
      <c r="F634" s="18">
        <v>1</v>
      </c>
      <c r="G634" s="4">
        <v>27.5</v>
      </c>
      <c r="H634" s="4">
        <f t="shared" si="8"/>
        <v>8.753521870054243</v>
      </c>
      <c r="I634" s="2">
        <f t="shared" si="7"/>
        <v>60.18046285662291</v>
      </c>
      <c r="J634">
        <v>5</v>
      </c>
    </row>
    <row r="635" spans="1:10" x14ac:dyDescent="0.3">
      <c r="A635" t="s">
        <v>76</v>
      </c>
      <c r="B635" t="s">
        <v>56</v>
      </c>
      <c r="C635" s="4">
        <v>0.39984676499999999</v>
      </c>
      <c r="D635" s="4">
        <v>0.450333333</v>
      </c>
      <c r="E635" s="18">
        <v>134</v>
      </c>
      <c r="F635" s="18">
        <v>1</v>
      </c>
      <c r="G635" s="4">
        <v>30.5</v>
      </c>
      <c r="H635" s="4">
        <f t="shared" si="8"/>
        <v>9.7084515286056163</v>
      </c>
      <c r="I635" s="2">
        <f t="shared" si="7"/>
        <v>74.02694290561783</v>
      </c>
      <c r="J635">
        <v>7</v>
      </c>
    </row>
    <row r="636" spans="1:10" x14ac:dyDescent="0.3">
      <c r="A636" t="s">
        <v>76</v>
      </c>
      <c r="B636" t="s">
        <v>56</v>
      </c>
      <c r="C636" s="4">
        <v>0.39984676499999999</v>
      </c>
      <c r="D636" s="4">
        <v>0.450333333</v>
      </c>
      <c r="E636" s="18">
        <v>134</v>
      </c>
      <c r="F636" s="18">
        <v>2</v>
      </c>
      <c r="G636" s="4">
        <v>27.2</v>
      </c>
      <c r="H636" s="4">
        <f t="shared" si="8"/>
        <v>8.6580289041991065</v>
      </c>
      <c r="I636" s="2">
        <f t="shared" si="7"/>
        <v>58.874596548553917</v>
      </c>
      <c r="J636">
        <v>7</v>
      </c>
    </row>
    <row r="637" spans="1:10" x14ac:dyDescent="0.3">
      <c r="A637" t="s">
        <v>76</v>
      </c>
      <c r="B637" t="s">
        <v>56</v>
      </c>
      <c r="C637" s="4">
        <v>0.39984676499999999</v>
      </c>
      <c r="D637" s="4">
        <v>0.450333333</v>
      </c>
      <c r="E637" s="18">
        <v>135</v>
      </c>
      <c r="F637" s="18">
        <v>1</v>
      </c>
      <c r="G637" s="4">
        <v>19.5</v>
      </c>
      <c r="H637" s="4">
        <f t="shared" si="8"/>
        <v>6.2070427805839179</v>
      </c>
      <c r="I637" s="2">
        <f t="shared" si="7"/>
        <v>30.259333555346597</v>
      </c>
      <c r="J637">
        <v>7</v>
      </c>
    </row>
    <row r="638" spans="1:10" x14ac:dyDescent="0.3">
      <c r="A638" t="s">
        <v>76</v>
      </c>
      <c r="B638" t="s">
        <v>56</v>
      </c>
      <c r="C638" s="4">
        <v>0.39984676499999999</v>
      </c>
      <c r="D638" s="4">
        <v>0.450333333</v>
      </c>
      <c r="E638" s="18">
        <v>135</v>
      </c>
      <c r="F638" s="18">
        <v>2</v>
      </c>
      <c r="G638" s="4">
        <v>31.6</v>
      </c>
      <c r="H638" s="4">
        <f t="shared" si="8"/>
        <v>10.058592403407786</v>
      </c>
      <c r="I638" s="2">
        <f t="shared" si="7"/>
        <v>79.462879986921521</v>
      </c>
      <c r="J638">
        <v>7</v>
      </c>
    </row>
    <row r="639" spans="1:10" x14ac:dyDescent="0.3">
      <c r="A639" t="s">
        <v>76</v>
      </c>
      <c r="B639" t="s">
        <v>22</v>
      </c>
      <c r="C639" s="4">
        <v>0.43836446099999998</v>
      </c>
      <c r="D639" s="4">
        <v>0.58666666700000003</v>
      </c>
      <c r="E639" s="18">
        <v>136</v>
      </c>
      <c r="F639" s="18">
        <v>1</v>
      </c>
      <c r="G639" s="4">
        <v>11.3</v>
      </c>
      <c r="H639" s="4">
        <f t="shared" si="8"/>
        <v>3.5969017138768349</v>
      </c>
      <c r="I639" s="2">
        <f t="shared" si="7"/>
        <v>10.16124734170206</v>
      </c>
      <c r="J639">
        <v>6</v>
      </c>
    </row>
    <row r="640" spans="1:10" x14ac:dyDescent="0.3">
      <c r="A640" t="s">
        <v>76</v>
      </c>
      <c r="B640" t="s">
        <v>22</v>
      </c>
      <c r="C640" s="4">
        <v>0.43836446099999998</v>
      </c>
      <c r="D640" s="4">
        <v>0.58666666700000003</v>
      </c>
      <c r="E640" s="18">
        <v>136</v>
      </c>
      <c r="F640" s="18">
        <v>2</v>
      </c>
      <c r="G640" s="4">
        <v>12.4</v>
      </c>
      <c r="H640" s="4">
        <f t="shared" si="8"/>
        <v>3.9470425886790048</v>
      </c>
      <c r="I640" s="2">
        <f t="shared" si="7"/>
        <v>12.235832024904916</v>
      </c>
      <c r="J640">
        <v>6</v>
      </c>
    </row>
    <row r="641" spans="1:10" x14ac:dyDescent="0.3">
      <c r="A641" t="s">
        <v>76</v>
      </c>
      <c r="B641" t="s">
        <v>22</v>
      </c>
      <c r="C641" s="4">
        <v>0.43836446099999998</v>
      </c>
      <c r="D641" s="4">
        <v>0.58666666700000003</v>
      </c>
      <c r="E641" s="18">
        <v>136</v>
      </c>
      <c r="F641" s="18">
        <v>3</v>
      </c>
      <c r="G641" s="4">
        <v>11.7</v>
      </c>
      <c r="H641" s="4">
        <f t="shared" si="8"/>
        <v>3.7242256683503507</v>
      </c>
      <c r="I641" s="2">
        <f t="shared" si="7"/>
        <v>10.893360079924774</v>
      </c>
      <c r="J641">
        <v>6</v>
      </c>
    </row>
    <row r="642" spans="1:10" x14ac:dyDescent="0.3">
      <c r="A642" t="s">
        <v>76</v>
      </c>
      <c r="B642" t="s">
        <v>22</v>
      </c>
      <c r="C642" s="4">
        <v>0.43836446099999998</v>
      </c>
      <c r="D642" s="4">
        <v>0.58666666700000003</v>
      </c>
      <c r="E642" s="18">
        <v>137</v>
      </c>
      <c r="F642" s="18">
        <v>1</v>
      </c>
      <c r="G642" s="4">
        <v>10.1</v>
      </c>
      <c r="H642" s="4">
        <f t="shared" si="8"/>
        <v>3.214929850456286</v>
      </c>
      <c r="I642" s="2">
        <f t="shared" si="7"/>
        <v>8.1176978724021218</v>
      </c>
      <c r="J642">
        <v>5.5</v>
      </c>
    </row>
    <row r="643" spans="1:10" x14ac:dyDescent="0.3">
      <c r="A643" t="s">
        <v>76</v>
      </c>
      <c r="B643" t="s">
        <v>22</v>
      </c>
      <c r="C643" s="4">
        <v>0.43836446099999998</v>
      </c>
      <c r="D643" s="4">
        <v>0.58666666700000003</v>
      </c>
      <c r="E643" s="18">
        <v>137</v>
      </c>
      <c r="F643" s="18">
        <v>2</v>
      </c>
      <c r="G643" s="4">
        <v>11.2</v>
      </c>
      <c r="H643" s="4">
        <f t="shared" si="8"/>
        <v>3.5650707252584555</v>
      </c>
      <c r="I643" s="2">
        <f t="shared" si="7"/>
        <v>9.9821980307236746</v>
      </c>
      <c r="J643">
        <v>5.5</v>
      </c>
    </row>
    <row r="644" spans="1:10" x14ac:dyDescent="0.3">
      <c r="A644" t="s">
        <v>76</v>
      </c>
      <c r="B644" t="s">
        <v>22</v>
      </c>
      <c r="C644" s="4">
        <v>0.43836446099999998</v>
      </c>
      <c r="D644" s="4">
        <v>0.58666666700000003</v>
      </c>
      <c r="E644" s="18">
        <v>137</v>
      </c>
      <c r="F644" s="18">
        <v>3</v>
      </c>
      <c r="G644" s="4">
        <v>12.2</v>
      </c>
      <c r="H644" s="4">
        <f t="shared" si="8"/>
        <v>3.883380611442246</v>
      </c>
      <c r="I644" s="2">
        <f t="shared" si="7"/>
        <v>11.84431086489885</v>
      </c>
      <c r="J644">
        <v>5.5</v>
      </c>
    </row>
    <row r="645" spans="1:10" x14ac:dyDescent="0.3">
      <c r="A645" t="s">
        <v>77</v>
      </c>
      <c r="B645" t="s">
        <v>69</v>
      </c>
      <c r="C645" s="4">
        <v>0.31264018999999998</v>
      </c>
      <c r="D645" s="4">
        <v>0.356821212</v>
      </c>
      <c r="E645" s="18">
        <v>138</v>
      </c>
      <c r="F645" s="18">
        <v>1</v>
      </c>
      <c r="G645" s="4">
        <v>21.5</v>
      </c>
      <c r="H645" s="4">
        <f t="shared" si="8"/>
        <v>6.8436625529514998</v>
      </c>
      <c r="I645" s="2">
        <f t="shared" si="7"/>
        <v>36.78468622211431</v>
      </c>
      <c r="J645">
        <v>3</v>
      </c>
    </row>
    <row r="646" spans="1:10" x14ac:dyDescent="0.3">
      <c r="A646" t="s">
        <v>77</v>
      </c>
      <c r="B646" t="s">
        <v>69</v>
      </c>
      <c r="C646" s="4">
        <v>0.31264018999999998</v>
      </c>
      <c r="D646" s="4">
        <v>0.356821212</v>
      </c>
      <c r="E646" s="18">
        <v>139</v>
      </c>
      <c r="F646" s="18">
        <v>1</v>
      </c>
      <c r="G646" s="4">
        <v>26.6</v>
      </c>
      <c r="H646" s="4">
        <f t="shared" si="8"/>
        <v>8.4670429724888319</v>
      </c>
      <c r="I646" s="2">
        <f t="shared" si="7"/>
        <v>56.305835767050723</v>
      </c>
      <c r="J646">
        <v>4.5</v>
      </c>
    </row>
    <row r="647" spans="1:10" x14ac:dyDescent="0.3">
      <c r="A647" t="s">
        <v>77</v>
      </c>
      <c r="B647" t="s">
        <v>69</v>
      </c>
      <c r="C647" s="4">
        <v>0.31264018999999998</v>
      </c>
      <c r="D647" s="4">
        <v>0.356821212</v>
      </c>
      <c r="E647" s="18">
        <v>140</v>
      </c>
      <c r="F647" s="18">
        <v>1</v>
      </c>
      <c r="G647" s="4">
        <v>35.4</v>
      </c>
      <c r="H647" s="4">
        <f t="shared" si="8"/>
        <v>11.26816997090619</v>
      </c>
      <c r="I647" s="2">
        <f t="shared" ref="I647:I773" si="9">PI()*(H647/2)^2</f>
        <v>99.723304242519774</v>
      </c>
      <c r="J647">
        <v>4.5</v>
      </c>
    </row>
    <row r="648" spans="1:10" x14ac:dyDescent="0.3">
      <c r="A648" t="s">
        <v>77</v>
      </c>
      <c r="B648" t="s">
        <v>69</v>
      </c>
      <c r="C648" s="4">
        <v>0.31264018999999998</v>
      </c>
      <c r="D648" s="4">
        <v>0.356821212</v>
      </c>
      <c r="E648" s="18">
        <v>141</v>
      </c>
      <c r="F648" s="18">
        <v>1</v>
      </c>
      <c r="G648" s="4">
        <v>44.3</v>
      </c>
      <c r="H648" s="4">
        <f t="shared" si="8"/>
        <v>14.101127957941927</v>
      </c>
      <c r="I648" s="2">
        <f t="shared" si="9"/>
        <v>156.16999213420684</v>
      </c>
      <c r="J648">
        <v>6</v>
      </c>
    </row>
    <row r="649" spans="1:10" x14ac:dyDescent="0.3">
      <c r="A649" t="s">
        <v>77</v>
      </c>
      <c r="B649" t="s">
        <v>69</v>
      </c>
      <c r="C649" s="4">
        <v>0.31264018999999998</v>
      </c>
      <c r="D649" s="4">
        <v>0.356821212</v>
      </c>
      <c r="E649" s="18">
        <v>142</v>
      </c>
      <c r="F649" s="18">
        <v>1</v>
      </c>
      <c r="G649" s="4">
        <v>23.2</v>
      </c>
      <c r="H649" s="4">
        <f t="shared" si="8"/>
        <v>7.3847893594639435</v>
      </c>
      <c r="I649" s="2">
        <f t="shared" si="9"/>
        <v>42.831778284890873</v>
      </c>
      <c r="J649">
        <v>3</v>
      </c>
    </row>
    <row r="650" spans="1:10" x14ac:dyDescent="0.3">
      <c r="A650" t="s">
        <v>77</v>
      </c>
      <c r="B650" t="s">
        <v>69</v>
      </c>
      <c r="C650" s="4">
        <v>0.31264018999999998</v>
      </c>
      <c r="D650" s="4">
        <v>0.356821212</v>
      </c>
      <c r="E650" s="18">
        <v>143</v>
      </c>
      <c r="F650" s="18">
        <v>1</v>
      </c>
      <c r="G650" s="4">
        <v>32.299999999999997</v>
      </c>
      <c r="H650" s="4">
        <f t="shared" si="8"/>
        <v>10.281409323736439</v>
      </c>
      <c r="I650" s="2">
        <f t="shared" si="9"/>
        <v>83.022380289171736</v>
      </c>
      <c r="J650">
        <v>5</v>
      </c>
    </row>
    <row r="651" spans="1:10" x14ac:dyDescent="0.3">
      <c r="A651" t="s">
        <v>77</v>
      </c>
      <c r="B651" t="s">
        <v>69</v>
      </c>
      <c r="C651" s="4">
        <v>0.31264018999999998</v>
      </c>
      <c r="D651" s="4">
        <v>0.356821212</v>
      </c>
      <c r="E651" s="18">
        <v>144</v>
      </c>
      <c r="F651" s="18">
        <v>1</v>
      </c>
      <c r="G651" s="4">
        <v>18.5</v>
      </c>
      <c r="H651" s="4">
        <f t="shared" si="8"/>
        <v>5.8887328944001274</v>
      </c>
      <c r="I651" s="2">
        <f t="shared" si="9"/>
        <v>27.235389636600587</v>
      </c>
      <c r="J651">
        <v>5</v>
      </c>
    </row>
    <row r="652" spans="1:10" x14ac:dyDescent="0.3">
      <c r="A652" t="s">
        <v>77</v>
      </c>
      <c r="B652" t="s">
        <v>55</v>
      </c>
      <c r="C652" s="4">
        <v>0.52500000000000002</v>
      </c>
      <c r="D652" s="4">
        <v>0.52500000000000002</v>
      </c>
      <c r="E652" s="18">
        <v>145</v>
      </c>
      <c r="F652" s="18">
        <v>1</v>
      </c>
      <c r="G652" s="4">
        <v>17.5</v>
      </c>
      <c r="H652" s="4">
        <f t="shared" si="8"/>
        <v>5.5704230082163368</v>
      </c>
      <c r="I652" s="2">
        <f t="shared" si="9"/>
        <v>24.370600660946472</v>
      </c>
      <c r="J652">
        <v>7</v>
      </c>
    </row>
    <row r="653" spans="1:10" x14ac:dyDescent="0.3">
      <c r="A653" t="s">
        <v>77</v>
      </c>
      <c r="B653" t="s">
        <v>55</v>
      </c>
      <c r="C653" s="4">
        <v>0.52500000000000002</v>
      </c>
      <c r="D653" s="4">
        <v>0.52500000000000002</v>
      </c>
      <c r="E653" s="18">
        <v>146</v>
      </c>
      <c r="F653" s="18">
        <v>1</v>
      </c>
      <c r="G653" s="4">
        <v>35.4</v>
      </c>
      <c r="H653" s="4">
        <f t="shared" si="8"/>
        <v>11.26816997090619</v>
      </c>
      <c r="I653" s="2">
        <f t="shared" si="9"/>
        <v>99.723304242519774</v>
      </c>
      <c r="J653">
        <v>8</v>
      </c>
    </row>
    <row r="654" spans="1:10" x14ac:dyDescent="0.3">
      <c r="A654" t="s">
        <v>77</v>
      </c>
      <c r="B654" t="s">
        <v>55</v>
      </c>
      <c r="C654" s="4">
        <v>0.52500000000000002</v>
      </c>
      <c r="D654" s="4">
        <v>0.52500000000000002</v>
      </c>
      <c r="E654" s="18">
        <v>146</v>
      </c>
      <c r="F654" s="18">
        <v>2</v>
      </c>
      <c r="G654" s="4">
        <v>18.2</v>
      </c>
      <c r="H654" s="4">
        <f t="shared" si="8"/>
        <v>5.79323992854499</v>
      </c>
      <c r="I654" s="2">
        <f t="shared" si="9"/>
        <v>26.359241674879701</v>
      </c>
      <c r="J654">
        <v>8</v>
      </c>
    </row>
    <row r="655" spans="1:10" x14ac:dyDescent="0.3">
      <c r="A655" t="s">
        <v>77</v>
      </c>
      <c r="B655" t="s">
        <v>55</v>
      </c>
      <c r="C655" s="4">
        <v>0.52500000000000002</v>
      </c>
      <c r="D655" s="4">
        <v>0.52500000000000002</v>
      </c>
      <c r="E655" s="18">
        <v>147</v>
      </c>
      <c r="F655" s="18">
        <v>1</v>
      </c>
      <c r="G655" s="4">
        <v>41.5</v>
      </c>
      <c r="H655" s="4">
        <f t="shared" si="8"/>
        <v>13.209860276627314</v>
      </c>
      <c r="I655" s="2">
        <f t="shared" si="9"/>
        <v>137.0523003700084</v>
      </c>
      <c r="J655">
        <v>8</v>
      </c>
    </row>
    <row r="656" spans="1:10" x14ac:dyDescent="0.3">
      <c r="A656" t="s">
        <v>77</v>
      </c>
      <c r="B656" t="s">
        <v>55</v>
      </c>
      <c r="C656" s="4">
        <v>0.52500000000000002</v>
      </c>
      <c r="D656" s="4">
        <v>0.52500000000000002</v>
      </c>
      <c r="E656" s="18">
        <v>147</v>
      </c>
      <c r="F656" s="18">
        <v>2</v>
      </c>
      <c r="G656" s="4">
        <v>27.3</v>
      </c>
      <c r="H656" s="4">
        <f t="shared" si="8"/>
        <v>8.6898598928174859</v>
      </c>
      <c r="I656" s="2">
        <f t="shared" si="9"/>
        <v>59.308293768479338</v>
      </c>
      <c r="J656">
        <v>8</v>
      </c>
    </row>
    <row r="657" spans="1:10" x14ac:dyDescent="0.3">
      <c r="A657" t="s">
        <v>77</v>
      </c>
      <c r="B657" t="s">
        <v>55</v>
      </c>
      <c r="C657" s="4">
        <v>0.52500000000000002</v>
      </c>
      <c r="D657" s="4">
        <v>0.52500000000000002</v>
      </c>
      <c r="E657" s="18">
        <v>147</v>
      </c>
      <c r="F657" s="18">
        <v>3</v>
      </c>
      <c r="G657" s="4">
        <v>19.2</v>
      </c>
      <c r="H657" s="4">
        <f t="shared" si="8"/>
        <v>6.1115498147287806</v>
      </c>
      <c r="I657" s="2">
        <f t="shared" si="9"/>
        <v>29.335439110698147</v>
      </c>
      <c r="J657">
        <v>8</v>
      </c>
    </row>
    <row r="658" spans="1:10" x14ac:dyDescent="0.3">
      <c r="A658" t="s">
        <v>77</v>
      </c>
      <c r="B658" t="s">
        <v>55</v>
      </c>
      <c r="C658" s="4">
        <v>0.52500000000000002</v>
      </c>
      <c r="D658" s="4">
        <v>0.52500000000000002</v>
      </c>
      <c r="E658" s="18">
        <v>148</v>
      </c>
      <c r="F658" s="18">
        <v>1</v>
      </c>
      <c r="G658" s="4">
        <v>34.200000000000003</v>
      </c>
      <c r="H658" s="4">
        <f t="shared" si="8"/>
        <v>10.886198107485642</v>
      </c>
      <c r="I658" s="2">
        <f t="shared" si="9"/>
        <v>93.07699381900224</v>
      </c>
      <c r="J658">
        <v>8</v>
      </c>
    </row>
    <row r="659" spans="1:10" x14ac:dyDescent="0.3">
      <c r="A659" t="s">
        <v>77</v>
      </c>
      <c r="B659" t="s">
        <v>56</v>
      </c>
      <c r="C659" s="4">
        <v>0.39984676499999999</v>
      </c>
      <c r="D659" s="4">
        <v>0.450333333</v>
      </c>
      <c r="E659" s="18">
        <v>149</v>
      </c>
      <c r="F659" s="18">
        <v>1</v>
      </c>
      <c r="G659" s="4">
        <v>45.5</v>
      </c>
      <c r="H659" s="4">
        <f t="shared" si="8"/>
        <v>14.483099821362476</v>
      </c>
      <c r="I659" s="2">
        <f t="shared" si="9"/>
        <v>164.74526046799815</v>
      </c>
      <c r="J659">
        <v>8</v>
      </c>
    </row>
    <row r="660" spans="1:10" x14ac:dyDescent="0.3">
      <c r="A660" t="s">
        <v>77</v>
      </c>
      <c r="B660" t="s">
        <v>56</v>
      </c>
      <c r="C660" s="4">
        <v>0.39984676499999999</v>
      </c>
      <c r="D660" s="4">
        <v>0.450333333</v>
      </c>
      <c r="E660" s="18">
        <v>150</v>
      </c>
      <c r="F660" s="18">
        <v>1</v>
      </c>
      <c r="G660" s="4">
        <v>50.2</v>
      </c>
      <c r="H660" s="4">
        <f t="shared" si="8"/>
        <v>15.979156286426294</v>
      </c>
      <c r="I660" s="2">
        <f t="shared" si="9"/>
        <v>200.53841139465001</v>
      </c>
      <c r="J660">
        <v>11</v>
      </c>
    </row>
    <row r="661" spans="1:10" x14ac:dyDescent="0.3">
      <c r="A661" t="s">
        <v>77</v>
      </c>
      <c r="B661" t="s">
        <v>78</v>
      </c>
      <c r="C661" s="4">
        <v>0.43538739399999998</v>
      </c>
      <c r="D661" s="4">
        <v>0.568333333</v>
      </c>
      <c r="E661" s="18">
        <v>151</v>
      </c>
      <c r="F661" s="18">
        <v>1</v>
      </c>
      <c r="G661" s="4">
        <v>31.7</v>
      </c>
      <c r="H661" s="4">
        <f t="shared" si="8"/>
        <v>10.090423392026164</v>
      </c>
      <c r="I661" s="2">
        <f t="shared" si="9"/>
        <v>79.966605381807341</v>
      </c>
      <c r="J661">
        <v>6.5</v>
      </c>
    </row>
    <row r="662" spans="1:10" x14ac:dyDescent="0.3">
      <c r="A662" t="s">
        <v>77</v>
      </c>
      <c r="B662" t="s">
        <v>32</v>
      </c>
      <c r="C662" s="4">
        <v>0.65716857299999998</v>
      </c>
      <c r="D662" s="4">
        <v>0.85527777800000004</v>
      </c>
      <c r="E662" s="18">
        <v>152</v>
      </c>
      <c r="F662" s="18">
        <v>1</v>
      </c>
      <c r="G662" s="4">
        <v>19.5</v>
      </c>
      <c r="H662" s="4">
        <f t="shared" si="8"/>
        <v>6.2070427805839179</v>
      </c>
      <c r="I662" s="2">
        <f t="shared" si="9"/>
        <v>30.259333555346597</v>
      </c>
      <c r="J662">
        <v>6</v>
      </c>
    </row>
    <row r="663" spans="1:10" x14ac:dyDescent="0.3">
      <c r="A663" t="s">
        <v>77</v>
      </c>
      <c r="B663" t="s">
        <v>32</v>
      </c>
      <c r="C663" s="4">
        <v>0.65716857299999998</v>
      </c>
      <c r="D663" s="4">
        <v>0.85527777800000004</v>
      </c>
      <c r="E663" s="18">
        <v>153</v>
      </c>
      <c r="F663" s="18">
        <v>1</v>
      </c>
      <c r="G663" s="4">
        <v>18.2</v>
      </c>
      <c r="H663" s="4">
        <f t="shared" si="8"/>
        <v>5.79323992854499</v>
      </c>
      <c r="I663" s="2">
        <f t="shared" si="9"/>
        <v>26.359241674879701</v>
      </c>
      <c r="J663">
        <v>6</v>
      </c>
    </row>
    <row r="664" spans="1:10" x14ac:dyDescent="0.3">
      <c r="A664" t="s">
        <v>77</v>
      </c>
      <c r="B664" t="s">
        <v>32</v>
      </c>
      <c r="C664" s="4">
        <v>0.65716857299999998</v>
      </c>
      <c r="D664" s="4">
        <v>0.85527777800000004</v>
      </c>
      <c r="E664" s="18">
        <v>154</v>
      </c>
      <c r="F664" s="18">
        <v>1</v>
      </c>
      <c r="G664" s="4">
        <v>23.4</v>
      </c>
      <c r="H664" s="4">
        <f t="shared" si="8"/>
        <v>7.4484513367007015</v>
      </c>
      <c r="I664" s="2">
        <f t="shared" si="9"/>
        <v>43.573440319699095</v>
      </c>
      <c r="J664">
        <v>8</v>
      </c>
    </row>
    <row r="665" spans="1:10" x14ac:dyDescent="0.3">
      <c r="A665" t="s">
        <v>77</v>
      </c>
      <c r="B665" t="s">
        <v>32</v>
      </c>
      <c r="C665" s="4">
        <v>0.65716857299999998</v>
      </c>
      <c r="D665" s="4">
        <v>0.85527777800000004</v>
      </c>
      <c r="E665" s="18">
        <v>154</v>
      </c>
      <c r="F665" s="18">
        <v>2</v>
      </c>
      <c r="G665" s="4">
        <v>16.2</v>
      </c>
      <c r="H665" s="4">
        <f t="shared" si="8"/>
        <v>5.156620156177409</v>
      </c>
      <c r="I665" s="2">
        <f t="shared" si="9"/>
        <v>20.884311632518507</v>
      </c>
      <c r="J665">
        <v>8</v>
      </c>
    </row>
    <row r="666" spans="1:10" x14ac:dyDescent="0.3">
      <c r="A666" t="s">
        <v>77</v>
      </c>
      <c r="B666" t="s">
        <v>22</v>
      </c>
      <c r="C666" s="4">
        <v>0.43836446099999998</v>
      </c>
      <c r="D666" s="4">
        <v>0.58666666700000003</v>
      </c>
      <c r="E666" s="18">
        <v>155</v>
      </c>
      <c r="F666" s="18">
        <v>1</v>
      </c>
      <c r="G666" s="4">
        <v>21.3</v>
      </c>
      <c r="H666" s="4">
        <f t="shared" si="8"/>
        <v>6.7800005757147419</v>
      </c>
      <c r="I666" s="2">
        <f t="shared" si="9"/>
        <v>36.103503065681004</v>
      </c>
      <c r="J666">
        <v>6.5</v>
      </c>
    </row>
    <row r="667" spans="1:10" x14ac:dyDescent="0.3">
      <c r="A667" t="s">
        <v>77</v>
      </c>
      <c r="B667" t="s">
        <v>22</v>
      </c>
      <c r="C667" s="4">
        <v>0.43836446099999998</v>
      </c>
      <c r="D667" s="4">
        <v>0.58666666700000003</v>
      </c>
      <c r="E667" s="18">
        <v>155</v>
      </c>
      <c r="F667" s="18">
        <v>2</v>
      </c>
      <c r="G667" s="4">
        <v>19.5</v>
      </c>
      <c r="H667" s="4">
        <f t="shared" si="8"/>
        <v>6.2070427805839179</v>
      </c>
      <c r="I667" s="2">
        <f t="shared" si="9"/>
        <v>30.259333555346597</v>
      </c>
      <c r="J667">
        <v>6.5</v>
      </c>
    </row>
    <row r="668" spans="1:10" x14ac:dyDescent="0.3">
      <c r="A668" t="s">
        <v>77</v>
      </c>
      <c r="B668" t="s">
        <v>22</v>
      </c>
      <c r="C668" s="4">
        <v>0.43836446099999998</v>
      </c>
      <c r="D668" s="4">
        <v>0.58666666700000003</v>
      </c>
      <c r="E668" s="18">
        <v>155</v>
      </c>
      <c r="F668" s="18">
        <v>3</v>
      </c>
      <c r="G668" s="4">
        <v>17.600000000000001</v>
      </c>
      <c r="H668" s="4">
        <f t="shared" si="8"/>
        <v>5.6022539968347163</v>
      </c>
      <c r="I668" s="2">
        <f t="shared" si="9"/>
        <v>24.649917586072753</v>
      </c>
      <c r="J668">
        <v>6.5</v>
      </c>
    </row>
    <row r="669" spans="1:10" x14ac:dyDescent="0.3">
      <c r="A669" t="s">
        <v>77</v>
      </c>
      <c r="B669" t="s">
        <v>22</v>
      </c>
      <c r="C669" s="4">
        <v>0.43836446099999998</v>
      </c>
      <c r="D669" s="4">
        <v>0.58666666700000003</v>
      </c>
      <c r="E669" s="18">
        <v>156</v>
      </c>
      <c r="F669" s="18">
        <v>1</v>
      </c>
      <c r="G669" s="4">
        <v>14.3</v>
      </c>
      <c r="H669" s="4">
        <f t="shared" si="8"/>
        <v>4.5518313724282073</v>
      </c>
      <c r="I669" s="2">
        <f t="shared" si="9"/>
        <v>16.272797156430844</v>
      </c>
      <c r="J669">
        <v>7.5</v>
      </c>
    </row>
    <row r="670" spans="1:10" x14ac:dyDescent="0.3">
      <c r="A670" t="s">
        <v>77</v>
      </c>
      <c r="B670" t="s">
        <v>22</v>
      </c>
      <c r="C670" s="4">
        <v>0.43836446099999998</v>
      </c>
      <c r="D670" s="4">
        <v>0.58666666700000003</v>
      </c>
      <c r="E670" s="18">
        <v>156</v>
      </c>
      <c r="F670" s="18">
        <v>2</v>
      </c>
      <c r="G670" s="4">
        <v>17.3</v>
      </c>
      <c r="H670" s="4">
        <f t="shared" si="8"/>
        <v>5.5067610309795789</v>
      </c>
      <c r="I670" s="2">
        <f t="shared" si="9"/>
        <v>23.81674145898668</v>
      </c>
      <c r="J670">
        <v>7.5</v>
      </c>
    </row>
    <row r="671" spans="1:10" x14ac:dyDescent="0.3">
      <c r="A671" t="s">
        <v>77</v>
      </c>
      <c r="B671" t="s">
        <v>22</v>
      </c>
      <c r="C671" s="4">
        <v>0.43836446099999998</v>
      </c>
      <c r="D671" s="4">
        <v>0.58666666700000003</v>
      </c>
      <c r="E671" s="18">
        <v>156</v>
      </c>
      <c r="F671" s="18">
        <v>3</v>
      </c>
      <c r="G671" s="4">
        <v>11.3</v>
      </c>
      <c r="H671" s="4">
        <f t="shared" si="8"/>
        <v>3.5969017138768349</v>
      </c>
      <c r="I671" s="2">
        <f t="shared" si="9"/>
        <v>10.16124734170206</v>
      </c>
      <c r="J671">
        <v>7.5</v>
      </c>
    </row>
    <row r="672" spans="1:10" x14ac:dyDescent="0.3">
      <c r="A672" t="s">
        <v>77</v>
      </c>
      <c r="B672" t="s">
        <v>22</v>
      </c>
      <c r="C672" s="4">
        <v>0.43836446099999998</v>
      </c>
      <c r="D672" s="4">
        <v>0.58666666700000003</v>
      </c>
      <c r="E672" s="18">
        <v>156</v>
      </c>
      <c r="F672" s="18">
        <v>4</v>
      </c>
      <c r="G672" s="4">
        <v>13.2</v>
      </c>
      <c r="H672" s="4">
        <f t="shared" si="8"/>
        <v>4.2016904976260365</v>
      </c>
      <c r="I672" s="2">
        <f t="shared" si="9"/>
        <v>13.865578642165918</v>
      </c>
      <c r="J672">
        <v>7.5</v>
      </c>
    </row>
    <row r="673" spans="1:10" x14ac:dyDescent="0.3">
      <c r="A673" t="s">
        <v>77</v>
      </c>
      <c r="B673" t="s">
        <v>22</v>
      </c>
      <c r="C673" s="4">
        <v>0.43836446099999998</v>
      </c>
      <c r="D673" s="4">
        <v>0.58666666700000003</v>
      </c>
      <c r="E673" s="18">
        <v>156</v>
      </c>
      <c r="F673" s="18">
        <v>5</v>
      </c>
      <c r="G673" s="4">
        <v>15.2</v>
      </c>
      <c r="H673" s="4">
        <f t="shared" si="8"/>
        <v>4.8383102699936185</v>
      </c>
      <c r="I673" s="2">
        <f t="shared" si="9"/>
        <v>18.385579025975751</v>
      </c>
      <c r="J673">
        <v>7.5</v>
      </c>
    </row>
    <row r="674" spans="1:10" x14ac:dyDescent="0.3">
      <c r="A674" t="s">
        <v>77</v>
      </c>
      <c r="B674" t="s">
        <v>22</v>
      </c>
      <c r="C674" s="4">
        <v>0.43836446099999998</v>
      </c>
      <c r="D674" s="4">
        <v>0.58666666700000003</v>
      </c>
      <c r="E674" s="18">
        <v>156</v>
      </c>
      <c r="F674" s="18">
        <v>6</v>
      </c>
      <c r="G674" s="4">
        <v>22.4</v>
      </c>
      <c r="H674" s="4">
        <f t="shared" si="8"/>
        <v>7.130141450516911</v>
      </c>
      <c r="I674" s="2">
        <f t="shared" si="9"/>
        <v>39.928792122894698</v>
      </c>
      <c r="J674">
        <v>7.5</v>
      </c>
    </row>
    <row r="675" spans="1:10" x14ac:dyDescent="0.3">
      <c r="A675" t="s">
        <v>77</v>
      </c>
      <c r="B675" t="s">
        <v>47</v>
      </c>
      <c r="C675" s="4">
        <v>0.40238543599999999</v>
      </c>
      <c r="D675" s="4">
        <v>0.40883333300000002</v>
      </c>
      <c r="E675" s="18">
        <v>157</v>
      </c>
      <c r="F675" s="18">
        <v>1</v>
      </c>
      <c r="G675" s="4">
        <v>65.400000000000006</v>
      </c>
      <c r="H675" s="4">
        <f t="shared" si="8"/>
        <v>20.817466556419912</v>
      </c>
      <c r="I675" s="2">
        <f t="shared" si="9"/>
        <v>340.3655781974656</v>
      </c>
      <c r="J675">
        <v>11</v>
      </c>
    </row>
    <row r="676" spans="1:10" x14ac:dyDescent="0.3">
      <c r="A676" t="s">
        <v>77</v>
      </c>
      <c r="B676" t="s">
        <v>47</v>
      </c>
      <c r="C676" s="4">
        <v>0.40238543599999999</v>
      </c>
      <c r="D676" s="4">
        <v>0.40883333300000002</v>
      </c>
      <c r="E676" s="18">
        <v>158</v>
      </c>
      <c r="F676" s="18">
        <v>1</v>
      </c>
      <c r="G676" s="4">
        <v>66.2</v>
      </c>
      <c r="H676" s="4">
        <f t="shared" si="8"/>
        <v>21.072114465366944</v>
      </c>
      <c r="I676" s="2">
        <f t="shared" si="9"/>
        <v>348.74349440182294</v>
      </c>
      <c r="J676">
        <v>12</v>
      </c>
    </row>
    <row r="677" spans="1:10" x14ac:dyDescent="0.3">
      <c r="A677" t="s">
        <v>79</v>
      </c>
      <c r="B677" t="s">
        <v>26</v>
      </c>
      <c r="C677" s="4">
        <v>0.80908761900000004</v>
      </c>
      <c r="D677" s="4">
        <v>0.87473809499999999</v>
      </c>
      <c r="E677" s="18">
        <v>159</v>
      </c>
      <c r="F677" s="18">
        <v>1</v>
      </c>
      <c r="G677" s="4">
        <v>96.3</v>
      </c>
      <c r="H677" s="4">
        <f t="shared" si="8"/>
        <v>30.653242039499041</v>
      </c>
      <c r="I677" s="2">
        <f t="shared" si="9"/>
        <v>737.97680210093938</v>
      </c>
      <c r="J677">
        <v>14</v>
      </c>
    </row>
    <row r="678" spans="1:10" x14ac:dyDescent="0.3">
      <c r="A678" t="s">
        <v>79</v>
      </c>
      <c r="B678" t="s">
        <v>26</v>
      </c>
      <c r="C678" s="4">
        <v>0.80908761900000004</v>
      </c>
      <c r="D678" s="4">
        <v>0.87473809499999999</v>
      </c>
      <c r="E678" s="18">
        <v>160</v>
      </c>
      <c r="F678" s="18">
        <v>1</v>
      </c>
      <c r="G678" s="4">
        <v>52.4</v>
      </c>
      <c r="H678" s="4">
        <f t="shared" si="8"/>
        <v>16.679438036030632</v>
      </c>
      <c r="I678" s="2">
        <f t="shared" si="9"/>
        <v>218.50063827200128</v>
      </c>
      <c r="J678">
        <v>11</v>
      </c>
    </row>
    <row r="679" spans="1:10" x14ac:dyDescent="0.3">
      <c r="A679" t="s">
        <v>79</v>
      </c>
      <c r="B679" t="s">
        <v>26</v>
      </c>
      <c r="C679" s="4">
        <v>0.80908761900000004</v>
      </c>
      <c r="D679" s="4">
        <v>0.87473809499999999</v>
      </c>
      <c r="E679" s="18">
        <v>160</v>
      </c>
      <c r="F679" s="18">
        <v>2</v>
      </c>
      <c r="G679" s="4">
        <v>54.5</v>
      </c>
      <c r="H679" s="4">
        <f t="shared" si="8"/>
        <v>17.347888797016591</v>
      </c>
      <c r="I679" s="2">
        <f t="shared" si="9"/>
        <v>236.36498485935104</v>
      </c>
      <c r="J679">
        <v>11</v>
      </c>
    </row>
    <row r="680" spans="1:10" x14ac:dyDescent="0.3">
      <c r="A680" t="s">
        <v>79</v>
      </c>
      <c r="B680" t="s">
        <v>26</v>
      </c>
      <c r="C680" s="4">
        <v>0.80908761900000004</v>
      </c>
      <c r="D680" s="4">
        <v>0.87473809499999999</v>
      </c>
      <c r="E680" s="18">
        <v>160</v>
      </c>
      <c r="F680" s="18">
        <v>3</v>
      </c>
      <c r="G680" s="4">
        <v>53.8</v>
      </c>
      <c r="H680" s="4">
        <f t="shared" si="8"/>
        <v>17.125071876687937</v>
      </c>
      <c r="I680" s="2">
        <f t="shared" si="9"/>
        <v>230.3322167414527</v>
      </c>
      <c r="J680">
        <v>11</v>
      </c>
    </row>
    <row r="681" spans="1:10" x14ac:dyDescent="0.3">
      <c r="A681" t="s">
        <v>79</v>
      </c>
      <c r="B681" t="s">
        <v>26</v>
      </c>
      <c r="C681" s="4">
        <v>0.80908761900000004</v>
      </c>
      <c r="D681" s="4">
        <v>0.87473809499999999</v>
      </c>
      <c r="E681" s="18">
        <v>160</v>
      </c>
      <c r="F681" s="18">
        <v>4</v>
      </c>
      <c r="G681" s="4">
        <v>77.5</v>
      </c>
      <c r="H681" s="4">
        <f t="shared" si="8"/>
        <v>24.669016179243776</v>
      </c>
      <c r="I681" s="2">
        <f t="shared" si="9"/>
        <v>477.96218847284808</v>
      </c>
      <c r="J681">
        <v>11</v>
      </c>
    </row>
    <row r="682" spans="1:10" x14ac:dyDescent="0.3">
      <c r="A682" t="s">
        <v>79</v>
      </c>
      <c r="B682" t="s">
        <v>69</v>
      </c>
      <c r="C682" s="4">
        <v>0.31264018999999998</v>
      </c>
      <c r="D682" s="4">
        <v>0.356821212</v>
      </c>
      <c r="E682" s="18">
        <v>161</v>
      </c>
      <c r="F682" s="18">
        <v>1</v>
      </c>
      <c r="G682" s="4">
        <v>31.3</v>
      </c>
      <c r="H682" s="4">
        <f t="shared" si="8"/>
        <v>9.963099437552648</v>
      </c>
      <c r="I682" s="2">
        <f t="shared" si="9"/>
        <v>77.961253098849468</v>
      </c>
      <c r="J682">
        <v>5</v>
      </c>
    </row>
    <row r="683" spans="1:10" x14ac:dyDescent="0.3">
      <c r="A683" t="s">
        <v>79</v>
      </c>
      <c r="B683" t="s">
        <v>55</v>
      </c>
      <c r="C683" s="4">
        <v>0.52500000000000002</v>
      </c>
      <c r="D683" s="4">
        <v>0.52500000000000002</v>
      </c>
      <c r="E683" s="18">
        <v>162</v>
      </c>
      <c r="F683" s="18">
        <v>1</v>
      </c>
      <c r="G683" s="4">
        <v>31.3</v>
      </c>
      <c r="H683" s="4">
        <f t="shared" si="8"/>
        <v>9.963099437552648</v>
      </c>
      <c r="I683" s="2">
        <f t="shared" si="9"/>
        <v>77.961253098849468</v>
      </c>
      <c r="J683">
        <v>7</v>
      </c>
    </row>
    <row r="684" spans="1:10" x14ac:dyDescent="0.3">
      <c r="A684" t="s">
        <v>79</v>
      </c>
      <c r="B684" t="s">
        <v>55</v>
      </c>
      <c r="C684" s="4">
        <v>0.52500000000000002</v>
      </c>
      <c r="D684" s="4">
        <v>0.52500000000000002</v>
      </c>
      <c r="E684" s="18">
        <v>162</v>
      </c>
      <c r="F684" s="18">
        <v>2</v>
      </c>
      <c r="G684" s="4">
        <v>21.2</v>
      </c>
      <c r="H684" s="4">
        <f t="shared" si="8"/>
        <v>6.7481695870963625</v>
      </c>
      <c r="I684" s="2">
        <f t="shared" si="9"/>
        <v>35.76529881161072</v>
      </c>
      <c r="J684">
        <v>7</v>
      </c>
    </row>
    <row r="685" spans="1:10" x14ac:dyDescent="0.3">
      <c r="A685" t="s">
        <v>79</v>
      </c>
      <c r="B685" t="s">
        <v>55</v>
      </c>
      <c r="C685" s="4">
        <v>0.52500000000000002</v>
      </c>
      <c r="D685" s="4">
        <v>0.52500000000000002</v>
      </c>
      <c r="E685" s="18">
        <v>163</v>
      </c>
      <c r="F685" s="18">
        <v>1</v>
      </c>
      <c r="G685" s="4">
        <v>27.3</v>
      </c>
      <c r="H685" s="4">
        <f t="shared" si="8"/>
        <v>8.6898598928174859</v>
      </c>
      <c r="I685" s="2">
        <f t="shared" si="9"/>
        <v>59.308293768479338</v>
      </c>
      <c r="J685">
        <v>6.5</v>
      </c>
    </row>
    <row r="686" spans="1:10" x14ac:dyDescent="0.3">
      <c r="A686" t="s">
        <v>79</v>
      </c>
      <c r="B686" t="s">
        <v>55</v>
      </c>
      <c r="C686" s="4">
        <v>0.52500000000000002</v>
      </c>
      <c r="D686" s="4">
        <v>0.52500000000000002</v>
      </c>
      <c r="E686" s="18">
        <v>164</v>
      </c>
      <c r="F686" s="18">
        <v>1</v>
      </c>
      <c r="G686" s="4">
        <v>46.7</v>
      </c>
      <c r="H686" s="4">
        <f t="shared" si="8"/>
        <v>14.865071684783025</v>
      </c>
      <c r="I686" s="2">
        <f t="shared" si="9"/>
        <v>173.54971191984183</v>
      </c>
      <c r="J686">
        <v>9</v>
      </c>
    </row>
    <row r="687" spans="1:10" x14ac:dyDescent="0.3">
      <c r="A687" t="s">
        <v>79</v>
      </c>
      <c r="B687" t="s">
        <v>55</v>
      </c>
      <c r="C687" s="4">
        <v>0.52500000000000002</v>
      </c>
      <c r="D687" s="4">
        <v>0.52500000000000002</v>
      </c>
      <c r="E687" s="18">
        <v>164</v>
      </c>
      <c r="F687" s="18">
        <v>2</v>
      </c>
      <c r="G687" s="4">
        <v>38.4</v>
      </c>
      <c r="H687" s="4">
        <f t="shared" si="8"/>
        <v>12.223099629457561</v>
      </c>
      <c r="I687" s="2">
        <f t="shared" si="9"/>
        <v>117.34175644279259</v>
      </c>
      <c r="J687">
        <v>9</v>
      </c>
    </row>
    <row r="688" spans="1:10" x14ac:dyDescent="0.3">
      <c r="A688" t="s">
        <v>79</v>
      </c>
      <c r="B688" t="s">
        <v>55</v>
      </c>
      <c r="C688" s="4">
        <v>0.52500000000000002</v>
      </c>
      <c r="D688" s="4">
        <v>0.52500000000000002</v>
      </c>
      <c r="E688" s="18">
        <v>164</v>
      </c>
      <c r="F688" s="18">
        <v>3</v>
      </c>
      <c r="G688" s="4">
        <v>38.299999999999997</v>
      </c>
      <c r="H688" s="4">
        <f t="shared" si="8"/>
        <v>12.191268640839182</v>
      </c>
      <c r="I688" s="2">
        <f t="shared" si="9"/>
        <v>116.73139723603516</v>
      </c>
      <c r="J688">
        <v>9</v>
      </c>
    </row>
    <row r="689" spans="1:10" x14ac:dyDescent="0.3">
      <c r="A689" t="s">
        <v>79</v>
      </c>
      <c r="B689" t="s">
        <v>55</v>
      </c>
      <c r="C689" s="4">
        <v>0.52500000000000002</v>
      </c>
      <c r="D689" s="4">
        <v>0.52500000000000002</v>
      </c>
      <c r="E689" s="18">
        <v>164</v>
      </c>
      <c r="F689" s="18">
        <v>4</v>
      </c>
      <c r="G689" s="4">
        <v>22.4</v>
      </c>
      <c r="H689" s="4">
        <f t="shared" si="8"/>
        <v>7.130141450516911</v>
      </c>
      <c r="I689" s="2">
        <f t="shared" si="9"/>
        <v>39.928792122894698</v>
      </c>
      <c r="J689">
        <v>9</v>
      </c>
    </row>
    <row r="690" spans="1:10" x14ac:dyDescent="0.3">
      <c r="A690" t="s">
        <v>79</v>
      </c>
      <c r="B690" t="s">
        <v>56</v>
      </c>
      <c r="C690" s="4">
        <v>0.39984676499999999</v>
      </c>
      <c r="D690" s="4">
        <v>0.450333333</v>
      </c>
      <c r="E690" s="18">
        <v>165</v>
      </c>
      <c r="F690" s="18">
        <v>1</v>
      </c>
      <c r="G690" s="4">
        <v>71.5</v>
      </c>
      <c r="H690" s="4">
        <f t="shared" si="8"/>
        <v>22.759156862141033</v>
      </c>
      <c r="I690" s="2">
        <f t="shared" si="9"/>
        <v>406.81992891077101</v>
      </c>
      <c r="J690">
        <v>12</v>
      </c>
    </row>
    <row r="691" spans="1:10" x14ac:dyDescent="0.3">
      <c r="A691" t="s">
        <v>79</v>
      </c>
      <c r="B691" t="s">
        <v>56</v>
      </c>
      <c r="C691" s="4">
        <v>0.39984676499999999</v>
      </c>
      <c r="D691" s="4">
        <v>0.450333333</v>
      </c>
      <c r="E691" s="18">
        <v>165</v>
      </c>
      <c r="F691" s="18">
        <v>2</v>
      </c>
      <c r="G691" s="4">
        <v>57.3</v>
      </c>
      <c r="H691" s="4">
        <f t="shared" si="8"/>
        <v>18.239156478331207</v>
      </c>
      <c r="I691" s="2">
        <f t="shared" si="9"/>
        <v>261.27591655209454</v>
      </c>
      <c r="J691">
        <v>12</v>
      </c>
    </row>
    <row r="692" spans="1:10" x14ac:dyDescent="0.3">
      <c r="A692" t="s">
        <v>79</v>
      </c>
      <c r="B692" t="s">
        <v>56</v>
      </c>
      <c r="C692" s="4">
        <v>0.39984676499999999</v>
      </c>
      <c r="D692" s="4">
        <v>0.450333333</v>
      </c>
      <c r="E692" s="18">
        <v>166</v>
      </c>
      <c r="F692" s="18">
        <v>1</v>
      </c>
      <c r="G692" s="4">
        <v>75.3</v>
      </c>
      <c r="H692" s="4">
        <f t="shared" si="8"/>
        <v>23.968734429639436</v>
      </c>
      <c r="I692" s="2">
        <f t="shared" si="9"/>
        <v>451.21142563796235</v>
      </c>
      <c r="J692">
        <v>12</v>
      </c>
    </row>
    <row r="693" spans="1:10" x14ac:dyDescent="0.3">
      <c r="A693" t="s">
        <v>79</v>
      </c>
      <c r="B693" t="s">
        <v>56</v>
      </c>
      <c r="C693" s="4">
        <v>0.39984676499999999</v>
      </c>
      <c r="D693" s="4">
        <v>0.450333333</v>
      </c>
      <c r="E693" s="18">
        <v>167</v>
      </c>
      <c r="F693" s="18">
        <v>1</v>
      </c>
      <c r="G693" s="4">
        <v>61.7</v>
      </c>
      <c r="H693" s="4">
        <f t="shared" si="8"/>
        <v>19.639719977539887</v>
      </c>
      <c r="I693" s="2">
        <f t="shared" si="9"/>
        <v>302.94268065355277</v>
      </c>
      <c r="J693">
        <v>13</v>
      </c>
    </row>
    <row r="694" spans="1:10" x14ac:dyDescent="0.3">
      <c r="A694" t="s">
        <v>79</v>
      </c>
      <c r="B694" t="s">
        <v>56</v>
      </c>
      <c r="C694" s="4">
        <v>0.39984676499999999</v>
      </c>
      <c r="D694" s="4">
        <v>0.450333333</v>
      </c>
      <c r="E694" s="18">
        <v>167</v>
      </c>
      <c r="F694" s="18">
        <v>2</v>
      </c>
      <c r="G694" s="4">
        <v>68.3</v>
      </c>
      <c r="H694" s="4">
        <f t="shared" si="8"/>
        <v>21.740565226352903</v>
      </c>
      <c r="I694" s="2">
        <f t="shared" si="9"/>
        <v>371.22015123997579</v>
      </c>
      <c r="J694">
        <v>13</v>
      </c>
    </row>
    <row r="695" spans="1:10" x14ac:dyDescent="0.3">
      <c r="A695" t="s">
        <v>79</v>
      </c>
      <c r="B695" t="s">
        <v>56</v>
      </c>
      <c r="C695" s="4">
        <v>0.39984676499999999</v>
      </c>
      <c r="D695" s="4">
        <v>0.450333333</v>
      </c>
      <c r="E695" s="18">
        <v>168</v>
      </c>
      <c r="F695" s="18">
        <v>1</v>
      </c>
      <c r="G695" s="4">
        <v>65.5</v>
      </c>
      <c r="H695" s="4">
        <f t="shared" si="8"/>
        <v>20.84929754503829</v>
      </c>
      <c r="I695" s="2">
        <f t="shared" si="9"/>
        <v>341.40724730000198</v>
      </c>
      <c r="J695">
        <v>12</v>
      </c>
    </row>
    <row r="696" spans="1:10" x14ac:dyDescent="0.3">
      <c r="A696" t="s">
        <v>79</v>
      </c>
      <c r="B696" t="s">
        <v>56</v>
      </c>
      <c r="C696" s="4">
        <v>0.39984676499999999</v>
      </c>
      <c r="D696" s="4">
        <v>0.450333333</v>
      </c>
      <c r="E696" s="18">
        <v>168</v>
      </c>
      <c r="F696" s="18">
        <v>2</v>
      </c>
      <c r="G696" s="4">
        <v>55.3</v>
      </c>
      <c r="H696" s="4">
        <f t="shared" si="8"/>
        <v>17.602536705963622</v>
      </c>
      <c r="I696" s="2">
        <f t="shared" si="9"/>
        <v>243.35506995994703</v>
      </c>
      <c r="J696">
        <v>12</v>
      </c>
    </row>
    <row r="697" spans="1:10" x14ac:dyDescent="0.3">
      <c r="A697" t="s">
        <v>79</v>
      </c>
      <c r="B697" t="s">
        <v>56</v>
      </c>
      <c r="C697" s="4">
        <v>0.39984676499999999</v>
      </c>
      <c r="D697" s="4">
        <v>0.450333333</v>
      </c>
      <c r="E697" s="18">
        <v>169</v>
      </c>
      <c r="F697" s="18">
        <v>1</v>
      </c>
      <c r="G697" s="4">
        <v>59.3</v>
      </c>
      <c r="H697" s="4">
        <f t="shared" si="8"/>
        <v>18.875776250698788</v>
      </c>
      <c r="I697" s="2">
        <f t="shared" si="9"/>
        <v>279.83338291660954</v>
      </c>
      <c r="J697">
        <v>12</v>
      </c>
    </row>
    <row r="698" spans="1:10" x14ac:dyDescent="0.3">
      <c r="A698" t="s">
        <v>79</v>
      </c>
      <c r="B698" t="s">
        <v>56</v>
      </c>
      <c r="C698" s="4">
        <v>0.39984676499999999</v>
      </c>
      <c r="D698" s="4">
        <v>0.450333333</v>
      </c>
      <c r="E698" s="18">
        <v>170</v>
      </c>
      <c r="F698" s="18">
        <v>1</v>
      </c>
      <c r="G698" s="4">
        <v>61.4</v>
      </c>
      <c r="H698" s="4">
        <f t="shared" si="8"/>
        <v>19.544227011684747</v>
      </c>
      <c r="I698" s="2">
        <f t="shared" si="9"/>
        <v>300.00388462936081</v>
      </c>
      <c r="J698">
        <v>10</v>
      </c>
    </row>
    <row r="699" spans="1:10" x14ac:dyDescent="0.3">
      <c r="A699" t="s">
        <v>79</v>
      </c>
      <c r="B699" t="s">
        <v>80</v>
      </c>
      <c r="C699" s="4">
        <v>0.54</v>
      </c>
      <c r="D699" s="4">
        <v>0.61247410899999999</v>
      </c>
      <c r="E699" s="18">
        <v>171</v>
      </c>
      <c r="F699" s="18">
        <v>1</v>
      </c>
      <c r="G699" s="4">
        <v>22.3</v>
      </c>
      <c r="H699" s="4">
        <f t="shared" si="8"/>
        <v>7.0983104618985324</v>
      </c>
      <c r="I699" s="2">
        <f t="shared" si="9"/>
        <v>39.573080825084325</v>
      </c>
      <c r="J699">
        <v>6</v>
      </c>
    </row>
    <row r="700" spans="1:10" x14ac:dyDescent="0.3">
      <c r="A700" t="s">
        <v>79</v>
      </c>
      <c r="B700" t="s">
        <v>22</v>
      </c>
      <c r="C700" s="4">
        <v>0.43836446099999998</v>
      </c>
      <c r="D700" s="4">
        <v>0.58666666700000003</v>
      </c>
      <c r="E700" s="18">
        <v>172</v>
      </c>
      <c r="F700" s="18">
        <v>1</v>
      </c>
      <c r="G700" s="4">
        <v>11.5</v>
      </c>
      <c r="H700" s="4">
        <f t="shared" si="8"/>
        <v>3.6605636911135928</v>
      </c>
      <c r="I700" s="2">
        <f t="shared" si="9"/>
        <v>10.524120611951579</v>
      </c>
      <c r="J700">
        <v>6</v>
      </c>
    </row>
    <row r="701" spans="1:10" x14ac:dyDescent="0.3">
      <c r="A701" t="s">
        <v>79</v>
      </c>
      <c r="B701" t="s">
        <v>22</v>
      </c>
      <c r="C701" s="4">
        <v>0.43836446099999998</v>
      </c>
      <c r="D701" s="4">
        <v>0.58666666700000003</v>
      </c>
      <c r="E701" s="18">
        <v>172</v>
      </c>
      <c r="F701" s="18">
        <v>2</v>
      </c>
      <c r="G701" s="4">
        <v>12.4</v>
      </c>
      <c r="H701" s="4">
        <f t="shared" si="8"/>
        <v>3.9470425886790048</v>
      </c>
      <c r="I701" s="2">
        <f t="shared" si="9"/>
        <v>12.235832024904916</v>
      </c>
      <c r="J701">
        <v>6</v>
      </c>
    </row>
    <row r="702" spans="1:10" x14ac:dyDescent="0.3">
      <c r="A702" t="s">
        <v>79</v>
      </c>
      <c r="B702" t="s">
        <v>22</v>
      </c>
      <c r="C702" s="4">
        <v>0.43836446099999998</v>
      </c>
      <c r="D702" s="4">
        <v>0.58666666700000003</v>
      </c>
      <c r="E702" s="18">
        <v>172</v>
      </c>
      <c r="F702" s="18">
        <v>3</v>
      </c>
      <c r="G702" s="4">
        <v>14.8</v>
      </c>
      <c r="H702" s="4">
        <f t="shared" si="8"/>
        <v>4.7109863155201026</v>
      </c>
      <c r="I702" s="2">
        <f t="shared" si="9"/>
        <v>17.430649367424383</v>
      </c>
      <c r="J702">
        <v>6</v>
      </c>
    </row>
    <row r="703" spans="1:10" x14ac:dyDescent="0.3">
      <c r="A703" t="s">
        <v>79</v>
      </c>
      <c r="B703" t="s">
        <v>22</v>
      </c>
      <c r="C703" s="4">
        <v>0.43836446099999998</v>
      </c>
      <c r="D703" s="4">
        <v>0.58666666700000003</v>
      </c>
      <c r="E703" s="18">
        <v>172</v>
      </c>
      <c r="F703" s="18">
        <v>4</v>
      </c>
      <c r="G703" s="4">
        <v>15.5</v>
      </c>
      <c r="H703" s="4">
        <f t="shared" si="8"/>
        <v>4.9338032358487558</v>
      </c>
      <c r="I703" s="2">
        <f t="shared" si="9"/>
        <v>19.118487538913932</v>
      </c>
      <c r="J703">
        <v>6</v>
      </c>
    </row>
    <row r="704" spans="1:10" x14ac:dyDescent="0.3">
      <c r="A704" t="s">
        <v>79</v>
      </c>
      <c r="B704" t="s">
        <v>47</v>
      </c>
      <c r="C704" s="4">
        <v>0.40238543599999999</v>
      </c>
      <c r="D704" s="4">
        <v>0.40883333300000002</v>
      </c>
      <c r="E704" s="18">
        <v>173</v>
      </c>
      <c r="F704" s="18">
        <v>1</v>
      </c>
      <c r="G704" s="4">
        <v>48.5</v>
      </c>
      <c r="H704" s="4">
        <f t="shared" si="8"/>
        <v>15.438029479913848</v>
      </c>
      <c r="I704" s="2">
        <f t="shared" si="9"/>
        <v>187.18610744395539</v>
      </c>
      <c r="J704">
        <v>11</v>
      </c>
    </row>
    <row r="705" spans="1:10" x14ac:dyDescent="0.3">
      <c r="A705" t="s">
        <v>79</v>
      </c>
      <c r="B705" t="s">
        <v>47</v>
      </c>
      <c r="C705" s="4">
        <v>0.40238543599999999</v>
      </c>
      <c r="D705" s="4">
        <v>0.40883333300000002</v>
      </c>
      <c r="E705" s="18">
        <v>174</v>
      </c>
      <c r="F705" s="18">
        <v>1</v>
      </c>
      <c r="G705" s="4">
        <v>47.7</v>
      </c>
      <c r="H705" s="4">
        <f t="shared" si="8"/>
        <v>15.183381570966816</v>
      </c>
      <c r="I705" s="2">
        <f t="shared" si="9"/>
        <v>181.06182523377927</v>
      </c>
      <c r="J705">
        <v>8</v>
      </c>
    </row>
    <row r="706" spans="1:10" x14ac:dyDescent="0.3">
      <c r="A706" t="s">
        <v>79</v>
      </c>
      <c r="B706" t="s">
        <v>47</v>
      </c>
      <c r="C706" s="4">
        <v>0.40238543599999999</v>
      </c>
      <c r="D706" s="4">
        <v>0.40883333300000002</v>
      </c>
      <c r="E706" s="18">
        <v>175</v>
      </c>
      <c r="F706" s="18">
        <v>1</v>
      </c>
      <c r="G706" s="4">
        <v>51.6</v>
      </c>
      <c r="H706" s="4">
        <f t="shared" si="8"/>
        <v>16.4247901270836</v>
      </c>
      <c r="I706" s="2">
        <f t="shared" si="9"/>
        <v>211.87979263937845</v>
      </c>
      <c r="J706">
        <v>8</v>
      </c>
    </row>
    <row r="707" spans="1:10" x14ac:dyDescent="0.3">
      <c r="A707" t="s">
        <v>79</v>
      </c>
      <c r="B707" t="s">
        <v>62</v>
      </c>
      <c r="C707" s="4">
        <v>0.693333333</v>
      </c>
      <c r="D707" s="4">
        <v>0.64166666699999997</v>
      </c>
      <c r="E707" s="18">
        <v>176</v>
      </c>
      <c r="F707" s="18">
        <v>1</v>
      </c>
      <c r="G707" s="4">
        <v>18.3</v>
      </c>
      <c r="H707" s="4">
        <f t="shared" si="8"/>
        <v>5.8250709171633694</v>
      </c>
      <c r="I707" s="2">
        <f t="shared" si="9"/>
        <v>26.649699446022414</v>
      </c>
      <c r="J707">
        <v>5</v>
      </c>
    </row>
    <row r="708" spans="1:10" x14ac:dyDescent="0.3">
      <c r="A708" t="s">
        <v>79</v>
      </c>
      <c r="B708" t="s">
        <v>62</v>
      </c>
      <c r="C708" s="4">
        <v>0.693333333</v>
      </c>
      <c r="D708" s="4">
        <v>0.64166666699999997</v>
      </c>
      <c r="E708" s="18">
        <v>177</v>
      </c>
      <c r="F708" s="18">
        <v>1</v>
      </c>
      <c r="G708" s="4">
        <v>22.3</v>
      </c>
      <c r="H708" s="4">
        <f t="shared" si="8"/>
        <v>7.0983104618985324</v>
      </c>
      <c r="I708" s="2">
        <f t="shared" si="9"/>
        <v>39.573080825084325</v>
      </c>
      <c r="J708">
        <v>7</v>
      </c>
    </row>
    <row r="709" spans="1:10" x14ac:dyDescent="0.3">
      <c r="A709" t="s">
        <v>79</v>
      </c>
      <c r="B709" t="s">
        <v>62</v>
      </c>
      <c r="C709" s="4">
        <v>0.693333333</v>
      </c>
      <c r="D709" s="4">
        <v>0.64166666699999997</v>
      </c>
      <c r="E709" s="18">
        <v>177</v>
      </c>
      <c r="F709" s="18">
        <v>2</v>
      </c>
      <c r="G709" s="4">
        <v>14.5</v>
      </c>
      <c r="H709" s="4">
        <f t="shared" si="8"/>
        <v>4.6154933496649653</v>
      </c>
      <c r="I709" s="2">
        <f t="shared" si="9"/>
        <v>16.7311633925355</v>
      </c>
      <c r="J709">
        <v>7</v>
      </c>
    </row>
    <row r="710" spans="1:10" x14ac:dyDescent="0.3">
      <c r="A710" t="s">
        <v>79</v>
      </c>
      <c r="B710" t="s">
        <v>62</v>
      </c>
      <c r="C710" s="4">
        <v>0.693333333</v>
      </c>
      <c r="D710" s="4">
        <v>0.64166666699999997</v>
      </c>
      <c r="E710" s="18">
        <v>177</v>
      </c>
      <c r="F710" s="18">
        <v>3</v>
      </c>
      <c r="G710" s="4">
        <v>16.600000000000001</v>
      </c>
      <c r="H710" s="4">
        <f t="shared" si="8"/>
        <v>5.2839441106509257</v>
      </c>
      <c r="I710" s="2">
        <f t="shared" si="9"/>
        <v>21.928368059201343</v>
      </c>
      <c r="J710">
        <v>7</v>
      </c>
    </row>
    <row r="711" spans="1:10" x14ac:dyDescent="0.3">
      <c r="A711" t="s">
        <v>81</v>
      </c>
      <c r="B711" t="s">
        <v>69</v>
      </c>
      <c r="C711" s="4">
        <v>0.31264018999999998</v>
      </c>
      <c r="D711" s="4">
        <v>0.356821212</v>
      </c>
      <c r="E711" s="18">
        <v>178</v>
      </c>
      <c r="F711" s="18">
        <v>1</v>
      </c>
      <c r="G711" s="4">
        <v>7.5</v>
      </c>
      <c r="H711" s="4">
        <f t="shared" si="8"/>
        <v>2.3873241463784303</v>
      </c>
      <c r="I711" s="2">
        <f t="shared" si="9"/>
        <v>4.4762327744595574</v>
      </c>
      <c r="J711">
        <v>2.7</v>
      </c>
    </row>
    <row r="712" spans="1:10" x14ac:dyDescent="0.3">
      <c r="A712" t="s">
        <v>81</v>
      </c>
      <c r="B712" t="s">
        <v>15</v>
      </c>
      <c r="C712" s="4">
        <v>0.47982689899999997</v>
      </c>
      <c r="D712" s="4">
        <v>0.51</v>
      </c>
      <c r="E712" s="18">
        <v>179</v>
      </c>
      <c r="F712" s="18">
        <v>1</v>
      </c>
      <c r="G712" s="4">
        <v>27.2</v>
      </c>
      <c r="H712" s="4">
        <f t="shared" si="8"/>
        <v>8.6580289041991065</v>
      </c>
      <c r="I712" s="2">
        <f t="shared" si="9"/>
        <v>58.874596548553917</v>
      </c>
      <c r="J712">
        <v>6</v>
      </c>
    </row>
    <row r="713" spans="1:10" x14ac:dyDescent="0.3">
      <c r="A713" t="s">
        <v>81</v>
      </c>
      <c r="B713" t="s">
        <v>15</v>
      </c>
      <c r="C713" s="4">
        <v>0.47982689899999997</v>
      </c>
      <c r="D713" s="4">
        <v>0.51</v>
      </c>
      <c r="E713" s="18">
        <v>180</v>
      </c>
      <c r="F713" s="18">
        <v>1</v>
      </c>
      <c r="G713" s="4">
        <v>22.3</v>
      </c>
      <c r="H713" s="4">
        <f t="shared" si="8"/>
        <v>7.0983104618985324</v>
      </c>
      <c r="I713" s="2">
        <f t="shared" si="9"/>
        <v>39.573080825084325</v>
      </c>
      <c r="J713">
        <v>6</v>
      </c>
    </row>
    <row r="714" spans="1:10" x14ac:dyDescent="0.3">
      <c r="A714" t="s">
        <v>81</v>
      </c>
      <c r="B714" t="s">
        <v>66</v>
      </c>
      <c r="C714" s="4">
        <v>0.62643652800000005</v>
      </c>
      <c r="D714" s="4">
        <v>0.57808694400000005</v>
      </c>
      <c r="E714" s="18">
        <v>181</v>
      </c>
      <c r="F714" s="18">
        <v>1</v>
      </c>
      <c r="G714" s="4">
        <v>19.5</v>
      </c>
      <c r="H714" s="4">
        <f t="shared" si="8"/>
        <v>6.2070427805839179</v>
      </c>
      <c r="I714" s="2">
        <f t="shared" si="9"/>
        <v>30.259333555346597</v>
      </c>
      <c r="J714">
        <v>6</v>
      </c>
    </row>
    <row r="715" spans="1:10" x14ac:dyDescent="0.3">
      <c r="A715" t="s">
        <v>81</v>
      </c>
      <c r="B715" t="s">
        <v>66</v>
      </c>
      <c r="C715" s="4">
        <v>0.62643652800000005</v>
      </c>
      <c r="D715" s="4">
        <v>0.57808694400000005</v>
      </c>
      <c r="E715" s="18">
        <v>181</v>
      </c>
      <c r="F715" s="18">
        <v>2</v>
      </c>
      <c r="G715" s="4">
        <v>20.6</v>
      </c>
      <c r="H715" s="4">
        <f t="shared" si="8"/>
        <v>6.5571836553860887</v>
      </c>
      <c r="I715" s="2">
        <f t="shared" si="9"/>
        <v>33.769495825238359</v>
      </c>
      <c r="J715">
        <v>6</v>
      </c>
    </row>
    <row r="716" spans="1:10" x14ac:dyDescent="0.3">
      <c r="A716" t="s">
        <v>81</v>
      </c>
      <c r="B716" t="s">
        <v>66</v>
      </c>
      <c r="C716" s="4">
        <v>0.62643652800000005</v>
      </c>
      <c r="D716" s="4">
        <v>0.57808694400000005</v>
      </c>
      <c r="E716" s="18">
        <v>181</v>
      </c>
      <c r="F716" s="18">
        <v>3</v>
      </c>
      <c r="G716" s="4">
        <v>24.7</v>
      </c>
      <c r="H716" s="4">
        <f t="shared" si="8"/>
        <v>7.8622541887396293</v>
      </c>
      <c r="I716" s="2">
        <f t="shared" si="9"/>
        <v>48.549419615467208</v>
      </c>
      <c r="J716">
        <v>6</v>
      </c>
    </row>
    <row r="717" spans="1:10" x14ac:dyDescent="0.3">
      <c r="A717" t="s">
        <v>81</v>
      </c>
      <c r="B717" t="s">
        <v>66</v>
      </c>
      <c r="C717" s="4">
        <v>0.62643652800000005</v>
      </c>
      <c r="D717" s="4">
        <v>0.57808694400000005</v>
      </c>
      <c r="E717" s="18">
        <v>181</v>
      </c>
      <c r="F717" s="18">
        <v>4</v>
      </c>
      <c r="G717" s="4">
        <v>24.6</v>
      </c>
      <c r="H717" s="4">
        <f t="shared" si="8"/>
        <v>7.8304232001212517</v>
      </c>
      <c r="I717" s="2">
        <f t="shared" si="9"/>
        <v>48.157102680745702</v>
      </c>
      <c r="J717">
        <v>6</v>
      </c>
    </row>
    <row r="718" spans="1:10" x14ac:dyDescent="0.3">
      <c r="A718" t="s">
        <v>81</v>
      </c>
      <c r="B718" t="s">
        <v>66</v>
      </c>
      <c r="C718" s="4">
        <v>0.62643652800000005</v>
      </c>
      <c r="D718" s="4">
        <v>0.57808694400000005</v>
      </c>
      <c r="E718" s="18">
        <v>181</v>
      </c>
      <c r="F718" s="18">
        <v>5</v>
      </c>
      <c r="G718" s="4">
        <v>25.8</v>
      </c>
      <c r="H718" s="4">
        <f t="shared" si="8"/>
        <v>8.2123950635418002</v>
      </c>
      <c r="I718" s="2">
        <f t="shared" si="9"/>
        <v>52.969948159844613</v>
      </c>
      <c r="J718">
        <v>6</v>
      </c>
    </row>
    <row r="719" spans="1:10" x14ac:dyDescent="0.3">
      <c r="A719" t="s">
        <v>81</v>
      </c>
      <c r="B719" t="s">
        <v>66</v>
      </c>
      <c r="C719" s="4">
        <v>0.62643652800000005</v>
      </c>
      <c r="D719" s="4">
        <v>0.57808694400000005</v>
      </c>
      <c r="E719" s="18">
        <v>181</v>
      </c>
      <c r="F719" s="18">
        <v>6</v>
      </c>
      <c r="G719" s="4">
        <v>20.399999999999999</v>
      </c>
      <c r="H719" s="4">
        <f t="shared" si="8"/>
        <v>6.4935216781493299</v>
      </c>
      <c r="I719" s="2">
        <f t="shared" si="9"/>
        <v>33.11696055856158</v>
      </c>
      <c r="J719">
        <v>6</v>
      </c>
    </row>
    <row r="720" spans="1:10" x14ac:dyDescent="0.3">
      <c r="A720" t="s">
        <v>81</v>
      </c>
      <c r="B720" t="s">
        <v>66</v>
      </c>
      <c r="C720" s="4">
        <v>0.62643652800000005</v>
      </c>
      <c r="D720" s="4">
        <v>0.57808694400000005</v>
      </c>
      <c r="E720" s="18">
        <v>182</v>
      </c>
      <c r="F720" s="18">
        <v>1</v>
      </c>
      <c r="G720" s="4">
        <v>23.3</v>
      </c>
      <c r="H720" s="4">
        <f t="shared" si="8"/>
        <v>7.416620348082323</v>
      </c>
      <c r="I720" s="2">
        <f t="shared" si="9"/>
        <v>43.201813527579532</v>
      </c>
      <c r="J720">
        <v>7</v>
      </c>
    </row>
    <row r="721" spans="1:10" x14ac:dyDescent="0.3">
      <c r="A721" t="s">
        <v>81</v>
      </c>
      <c r="B721" t="s">
        <v>66</v>
      </c>
      <c r="C721" s="4">
        <v>0.62643652800000005</v>
      </c>
      <c r="D721" s="4">
        <v>0.57808694400000005</v>
      </c>
      <c r="E721" s="18">
        <v>182</v>
      </c>
      <c r="F721" s="18">
        <v>2</v>
      </c>
      <c r="G721" s="4">
        <v>28.4</v>
      </c>
      <c r="H721" s="4">
        <f t="shared" si="8"/>
        <v>9.0400007676196541</v>
      </c>
      <c r="I721" s="2">
        <f t="shared" si="9"/>
        <v>64.184005450099534</v>
      </c>
      <c r="J721">
        <v>7</v>
      </c>
    </row>
    <row r="722" spans="1:10" x14ac:dyDescent="0.3">
      <c r="A722" t="s">
        <v>81</v>
      </c>
      <c r="B722" t="s">
        <v>66</v>
      </c>
      <c r="C722" s="4">
        <v>0.62643652800000005</v>
      </c>
      <c r="D722" s="4">
        <v>0.57808694400000005</v>
      </c>
      <c r="E722" s="18">
        <v>182</v>
      </c>
      <c r="F722" s="18">
        <v>3</v>
      </c>
      <c r="G722" s="4">
        <v>32.200000000000003</v>
      </c>
      <c r="H722" s="4">
        <f t="shared" si="8"/>
        <v>10.249578335118061</v>
      </c>
      <c r="I722" s="2">
        <f t="shared" si="9"/>
        <v>82.509105597700398</v>
      </c>
      <c r="J722">
        <v>7</v>
      </c>
    </row>
    <row r="723" spans="1:10" x14ac:dyDescent="0.3">
      <c r="A723" t="s">
        <v>81</v>
      </c>
      <c r="B723" t="s">
        <v>66</v>
      </c>
      <c r="C723" s="4">
        <v>0.62643652800000005</v>
      </c>
      <c r="D723" s="4">
        <v>0.57808694400000005</v>
      </c>
      <c r="E723" s="18">
        <v>182</v>
      </c>
      <c r="F723" s="18">
        <v>4</v>
      </c>
      <c r="G723" s="4">
        <v>27.3</v>
      </c>
      <c r="H723" s="4">
        <f t="shared" si="8"/>
        <v>8.6898598928174859</v>
      </c>
      <c r="I723" s="2">
        <f t="shared" si="9"/>
        <v>59.308293768479338</v>
      </c>
      <c r="J723">
        <v>7</v>
      </c>
    </row>
    <row r="724" spans="1:10" x14ac:dyDescent="0.3">
      <c r="A724" t="s">
        <v>81</v>
      </c>
      <c r="B724" t="s">
        <v>66</v>
      </c>
      <c r="C724" s="4">
        <v>0.62643652800000005</v>
      </c>
      <c r="D724" s="4">
        <v>0.57808694400000005</v>
      </c>
      <c r="E724" s="18">
        <v>183</v>
      </c>
      <c r="F724" s="18">
        <v>1</v>
      </c>
      <c r="G724" s="4">
        <v>14.3</v>
      </c>
      <c r="H724" s="4">
        <f t="shared" si="8"/>
        <v>4.5518313724282073</v>
      </c>
      <c r="I724" s="2">
        <f t="shared" si="9"/>
        <v>16.272797156430844</v>
      </c>
      <c r="J724">
        <v>6</v>
      </c>
    </row>
    <row r="725" spans="1:10" x14ac:dyDescent="0.3">
      <c r="A725" t="s">
        <v>81</v>
      </c>
      <c r="B725" t="s">
        <v>66</v>
      </c>
      <c r="C725" s="4">
        <v>0.62643652800000005</v>
      </c>
      <c r="D725" s="4">
        <v>0.57808694400000005</v>
      </c>
      <c r="E725" s="18">
        <v>183</v>
      </c>
      <c r="F725" s="18">
        <v>2</v>
      </c>
      <c r="G725" s="4">
        <v>16.3</v>
      </c>
      <c r="H725" s="4">
        <f t="shared" si="8"/>
        <v>5.1884511447957884</v>
      </c>
      <c r="I725" s="2">
        <f t="shared" si="9"/>
        <v>21.142938415042838</v>
      </c>
      <c r="J725">
        <v>6</v>
      </c>
    </row>
    <row r="726" spans="1:10" x14ac:dyDescent="0.3">
      <c r="A726" t="s">
        <v>81</v>
      </c>
      <c r="B726" t="s">
        <v>66</v>
      </c>
      <c r="C726" s="4">
        <v>0.62643652800000005</v>
      </c>
      <c r="D726" s="4">
        <v>0.57808694400000005</v>
      </c>
      <c r="E726" s="18">
        <v>183</v>
      </c>
      <c r="F726" s="18">
        <v>3</v>
      </c>
      <c r="G726" s="4">
        <v>21.4</v>
      </c>
      <c r="H726" s="4">
        <f t="shared" si="8"/>
        <v>6.8118315643331204</v>
      </c>
      <c r="I726" s="2">
        <f t="shared" si="9"/>
        <v>36.443298869182193</v>
      </c>
      <c r="J726">
        <v>6</v>
      </c>
    </row>
    <row r="727" spans="1:10" x14ac:dyDescent="0.3">
      <c r="A727" t="s">
        <v>81</v>
      </c>
      <c r="B727" t="s">
        <v>66</v>
      </c>
      <c r="C727" s="4">
        <v>0.62643652800000005</v>
      </c>
      <c r="D727" s="4">
        <v>0.57808694400000005</v>
      </c>
      <c r="E727" s="18">
        <v>183</v>
      </c>
      <c r="F727" s="18">
        <v>4</v>
      </c>
      <c r="G727" s="4">
        <v>19.3</v>
      </c>
      <c r="H727" s="4">
        <f t="shared" si="8"/>
        <v>6.1433808033471609</v>
      </c>
      <c r="I727" s="2">
        <f t="shared" si="9"/>
        <v>29.641812376150053</v>
      </c>
      <c r="J727">
        <v>6</v>
      </c>
    </row>
    <row r="728" spans="1:10" x14ac:dyDescent="0.3">
      <c r="A728" t="s">
        <v>81</v>
      </c>
      <c r="B728" t="s">
        <v>66</v>
      </c>
      <c r="C728" s="4">
        <v>0.62643652800000005</v>
      </c>
      <c r="D728" s="4">
        <v>0.57808694400000005</v>
      </c>
      <c r="E728" s="18">
        <v>183</v>
      </c>
      <c r="F728" s="18">
        <v>5</v>
      </c>
      <c r="G728" s="4">
        <v>16.2</v>
      </c>
      <c r="H728" s="4">
        <f t="shared" si="8"/>
        <v>5.156620156177409</v>
      </c>
      <c r="I728" s="2">
        <f t="shared" si="9"/>
        <v>20.884311632518507</v>
      </c>
      <c r="J728">
        <v>6</v>
      </c>
    </row>
    <row r="729" spans="1:10" x14ac:dyDescent="0.3">
      <c r="A729" t="s">
        <v>81</v>
      </c>
      <c r="B729" t="s">
        <v>66</v>
      </c>
      <c r="C729" s="4">
        <v>0.62643652800000005</v>
      </c>
      <c r="D729" s="4">
        <v>0.57808694400000005</v>
      </c>
      <c r="E729" s="18">
        <v>184</v>
      </c>
      <c r="F729" s="18">
        <v>1</v>
      </c>
      <c r="G729" s="4">
        <v>22.27</v>
      </c>
      <c r="H729" s="4">
        <f t="shared" si="8"/>
        <v>7.0887611653130183</v>
      </c>
      <c r="I729" s="2">
        <f t="shared" si="9"/>
        <v>39.466677787880229</v>
      </c>
      <c r="J729">
        <v>6</v>
      </c>
    </row>
    <row r="730" spans="1:10" x14ac:dyDescent="0.3">
      <c r="A730" t="s">
        <v>81</v>
      </c>
      <c r="B730" t="s">
        <v>66</v>
      </c>
      <c r="C730" s="4">
        <v>0.62643652800000005</v>
      </c>
      <c r="D730" s="4">
        <v>0.57808694400000005</v>
      </c>
      <c r="E730" s="18">
        <v>184</v>
      </c>
      <c r="F730" s="18">
        <v>2</v>
      </c>
      <c r="G730" s="4">
        <v>17.600000000000001</v>
      </c>
      <c r="H730" s="4">
        <f t="shared" si="8"/>
        <v>5.6022539968347163</v>
      </c>
      <c r="I730" s="2">
        <f t="shared" si="9"/>
        <v>24.649917586072753</v>
      </c>
      <c r="J730">
        <v>6</v>
      </c>
    </row>
    <row r="731" spans="1:10" x14ac:dyDescent="0.3">
      <c r="A731" t="s">
        <v>81</v>
      </c>
      <c r="B731" t="s">
        <v>66</v>
      </c>
      <c r="C731" s="4">
        <v>0.62643652800000005</v>
      </c>
      <c r="D731" s="4">
        <v>0.57808694400000005</v>
      </c>
      <c r="E731" s="18">
        <v>184</v>
      </c>
      <c r="F731" s="18">
        <v>3</v>
      </c>
      <c r="G731" s="4">
        <v>24.2</v>
      </c>
      <c r="H731" s="4">
        <f t="shared" si="8"/>
        <v>7.7030992456477341</v>
      </c>
      <c r="I731" s="2">
        <f t="shared" si="9"/>
        <v>46.603750436168788</v>
      </c>
      <c r="J731">
        <v>6</v>
      </c>
    </row>
    <row r="732" spans="1:10" x14ac:dyDescent="0.3">
      <c r="A732" t="s">
        <v>81</v>
      </c>
      <c r="B732" t="s">
        <v>66</v>
      </c>
      <c r="C732" s="4">
        <v>0.62643652800000005</v>
      </c>
      <c r="D732" s="4">
        <v>0.57808694400000005</v>
      </c>
      <c r="E732" s="18">
        <v>184</v>
      </c>
      <c r="F732" s="18">
        <v>4</v>
      </c>
      <c r="G732" s="4">
        <v>29.4</v>
      </c>
      <c r="H732" s="4">
        <f t="shared" si="8"/>
        <v>9.3583106538034464</v>
      </c>
      <c r="I732" s="2">
        <f t="shared" si="9"/>
        <v>68.783583305455338</v>
      </c>
      <c r="J732">
        <v>6</v>
      </c>
    </row>
    <row r="733" spans="1:10" x14ac:dyDescent="0.3">
      <c r="A733" t="s">
        <v>81</v>
      </c>
      <c r="B733" t="s">
        <v>66</v>
      </c>
      <c r="C733" s="4">
        <v>0.62643652800000005</v>
      </c>
      <c r="D733" s="4">
        <v>0.57808694400000005</v>
      </c>
      <c r="E733" s="18">
        <v>184</v>
      </c>
      <c r="F733" s="18">
        <v>5</v>
      </c>
      <c r="G733" s="4">
        <v>12.4</v>
      </c>
      <c r="H733" s="4">
        <f t="shared" si="8"/>
        <v>3.9470425886790048</v>
      </c>
      <c r="I733" s="2">
        <f t="shared" si="9"/>
        <v>12.235832024904916</v>
      </c>
      <c r="J733">
        <v>6</v>
      </c>
    </row>
    <row r="734" spans="1:10" x14ac:dyDescent="0.3">
      <c r="A734" t="s">
        <v>81</v>
      </c>
      <c r="B734" t="s">
        <v>66</v>
      </c>
      <c r="C734" s="4">
        <v>0.62643652800000005</v>
      </c>
      <c r="D734" s="4">
        <v>0.57808694400000005</v>
      </c>
      <c r="E734" s="18">
        <v>184</v>
      </c>
      <c r="F734" s="18">
        <v>6</v>
      </c>
      <c r="G734" s="4">
        <v>14.3</v>
      </c>
      <c r="H734" s="4">
        <f t="shared" si="8"/>
        <v>4.5518313724282073</v>
      </c>
      <c r="I734" s="2">
        <f t="shared" si="9"/>
        <v>16.272797156430844</v>
      </c>
      <c r="J734">
        <v>6</v>
      </c>
    </row>
    <row r="735" spans="1:10" x14ac:dyDescent="0.3">
      <c r="A735" t="s">
        <v>81</v>
      </c>
      <c r="B735" t="s">
        <v>56</v>
      </c>
      <c r="C735" s="4">
        <v>0.39984676499999999</v>
      </c>
      <c r="D735" s="4">
        <v>0.450333333</v>
      </c>
      <c r="E735" s="18">
        <v>185</v>
      </c>
      <c r="F735" s="18">
        <v>1</v>
      </c>
      <c r="G735" s="4">
        <v>50.5</v>
      </c>
      <c r="H735" s="4">
        <f t="shared" si="8"/>
        <v>16.074649252281429</v>
      </c>
      <c r="I735" s="2">
        <f t="shared" si="9"/>
        <v>202.94244681005301</v>
      </c>
      <c r="J735">
        <v>11</v>
      </c>
    </row>
    <row r="736" spans="1:10" x14ac:dyDescent="0.3">
      <c r="A736" t="s">
        <v>81</v>
      </c>
      <c r="B736" t="s">
        <v>56</v>
      </c>
      <c r="C736" s="4">
        <v>0.39984676499999999</v>
      </c>
      <c r="D736" s="4">
        <v>0.450333333</v>
      </c>
      <c r="E736" s="18">
        <v>185</v>
      </c>
      <c r="F736" s="18">
        <v>2</v>
      </c>
      <c r="G736" s="4">
        <v>71.099999999999994</v>
      </c>
      <c r="H736" s="4">
        <f t="shared" si="8"/>
        <v>22.631832907667516</v>
      </c>
      <c r="I736" s="2">
        <f t="shared" si="9"/>
        <v>402.28082993379007</v>
      </c>
      <c r="J736">
        <v>11</v>
      </c>
    </row>
    <row r="737" spans="1:10" x14ac:dyDescent="0.3">
      <c r="A737" t="s">
        <v>81</v>
      </c>
      <c r="B737" t="s">
        <v>47</v>
      </c>
      <c r="C737" s="4">
        <v>0.40238543599999999</v>
      </c>
      <c r="D737" s="4">
        <v>0.40883333300000002</v>
      </c>
      <c r="E737" s="18">
        <v>186</v>
      </c>
      <c r="F737" s="18">
        <v>1</v>
      </c>
      <c r="G737" s="4">
        <v>17.5</v>
      </c>
      <c r="H737" s="4">
        <f t="shared" si="8"/>
        <v>5.5704230082163368</v>
      </c>
      <c r="I737" s="2">
        <f t="shared" si="9"/>
        <v>24.370600660946472</v>
      </c>
      <c r="J737">
        <v>6</v>
      </c>
    </row>
    <row r="738" spans="1:10" x14ac:dyDescent="0.3">
      <c r="A738" t="s">
        <v>81</v>
      </c>
      <c r="B738" t="s">
        <v>47</v>
      </c>
      <c r="C738" s="4">
        <v>0.40238543599999999</v>
      </c>
      <c r="D738" s="4">
        <v>0.40883333300000002</v>
      </c>
      <c r="E738" s="18">
        <v>186</v>
      </c>
      <c r="F738" s="18">
        <v>2</v>
      </c>
      <c r="G738" s="4">
        <v>32.6</v>
      </c>
      <c r="H738" s="4">
        <f t="shared" si="8"/>
        <v>10.376902289591577</v>
      </c>
      <c r="I738" s="2">
        <f t="shared" si="9"/>
        <v>84.571753660171353</v>
      </c>
      <c r="J738">
        <v>6</v>
      </c>
    </row>
    <row r="739" spans="1:10" x14ac:dyDescent="0.3">
      <c r="A739" t="s">
        <v>81</v>
      </c>
      <c r="B739" t="s">
        <v>47</v>
      </c>
      <c r="C739" s="4">
        <v>0.40238543599999999</v>
      </c>
      <c r="D739" s="4">
        <v>0.40883333300000002</v>
      </c>
      <c r="E739" s="18">
        <v>187</v>
      </c>
      <c r="F739" s="18">
        <v>1</v>
      </c>
      <c r="G739" s="4">
        <v>44.2</v>
      </c>
      <c r="H739" s="4">
        <f t="shared" si="8"/>
        <v>14.069296969323549</v>
      </c>
      <c r="I739" s="2">
        <f t="shared" si="9"/>
        <v>155.46573151102521</v>
      </c>
      <c r="J739">
        <v>8</v>
      </c>
    </row>
    <row r="740" spans="1:10" x14ac:dyDescent="0.3">
      <c r="A740" t="s">
        <v>81</v>
      </c>
      <c r="B740" t="s">
        <v>47</v>
      </c>
      <c r="C740" s="4">
        <v>0.40238543599999999</v>
      </c>
      <c r="D740" s="4">
        <v>0.40883333300000002</v>
      </c>
      <c r="E740" s="18">
        <v>188</v>
      </c>
      <c r="F740" s="18">
        <v>1</v>
      </c>
      <c r="G740" s="4">
        <v>39.6</v>
      </c>
      <c r="H740" s="4">
        <f t="shared" si="8"/>
        <v>12.605071492878112</v>
      </c>
      <c r="I740" s="2">
        <f t="shared" si="9"/>
        <v>124.79020777949331</v>
      </c>
      <c r="J740">
        <v>7</v>
      </c>
    </row>
    <row r="741" spans="1:10" x14ac:dyDescent="0.3">
      <c r="A741" t="s">
        <v>81</v>
      </c>
      <c r="B741" t="s">
        <v>47</v>
      </c>
      <c r="C741" s="4">
        <v>0.40238543599999999</v>
      </c>
      <c r="D741" s="4">
        <v>0.40883333300000002</v>
      </c>
      <c r="E741" s="18">
        <v>189</v>
      </c>
      <c r="F741" s="18">
        <v>1</v>
      </c>
      <c r="G741" s="4">
        <v>35.6</v>
      </c>
      <c r="H741" s="4">
        <f t="shared" si="8"/>
        <v>11.331831948142948</v>
      </c>
      <c r="I741" s="2">
        <f t="shared" si="9"/>
        <v>100.85330433847224</v>
      </c>
      <c r="J741">
        <v>7</v>
      </c>
    </row>
    <row r="742" spans="1:10" x14ac:dyDescent="0.3">
      <c r="A742" t="s">
        <v>81</v>
      </c>
      <c r="B742" t="s">
        <v>47</v>
      </c>
      <c r="C742" s="4">
        <v>0.40238543599999999</v>
      </c>
      <c r="D742" s="4">
        <v>0.40883333300000002</v>
      </c>
      <c r="E742" s="18">
        <v>190</v>
      </c>
      <c r="F742" s="18">
        <v>1</v>
      </c>
      <c r="G742" s="4">
        <v>43.5</v>
      </c>
      <c r="H742" s="4">
        <f t="shared" si="8"/>
        <v>13.846480048994895</v>
      </c>
      <c r="I742" s="2">
        <f t="shared" si="9"/>
        <v>150.5804705328195</v>
      </c>
      <c r="J742">
        <v>7</v>
      </c>
    </row>
    <row r="743" spans="1:10" x14ac:dyDescent="0.3">
      <c r="A743" t="s">
        <v>81</v>
      </c>
      <c r="B743" t="s">
        <v>47</v>
      </c>
      <c r="C743" s="4">
        <v>0.40238543599999999</v>
      </c>
      <c r="D743" s="4">
        <v>0.40883333300000002</v>
      </c>
      <c r="E743" s="18">
        <v>191</v>
      </c>
      <c r="F743" s="18">
        <v>1</v>
      </c>
      <c r="G743" s="4">
        <v>44.3</v>
      </c>
      <c r="H743" s="4">
        <f t="shared" si="8"/>
        <v>14.101127957941927</v>
      </c>
      <c r="I743" s="2">
        <f t="shared" si="9"/>
        <v>156.16999213420684</v>
      </c>
      <c r="J743">
        <v>7</v>
      </c>
    </row>
    <row r="744" spans="1:10" x14ac:dyDescent="0.3">
      <c r="A744" t="s">
        <v>81</v>
      </c>
      <c r="B744" t="s">
        <v>47</v>
      </c>
      <c r="C744" s="4">
        <v>0.40238543599999999</v>
      </c>
      <c r="D744" s="4">
        <v>0.40883333300000002</v>
      </c>
      <c r="E744" s="18">
        <v>192</v>
      </c>
      <c r="F744" s="18">
        <v>1</v>
      </c>
      <c r="G744" s="4">
        <v>38.4</v>
      </c>
      <c r="H744" s="4">
        <f t="shared" si="8"/>
        <v>12.223099629457561</v>
      </c>
      <c r="I744" s="2">
        <f t="shared" si="9"/>
        <v>117.34175644279259</v>
      </c>
      <c r="J744">
        <v>8</v>
      </c>
    </row>
    <row r="745" spans="1:10" x14ac:dyDescent="0.3">
      <c r="A745" t="s">
        <v>81</v>
      </c>
      <c r="B745" t="s">
        <v>47</v>
      </c>
      <c r="C745" s="4">
        <v>0.40238543599999999</v>
      </c>
      <c r="D745" s="4">
        <v>0.40883333300000002</v>
      </c>
      <c r="E745" s="18">
        <v>193</v>
      </c>
      <c r="F745" s="18">
        <v>1</v>
      </c>
      <c r="G745" s="4">
        <v>41.3</v>
      </c>
      <c r="H745" s="4">
        <f t="shared" si="8"/>
        <v>13.146198299390555</v>
      </c>
      <c r="I745" s="2">
        <f t="shared" si="9"/>
        <v>135.73449744120748</v>
      </c>
      <c r="J745">
        <v>8</v>
      </c>
    </row>
    <row r="746" spans="1:10" x14ac:dyDescent="0.3">
      <c r="A746" t="s">
        <v>81</v>
      </c>
      <c r="B746" t="s">
        <v>47</v>
      </c>
      <c r="C746" s="4">
        <v>0.40238543599999999</v>
      </c>
      <c r="D746" s="4">
        <v>0.40883333300000002</v>
      </c>
      <c r="E746" s="18">
        <v>194</v>
      </c>
      <c r="F746" s="18">
        <v>1</v>
      </c>
      <c r="G746" s="4">
        <v>44.2</v>
      </c>
      <c r="H746" s="4">
        <f t="shared" ref="H746:H844" si="10">G746/PI()</f>
        <v>14.069296969323549</v>
      </c>
      <c r="I746" s="2">
        <f t="shared" si="9"/>
        <v>155.46573151102521</v>
      </c>
      <c r="J746">
        <v>8</v>
      </c>
    </row>
    <row r="747" spans="1:10" x14ac:dyDescent="0.3">
      <c r="A747" t="s">
        <v>81</v>
      </c>
      <c r="B747" t="s">
        <v>82</v>
      </c>
      <c r="C747" s="4">
        <v>0.46679999999999999</v>
      </c>
      <c r="D747" s="4">
        <v>0.81159999999999999</v>
      </c>
      <c r="E747" s="18">
        <v>195</v>
      </c>
      <c r="F747" s="18">
        <v>1</v>
      </c>
      <c r="G747" s="4">
        <v>37.700000000000003</v>
      </c>
      <c r="H747" s="4">
        <f t="shared" si="10"/>
        <v>12.000282709128909</v>
      </c>
      <c r="I747" s="2">
        <f t="shared" si="9"/>
        <v>113.10266453353996</v>
      </c>
      <c r="J747">
        <v>8</v>
      </c>
    </row>
    <row r="748" spans="1:10" x14ac:dyDescent="0.3">
      <c r="A748" t="s">
        <v>81</v>
      </c>
      <c r="B748" t="s">
        <v>82</v>
      </c>
      <c r="C748" s="4">
        <v>0.46679999999999999</v>
      </c>
      <c r="D748" s="4">
        <v>0.81159999999999999</v>
      </c>
      <c r="E748" s="18">
        <v>195</v>
      </c>
      <c r="F748" s="18">
        <v>2</v>
      </c>
      <c r="G748" s="4">
        <v>15.7</v>
      </c>
      <c r="H748" s="4">
        <f t="shared" si="10"/>
        <v>4.9974652130855137</v>
      </c>
      <c r="I748" s="2">
        <f t="shared" si="9"/>
        <v>19.615050961360641</v>
      </c>
      <c r="J748">
        <v>8</v>
      </c>
    </row>
    <row r="749" spans="1:10" x14ac:dyDescent="0.3">
      <c r="A749" t="s">
        <v>81</v>
      </c>
      <c r="B749" t="s">
        <v>82</v>
      </c>
      <c r="C749" s="4">
        <v>0.46679999999999999</v>
      </c>
      <c r="D749" s="4">
        <v>0.81159999999999999</v>
      </c>
      <c r="E749" s="18">
        <v>196</v>
      </c>
      <c r="F749" s="18">
        <v>1</v>
      </c>
      <c r="G749" s="4">
        <v>24.5</v>
      </c>
      <c r="H749" s="4">
        <f t="shared" si="10"/>
        <v>7.7985922115028714</v>
      </c>
      <c r="I749" s="2">
        <f t="shared" si="9"/>
        <v>47.766377295455086</v>
      </c>
      <c r="J749">
        <v>5</v>
      </c>
    </row>
    <row r="750" spans="1:10" x14ac:dyDescent="0.3">
      <c r="A750" t="s">
        <v>81</v>
      </c>
      <c r="B750" t="s">
        <v>82</v>
      </c>
      <c r="C750" s="4">
        <v>0.46679999999999999</v>
      </c>
      <c r="D750" s="4">
        <v>0.81159999999999999</v>
      </c>
      <c r="E750" s="18">
        <v>196</v>
      </c>
      <c r="F750" s="18">
        <v>2</v>
      </c>
      <c r="G750" s="4">
        <v>21.3</v>
      </c>
      <c r="H750" s="4">
        <f t="shared" si="10"/>
        <v>6.7800005757147419</v>
      </c>
      <c r="I750" s="2">
        <f t="shared" si="9"/>
        <v>36.103503065681004</v>
      </c>
      <c r="J750">
        <v>5</v>
      </c>
    </row>
    <row r="751" spans="1:10" x14ac:dyDescent="0.3">
      <c r="A751" t="s">
        <v>81</v>
      </c>
      <c r="B751" t="s">
        <v>82</v>
      </c>
      <c r="C751" s="4">
        <v>0.46679999999999999</v>
      </c>
      <c r="D751" s="4">
        <v>0.81159999999999999</v>
      </c>
      <c r="E751" s="18">
        <v>197</v>
      </c>
      <c r="F751" s="18">
        <v>1</v>
      </c>
      <c r="G751" s="4">
        <v>15.6</v>
      </c>
      <c r="H751" s="4">
        <f t="shared" si="10"/>
        <v>4.9656342244671343</v>
      </c>
      <c r="I751" s="2">
        <f t="shared" si="9"/>
        <v>19.365973475421821</v>
      </c>
      <c r="J751">
        <v>6</v>
      </c>
    </row>
    <row r="752" spans="1:10" x14ac:dyDescent="0.3">
      <c r="A752" t="s">
        <v>83</v>
      </c>
      <c r="B752" t="s">
        <v>15</v>
      </c>
      <c r="C752" s="4">
        <v>0.47982689899999997</v>
      </c>
      <c r="D752" s="4">
        <v>0.51</v>
      </c>
      <c r="E752" s="18">
        <v>198</v>
      </c>
      <c r="F752" s="18">
        <v>1</v>
      </c>
      <c r="G752" s="4">
        <v>32.5</v>
      </c>
      <c r="H752" s="4">
        <f t="shared" si="10"/>
        <v>10.345071300973197</v>
      </c>
      <c r="I752" s="2">
        <f t="shared" si="9"/>
        <v>84.053704320407235</v>
      </c>
      <c r="J752">
        <v>8</v>
      </c>
    </row>
    <row r="753" spans="1:10" x14ac:dyDescent="0.3">
      <c r="A753" t="s">
        <v>83</v>
      </c>
      <c r="B753" t="s">
        <v>15</v>
      </c>
      <c r="C753" s="4">
        <v>0.47982689899999997</v>
      </c>
      <c r="D753" s="4">
        <v>0.51</v>
      </c>
      <c r="E753" s="18">
        <v>199</v>
      </c>
      <c r="F753" s="18">
        <v>1</v>
      </c>
      <c r="G753" s="4">
        <v>20.6</v>
      </c>
      <c r="H753" s="4">
        <f t="shared" si="10"/>
        <v>6.5571836553860887</v>
      </c>
      <c r="I753" s="2">
        <f t="shared" si="9"/>
        <v>33.769495825238359</v>
      </c>
      <c r="J753">
        <v>8</v>
      </c>
    </row>
    <row r="754" spans="1:10" x14ac:dyDescent="0.3">
      <c r="A754" t="s">
        <v>83</v>
      </c>
      <c r="B754" t="s">
        <v>15</v>
      </c>
      <c r="C754" s="4">
        <v>0.47982689899999997</v>
      </c>
      <c r="D754" s="4">
        <v>0.51</v>
      </c>
      <c r="E754" s="18">
        <v>200</v>
      </c>
      <c r="F754" s="18">
        <v>1</v>
      </c>
      <c r="G754" s="4">
        <v>32.700000000000003</v>
      </c>
      <c r="H754" s="4">
        <f t="shared" si="10"/>
        <v>10.408733278209956</v>
      </c>
      <c r="I754" s="2">
        <f t="shared" si="9"/>
        <v>85.091394549366399</v>
      </c>
      <c r="J754">
        <v>9</v>
      </c>
    </row>
    <row r="755" spans="1:10" x14ac:dyDescent="0.3">
      <c r="A755" t="s">
        <v>83</v>
      </c>
      <c r="B755" t="s">
        <v>66</v>
      </c>
      <c r="C755" s="4">
        <v>0.62643652800000005</v>
      </c>
      <c r="D755" s="4">
        <v>0.57808694400000005</v>
      </c>
      <c r="E755" s="18">
        <v>201</v>
      </c>
      <c r="F755" s="18">
        <v>1</v>
      </c>
      <c r="G755" s="4">
        <v>13.4</v>
      </c>
      <c r="H755" s="4">
        <f t="shared" si="10"/>
        <v>4.2653524748627953</v>
      </c>
      <c r="I755" s="2">
        <f t="shared" si="9"/>
        <v>14.288930790790365</v>
      </c>
      <c r="J755">
        <v>5</v>
      </c>
    </row>
    <row r="756" spans="1:10" x14ac:dyDescent="0.3">
      <c r="A756" t="s">
        <v>83</v>
      </c>
      <c r="B756" t="s">
        <v>66</v>
      </c>
      <c r="C756" s="4">
        <v>0.62643652800000005</v>
      </c>
      <c r="D756" s="4">
        <v>0.57808694400000005</v>
      </c>
      <c r="E756" s="18">
        <v>201</v>
      </c>
      <c r="F756" s="18">
        <v>2</v>
      </c>
      <c r="G756" s="4">
        <v>14.2</v>
      </c>
      <c r="H756" s="4">
        <f t="shared" si="10"/>
        <v>4.520000383809827</v>
      </c>
      <c r="I756" s="2">
        <f t="shared" si="9"/>
        <v>16.046001362524883</v>
      </c>
      <c r="J756">
        <v>5</v>
      </c>
    </row>
    <row r="757" spans="1:10" x14ac:dyDescent="0.3">
      <c r="A757" t="s">
        <v>83</v>
      </c>
      <c r="B757" t="s">
        <v>66</v>
      </c>
      <c r="C757" s="4">
        <v>0.62643652800000005</v>
      </c>
      <c r="D757" s="4">
        <v>0.57808694400000005</v>
      </c>
      <c r="E757" s="18">
        <v>201</v>
      </c>
      <c r="F757" s="18">
        <v>3</v>
      </c>
      <c r="G757" s="4">
        <v>14.7</v>
      </c>
      <c r="H757" s="4">
        <f t="shared" si="10"/>
        <v>4.6791553269017232</v>
      </c>
      <c r="I757" s="2">
        <f t="shared" si="9"/>
        <v>17.195895826363834</v>
      </c>
      <c r="J757">
        <v>5</v>
      </c>
    </row>
    <row r="758" spans="1:10" x14ac:dyDescent="0.3">
      <c r="A758" t="s">
        <v>83</v>
      </c>
      <c r="B758" t="s">
        <v>66</v>
      </c>
      <c r="C758" s="4">
        <v>0.62643652800000005</v>
      </c>
      <c r="D758" s="4">
        <v>0.57808694400000005</v>
      </c>
      <c r="E758" s="18">
        <v>201</v>
      </c>
      <c r="F758" s="18">
        <v>4</v>
      </c>
      <c r="G758" s="4">
        <v>15.5</v>
      </c>
      <c r="H758" s="4">
        <f t="shared" si="10"/>
        <v>4.9338032358487558</v>
      </c>
      <c r="I758" s="2">
        <f t="shared" si="9"/>
        <v>19.118487538913932</v>
      </c>
      <c r="J758">
        <v>5</v>
      </c>
    </row>
    <row r="759" spans="1:10" x14ac:dyDescent="0.3">
      <c r="A759" t="s">
        <v>83</v>
      </c>
      <c r="B759" t="s">
        <v>66</v>
      </c>
      <c r="C759" s="4">
        <v>0.62643652800000005</v>
      </c>
      <c r="D759" s="4">
        <v>0.57808694400000005</v>
      </c>
      <c r="E759" s="18">
        <v>201</v>
      </c>
      <c r="F759" s="18">
        <v>5</v>
      </c>
      <c r="G759" s="4">
        <v>16.3</v>
      </c>
      <c r="H759" s="4">
        <f t="shared" si="10"/>
        <v>5.1884511447957884</v>
      </c>
      <c r="I759" s="2">
        <f t="shared" si="9"/>
        <v>21.142938415042838</v>
      </c>
      <c r="J759">
        <v>5</v>
      </c>
    </row>
    <row r="760" spans="1:10" x14ac:dyDescent="0.3">
      <c r="A760" t="s">
        <v>83</v>
      </c>
      <c r="B760" t="s">
        <v>66</v>
      </c>
      <c r="C760" s="4">
        <v>0.62643652800000005</v>
      </c>
      <c r="D760" s="4">
        <v>0.57808694400000005</v>
      </c>
      <c r="E760" s="18">
        <v>201</v>
      </c>
      <c r="F760" s="18">
        <v>6</v>
      </c>
      <c r="G760" s="4">
        <v>13.2</v>
      </c>
      <c r="H760" s="4">
        <f t="shared" si="10"/>
        <v>4.2016904976260365</v>
      </c>
      <c r="I760" s="2">
        <f t="shared" si="9"/>
        <v>13.865578642165918</v>
      </c>
      <c r="J760">
        <v>5</v>
      </c>
    </row>
    <row r="761" spans="1:10" x14ac:dyDescent="0.3">
      <c r="A761" t="s">
        <v>83</v>
      </c>
      <c r="B761" t="s">
        <v>66</v>
      </c>
      <c r="C761" s="4">
        <v>0.62643652800000005</v>
      </c>
      <c r="D761" s="4">
        <v>0.57808694400000005</v>
      </c>
      <c r="E761" s="18">
        <v>202</v>
      </c>
      <c r="F761" s="18">
        <v>1</v>
      </c>
      <c r="G761" s="4">
        <v>33.4</v>
      </c>
      <c r="H761" s="4">
        <f t="shared" si="10"/>
        <v>10.631550198538608</v>
      </c>
      <c r="I761" s="2">
        <f t="shared" si="9"/>
        <v>88.773444157797371</v>
      </c>
      <c r="J761">
        <v>7</v>
      </c>
    </row>
    <row r="762" spans="1:10" x14ac:dyDescent="0.3">
      <c r="A762" t="s">
        <v>83</v>
      </c>
      <c r="B762" t="s">
        <v>66</v>
      </c>
      <c r="C762" s="4">
        <v>0.62643652800000005</v>
      </c>
      <c r="D762" s="4">
        <v>0.57808694400000005</v>
      </c>
      <c r="E762" s="18">
        <v>202</v>
      </c>
      <c r="F762" s="18">
        <v>2</v>
      </c>
      <c r="G762" s="4">
        <v>26.8</v>
      </c>
      <c r="H762" s="4">
        <f t="shared" si="10"/>
        <v>8.5307049497255907</v>
      </c>
      <c r="I762" s="2">
        <f t="shared" si="9"/>
        <v>57.155723163161461</v>
      </c>
      <c r="J762">
        <v>7</v>
      </c>
    </row>
    <row r="763" spans="1:10" x14ac:dyDescent="0.3">
      <c r="A763" t="s">
        <v>83</v>
      </c>
      <c r="B763" t="s">
        <v>66</v>
      </c>
      <c r="C763" s="4">
        <v>0.62643652800000005</v>
      </c>
      <c r="D763" s="4">
        <v>0.57808694400000005</v>
      </c>
      <c r="E763" s="18">
        <v>202</v>
      </c>
      <c r="F763" s="18">
        <v>3</v>
      </c>
      <c r="G763" s="4">
        <v>24.4</v>
      </c>
      <c r="H763" s="4">
        <f t="shared" si="10"/>
        <v>7.766761222884492</v>
      </c>
      <c r="I763" s="2">
        <f t="shared" si="9"/>
        <v>47.377243459595398</v>
      </c>
      <c r="J763">
        <v>7</v>
      </c>
    </row>
    <row r="764" spans="1:10" x14ac:dyDescent="0.3">
      <c r="A764" t="s">
        <v>83</v>
      </c>
      <c r="B764" t="s">
        <v>66</v>
      </c>
      <c r="C764" s="4">
        <v>0.62643652800000005</v>
      </c>
      <c r="D764" s="4">
        <v>0.57808694400000005</v>
      </c>
      <c r="E764" s="18">
        <v>202</v>
      </c>
      <c r="F764" s="18">
        <v>4</v>
      </c>
      <c r="G764" s="4">
        <v>31.2</v>
      </c>
      <c r="H764" s="4">
        <f t="shared" si="10"/>
        <v>9.9312684489342686</v>
      </c>
      <c r="I764" s="2">
        <f t="shared" si="9"/>
        <v>77.463893901687285</v>
      </c>
      <c r="J764">
        <v>7</v>
      </c>
    </row>
    <row r="765" spans="1:10" x14ac:dyDescent="0.3">
      <c r="A765" t="s">
        <v>83</v>
      </c>
      <c r="B765" t="s">
        <v>66</v>
      </c>
      <c r="C765" s="4">
        <v>0.62643652800000005</v>
      </c>
      <c r="D765" s="4">
        <v>0.57808694400000005</v>
      </c>
      <c r="E765" s="18">
        <v>202</v>
      </c>
      <c r="F765" s="18">
        <v>5</v>
      </c>
      <c r="G765" s="4">
        <v>42.3</v>
      </c>
      <c r="H765" s="4">
        <f t="shared" si="10"/>
        <v>13.464508185574346</v>
      </c>
      <c r="I765" s="2">
        <f t="shared" si="9"/>
        <v>142.38717406244871</v>
      </c>
      <c r="J765">
        <v>7</v>
      </c>
    </row>
    <row r="766" spans="1:10" x14ac:dyDescent="0.3">
      <c r="A766" t="s">
        <v>83</v>
      </c>
      <c r="B766" t="s">
        <v>66</v>
      </c>
      <c r="C766" s="4">
        <v>0.62643652800000005</v>
      </c>
      <c r="D766" s="4">
        <v>0.57808694400000005</v>
      </c>
      <c r="E766" s="18">
        <v>202</v>
      </c>
      <c r="F766" s="18">
        <v>6</v>
      </c>
      <c r="G766" s="4">
        <v>36.4</v>
      </c>
      <c r="H766" s="4">
        <f t="shared" si="10"/>
        <v>11.58647985708998</v>
      </c>
      <c r="I766" s="2">
        <f t="shared" si="9"/>
        <v>105.43696669951881</v>
      </c>
      <c r="J766">
        <v>7</v>
      </c>
    </row>
    <row r="767" spans="1:10" x14ac:dyDescent="0.3">
      <c r="A767" t="s">
        <v>83</v>
      </c>
      <c r="B767" t="s">
        <v>66</v>
      </c>
      <c r="C767" s="4">
        <v>0.62643652800000005</v>
      </c>
      <c r="D767" s="4">
        <v>0.57808694400000005</v>
      </c>
      <c r="E767" s="18">
        <v>203</v>
      </c>
      <c r="F767" s="18">
        <v>1</v>
      </c>
      <c r="G767" s="4">
        <v>19.399999999999999</v>
      </c>
      <c r="H767" s="4">
        <f t="shared" si="10"/>
        <v>6.1752117919655385</v>
      </c>
      <c r="I767" s="2">
        <f t="shared" si="9"/>
        <v>29.949777191032862</v>
      </c>
      <c r="J767">
        <v>7</v>
      </c>
    </row>
    <row r="768" spans="1:10" x14ac:dyDescent="0.3">
      <c r="A768" t="s">
        <v>83</v>
      </c>
      <c r="B768" t="s">
        <v>66</v>
      </c>
      <c r="C768" s="4">
        <v>0.62643652800000005</v>
      </c>
      <c r="D768" s="4">
        <v>0.57808694400000005</v>
      </c>
      <c r="E768" s="18">
        <v>203</v>
      </c>
      <c r="F768" s="18">
        <v>2</v>
      </c>
      <c r="G768" s="4">
        <v>22.3</v>
      </c>
      <c r="H768" s="4">
        <f t="shared" si="10"/>
        <v>7.0983104618985324</v>
      </c>
      <c r="I768" s="2">
        <f t="shared" si="9"/>
        <v>39.573080825084325</v>
      </c>
      <c r="J768">
        <v>7</v>
      </c>
    </row>
    <row r="769" spans="1:10" x14ac:dyDescent="0.3">
      <c r="A769" t="s">
        <v>83</v>
      </c>
      <c r="B769" t="s">
        <v>66</v>
      </c>
      <c r="C769" s="4">
        <v>0.62643652800000005</v>
      </c>
      <c r="D769" s="4">
        <v>0.57808694400000005</v>
      </c>
      <c r="E769" s="18">
        <v>203</v>
      </c>
      <c r="F769" s="18">
        <v>3</v>
      </c>
      <c r="G769" s="4">
        <v>30</v>
      </c>
      <c r="H769" s="4">
        <f t="shared" si="10"/>
        <v>9.5492965855137211</v>
      </c>
      <c r="I769" s="2">
        <f t="shared" si="9"/>
        <v>71.619724391352918</v>
      </c>
      <c r="J769">
        <v>7</v>
      </c>
    </row>
    <row r="770" spans="1:10" x14ac:dyDescent="0.3">
      <c r="A770" t="s">
        <v>83</v>
      </c>
      <c r="B770" t="s">
        <v>66</v>
      </c>
      <c r="C770" s="4">
        <v>0.62643652800000005</v>
      </c>
      <c r="D770" s="4">
        <v>0.57808694400000005</v>
      </c>
      <c r="E770" s="18">
        <v>203</v>
      </c>
      <c r="F770" s="18">
        <v>4</v>
      </c>
      <c r="G770" s="4">
        <v>38.200000000000003</v>
      </c>
      <c r="H770" s="4">
        <f t="shared" si="10"/>
        <v>12.159437652220806</v>
      </c>
      <c r="I770" s="2">
        <f t="shared" si="9"/>
        <v>116.12262957870871</v>
      </c>
      <c r="J770">
        <v>7</v>
      </c>
    </row>
    <row r="771" spans="1:10" x14ac:dyDescent="0.3">
      <c r="A771" t="s">
        <v>83</v>
      </c>
      <c r="B771" t="s">
        <v>66</v>
      </c>
      <c r="C771" s="4">
        <v>0.62643652800000005</v>
      </c>
      <c r="D771" s="4">
        <v>0.57808694400000005</v>
      </c>
      <c r="E771" s="18">
        <v>203</v>
      </c>
      <c r="F771" s="18">
        <v>5</v>
      </c>
      <c r="G771" s="4">
        <v>22.3</v>
      </c>
      <c r="H771" s="4">
        <f t="shared" si="10"/>
        <v>7.0983104618985324</v>
      </c>
      <c r="I771" s="2">
        <f t="shared" si="9"/>
        <v>39.573080825084325</v>
      </c>
      <c r="J771">
        <v>7</v>
      </c>
    </row>
    <row r="772" spans="1:10" x14ac:dyDescent="0.3">
      <c r="A772" t="s">
        <v>83</v>
      </c>
      <c r="B772" t="s">
        <v>66</v>
      </c>
      <c r="C772" s="4">
        <v>0.62643652800000005</v>
      </c>
      <c r="D772" s="4">
        <v>0.57808694400000005</v>
      </c>
      <c r="E772" s="18">
        <v>203</v>
      </c>
      <c r="F772" s="18">
        <v>6</v>
      </c>
      <c r="G772" s="4">
        <v>26.5</v>
      </c>
      <c r="H772" s="4">
        <f t="shared" si="10"/>
        <v>8.4352119838704525</v>
      </c>
      <c r="I772" s="2">
        <f t="shared" si="9"/>
        <v>55.883279393141741</v>
      </c>
      <c r="J772">
        <v>7</v>
      </c>
    </row>
    <row r="773" spans="1:10" x14ac:dyDescent="0.3">
      <c r="A773" t="s">
        <v>83</v>
      </c>
      <c r="B773" t="s">
        <v>66</v>
      </c>
      <c r="C773" s="4">
        <v>0.62643652800000005</v>
      </c>
      <c r="D773" s="4">
        <v>0.57808694400000005</v>
      </c>
      <c r="E773" s="18">
        <v>203</v>
      </c>
      <c r="F773" s="18">
        <v>7</v>
      </c>
      <c r="G773" s="4">
        <v>27.2</v>
      </c>
      <c r="H773" s="4">
        <f t="shared" si="10"/>
        <v>8.6580289041991065</v>
      </c>
      <c r="I773" s="2">
        <f t="shared" si="9"/>
        <v>58.874596548553917</v>
      </c>
      <c r="J773">
        <v>7</v>
      </c>
    </row>
    <row r="774" spans="1:10" x14ac:dyDescent="0.3">
      <c r="A774" t="s">
        <v>83</v>
      </c>
      <c r="B774" t="s">
        <v>66</v>
      </c>
      <c r="C774" s="4">
        <v>0.62643652800000005</v>
      </c>
      <c r="D774" s="4">
        <v>0.57808694400000005</v>
      </c>
      <c r="E774" s="18">
        <v>204</v>
      </c>
      <c r="F774" s="18">
        <v>1</v>
      </c>
      <c r="G774" s="4">
        <v>18.399999999999999</v>
      </c>
      <c r="H774" s="4">
        <f t="shared" si="10"/>
        <v>5.856901905781748</v>
      </c>
      <c r="I774" s="2">
        <f t="shared" ref="I774:I854" si="11">PI()*(H774/2)^2</f>
        <v>26.941748766596039</v>
      </c>
      <c r="J774">
        <v>7</v>
      </c>
    </row>
    <row r="775" spans="1:10" x14ac:dyDescent="0.3">
      <c r="A775" t="s">
        <v>83</v>
      </c>
      <c r="B775" t="s">
        <v>66</v>
      </c>
      <c r="C775" s="4">
        <v>0.62643652800000005</v>
      </c>
      <c r="D775" s="4">
        <v>0.57808694400000005</v>
      </c>
      <c r="E775" s="18">
        <v>204</v>
      </c>
      <c r="F775" s="18">
        <v>2</v>
      </c>
      <c r="G775" s="4">
        <v>17.600000000000001</v>
      </c>
      <c r="H775" s="4">
        <f t="shared" si="10"/>
        <v>5.6022539968347163</v>
      </c>
      <c r="I775" s="2">
        <f t="shared" si="11"/>
        <v>24.649917586072753</v>
      </c>
      <c r="J775">
        <v>7</v>
      </c>
    </row>
    <row r="776" spans="1:10" x14ac:dyDescent="0.3">
      <c r="A776" t="s">
        <v>83</v>
      </c>
      <c r="B776" t="s">
        <v>66</v>
      </c>
      <c r="C776" s="4">
        <v>0.62643652800000005</v>
      </c>
      <c r="D776" s="4">
        <v>0.57808694400000005</v>
      </c>
      <c r="E776" s="18">
        <v>204</v>
      </c>
      <c r="F776" s="18">
        <v>3</v>
      </c>
      <c r="G776" s="4">
        <v>31.4</v>
      </c>
      <c r="H776" s="4">
        <f t="shared" si="10"/>
        <v>9.9949304261710274</v>
      </c>
      <c r="I776" s="2">
        <f t="shared" si="11"/>
        <v>78.460203845442564</v>
      </c>
      <c r="J776">
        <v>7</v>
      </c>
    </row>
    <row r="777" spans="1:10" x14ac:dyDescent="0.3">
      <c r="A777" t="s">
        <v>83</v>
      </c>
      <c r="B777" t="s">
        <v>66</v>
      </c>
      <c r="C777" s="4">
        <v>0.62643652800000005</v>
      </c>
      <c r="D777" s="4">
        <v>0.57808694400000005</v>
      </c>
      <c r="E777" s="18">
        <v>204</v>
      </c>
      <c r="F777" s="18">
        <v>4</v>
      </c>
      <c r="G777" s="4">
        <v>24.2</v>
      </c>
      <c r="H777" s="4">
        <f t="shared" si="10"/>
        <v>7.7030992456477341</v>
      </c>
      <c r="I777" s="2">
        <f t="shared" si="11"/>
        <v>46.603750436168788</v>
      </c>
      <c r="J777">
        <v>7</v>
      </c>
    </row>
    <row r="778" spans="1:10" x14ac:dyDescent="0.3">
      <c r="A778" t="s">
        <v>83</v>
      </c>
      <c r="B778" t="s">
        <v>66</v>
      </c>
      <c r="C778" s="4">
        <v>0.62643652800000005</v>
      </c>
      <c r="D778" s="4">
        <v>0.57808694400000005</v>
      </c>
      <c r="E778" s="18">
        <v>204</v>
      </c>
      <c r="F778" s="18">
        <v>5</v>
      </c>
      <c r="G778" s="4">
        <v>25.7</v>
      </c>
      <c r="H778" s="4">
        <f t="shared" si="10"/>
        <v>8.1805640749234207</v>
      </c>
      <c r="I778" s="2">
        <f t="shared" si="11"/>
        <v>52.560124181382982</v>
      </c>
      <c r="J778">
        <v>7</v>
      </c>
    </row>
    <row r="779" spans="1:10" x14ac:dyDescent="0.3">
      <c r="A779" t="s">
        <v>83</v>
      </c>
      <c r="B779" t="s">
        <v>66</v>
      </c>
      <c r="C779" s="4">
        <v>0.62643652800000005</v>
      </c>
      <c r="D779" s="4">
        <v>0.57808694400000005</v>
      </c>
      <c r="E779" s="18">
        <v>204</v>
      </c>
      <c r="F779" s="18">
        <v>6</v>
      </c>
      <c r="G779" s="4">
        <v>29.3</v>
      </c>
      <c r="H779" s="4">
        <f t="shared" si="10"/>
        <v>9.326479665185067</v>
      </c>
      <c r="I779" s="2">
        <f t="shared" si="11"/>
        <v>68.316463547480609</v>
      </c>
      <c r="J779">
        <v>7</v>
      </c>
    </row>
    <row r="780" spans="1:10" x14ac:dyDescent="0.3">
      <c r="A780" t="s">
        <v>83</v>
      </c>
      <c r="B780" t="s">
        <v>66</v>
      </c>
      <c r="C780" s="4">
        <v>0.62643652800000005</v>
      </c>
      <c r="D780" s="4">
        <v>0.57808694400000005</v>
      </c>
      <c r="E780" s="18">
        <v>204</v>
      </c>
      <c r="F780" s="18">
        <v>7</v>
      </c>
      <c r="G780" s="4">
        <v>28.8</v>
      </c>
      <c r="H780" s="4">
        <f t="shared" si="10"/>
        <v>9.1673247220931717</v>
      </c>
      <c r="I780" s="2">
        <f t="shared" si="11"/>
        <v>66.004737999070827</v>
      </c>
      <c r="J780">
        <v>7</v>
      </c>
    </row>
    <row r="781" spans="1:10" x14ac:dyDescent="0.3">
      <c r="A781" t="s">
        <v>83</v>
      </c>
      <c r="B781" t="s">
        <v>66</v>
      </c>
      <c r="C781" s="4">
        <v>0.62643652800000005</v>
      </c>
      <c r="D781" s="4">
        <v>0.57808694400000005</v>
      </c>
      <c r="E781" s="18">
        <v>204</v>
      </c>
      <c r="F781" s="18">
        <v>8</v>
      </c>
      <c r="G781" s="4">
        <v>26.7</v>
      </c>
      <c r="H781" s="4">
        <f t="shared" si="10"/>
        <v>8.4988739611072113</v>
      </c>
      <c r="I781" s="2">
        <f t="shared" si="11"/>
        <v>56.72998369039064</v>
      </c>
      <c r="J781">
        <v>7</v>
      </c>
    </row>
    <row r="782" spans="1:10" x14ac:dyDescent="0.3">
      <c r="A782" t="s">
        <v>83</v>
      </c>
      <c r="B782" t="s">
        <v>66</v>
      </c>
      <c r="C782" s="4">
        <v>0.62643652800000005</v>
      </c>
      <c r="D782" s="4">
        <v>0.57808694400000005</v>
      </c>
      <c r="E782" s="18">
        <v>205</v>
      </c>
      <c r="F782" s="18">
        <v>1</v>
      </c>
      <c r="G782" s="4">
        <v>19.3</v>
      </c>
      <c r="H782" s="4">
        <f t="shared" si="10"/>
        <v>6.1433808033471609</v>
      </c>
      <c r="I782" s="2">
        <f t="shared" si="11"/>
        <v>29.641812376150053</v>
      </c>
      <c r="J782">
        <v>7</v>
      </c>
    </row>
    <row r="783" spans="1:10" x14ac:dyDescent="0.3">
      <c r="A783" t="s">
        <v>83</v>
      </c>
      <c r="B783" t="s">
        <v>66</v>
      </c>
      <c r="C783" s="4">
        <v>0.62643652800000005</v>
      </c>
      <c r="D783" s="4">
        <v>0.57808694400000005</v>
      </c>
      <c r="E783" s="18">
        <v>205</v>
      </c>
      <c r="F783" s="18">
        <v>2</v>
      </c>
      <c r="G783" s="4">
        <v>22.2</v>
      </c>
      <c r="H783" s="4">
        <f t="shared" si="10"/>
        <v>7.066479473280153</v>
      </c>
      <c r="I783" s="2">
        <f t="shared" si="11"/>
        <v>39.218961076704844</v>
      </c>
      <c r="J783">
        <v>7</v>
      </c>
    </row>
    <row r="784" spans="1:10" x14ac:dyDescent="0.3">
      <c r="A784" t="s">
        <v>83</v>
      </c>
      <c r="B784" t="s">
        <v>66</v>
      </c>
      <c r="C784" s="4">
        <v>0.62643652800000005</v>
      </c>
      <c r="D784" s="4">
        <v>0.57808694400000005</v>
      </c>
      <c r="E784" s="18">
        <v>205</v>
      </c>
      <c r="F784" s="18">
        <v>3</v>
      </c>
      <c r="G784" s="4">
        <v>21.3</v>
      </c>
      <c r="H784" s="4">
        <f t="shared" si="10"/>
        <v>6.7800005757147419</v>
      </c>
      <c r="I784" s="2">
        <f t="shared" si="11"/>
        <v>36.103503065681004</v>
      </c>
      <c r="J784">
        <v>7</v>
      </c>
    </row>
    <row r="785" spans="1:10" x14ac:dyDescent="0.3">
      <c r="A785" t="s">
        <v>83</v>
      </c>
      <c r="B785" t="s">
        <v>66</v>
      </c>
      <c r="C785" s="4">
        <v>0.62643652800000005</v>
      </c>
      <c r="D785" s="4">
        <v>0.57808694400000005</v>
      </c>
      <c r="E785" s="18">
        <v>205</v>
      </c>
      <c r="F785" s="18">
        <v>4</v>
      </c>
      <c r="G785" s="4">
        <v>20.399999999999999</v>
      </c>
      <c r="H785" s="4">
        <f t="shared" si="10"/>
        <v>6.4935216781493299</v>
      </c>
      <c r="I785" s="2">
        <f t="shared" si="11"/>
        <v>33.11696055856158</v>
      </c>
      <c r="J785">
        <v>7</v>
      </c>
    </row>
    <row r="786" spans="1:10" x14ac:dyDescent="0.3">
      <c r="A786" t="s">
        <v>83</v>
      </c>
      <c r="B786" t="s">
        <v>66</v>
      </c>
      <c r="C786" s="4">
        <v>0.62643652800000005</v>
      </c>
      <c r="D786" s="4">
        <v>0.57808694400000005</v>
      </c>
      <c r="E786" s="18">
        <v>205</v>
      </c>
      <c r="F786" s="18">
        <v>5</v>
      </c>
      <c r="G786" s="4">
        <v>25.5</v>
      </c>
      <c r="H786" s="4">
        <f t="shared" si="10"/>
        <v>8.1169020976866619</v>
      </c>
      <c r="I786" s="2">
        <f t="shared" si="11"/>
        <v>51.745250872752472</v>
      </c>
      <c r="J786">
        <v>7</v>
      </c>
    </row>
    <row r="787" spans="1:10" x14ac:dyDescent="0.3">
      <c r="A787" t="s">
        <v>83</v>
      </c>
      <c r="B787" t="s">
        <v>66</v>
      </c>
      <c r="C787" s="4">
        <v>0.62643652800000005</v>
      </c>
      <c r="D787" s="4">
        <v>0.57808694400000005</v>
      </c>
      <c r="E787" s="18">
        <v>206</v>
      </c>
      <c r="F787" s="18">
        <v>1</v>
      </c>
      <c r="G787" s="4">
        <v>29.9</v>
      </c>
      <c r="H787" s="4">
        <f t="shared" si="10"/>
        <v>9.5174655968953417</v>
      </c>
      <c r="I787" s="2">
        <f t="shared" si="11"/>
        <v>71.143055336792685</v>
      </c>
      <c r="J787">
        <v>7</v>
      </c>
    </row>
    <row r="788" spans="1:10" x14ac:dyDescent="0.3">
      <c r="A788" t="s">
        <v>83</v>
      </c>
      <c r="B788" t="s">
        <v>66</v>
      </c>
      <c r="C788" s="4">
        <v>0.62643652800000005</v>
      </c>
      <c r="D788" s="4">
        <v>0.57808694400000005</v>
      </c>
      <c r="E788" s="18">
        <v>206</v>
      </c>
      <c r="F788" s="18">
        <v>2</v>
      </c>
      <c r="G788" s="4">
        <v>17.600000000000001</v>
      </c>
      <c r="H788" s="4">
        <f t="shared" si="10"/>
        <v>5.6022539968347163</v>
      </c>
      <c r="I788" s="2">
        <f t="shared" si="11"/>
        <v>24.649917586072753</v>
      </c>
      <c r="J788">
        <v>7</v>
      </c>
    </row>
    <row r="789" spans="1:10" x14ac:dyDescent="0.3">
      <c r="A789" t="s">
        <v>83</v>
      </c>
      <c r="B789" t="s">
        <v>66</v>
      </c>
      <c r="C789" s="4">
        <v>0.62643652800000005</v>
      </c>
      <c r="D789" s="4">
        <v>0.57808694400000005</v>
      </c>
      <c r="E789" s="18">
        <v>206</v>
      </c>
      <c r="F789" s="18">
        <v>3</v>
      </c>
      <c r="G789" s="4">
        <v>35.5</v>
      </c>
      <c r="H789" s="4">
        <f t="shared" si="10"/>
        <v>11.300000959524569</v>
      </c>
      <c r="I789" s="2">
        <f t="shared" si="11"/>
        <v>100.28750851578054</v>
      </c>
      <c r="J789">
        <v>7</v>
      </c>
    </row>
    <row r="790" spans="1:10" x14ac:dyDescent="0.3">
      <c r="A790" t="s">
        <v>83</v>
      </c>
      <c r="B790" t="s">
        <v>66</v>
      </c>
      <c r="C790" s="4">
        <v>0.62643652800000005</v>
      </c>
      <c r="D790" s="4">
        <v>0.57808694400000005</v>
      </c>
      <c r="E790" s="18">
        <v>206</v>
      </c>
      <c r="F790" s="18">
        <v>4</v>
      </c>
      <c r="G790" s="4">
        <v>22.2</v>
      </c>
      <c r="H790" s="4">
        <f t="shared" si="10"/>
        <v>7.066479473280153</v>
      </c>
      <c r="I790" s="2">
        <f t="shared" si="11"/>
        <v>39.218961076704844</v>
      </c>
      <c r="J790">
        <v>7</v>
      </c>
    </row>
    <row r="791" spans="1:10" x14ac:dyDescent="0.3">
      <c r="A791" t="s">
        <v>83</v>
      </c>
      <c r="B791" t="s">
        <v>66</v>
      </c>
      <c r="C791" s="4">
        <v>0.62643652800000005</v>
      </c>
      <c r="D791" s="4">
        <v>0.57808694400000005</v>
      </c>
      <c r="E791" s="18">
        <v>206</v>
      </c>
      <c r="F791" s="18">
        <v>5</v>
      </c>
      <c r="G791" s="4">
        <v>24.4</v>
      </c>
      <c r="H791" s="4">
        <f t="shared" si="10"/>
        <v>7.766761222884492</v>
      </c>
      <c r="I791" s="2">
        <f t="shared" si="11"/>
        <v>47.377243459595398</v>
      </c>
      <c r="J791">
        <v>7</v>
      </c>
    </row>
    <row r="792" spans="1:10" x14ac:dyDescent="0.3">
      <c r="A792" t="s">
        <v>83</v>
      </c>
      <c r="B792" t="s">
        <v>66</v>
      </c>
      <c r="C792" s="4">
        <v>0.62643652800000005</v>
      </c>
      <c r="D792" s="4">
        <v>0.57808694400000005</v>
      </c>
      <c r="E792" s="18">
        <v>206</v>
      </c>
      <c r="F792" s="18">
        <v>6</v>
      </c>
      <c r="G792" s="4">
        <v>28.8</v>
      </c>
      <c r="H792" s="4">
        <f t="shared" si="10"/>
        <v>9.1673247220931717</v>
      </c>
      <c r="I792" s="2">
        <f t="shared" si="11"/>
        <v>66.004737999070827</v>
      </c>
      <c r="J792">
        <v>7</v>
      </c>
    </row>
    <row r="793" spans="1:10" x14ac:dyDescent="0.3">
      <c r="A793" t="s">
        <v>83</v>
      </c>
      <c r="B793" t="s">
        <v>66</v>
      </c>
      <c r="C793" s="4">
        <v>0.62643652800000005</v>
      </c>
      <c r="D793" s="4">
        <v>0.57808694400000005</v>
      </c>
      <c r="E793" s="18">
        <v>206</v>
      </c>
      <c r="F793" s="18">
        <v>7</v>
      </c>
      <c r="G793" s="4">
        <v>25.4</v>
      </c>
      <c r="H793" s="4">
        <f t="shared" si="10"/>
        <v>8.0850711090682825</v>
      </c>
      <c r="I793" s="2">
        <f t="shared" si="11"/>
        <v>51.340201542583586</v>
      </c>
      <c r="J793">
        <v>7</v>
      </c>
    </row>
    <row r="794" spans="1:10" x14ac:dyDescent="0.3">
      <c r="A794" t="s">
        <v>84</v>
      </c>
      <c r="B794" t="s">
        <v>69</v>
      </c>
      <c r="C794" s="4">
        <v>0.31264018999999998</v>
      </c>
      <c r="D794" s="4">
        <v>0.356821212</v>
      </c>
      <c r="E794" s="18">
        <v>207</v>
      </c>
      <c r="F794" s="18">
        <v>1</v>
      </c>
      <c r="G794" s="4">
        <v>30.5</v>
      </c>
      <c r="H794" s="4">
        <f t="shared" si="10"/>
        <v>9.7084515286056163</v>
      </c>
      <c r="I794" s="2">
        <f t="shared" si="11"/>
        <v>74.02694290561783</v>
      </c>
      <c r="J794">
        <v>5</v>
      </c>
    </row>
    <row r="795" spans="1:10" x14ac:dyDescent="0.3">
      <c r="A795" t="s">
        <v>84</v>
      </c>
      <c r="B795" t="s">
        <v>85</v>
      </c>
      <c r="C795" s="4">
        <v>0.6</v>
      </c>
      <c r="D795" s="4">
        <v>0.66674999999999995</v>
      </c>
      <c r="E795" s="18">
        <v>208</v>
      </c>
      <c r="F795" s="18">
        <v>1</v>
      </c>
      <c r="G795" s="4">
        <v>31.5</v>
      </c>
      <c r="H795" s="4">
        <f t="shared" si="10"/>
        <v>10.026761414789407</v>
      </c>
      <c r="I795" s="2">
        <f t="shared" si="11"/>
        <v>78.960746141466586</v>
      </c>
      <c r="J795">
        <v>8</v>
      </c>
    </row>
    <row r="796" spans="1:10" x14ac:dyDescent="0.3">
      <c r="A796" t="s">
        <v>84</v>
      </c>
      <c r="B796" t="s">
        <v>15</v>
      </c>
      <c r="C796" s="4">
        <v>0.47982689899999997</v>
      </c>
      <c r="D796" s="4">
        <v>0.51</v>
      </c>
      <c r="E796" s="18">
        <v>209</v>
      </c>
      <c r="F796" s="18">
        <v>1</v>
      </c>
      <c r="G796" s="4">
        <v>12.6</v>
      </c>
      <c r="H796" s="4">
        <f t="shared" si="10"/>
        <v>4.0107045659157627</v>
      </c>
      <c r="I796" s="2">
        <f t="shared" si="11"/>
        <v>12.633719382634654</v>
      </c>
      <c r="J796">
        <v>5</v>
      </c>
    </row>
    <row r="797" spans="1:10" x14ac:dyDescent="0.3">
      <c r="A797" t="s">
        <v>84</v>
      </c>
      <c r="B797" t="s">
        <v>15</v>
      </c>
      <c r="C797" s="4">
        <v>0.47982689899999997</v>
      </c>
      <c r="D797" s="4">
        <v>0.51</v>
      </c>
      <c r="E797" s="18">
        <v>210</v>
      </c>
      <c r="F797" s="18">
        <v>1</v>
      </c>
      <c r="G797" s="4">
        <v>8.4</v>
      </c>
      <c r="H797" s="4">
        <f t="shared" si="10"/>
        <v>2.6738030439438418</v>
      </c>
      <c r="I797" s="2">
        <f t="shared" si="11"/>
        <v>5.6149863922820682</v>
      </c>
      <c r="J797">
        <v>4</v>
      </c>
    </row>
    <row r="798" spans="1:10" x14ac:dyDescent="0.3">
      <c r="A798" t="s">
        <v>84</v>
      </c>
      <c r="B798" t="s">
        <v>66</v>
      </c>
      <c r="C798" s="4">
        <v>0.62643652800000005</v>
      </c>
      <c r="D798" s="4">
        <v>0.57808694400000005</v>
      </c>
      <c r="E798" s="18">
        <v>211</v>
      </c>
      <c r="G798" s="4"/>
      <c r="H798" s="4">
        <f t="shared" si="10"/>
        <v>0</v>
      </c>
      <c r="I798" s="2">
        <f t="shared" si="11"/>
        <v>0</v>
      </c>
      <c r="J798">
        <v>6</v>
      </c>
    </row>
    <row r="799" spans="1:10" x14ac:dyDescent="0.3">
      <c r="A799" t="s">
        <v>84</v>
      </c>
      <c r="B799" t="s">
        <v>66</v>
      </c>
      <c r="C799" s="4">
        <v>0.62643652800000005</v>
      </c>
      <c r="D799" s="4">
        <v>0.57808694400000005</v>
      </c>
      <c r="E799" s="18">
        <v>212</v>
      </c>
      <c r="G799" s="4"/>
      <c r="H799" s="4">
        <f t="shared" si="10"/>
        <v>0</v>
      </c>
      <c r="I799" s="2">
        <f t="shared" si="11"/>
        <v>0</v>
      </c>
      <c r="J799">
        <v>6</v>
      </c>
    </row>
    <row r="800" spans="1:10" x14ac:dyDescent="0.3">
      <c r="A800" t="s">
        <v>84</v>
      </c>
      <c r="B800" t="s">
        <v>66</v>
      </c>
      <c r="C800" s="4">
        <v>0.62643652800000005</v>
      </c>
      <c r="D800" s="4">
        <v>0.57808694400000005</v>
      </c>
      <c r="E800" s="18">
        <v>213</v>
      </c>
      <c r="G800" s="4"/>
      <c r="H800" s="4">
        <f t="shared" si="10"/>
        <v>0</v>
      </c>
      <c r="I800" s="2">
        <f t="shared" si="11"/>
        <v>0</v>
      </c>
      <c r="J800">
        <v>6</v>
      </c>
    </row>
    <row r="801" spans="1:10" x14ac:dyDescent="0.3">
      <c r="A801" t="s">
        <v>84</v>
      </c>
      <c r="B801" t="s">
        <v>66</v>
      </c>
      <c r="C801" s="4">
        <v>0.62643652800000005</v>
      </c>
      <c r="D801" s="4">
        <v>0.57808694400000005</v>
      </c>
      <c r="E801" s="18">
        <v>214</v>
      </c>
      <c r="G801" s="4"/>
      <c r="H801" s="4">
        <f t="shared" si="10"/>
        <v>0</v>
      </c>
      <c r="I801" s="2">
        <f t="shared" si="11"/>
        <v>0</v>
      </c>
      <c r="J801">
        <v>7</v>
      </c>
    </row>
    <row r="802" spans="1:10" x14ac:dyDescent="0.3">
      <c r="A802" t="s">
        <v>84</v>
      </c>
      <c r="B802" t="s">
        <v>66</v>
      </c>
      <c r="C802" s="4">
        <v>0.62643652800000005</v>
      </c>
      <c r="D802" s="4">
        <v>0.57808694400000005</v>
      </c>
      <c r="E802" s="18">
        <v>215</v>
      </c>
      <c r="G802" s="4"/>
      <c r="H802" s="4">
        <f t="shared" si="10"/>
        <v>0</v>
      </c>
      <c r="I802" s="2">
        <f t="shared" si="11"/>
        <v>0</v>
      </c>
      <c r="J802">
        <v>7</v>
      </c>
    </row>
    <row r="803" spans="1:10" x14ac:dyDescent="0.3">
      <c r="A803" t="s">
        <v>84</v>
      </c>
      <c r="B803" t="s">
        <v>66</v>
      </c>
      <c r="C803" s="4">
        <v>0.62643652800000005</v>
      </c>
      <c r="D803" s="4">
        <v>0.57808694400000005</v>
      </c>
      <c r="E803" s="18">
        <v>216</v>
      </c>
      <c r="G803" s="4"/>
      <c r="H803" s="4">
        <f t="shared" si="10"/>
        <v>0</v>
      </c>
      <c r="I803" s="2">
        <f t="shared" si="11"/>
        <v>0</v>
      </c>
      <c r="J803">
        <v>6</v>
      </c>
    </row>
    <row r="804" spans="1:10" x14ac:dyDescent="0.3">
      <c r="A804" t="s">
        <v>84</v>
      </c>
      <c r="B804" t="s">
        <v>66</v>
      </c>
      <c r="C804" s="4">
        <v>0.62643652800000005</v>
      </c>
      <c r="D804" s="4">
        <v>0.57808694400000005</v>
      </c>
      <c r="E804" s="18">
        <v>217</v>
      </c>
      <c r="G804" s="4"/>
      <c r="H804" s="4">
        <f t="shared" si="10"/>
        <v>0</v>
      </c>
      <c r="I804" s="2">
        <f t="shared" si="11"/>
        <v>0</v>
      </c>
      <c r="J804">
        <v>6</v>
      </c>
    </row>
    <row r="805" spans="1:10" x14ac:dyDescent="0.3">
      <c r="A805" t="s">
        <v>84</v>
      </c>
      <c r="B805" t="s">
        <v>66</v>
      </c>
      <c r="C805" s="4">
        <v>0.62643652800000005</v>
      </c>
      <c r="D805" s="4">
        <v>0.57808694400000005</v>
      </c>
      <c r="E805" s="18">
        <v>218</v>
      </c>
      <c r="G805" s="4"/>
      <c r="H805" s="4">
        <f t="shared" si="10"/>
        <v>0</v>
      </c>
      <c r="I805" s="2">
        <f t="shared" si="11"/>
        <v>0</v>
      </c>
      <c r="J805">
        <v>6.5</v>
      </c>
    </row>
    <row r="806" spans="1:10" x14ac:dyDescent="0.3">
      <c r="A806" t="s">
        <v>84</v>
      </c>
      <c r="B806" t="s">
        <v>66</v>
      </c>
      <c r="C806" s="4">
        <v>0.62643652800000005</v>
      </c>
      <c r="D806" s="4">
        <v>0.57808694400000005</v>
      </c>
      <c r="E806" s="18">
        <v>219</v>
      </c>
      <c r="G806" s="4"/>
      <c r="H806" s="4">
        <f t="shared" si="10"/>
        <v>0</v>
      </c>
      <c r="I806" s="2">
        <f t="shared" si="11"/>
        <v>0</v>
      </c>
      <c r="J806">
        <v>5</v>
      </c>
    </row>
    <row r="807" spans="1:10" x14ac:dyDescent="0.3">
      <c r="A807" t="s">
        <v>84</v>
      </c>
      <c r="B807" t="s">
        <v>56</v>
      </c>
      <c r="C807" s="4">
        <v>0.39984676499999999</v>
      </c>
      <c r="D807" s="4">
        <v>0.450333333</v>
      </c>
      <c r="E807" s="18">
        <v>220</v>
      </c>
      <c r="G807" s="4"/>
      <c r="H807" s="4">
        <f t="shared" si="10"/>
        <v>0</v>
      </c>
      <c r="I807" s="2">
        <f t="shared" si="11"/>
        <v>0</v>
      </c>
      <c r="J807">
        <v>10</v>
      </c>
    </row>
    <row r="808" spans="1:10" x14ac:dyDescent="0.3">
      <c r="A808" t="s">
        <v>84</v>
      </c>
      <c r="B808" t="s">
        <v>56</v>
      </c>
      <c r="C808" s="4">
        <v>0.39984676499999999</v>
      </c>
      <c r="D808" s="4">
        <v>0.450333333</v>
      </c>
      <c r="E808" s="18">
        <v>221</v>
      </c>
      <c r="G808" s="4"/>
      <c r="H808" s="4">
        <f t="shared" si="10"/>
        <v>0</v>
      </c>
      <c r="I808" s="2">
        <f t="shared" si="11"/>
        <v>0</v>
      </c>
      <c r="J808">
        <v>10</v>
      </c>
    </row>
    <row r="809" spans="1:10" x14ac:dyDescent="0.3">
      <c r="A809" t="s">
        <v>84</v>
      </c>
      <c r="B809" t="s">
        <v>56</v>
      </c>
      <c r="C809" s="4">
        <v>0.39984676499999999</v>
      </c>
      <c r="D809" s="4">
        <v>0.450333333</v>
      </c>
      <c r="E809" s="18">
        <v>222</v>
      </c>
      <c r="G809" s="4"/>
      <c r="H809" s="4">
        <f t="shared" si="10"/>
        <v>0</v>
      </c>
      <c r="I809" s="2">
        <f t="shared" si="11"/>
        <v>0</v>
      </c>
      <c r="J809">
        <v>12</v>
      </c>
    </row>
    <row r="810" spans="1:10" x14ac:dyDescent="0.3">
      <c r="A810" t="s">
        <v>84</v>
      </c>
      <c r="B810" t="s">
        <v>78</v>
      </c>
      <c r="C810" s="4">
        <v>0.43538739399999998</v>
      </c>
      <c r="D810" s="4">
        <v>0.568333333</v>
      </c>
      <c r="E810" s="18">
        <v>223</v>
      </c>
      <c r="G810" s="4"/>
      <c r="H810" s="4">
        <f t="shared" si="10"/>
        <v>0</v>
      </c>
      <c r="I810" s="2">
        <f t="shared" si="11"/>
        <v>0</v>
      </c>
      <c r="J810">
        <v>5</v>
      </c>
    </row>
    <row r="811" spans="1:10" x14ac:dyDescent="0.3">
      <c r="A811" t="s">
        <v>84</v>
      </c>
      <c r="B811" t="s">
        <v>22</v>
      </c>
      <c r="C811" s="4">
        <v>0.43836446099999998</v>
      </c>
      <c r="D811" s="4">
        <v>0.58666666700000003</v>
      </c>
      <c r="E811" s="18">
        <v>224</v>
      </c>
      <c r="G811" s="4"/>
      <c r="H811" s="4">
        <f t="shared" si="10"/>
        <v>0</v>
      </c>
      <c r="I811" s="2">
        <f t="shared" si="11"/>
        <v>0</v>
      </c>
      <c r="J811">
        <v>7</v>
      </c>
    </row>
    <row r="812" spans="1:10" x14ac:dyDescent="0.3">
      <c r="A812" t="s">
        <v>84</v>
      </c>
      <c r="B812" t="s">
        <v>22</v>
      </c>
      <c r="C812" s="4">
        <v>0.43836446099999998</v>
      </c>
      <c r="D812" s="4">
        <v>0.58666666700000003</v>
      </c>
      <c r="E812" s="18">
        <v>225</v>
      </c>
      <c r="G812" s="4"/>
      <c r="H812" s="4">
        <f t="shared" si="10"/>
        <v>0</v>
      </c>
      <c r="I812" s="2">
        <f t="shared" si="11"/>
        <v>0</v>
      </c>
      <c r="J812">
        <v>4</v>
      </c>
    </row>
    <row r="813" spans="1:10" x14ac:dyDescent="0.3">
      <c r="A813" t="s">
        <v>84</v>
      </c>
      <c r="B813" t="s">
        <v>47</v>
      </c>
      <c r="C813" s="4">
        <v>0.40238543599999999</v>
      </c>
      <c r="D813" s="4">
        <v>0.40883333300000002</v>
      </c>
      <c r="E813" s="18">
        <v>226</v>
      </c>
      <c r="G813" s="4"/>
      <c r="H813" s="4">
        <f t="shared" si="10"/>
        <v>0</v>
      </c>
      <c r="I813" s="2">
        <f t="shared" si="11"/>
        <v>0</v>
      </c>
      <c r="J813">
        <v>9</v>
      </c>
    </row>
    <row r="814" spans="1:10" x14ac:dyDescent="0.3">
      <c r="A814" t="s">
        <v>84</v>
      </c>
      <c r="B814" t="s">
        <v>47</v>
      </c>
      <c r="C814" s="4">
        <v>0.40238543599999999</v>
      </c>
      <c r="D814" s="4">
        <v>0.40883333300000002</v>
      </c>
      <c r="E814" s="18">
        <v>227</v>
      </c>
      <c r="G814" s="4"/>
      <c r="H814" s="4">
        <f t="shared" si="10"/>
        <v>0</v>
      </c>
      <c r="I814" s="2">
        <f t="shared" si="11"/>
        <v>0</v>
      </c>
      <c r="J814">
        <v>8</v>
      </c>
    </row>
    <row r="815" spans="1:10" x14ac:dyDescent="0.3">
      <c r="A815" t="s">
        <v>84</v>
      </c>
      <c r="B815" t="s">
        <v>47</v>
      </c>
      <c r="C815" s="4">
        <v>0.40238543599999999</v>
      </c>
      <c r="D815" s="4">
        <v>0.40883333300000002</v>
      </c>
      <c r="E815" s="18">
        <v>228</v>
      </c>
      <c r="G815" s="4"/>
      <c r="H815" s="4">
        <f t="shared" si="10"/>
        <v>0</v>
      </c>
      <c r="I815" s="2">
        <f t="shared" si="11"/>
        <v>0</v>
      </c>
      <c r="J815">
        <v>8.5</v>
      </c>
    </row>
    <row r="816" spans="1:10" x14ac:dyDescent="0.3">
      <c r="A816" t="s">
        <v>84</v>
      </c>
      <c r="B816" t="s">
        <v>47</v>
      </c>
      <c r="C816" s="4">
        <v>0.40238543599999999</v>
      </c>
      <c r="D816" s="4">
        <v>0.40883333300000002</v>
      </c>
      <c r="E816" s="18">
        <v>229</v>
      </c>
      <c r="G816" s="4"/>
      <c r="H816" s="4">
        <f t="shared" si="10"/>
        <v>0</v>
      </c>
      <c r="I816" s="2">
        <f t="shared" si="11"/>
        <v>0</v>
      </c>
      <c r="J816">
        <v>8</v>
      </c>
    </row>
    <row r="817" spans="1:10" x14ac:dyDescent="0.3">
      <c r="A817" t="s">
        <v>84</v>
      </c>
      <c r="B817" t="s">
        <v>47</v>
      </c>
      <c r="C817" s="4">
        <v>0.40238543599999999</v>
      </c>
      <c r="D817" s="4">
        <v>0.40883333300000002</v>
      </c>
      <c r="E817" s="18">
        <v>230</v>
      </c>
      <c r="G817" s="4"/>
      <c r="H817" s="4">
        <f t="shared" si="10"/>
        <v>0</v>
      </c>
      <c r="I817" s="2">
        <f t="shared" si="11"/>
        <v>0</v>
      </c>
      <c r="J817">
        <v>8</v>
      </c>
    </row>
    <row r="818" spans="1:10" x14ac:dyDescent="0.3">
      <c r="A818" t="s">
        <v>86</v>
      </c>
      <c r="B818" t="s">
        <v>69</v>
      </c>
      <c r="C818" s="4">
        <v>0.31264018999999998</v>
      </c>
      <c r="D818" s="4">
        <v>0.356821212</v>
      </c>
      <c r="E818" s="18">
        <v>231</v>
      </c>
      <c r="G818" s="4"/>
      <c r="H818" s="4">
        <f t="shared" si="10"/>
        <v>0</v>
      </c>
      <c r="I818" s="2">
        <f t="shared" si="11"/>
        <v>0</v>
      </c>
      <c r="J818">
        <v>6</v>
      </c>
    </row>
    <row r="819" spans="1:10" x14ac:dyDescent="0.3">
      <c r="A819" t="s">
        <v>86</v>
      </c>
      <c r="B819" t="s">
        <v>69</v>
      </c>
      <c r="C819" s="4">
        <v>0.31264018999999998</v>
      </c>
      <c r="D819" s="4">
        <v>0.356821212</v>
      </c>
      <c r="E819" s="18">
        <v>232</v>
      </c>
      <c r="G819" s="4"/>
      <c r="H819" s="4">
        <f t="shared" si="10"/>
        <v>0</v>
      </c>
      <c r="I819" s="2">
        <f t="shared" si="11"/>
        <v>0</v>
      </c>
      <c r="J819">
        <v>4.5</v>
      </c>
    </row>
    <row r="820" spans="1:10" x14ac:dyDescent="0.3">
      <c r="A820" t="s">
        <v>86</v>
      </c>
      <c r="B820" t="s">
        <v>69</v>
      </c>
      <c r="C820" s="4">
        <v>0.31264018999999998</v>
      </c>
      <c r="D820" s="4">
        <v>0.356821212</v>
      </c>
      <c r="E820" s="18">
        <v>233</v>
      </c>
      <c r="G820" s="4"/>
      <c r="H820" s="4">
        <f t="shared" si="10"/>
        <v>0</v>
      </c>
      <c r="I820" s="2">
        <f t="shared" si="11"/>
        <v>0</v>
      </c>
      <c r="J820">
        <v>6</v>
      </c>
    </row>
    <row r="821" spans="1:10" x14ac:dyDescent="0.3">
      <c r="A821" t="s">
        <v>86</v>
      </c>
      <c r="B821" t="s">
        <v>85</v>
      </c>
      <c r="C821" s="4">
        <v>0.6</v>
      </c>
      <c r="D821" s="4">
        <v>0.66674999999999995</v>
      </c>
      <c r="E821" s="18">
        <v>234</v>
      </c>
      <c r="G821" s="4"/>
      <c r="H821" s="4">
        <f t="shared" si="10"/>
        <v>0</v>
      </c>
      <c r="I821" s="2">
        <f t="shared" si="11"/>
        <v>0</v>
      </c>
      <c r="J821">
        <v>6</v>
      </c>
    </row>
    <row r="822" spans="1:10" x14ac:dyDescent="0.3">
      <c r="A822" t="s">
        <v>86</v>
      </c>
      <c r="B822" t="s">
        <v>85</v>
      </c>
      <c r="C822" s="4">
        <v>0.6</v>
      </c>
      <c r="D822" s="4">
        <v>0.66674999999999995</v>
      </c>
      <c r="E822" s="18">
        <v>235</v>
      </c>
      <c r="G822" s="4"/>
      <c r="H822" s="4">
        <f t="shared" si="10"/>
        <v>0</v>
      </c>
      <c r="I822" s="2">
        <f t="shared" si="11"/>
        <v>0</v>
      </c>
      <c r="J822">
        <v>5</v>
      </c>
    </row>
    <row r="823" spans="1:10" x14ac:dyDescent="0.3">
      <c r="A823" t="s">
        <v>86</v>
      </c>
      <c r="B823" t="s">
        <v>87</v>
      </c>
      <c r="C823" s="4">
        <v>0.59</v>
      </c>
      <c r="D823" s="4">
        <v>0.59</v>
      </c>
      <c r="E823" s="18">
        <v>236</v>
      </c>
      <c r="G823" s="4"/>
      <c r="H823" s="4">
        <f t="shared" si="10"/>
        <v>0</v>
      </c>
      <c r="I823" s="2">
        <f t="shared" si="11"/>
        <v>0</v>
      </c>
      <c r="J823">
        <v>6</v>
      </c>
    </row>
    <row r="824" spans="1:10" x14ac:dyDescent="0.3">
      <c r="A824" t="s">
        <v>86</v>
      </c>
      <c r="B824" t="s">
        <v>15</v>
      </c>
      <c r="C824" s="4">
        <v>0.47982689899999997</v>
      </c>
      <c r="D824" s="4">
        <v>0.51</v>
      </c>
      <c r="E824" s="18">
        <v>237</v>
      </c>
      <c r="G824" s="4"/>
      <c r="H824" s="4">
        <f t="shared" si="10"/>
        <v>0</v>
      </c>
      <c r="I824" s="2">
        <f t="shared" si="11"/>
        <v>0</v>
      </c>
      <c r="J824">
        <v>6</v>
      </c>
    </row>
    <row r="825" spans="1:10" x14ac:dyDescent="0.3">
      <c r="A825" t="s">
        <v>86</v>
      </c>
      <c r="B825" t="s">
        <v>15</v>
      </c>
      <c r="C825" s="4">
        <v>0.47982689899999997</v>
      </c>
      <c r="D825" s="4">
        <v>0.51</v>
      </c>
      <c r="E825" s="18">
        <v>238</v>
      </c>
      <c r="G825" s="4"/>
      <c r="H825" s="4">
        <f t="shared" si="10"/>
        <v>0</v>
      </c>
      <c r="I825" s="2">
        <f t="shared" si="11"/>
        <v>0</v>
      </c>
      <c r="J825">
        <v>8</v>
      </c>
    </row>
    <row r="826" spans="1:10" x14ac:dyDescent="0.3">
      <c r="A826" t="s">
        <v>86</v>
      </c>
      <c r="B826" t="s">
        <v>55</v>
      </c>
      <c r="C826" s="4">
        <v>0.52500000000000002</v>
      </c>
      <c r="D826" s="4">
        <v>0.52500000000000002</v>
      </c>
      <c r="E826" s="18">
        <v>239</v>
      </c>
      <c r="G826" s="4"/>
      <c r="H826" s="4">
        <f t="shared" si="10"/>
        <v>0</v>
      </c>
      <c r="I826" s="2">
        <f t="shared" si="11"/>
        <v>0</v>
      </c>
      <c r="J826">
        <v>8</v>
      </c>
    </row>
    <row r="827" spans="1:10" x14ac:dyDescent="0.3">
      <c r="A827" t="s">
        <v>86</v>
      </c>
      <c r="B827" t="s">
        <v>55</v>
      </c>
      <c r="C827" s="4">
        <v>0.52500000000000002</v>
      </c>
      <c r="D827" s="4">
        <v>0.52500000000000002</v>
      </c>
      <c r="E827" s="18">
        <v>240</v>
      </c>
      <c r="G827" s="4"/>
      <c r="H827" s="4">
        <f t="shared" si="10"/>
        <v>0</v>
      </c>
      <c r="I827" s="2">
        <f t="shared" si="11"/>
        <v>0</v>
      </c>
      <c r="J827">
        <v>8</v>
      </c>
    </row>
    <row r="828" spans="1:10" x14ac:dyDescent="0.3">
      <c r="A828" t="s">
        <v>86</v>
      </c>
      <c r="B828" t="s">
        <v>38</v>
      </c>
      <c r="C828" s="4">
        <v>1082380952</v>
      </c>
      <c r="D828" s="4">
        <v>0.61247410899999999</v>
      </c>
      <c r="E828" s="18">
        <v>241</v>
      </c>
      <c r="G828" s="4"/>
      <c r="H828" s="4">
        <f t="shared" si="10"/>
        <v>0</v>
      </c>
      <c r="I828" s="2">
        <f t="shared" si="11"/>
        <v>0</v>
      </c>
      <c r="J828">
        <v>6</v>
      </c>
    </row>
    <row r="829" spans="1:10" x14ac:dyDescent="0.3">
      <c r="A829" t="s">
        <v>86</v>
      </c>
      <c r="B829" t="s">
        <v>78</v>
      </c>
      <c r="C829" s="4">
        <v>0.43538739399999998</v>
      </c>
      <c r="D829" s="4">
        <v>0.568333333</v>
      </c>
      <c r="E829" s="18">
        <v>242</v>
      </c>
      <c r="G829" s="4"/>
      <c r="H829" s="4">
        <f t="shared" si="10"/>
        <v>0</v>
      </c>
      <c r="I829" s="2">
        <f t="shared" si="11"/>
        <v>0</v>
      </c>
      <c r="J829">
        <v>7</v>
      </c>
    </row>
    <row r="830" spans="1:10" x14ac:dyDescent="0.3">
      <c r="A830" t="s">
        <v>86</v>
      </c>
      <c r="B830" t="s">
        <v>78</v>
      </c>
      <c r="C830" s="4">
        <v>0.43538739399999998</v>
      </c>
      <c r="D830" s="4">
        <v>0.568333333</v>
      </c>
      <c r="E830" s="18">
        <v>243</v>
      </c>
      <c r="G830" s="4"/>
      <c r="H830" s="4">
        <f t="shared" si="10"/>
        <v>0</v>
      </c>
      <c r="I830" s="2">
        <f t="shared" si="11"/>
        <v>0</v>
      </c>
      <c r="J830">
        <v>8</v>
      </c>
    </row>
    <row r="831" spans="1:10" x14ac:dyDescent="0.3">
      <c r="A831" t="s">
        <v>86</v>
      </c>
      <c r="B831" t="s">
        <v>73</v>
      </c>
      <c r="C831" s="4">
        <v>0.39</v>
      </c>
      <c r="D831" s="4">
        <v>0.28861111099999998</v>
      </c>
      <c r="E831" s="18">
        <v>244</v>
      </c>
      <c r="G831" s="4"/>
      <c r="H831" s="4">
        <f t="shared" si="10"/>
        <v>0</v>
      </c>
      <c r="I831" s="2">
        <f t="shared" si="11"/>
        <v>0</v>
      </c>
      <c r="J831">
        <v>4</v>
      </c>
    </row>
    <row r="832" spans="1:10" x14ac:dyDescent="0.3">
      <c r="A832" t="s">
        <v>86</v>
      </c>
      <c r="B832" t="s">
        <v>73</v>
      </c>
      <c r="C832" s="4">
        <v>0.39</v>
      </c>
      <c r="D832" s="4">
        <v>0.28861111099999998</v>
      </c>
      <c r="E832" s="18">
        <v>245</v>
      </c>
      <c r="G832" s="4"/>
      <c r="H832" s="4">
        <f t="shared" si="10"/>
        <v>0</v>
      </c>
      <c r="I832" s="2">
        <f t="shared" si="11"/>
        <v>0</v>
      </c>
      <c r="J832">
        <v>5.5</v>
      </c>
    </row>
    <row r="833" spans="1:10" x14ac:dyDescent="0.3">
      <c r="A833" t="s">
        <v>86</v>
      </c>
      <c r="B833" t="s">
        <v>62</v>
      </c>
      <c r="C833" s="4">
        <v>0.693333333</v>
      </c>
      <c r="D833" s="4">
        <v>0.64166666699999997</v>
      </c>
      <c r="E833" s="18">
        <v>246</v>
      </c>
      <c r="G833" s="4"/>
      <c r="H833" s="4">
        <f t="shared" si="10"/>
        <v>0</v>
      </c>
      <c r="I833" s="2">
        <f t="shared" si="11"/>
        <v>0</v>
      </c>
      <c r="J833">
        <v>7</v>
      </c>
    </row>
    <row r="834" spans="1:10" x14ac:dyDescent="0.3">
      <c r="A834" t="s">
        <v>86</v>
      </c>
      <c r="B834" t="s">
        <v>62</v>
      </c>
      <c r="C834" s="4">
        <v>0.693333333</v>
      </c>
      <c r="D834" s="4">
        <v>0.64166666699999997</v>
      </c>
      <c r="E834" s="18">
        <v>247</v>
      </c>
      <c r="G834" s="4"/>
      <c r="H834" s="4">
        <f t="shared" si="10"/>
        <v>0</v>
      </c>
      <c r="I834" s="2">
        <f t="shared" si="11"/>
        <v>0</v>
      </c>
      <c r="J834">
        <v>6</v>
      </c>
    </row>
    <row r="835" spans="1:10" x14ac:dyDescent="0.3">
      <c r="A835" t="s">
        <v>86</v>
      </c>
      <c r="B835" t="s">
        <v>62</v>
      </c>
      <c r="C835" s="4">
        <v>0.693333333</v>
      </c>
      <c r="D835" s="4">
        <v>0.64166666699999997</v>
      </c>
      <c r="E835" s="18">
        <v>248</v>
      </c>
      <c r="G835" s="4"/>
      <c r="H835" s="4">
        <f t="shared" si="10"/>
        <v>0</v>
      </c>
      <c r="I835" s="2">
        <f t="shared" si="11"/>
        <v>0</v>
      </c>
      <c r="J835">
        <v>8</v>
      </c>
    </row>
    <row r="836" spans="1:10" x14ac:dyDescent="0.3">
      <c r="A836" t="s">
        <v>86</v>
      </c>
      <c r="B836" t="s">
        <v>88</v>
      </c>
      <c r="C836" s="4">
        <v>0.77</v>
      </c>
      <c r="D836" s="4">
        <v>0.77</v>
      </c>
      <c r="E836" s="18">
        <v>249</v>
      </c>
      <c r="G836" s="4"/>
      <c r="H836" s="4">
        <f t="shared" si="10"/>
        <v>0</v>
      </c>
      <c r="I836" s="2">
        <f t="shared" si="11"/>
        <v>0</v>
      </c>
      <c r="J836">
        <v>3</v>
      </c>
    </row>
    <row r="837" spans="1:10" x14ac:dyDescent="0.3">
      <c r="A837" t="s">
        <v>86</v>
      </c>
      <c r="B837" t="s">
        <v>88</v>
      </c>
      <c r="C837" s="4">
        <v>0.77</v>
      </c>
      <c r="D837" s="4">
        <v>0.77</v>
      </c>
      <c r="E837" s="18">
        <v>250</v>
      </c>
      <c r="G837" s="4"/>
      <c r="H837" s="4">
        <f t="shared" si="10"/>
        <v>0</v>
      </c>
      <c r="I837" s="2">
        <f t="shared" si="11"/>
        <v>0</v>
      </c>
      <c r="J837">
        <v>3.5</v>
      </c>
    </row>
    <row r="838" spans="1:10" x14ac:dyDescent="0.3">
      <c r="A838" t="s">
        <v>89</v>
      </c>
      <c r="B838" t="s">
        <v>26</v>
      </c>
      <c r="C838" s="4">
        <v>0.80908761900000004</v>
      </c>
      <c r="D838" s="4">
        <v>0.87473809499999999</v>
      </c>
      <c r="E838" s="18">
        <v>251</v>
      </c>
      <c r="G838" s="4"/>
      <c r="H838" s="4">
        <f t="shared" si="10"/>
        <v>0</v>
      </c>
      <c r="I838" s="2">
        <f t="shared" si="11"/>
        <v>0</v>
      </c>
      <c r="J838">
        <v>11</v>
      </c>
    </row>
    <row r="839" spans="1:10" x14ac:dyDescent="0.3">
      <c r="A839" t="s">
        <v>89</v>
      </c>
      <c r="B839" t="s">
        <v>26</v>
      </c>
      <c r="C839" s="4">
        <v>0.80908761900000004</v>
      </c>
      <c r="D839" s="4">
        <v>0.87473809499999999</v>
      </c>
      <c r="E839" s="18">
        <v>252</v>
      </c>
      <c r="G839" s="4"/>
      <c r="H839" s="4">
        <f t="shared" si="10"/>
        <v>0</v>
      </c>
      <c r="I839" s="2">
        <f t="shared" si="11"/>
        <v>0</v>
      </c>
      <c r="J839">
        <v>5</v>
      </c>
    </row>
    <row r="840" spans="1:10" x14ac:dyDescent="0.3">
      <c r="A840" t="s">
        <v>89</v>
      </c>
      <c r="B840" t="s">
        <v>26</v>
      </c>
      <c r="C840" s="4">
        <v>0.80908761900000004</v>
      </c>
      <c r="D840" s="4">
        <v>0.87473809499999999</v>
      </c>
      <c r="E840" s="18">
        <v>253</v>
      </c>
      <c r="G840" s="4"/>
      <c r="H840" s="4">
        <f t="shared" si="10"/>
        <v>0</v>
      </c>
      <c r="I840" s="2">
        <f t="shared" si="11"/>
        <v>0</v>
      </c>
      <c r="J840">
        <v>8</v>
      </c>
    </row>
    <row r="841" spans="1:10" x14ac:dyDescent="0.3">
      <c r="A841" t="s">
        <v>89</v>
      </c>
      <c r="B841" t="s">
        <v>26</v>
      </c>
      <c r="C841" s="4">
        <v>0.80908761900000004</v>
      </c>
      <c r="D841" s="4">
        <v>0.87473809499999999</v>
      </c>
      <c r="E841" s="18">
        <v>254</v>
      </c>
      <c r="G841" s="4"/>
      <c r="H841" s="4">
        <f t="shared" si="10"/>
        <v>0</v>
      </c>
      <c r="I841" s="2">
        <f t="shared" si="11"/>
        <v>0</v>
      </c>
      <c r="J841">
        <v>7</v>
      </c>
    </row>
    <row r="842" spans="1:10" x14ac:dyDescent="0.3">
      <c r="A842" t="s">
        <v>89</v>
      </c>
      <c r="B842" t="s">
        <v>90</v>
      </c>
      <c r="C842" s="4">
        <v>0.37226847299999999</v>
      </c>
      <c r="D842" s="4">
        <v>0.42234285700000002</v>
      </c>
      <c r="E842" s="18">
        <v>255</v>
      </c>
      <c r="G842" s="4"/>
      <c r="H842" s="4">
        <f t="shared" si="10"/>
        <v>0</v>
      </c>
      <c r="I842" s="2">
        <f t="shared" si="11"/>
        <v>0</v>
      </c>
      <c r="J842">
        <v>3</v>
      </c>
    </row>
    <row r="843" spans="1:10" x14ac:dyDescent="0.3">
      <c r="A843" t="s">
        <v>89</v>
      </c>
      <c r="B843" t="s">
        <v>85</v>
      </c>
      <c r="C843" s="4">
        <v>0.6</v>
      </c>
      <c r="D843" s="4">
        <v>0.66674999999999995</v>
      </c>
      <c r="E843" s="18">
        <v>256</v>
      </c>
      <c r="G843" s="4"/>
      <c r="H843" s="4">
        <f t="shared" si="10"/>
        <v>0</v>
      </c>
      <c r="I843" s="2">
        <f t="shared" si="11"/>
        <v>0</v>
      </c>
      <c r="J843">
        <v>6.5</v>
      </c>
    </row>
    <row r="844" spans="1:10" x14ac:dyDescent="0.3">
      <c r="A844" t="s">
        <v>89</v>
      </c>
      <c r="B844" t="s">
        <v>85</v>
      </c>
      <c r="C844" s="4">
        <v>0.6</v>
      </c>
      <c r="D844" s="4">
        <v>0.66674999999999995</v>
      </c>
      <c r="E844" s="18">
        <v>257</v>
      </c>
      <c r="G844" s="4"/>
      <c r="H844" s="4">
        <f t="shared" si="10"/>
        <v>0</v>
      </c>
      <c r="I844" s="2">
        <f t="shared" si="11"/>
        <v>0</v>
      </c>
      <c r="J844">
        <v>6</v>
      </c>
    </row>
    <row r="845" spans="1:10" x14ac:dyDescent="0.3">
      <c r="A845" t="s">
        <v>89</v>
      </c>
      <c r="B845" t="s">
        <v>61</v>
      </c>
      <c r="C845" s="4">
        <v>0.9</v>
      </c>
      <c r="D845" s="4">
        <v>0.61247410899999999</v>
      </c>
      <c r="E845" s="18">
        <v>258</v>
      </c>
      <c r="G845" s="4"/>
      <c r="H845" s="4">
        <f t="shared" ref="H845:H908" si="12">G845/PI()</f>
        <v>0</v>
      </c>
      <c r="I845" s="2">
        <f t="shared" si="11"/>
        <v>0</v>
      </c>
      <c r="J845">
        <v>4</v>
      </c>
    </row>
    <row r="846" spans="1:10" x14ac:dyDescent="0.3">
      <c r="A846" t="s">
        <v>89</v>
      </c>
      <c r="B846" t="s">
        <v>66</v>
      </c>
      <c r="C846" s="4">
        <v>0.62643652800000005</v>
      </c>
      <c r="D846" s="4">
        <v>0.57808694400000005</v>
      </c>
      <c r="E846" s="18">
        <v>259</v>
      </c>
      <c r="G846" s="4"/>
      <c r="H846" s="4">
        <f t="shared" si="12"/>
        <v>0</v>
      </c>
      <c r="I846" s="2">
        <f t="shared" si="11"/>
        <v>0</v>
      </c>
      <c r="J846">
        <v>8</v>
      </c>
    </row>
    <row r="847" spans="1:10" x14ac:dyDescent="0.3">
      <c r="A847" t="s">
        <v>89</v>
      </c>
      <c r="B847" t="s">
        <v>66</v>
      </c>
      <c r="C847" s="4">
        <v>0.62643652800000005</v>
      </c>
      <c r="D847" s="4">
        <v>0.57808694400000005</v>
      </c>
      <c r="E847" s="18">
        <v>260</v>
      </c>
      <c r="G847" s="4"/>
      <c r="H847" s="4">
        <f t="shared" si="12"/>
        <v>0</v>
      </c>
      <c r="I847" s="2">
        <f t="shared" si="11"/>
        <v>0</v>
      </c>
      <c r="J847">
        <v>7</v>
      </c>
    </row>
    <row r="848" spans="1:10" x14ac:dyDescent="0.3">
      <c r="A848" t="s">
        <v>89</v>
      </c>
      <c r="B848" t="s">
        <v>73</v>
      </c>
      <c r="C848" s="4">
        <v>0.39</v>
      </c>
      <c r="D848" s="4">
        <v>0.28861111099999998</v>
      </c>
      <c r="E848" s="18">
        <v>261</v>
      </c>
      <c r="G848" s="4"/>
      <c r="H848" s="4">
        <f t="shared" si="12"/>
        <v>0</v>
      </c>
      <c r="I848" s="2">
        <f t="shared" si="11"/>
        <v>0</v>
      </c>
      <c r="J848">
        <v>4</v>
      </c>
    </row>
    <row r="849" spans="1:10" x14ac:dyDescent="0.3">
      <c r="A849" t="s">
        <v>89</v>
      </c>
      <c r="B849" t="s">
        <v>73</v>
      </c>
      <c r="C849" s="4">
        <v>0.39</v>
      </c>
      <c r="D849" s="4">
        <v>0.28861111099999998</v>
      </c>
      <c r="E849" s="18">
        <v>262</v>
      </c>
      <c r="G849" s="4"/>
      <c r="H849" s="4">
        <f t="shared" si="12"/>
        <v>0</v>
      </c>
      <c r="I849" s="2">
        <f t="shared" si="11"/>
        <v>0</v>
      </c>
      <c r="J849">
        <v>4</v>
      </c>
    </row>
    <row r="850" spans="1:10" x14ac:dyDescent="0.3">
      <c r="A850" t="s">
        <v>89</v>
      </c>
      <c r="B850" t="s">
        <v>62</v>
      </c>
      <c r="C850" s="4">
        <v>0.693333333</v>
      </c>
      <c r="D850" s="4">
        <v>0.64166666699999997</v>
      </c>
      <c r="E850" s="18">
        <v>263</v>
      </c>
      <c r="G850" s="4"/>
      <c r="H850" s="4">
        <f t="shared" si="12"/>
        <v>0</v>
      </c>
      <c r="I850" s="2">
        <f t="shared" si="11"/>
        <v>0</v>
      </c>
      <c r="J850">
        <v>7</v>
      </c>
    </row>
    <row r="851" spans="1:10" x14ac:dyDescent="0.3">
      <c r="A851" t="s">
        <v>89</v>
      </c>
      <c r="B851" t="s">
        <v>62</v>
      </c>
      <c r="C851" s="4">
        <v>0.693333333</v>
      </c>
      <c r="D851" s="4">
        <v>0.64166666699999997</v>
      </c>
      <c r="E851" s="18">
        <v>264</v>
      </c>
      <c r="G851" s="4"/>
      <c r="H851" s="4">
        <f t="shared" si="12"/>
        <v>0</v>
      </c>
      <c r="I851" s="2">
        <f t="shared" si="11"/>
        <v>0</v>
      </c>
      <c r="J851">
        <v>7</v>
      </c>
    </row>
    <row r="852" spans="1:10" x14ac:dyDescent="0.3">
      <c r="A852" t="s">
        <v>89</v>
      </c>
      <c r="B852" t="s">
        <v>62</v>
      </c>
      <c r="C852" s="4">
        <v>0.693333333</v>
      </c>
      <c r="D852" s="4">
        <v>0.64166666699999997</v>
      </c>
      <c r="E852" s="18">
        <v>265</v>
      </c>
      <c r="G852" s="4"/>
      <c r="H852" s="4">
        <f t="shared" si="12"/>
        <v>0</v>
      </c>
      <c r="I852" s="2">
        <f t="shared" si="11"/>
        <v>0</v>
      </c>
      <c r="J852">
        <v>7</v>
      </c>
    </row>
    <row r="853" spans="1:10" x14ac:dyDescent="0.3">
      <c r="A853" t="s">
        <v>89</v>
      </c>
      <c r="B853" t="s">
        <v>62</v>
      </c>
      <c r="C853" s="4">
        <v>0.693333333</v>
      </c>
      <c r="D853" s="4">
        <v>0.64166666699999997</v>
      </c>
      <c r="E853" s="18">
        <v>266</v>
      </c>
      <c r="G853" s="4"/>
      <c r="H853" s="4">
        <f t="shared" si="12"/>
        <v>0</v>
      </c>
      <c r="I853" s="2">
        <f t="shared" si="11"/>
        <v>0</v>
      </c>
      <c r="J853">
        <v>8</v>
      </c>
    </row>
    <row r="854" spans="1:10" x14ac:dyDescent="0.3">
      <c r="A854" t="s">
        <v>89</v>
      </c>
      <c r="B854" t="s">
        <v>62</v>
      </c>
      <c r="C854" s="4">
        <v>0.693333333</v>
      </c>
      <c r="D854" s="4">
        <v>0.64166666699999997</v>
      </c>
      <c r="E854" s="18">
        <v>267</v>
      </c>
      <c r="G854" s="4"/>
      <c r="H854" s="4">
        <f t="shared" si="12"/>
        <v>0</v>
      </c>
      <c r="I854" s="2">
        <f t="shared" si="11"/>
        <v>0</v>
      </c>
      <c r="J854">
        <v>6</v>
      </c>
    </row>
    <row r="855" spans="1:10" x14ac:dyDescent="0.3">
      <c r="A855" t="s">
        <v>89</v>
      </c>
      <c r="B855" t="s">
        <v>62</v>
      </c>
      <c r="C855" s="4">
        <v>0.693333333</v>
      </c>
      <c r="D855" s="4">
        <v>0.64166666699999997</v>
      </c>
      <c r="E855" s="18">
        <v>268</v>
      </c>
      <c r="G855" s="4"/>
      <c r="H855" s="4">
        <f t="shared" si="12"/>
        <v>0</v>
      </c>
      <c r="I855" s="2">
        <f t="shared" ref="I855:I918" si="13">PI()*(H855/2)^2</f>
        <v>0</v>
      </c>
      <c r="J855">
        <v>8</v>
      </c>
    </row>
    <row r="856" spans="1:10" x14ac:dyDescent="0.3">
      <c r="A856" t="s">
        <v>89</v>
      </c>
      <c r="B856" t="s">
        <v>62</v>
      </c>
      <c r="C856" s="4">
        <v>0.693333333</v>
      </c>
      <c r="D856" s="4">
        <v>0.64166666699999997</v>
      </c>
      <c r="E856" s="18">
        <v>269</v>
      </c>
      <c r="G856" s="4"/>
      <c r="H856" s="4">
        <f t="shared" si="12"/>
        <v>0</v>
      </c>
      <c r="I856" s="2">
        <f t="shared" si="13"/>
        <v>0</v>
      </c>
      <c r="J856">
        <v>7</v>
      </c>
    </row>
    <row r="857" spans="1:10" x14ac:dyDescent="0.3">
      <c r="A857" t="s">
        <v>89</v>
      </c>
      <c r="B857" t="s">
        <v>62</v>
      </c>
      <c r="C857" s="4">
        <v>0.693333333</v>
      </c>
      <c r="D857" s="4">
        <v>0.64166666699999997</v>
      </c>
      <c r="E857" s="18">
        <v>270</v>
      </c>
      <c r="G857" s="4"/>
      <c r="H857" s="4">
        <f t="shared" si="12"/>
        <v>0</v>
      </c>
      <c r="I857" s="2">
        <f t="shared" si="13"/>
        <v>0</v>
      </c>
      <c r="J857">
        <v>8</v>
      </c>
    </row>
    <row r="858" spans="1:10" x14ac:dyDescent="0.3">
      <c r="A858" t="s">
        <v>89</v>
      </c>
      <c r="B858" t="s">
        <v>62</v>
      </c>
      <c r="C858" s="4">
        <v>0.693333333</v>
      </c>
      <c r="D858" s="4">
        <v>0.64166666699999997</v>
      </c>
      <c r="E858" s="18">
        <v>271</v>
      </c>
      <c r="G858" s="4"/>
      <c r="H858" s="4">
        <f t="shared" si="12"/>
        <v>0</v>
      </c>
      <c r="I858" s="2">
        <f t="shared" si="13"/>
        <v>0</v>
      </c>
      <c r="J858">
        <v>7</v>
      </c>
    </row>
    <row r="859" spans="1:10" x14ac:dyDescent="0.3">
      <c r="A859" t="s">
        <v>91</v>
      </c>
      <c r="B859" t="s">
        <v>75</v>
      </c>
      <c r="C859" s="4">
        <v>0.86</v>
      </c>
      <c r="D859" s="4">
        <v>0.65666666699999998</v>
      </c>
      <c r="E859" s="18">
        <v>272</v>
      </c>
      <c r="G859" s="4"/>
      <c r="H859" s="4">
        <f t="shared" si="12"/>
        <v>0</v>
      </c>
      <c r="I859" s="2">
        <f t="shared" si="13"/>
        <v>0</v>
      </c>
      <c r="J859">
        <v>5</v>
      </c>
    </row>
    <row r="860" spans="1:10" x14ac:dyDescent="0.3">
      <c r="A860" t="s">
        <v>91</v>
      </c>
      <c r="B860" t="s">
        <v>51</v>
      </c>
      <c r="C860" s="4">
        <v>0.40257753800000001</v>
      </c>
      <c r="D860" s="4">
        <v>0.40843333300000001</v>
      </c>
      <c r="E860" s="18">
        <v>273</v>
      </c>
      <c r="G860" s="4"/>
      <c r="H860" s="4">
        <f t="shared" si="12"/>
        <v>0</v>
      </c>
      <c r="I860" s="2">
        <f t="shared" si="13"/>
        <v>0</v>
      </c>
      <c r="J860">
        <v>4</v>
      </c>
    </row>
    <row r="861" spans="1:10" x14ac:dyDescent="0.3">
      <c r="A861" t="s">
        <v>91</v>
      </c>
      <c r="B861" t="s">
        <v>92</v>
      </c>
      <c r="C861" s="4">
        <v>0.80803492399999999</v>
      </c>
      <c r="D861" s="4">
        <v>0.87275320499999998</v>
      </c>
      <c r="E861" s="18">
        <v>274</v>
      </c>
      <c r="G861" s="4"/>
      <c r="H861" s="4">
        <f t="shared" si="12"/>
        <v>0</v>
      </c>
      <c r="I861" s="2">
        <f t="shared" si="13"/>
        <v>0</v>
      </c>
      <c r="J861">
        <v>7</v>
      </c>
    </row>
    <row r="862" spans="1:10" x14ac:dyDescent="0.3">
      <c r="A862" t="s">
        <v>91</v>
      </c>
      <c r="B862" t="s">
        <v>92</v>
      </c>
      <c r="C862" s="4">
        <v>0.80803492399999999</v>
      </c>
      <c r="D862" s="4">
        <v>0.87275320499999998</v>
      </c>
      <c r="E862" s="18">
        <v>275</v>
      </c>
      <c r="G862" s="4"/>
      <c r="H862" s="4">
        <f t="shared" si="12"/>
        <v>0</v>
      </c>
      <c r="I862" s="2">
        <f t="shared" si="13"/>
        <v>0</v>
      </c>
      <c r="J862">
        <v>7</v>
      </c>
    </row>
    <row r="863" spans="1:10" x14ac:dyDescent="0.3">
      <c r="A863" t="s">
        <v>91</v>
      </c>
      <c r="B863" t="s">
        <v>60</v>
      </c>
      <c r="C863" s="4">
        <v>0.41</v>
      </c>
      <c r="D863" s="4">
        <v>0.33983503399999998</v>
      </c>
      <c r="E863" s="18">
        <v>276</v>
      </c>
      <c r="G863" s="4"/>
      <c r="H863" s="4">
        <f t="shared" si="12"/>
        <v>0</v>
      </c>
      <c r="I863" s="2">
        <f t="shared" si="13"/>
        <v>0</v>
      </c>
      <c r="J863">
        <v>9</v>
      </c>
    </row>
    <row r="864" spans="1:10" x14ac:dyDescent="0.3">
      <c r="A864" t="s">
        <v>91</v>
      </c>
      <c r="B864" t="s">
        <v>60</v>
      </c>
      <c r="C864" s="4">
        <v>0.41</v>
      </c>
      <c r="D864" s="4">
        <v>0.33983503399999998</v>
      </c>
      <c r="E864" s="18">
        <v>277</v>
      </c>
      <c r="G864" s="4"/>
      <c r="H864" s="4">
        <f t="shared" si="12"/>
        <v>0</v>
      </c>
      <c r="I864" s="2">
        <f t="shared" si="13"/>
        <v>0</v>
      </c>
      <c r="J864">
        <v>9</v>
      </c>
    </row>
    <row r="865" spans="1:10" x14ac:dyDescent="0.3">
      <c r="A865" t="s">
        <v>91</v>
      </c>
      <c r="B865" t="s">
        <v>60</v>
      </c>
      <c r="C865" s="4">
        <v>0.41</v>
      </c>
      <c r="D865" s="4">
        <v>0.33983503399999998</v>
      </c>
      <c r="E865" s="18">
        <v>278</v>
      </c>
      <c r="G865" s="4"/>
      <c r="H865" s="4">
        <f t="shared" si="12"/>
        <v>0</v>
      </c>
      <c r="I865" s="2">
        <f t="shared" si="13"/>
        <v>0</v>
      </c>
      <c r="J865">
        <v>7</v>
      </c>
    </row>
    <row r="866" spans="1:10" x14ac:dyDescent="0.3">
      <c r="A866" t="s">
        <v>91</v>
      </c>
      <c r="B866" t="s">
        <v>90</v>
      </c>
      <c r="C866" s="4">
        <v>0.37226847299999999</v>
      </c>
      <c r="D866" s="4">
        <v>0.42234285700000002</v>
      </c>
      <c r="E866" s="18">
        <v>279</v>
      </c>
      <c r="G866" s="4"/>
      <c r="H866" s="4">
        <f t="shared" si="12"/>
        <v>0</v>
      </c>
      <c r="I866" s="2">
        <f t="shared" si="13"/>
        <v>0</v>
      </c>
      <c r="J866">
        <v>6</v>
      </c>
    </row>
    <row r="867" spans="1:10" x14ac:dyDescent="0.3">
      <c r="A867" t="s">
        <v>91</v>
      </c>
      <c r="B867" t="s">
        <v>90</v>
      </c>
      <c r="C867" s="4">
        <v>0.37226847299999999</v>
      </c>
      <c r="D867" s="4">
        <v>0.42234285700000002</v>
      </c>
      <c r="E867" s="18">
        <v>280</v>
      </c>
      <c r="G867" s="4"/>
      <c r="H867" s="4">
        <f t="shared" si="12"/>
        <v>0</v>
      </c>
      <c r="I867" s="2">
        <f t="shared" si="13"/>
        <v>0</v>
      </c>
      <c r="J867">
        <v>3.5</v>
      </c>
    </row>
    <row r="868" spans="1:10" x14ac:dyDescent="0.3">
      <c r="A868" t="s">
        <v>91</v>
      </c>
      <c r="B868" t="s">
        <v>55</v>
      </c>
      <c r="C868" s="4">
        <v>0.52500000000000002</v>
      </c>
      <c r="D868" s="4">
        <v>0.52500000000000002</v>
      </c>
      <c r="E868" s="18">
        <v>281</v>
      </c>
      <c r="G868" s="4"/>
      <c r="H868" s="4">
        <f t="shared" si="12"/>
        <v>0</v>
      </c>
      <c r="I868" s="2">
        <f t="shared" si="13"/>
        <v>0</v>
      </c>
      <c r="J868">
        <v>7</v>
      </c>
    </row>
    <row r="869" spans="1:10" x14ac:dyDescent="0.3">
      <c r="A869" t="s">
        <v>91</v>
      </c>
      <c r="B869" t="s">
        <v>55</v>
      </c>
      <c r="C869" s="4">
        <v>0.52500000000000002</v>
      </c>
      <c r="D869" s="4">
        <v>0.52500000000000002</v>
      </c>
      <c r="E869" s="18">
        <v>282</v>
      </c>
      <c r="G869" s="4"/>
      <c r="H869" s="4">
        <f t="shared" si="12"/>
        <v>0</v>
      </c>
      <c r="I869" s="2">
        <f t="shared" si="13"/>
        <v>0</v>
      </c>
      <c r="J869">
        <v>7</v>
      </c>
    </row>
    <row r="870" spans="1:10" x14ac:dyDescent="0.3">
      <c r="A870" t="s">
        <v>91</v>
      </c>
      <c r="B870" t="s">
        <v>93</v>
      </c>
      <c r="C870" s="4">
        <v>0.85449533600000005</v>
      </c>
      <c r="D870" s="4">
        <v>0.81482857099999995</v>
      </c>
      <c r="E870" s="18">
        <v>283</v>
      </c>
      <c r="G870" s="4"/>
      <c r="H870" s="4">
        <f t="shared" si="12"/>
        <v>0</v>
      </c>
      <c r="I870" s="2">
        <f t="shared" si="13"/>
        <v>0</v>
      </c>
      <c r="J870">
        <v>5</v>
      </c>
    </row>
    <row r="871" spans="1:10" x14ac:dyDescent="0.3">
      <c r="A871" t="s">
        <v>91</v>
      </c>
      <c r="B871" t="s">
        <v>78</v>
      </c>
      <c r="C871" s="4">
        <v>0.43538739399999998</v>
      </c>
      <c r="D871" s="4">
        <v>0.568333333</v>
      </c>
      <c r="E871" s="18">
        <v>284</v>
      </c>
      <c r="G871" s="4"/>
      <c r="H871" s="4">
        <f t="shared" si="12"/>
        <v>0</v>
      </c>
      <c r="I871" s="2">
        <f t="shared" si="13"/>
        <v>0</v>
      </c>
      <c r="J871">
        <v>8</v>
      </c>
    </row>
    <row r="872" spans="1:10" x14ac:dyDescent="0.3">
      <c r="A872" t="s">
        <v>91</v>
      </c>
      <c r="B872" t="s">
        <v>47</v>
      </c>
      <c r="C872" s="4">
        <v>0.40238543599999999</v>
      </c>
      <c r="D872" s="4">
        <v>0.40883333300000002</v>
      </c>
      <c r="E872" s="18">
        <v>285</v>
      </c>
      <c r="G872" s="4"/>
      <c r="H872" s="4">
        <f t="shared" si="12"/>
        <v>0</v>
      </c>
      <c r="I872" s="2">
        <f t="shared" si="13"/>
        <v>0</v>
      </c>
      <c r="J872">
        <v>9</v>
      </c>
    </row>
    <row r="873" spans="1:10" x14ac:dyDescent="0.3">
      <c r="A873" t="s">
        <v>91</v>
      </c>
      <c r="B873" t="s">
        <v>47</v>
      </c>
      <c r="C873" s="4">
        <v>0.40238543599999999</v>
      </c>
      <c r="D873" s="4">
        <v>0.40883333300000002</v>
      </c>
      <c r="E873" s="18">
        <v>286</v>
      </c>
      <c r="G873" s="4"/>
      <c r="H873" s="4">
        <f t="shared" si="12"/>
        <v>0</v>
      </c>
      <c r="I873" s="2">
        <f t="shared" si="13"/>
        <v>0</v>
      </c>
      <c r="J873">
        <v>9</v>
      </c>
    </row>
    <row r="874" spans="1:10" x14ac:dyDescent="0.3">
      <c r="A874" t="s">
        <v>91</v>
      </c>
      <c r="B874" t="s">
        <v>47</v>
      </c>
      <c r="C874" s="4">
        <v>0.40238543599999999</v>
      </c>
      <c r="D874" s="4">
        <v>0.40883333300000002</v>
      </c>
      <c r="E874" s="18">
        <v>287</v>
      </c>
      <c r="G874" s="4"/>
      <c r="H874" s="4">
        <f t="shared" si="12"/>
        <v>0</v>
      </c>
      <c r="I874" s="2">
        <f t="shared" si="13"/>
        <v>0</v>
      </c>
      <c r="J874">
        <v>8</v>
      </c>
    </row>
    <row r="875" spans="1:10" x14ac:dyDescent="0.3">
      <c r="A875" t="s">
        <v>91</v>
      </c>
      <c r="B875" t="s">
        <v>47</v>
      </c>
      <c r="C875" s="4">
        <v>0.40238543599999999</v>
      </c>
      <c r="D875" s="4">
        <v>0.40883333300000002</v>
      </c>
      <c r="E875" s="18">
        <v>288</v>
      </c>
      <c r="G875" s="4"/>
      <c r="H875" s="4">
        <f t="shared" si="12"/>
        <v>0</v>
      </c>
      <c r="I875" s="2">
        <f t="shared" si="13"/>
        <v>0</v>
      </c>
      <c r="J875">
        <v>7</v>
      </c>
    </row>
    <row r="876" spans="1:10" x14ac:dyDescent="0.3">
      <c r="A876" t="s">
        <v>91</v>
      </c>
      <c r="B876" t="s">
        <v>94</v>
      </c>
      <c r="C876" s="4">
        <v>0.28577490700000002</v>
      </c>
      <c r="D876" s="4">
        <v>0.3422</v>
      </c>
      <c r="E876" s="18">
        <v>289</v>
      </c>
      <c r="G876" s="4"/>
      <c r="H876" s="4">
        <f t="shared" si="12"/>
        <v>0</v>
      </c>
      <c r="I876" s="2">
        <f t="shared" si="13"/>
        <v>0</v>
      </c>
      <c r="J876">
        <v>5</v>
      </c>
    </row>
    <row r="877" spans="1:10" x14ac:dyDescent="0.3">
      <c r="A877" t="s">
        <v>91</v>
      </c>
      <c r="B877" t="s">
        <v>94</v>
      </c>
      <c r="C877" s="4">
        <v>0.28577490700000002</v>
      </c>
      <c r="D877" s="4">
        <v>0.3422</v>
      </c>
      <c r="E877" s="18">
        <v>290</v>
      </c>
      <c r="G877" s="4"/>
      <c r="H877" s="4">
        <f t="shared" si="12"/>
        <v>0</v>
      </c>
      <c r="I877" s="2">
        <f t="shared" si="13"/>
        <v>0</v>
      </c>
      <c r="J877">
        <v>6.5</v>
      </c>
    </row>
    <row r="878" spans="1:10" x14ac:dyDescent="0.3">
      <c r="A878" t="s">
        <v>95</v>
      </c>
      <c r="B878" t="s">
        <v>51</v>
      </c>
      <c r="C878" s="4">
        <v>0.40257753800000001</v>
      </c>
      <c r="D878" s="4">
        <v>0.40843333300000001</v>
      </c>
      <c r="E878" s="18">
        <v>291</v>
      </c>
      <c r="G878" s="4"/>
      <c r="H878" s="4">
        <f t="shared" si="12"/>
        <v>0</v>
      </c>
      <c r="I878" s="2">
        <f t="shared" si="13"/>
        <v>0</v>
      </c>
      <c r="J878">
        <v>3.5</v>
      </c>
    </row>
    <row r="879" spans="1:10" x14ac:dyDescent="0.3">
      <c r="A879" t="s">
        <v>95</v>
      </c>
      <c r="B879" t="s">
        <v>51</v>
      </c>
      <c r="C879" s="4">
        <v>0.40257753800000001</v>
      </c>
      <c r="D879" s="4">
        <v>0.40843333300000001</v>
      </c>
      <c r="E879" s="18">
        <v>292</v>
      </c>
      <c r="G879" s="4"/>
      <c r="H879" s="4">
        <f t="shared" si="12"/>
        <v>0</v>
      </c>
      <c r="I879" s="2">
        <f t="shared" si="13"/>
        <v>0</v>
      </c>
      <c r="J879">
        <v>7</v>
      </c>
    </row>
    <row r="880" spans="1:10" x14ac:dyDescent="0.3">
      <c r="A880" t="s">
        <v>95</v>
      </c>
      <c r="B880" t="s">
        <v>92</v>
      </c>
      <c r="C880" s="4">
        <v>0.80803492399999999</v>
      </c>
      <c r="D880" s="4">
        <v>0.87275320499999998</v>
      </c>
      <c r="E880" s="18">
        <v>293</v>
      </c>
      <c r="G880" s="4"/>
      <c r="H880" s="4">
        <f t="shared" si="12"/>
        <v>0</v>
      </c>
      <c r="I880" s="2">
        <f t="shared" si="13"/>
        <v>0</v>
      </c>
      <c r="J880">
        <v>7</v>
      </c>
    </row>
    <row r="881" spans="1:10" x14ac:dyDescent="0.3">
      <c r="A881" t="s">
        <v>95</v>
      </c>
      <c r="B881" t="s">
        <v>92</v>
      </c>
      <c r="C881" s="4">
        <v>0.80803492399999999</v>
      </c>
      <c r="D881" s="4">
        <v>0.87275320499999998</v>
      </c>
      <c r="E881" s="18">
        <v>294</v>
      </c>
      <c r="G881" s="4"/>
      <c r="H881" s="4">
        <f t="shared" si="12"/>
        <v>0</v>
      </c>
      <c r="I881" s="2">
        <f t="shared" si="13"/>
        <v>0</v>
      </c>
      <c r="J881">
        <v>8</v>
      </c>
    </row>
    <row r="882" spans="1:10" x14ac:dyDescent="0.3">
      <c r="A882" t="s">
        <v>95</v>
      </c>
      <c r="B882" t="s">
        <v>92</v>
      </c>
      <c r="C882" s="4">
        <v>0.80803492399999999</v>
      </c>
      <c r="D882" s="4">
        <v>0.87275320499999998</v>
      </c>
      <c r="E882" s="18">
        <v>295</v>
      </c>
      <c r="G882" s="4"/>
      <c r="H882" s="4">
        <f t="shared" si="12"/>
        <v>0</v>
      </c>
      <c r="I882" s="2">
        <f t="shared" si="13"/>
        <v>0</v>
      </c>
      <c r="J882">
        <v>8.5</v>
      </c>
    </row>
    <row r="883" spans="1:10" x14ac:dyDescent="0.3">
      <c r="A883" t="s">
        <v>95</v>
      </c>
      <c r="B883" t="s">
        <v>92</v>
      </c>
      <c r="C883" s="4">
        <v>0.80803492399999999</v>
      </c>
      <c r="D883" s="4">
        <v>0.87275320499999998</v>
      </c>
      <c r="E883" s="18">
        <v>296</v>
      </c>
      <c r="G883" s="4"/>
      <c r="H883" s="4">
        <f t="shared" si="12"/>
        <v>0</v>
      </c>
      <c r="I883" s="2">
        <f t="shared" si="13"/>
        <v>0</v>
      </c>
      <c r="J883">
        <v>8</v>
      </c>
    </row>
    <row r="884" spans="1:10" x14ac:dyDescent="0.3">
      <c r="A884" t="s">
        <v>95</v>
      </c>
      <c r="B884" t="s">
        <v>60</v>
      </c>
      <c r="C884" s="4">
        <v>0.41</v>
      </c>
      <c r="D884" s="4">
        <v>0.33983503399999998</v>
      </c>
      <c r="E884" s="18">
        <v>297</v>
      </c>
      <c r="G884" s="4"/>
      <c r="H884" s="4">
        <f t="shared" si="12"/>
        <v>0</v>
      </c>
      <c r="I884" s="2">
        <f t="shared" si="13"/>
        <v>0</v>
      </c>
      <c r="J884">
        <v>7</v>
      </c>
    </row>
    <row r="885" spans="1:10" x14ac:dyDescent="0.3">
      <c r="A885" t="s">
        <v>95</v>
      </c>
      <c r="B885" t="s">
        <v>60</v>
      </c>
      <c r="C885" s="4">
        <v>0.41</v>
      </c>
      <c r="D885" s="4">
        <v>0.33983503399999998</v>
      </c>
      <c r="E885" s="18">
        <v>298</v>
      </c>
      <c r="G885" s="4"/>
      <c r="H885" s="4">
        <f t="shared" si="12"/>
        <v>0</v>
      </c>
      <c r="I885" s="2">
        <f t="shared" si="13"/>
        <v>0</v>
      </c>
      <c r="J885">
        <v>5</v>
      </c>
    </row>
    <row r="886" spans="1:10" x14ac:dyDescent="0.3">
      <c r="A886" t="s">
        <v>95</v>
      </c>
      <c r="B886" t="s">
        <v>69</v>
      </c>
      <c r="C886" s="4">
        <v>0.31264018999999998</v>
      </c>
      <c r="D886" s="4">
        <v>0.356821212</v>
      </c>
      <c r="E886" s="18">
        <v>299</v>
      </c>
      <c r="G886" s="4"/>
      <c r="H886" s="4">
        <f t="shared" si="12"/>
        <v>0</v>
      </c>
      <c r="I886" s="2">
        <f t="shared" si="13"/>
        <v>0</v>
      </c>
      <c r="J886">
        <v>3.5</v>
      </c>
    </row>
    <row r="887" spans="1:10" x14ac:dyDescent="0.3">
      <c r="A887" t="s">
        <v>95</v>
      </c>
      <c r="B887" t="s">
        <v>85</v>
      </c>
      <c r="C887" s="4">
        <v>0.6</v>
      </c>
      <c r="D887" s="4">
        <v>0.66674999999999995</v>
      </c>
      <c r="E887" s="18">
        <v>300</v>
      </c>
      <c r="G887" s="4"/>
      <c r="H887" s="4">
        <f t="shared" si="12"/>
        <v>0</v>
      </c>
      <c r="I887" s="2">
        <f t="shared" si="13"/>
        <v>0</v>
      </c>
      <c r="J887">
        <v>4.5</v>
      </c>
    </row>
    <row r="888" spans="1:10" x14ac:dyDescent="0.3">
      <c r="A888" t="s">
        <v>95</v>
      </c>
      <c r="B888" t="s">
        <v>96</v>
      </c>
      <c r="C888" s="4">
        <v>0.60413333300000005</v>
      </c>
      <c r="D888" s="4">
        <v>0.60831666699999998</v>
      </c>
      <c r="E888" s="18">
        <v>301</v>
      </c>
      <c r="G888" s="4"/>
      <c r="H888" s="4">
        <f t="shared" si="12"/>
        <v>0</v>
      </c>
      <c r="I888" s="2">
        <f t="shared" si="13"/>
        <v>0</v>
      </c>
      <c r="J888">
        <v>8</v>
      </c>
    </row>
    <row r="889" spans="1:10" x14ac:dyDescent="0.3">
      <c r="A889" t="s">
        <v>95</v>
      </c>
      <c r="B889" t="s">
        <v>55</v>
      </c>
      <c r="C889" s="4">
        <v>0.52500000000000002</v>
      </c>
      <c r="D889" s="4">
        <v>0.52500000000000002</v>
      </c>
      <c r="E889" s="18">
        <v>302</v>
      </c>
      <c r="G889" s="4"/>
      <c r="H889" s="4">
        <f t="shared" si="12"/>
        <v>0</v>
      </c>
      <c r="I889" s="2">
        <f t="shared" si="13"/>
        <v>0</v>
      </c>
      <c r="J889">
        <v>3.5</v>
      </c>
    </row>
    <row r="890" spans="1:10" x14ac:dyDescent="0.3">
      <c r="A890" t="s">
        <v>95</v>
      </c>
      <c r="B890" t="s">
        <v>56</v>
      </c>
      <c r="C890" s="4">
        <v>0.39984676499999999</v>
      </c>
      <c r="D890" s="4">
        <v>0.450333333</v>
      </c>
      <c r="E890" s="18">
        <v>303</v>
      </c>
      <c r="G890" s="4"/>
      <c r="H890" s="4">
        <f t="shared" si="12"/>
        <v>0</v>
      </c>
      <c r="I890" s="2">
        <f t="shared" si="13"/>
        <v>0</v>
      </c>
      <c r="J890">
        <v>8</v>
      </c>
    </row>
    <row r="891" spans="1:10" x14ac:dyDescent="0.3">
      <c r="A891" t="s">
        <v>95</v>
      </c>
      <c r="B891" t="s">
        <v>47</v>
      </c>
      <c r="C891" s="4">
        <v>0.40238543599999999</v>
      </c>
      <c r="D891" s="4">
        <v>0.40883333300000002</v>
      </c>
      <c r="E891" s="18">
        <v>304</v>
      </c>
      <c r="G891" s="4"/>
      <c r="H891" s="4">
        <f t="shared" si="12"/>
        <v>0</v>
      </c>
      <c r="I891" s="2">
        <f t="shared" si="13"/>
        <v>0</v>
      </c>
      <c r="J891">
        <v>6</v>
      </c>
    </row>
    <row r="892" spans="1:10" x14ac:dyDescent="0.3">
      <c r="A892" t="s">
        <v>95</v>
      </c>
      <c r="B892" t="s">
        <v>49</v>
      </c>
      <c r="C892" s="4">
        <v>0.57917600000000002</v>
      </c>
      <c r="D892" s="4">
        <v>0.60285714300000004</v>
      </c>
      <c r="E892" s="18">
        <v>305</v>
      </c>
      <c r="G892" s="4"/>
      <c r="H892" s="4">
        <f t="shared" si="12"/>
        <v>0</v>
      </c>
      <c r="I892" s="2">
        <f t="shared" si="13"/>
        <v>0</v>
      </c>
      <c r="J892">
        <v>9</v>
      </c>
    </row>
    <row r="893" spans="1:10" x14ac:dyDescent="0.3">
      <c r="A893" t="s">
        <v>95</v>
      </c>
      <c r="B893" t="s">
        <v>49</v>
      </c>
      <c r="C893" s="4">
        <v>0.57917600000000002</v>
      </c>
      <c r="D893" s="4">
        <v>0.60285714300000004</v>
      </c>
      <c r="E893" s="18">
        <v>306</v>
      </c>
      <c r="G893" s="4"/>
      <c r="H893" s="4">
        <f t="shared" si="12"/>
        <v>0</v>
      </c>
      <c r="I893" s="2">
        <f t="shared" si="13"/>
        <v>0</v>
      </c>
      <c r="J893">
        <v>8</v>
      </c>
    </row>
    <row r="894" spans="1:10" x14ac:dyDescent="0.3">
      <c r="A894" t="s">
        <v>95</v>
      </c>
      <c r="B894" t="s">
        <v>94</v>
      </c>
      <c r="C894" s="4">
        <v>0.28577490700000002</v>
      </c>
      <c r="D894" s="4">
        <v>0.3422</v>
      </c>
      <c r="E894" s="18">
        <v>307</v>
      </c>
      <c r="G894" s="4"/>
      <c r="H894" s="4">
        <f t="shared" si="12"/>
        <v>0</v>
      </c>
      <c r="I894" s="2">
        <f t="shared" si="13"/>
        <v>0</v>
      </c>
      <c r="J894">
        <v>7</v>
      </c>
    </row>
    <row r="895" spans="1:10" x14ac:dyDescent="0.3">
      <c r="A895" t="s">
        <v>97</v>
      </c>
      <c r="B895" t="s">
        <v>15</v>
      </c>
      <c r="C895" s="4">
        <v>0.47982689899999997</v>
      </c>
      <c r="D895" s="4">
        <v>0.51</v>
      </c>
      <c r="E895" s="18">
        <v>308</v>
      </c>
      <c r="G895" s="4"/>
      <c r="H895" s="4">
        <f t="shared" si="12"/>
        <v>0</v>
      </c>
      <c r="I895" s="2">
        <f t="shared" si="13"/>
        <v>0</v>
      </c>
      <c r="J895">
        <v>2</v>
      </c>
    </row>
    <row r="896" spans="1:10" x14ac:dyDescent="0.3">
      <c r="A896" t="s">
        <v>97</v>
      </c>
      <c r="B896" t="s">
        <v>15</v>
      </c>
      <c r="C896" s="4">
        <v>0.47982689899999997</v>
      </c>
      <c r="D896" s="4">
        <v>0.51</v>
      </c>
      <c r="E896" s="18">
        <v>309</v>
      </c>
      <c r="G896" s="4"/>
      <c r="H896" s="4">
        <f t="shared" si="12"/>
        <v>0</v>
      </c>
      <c r="I896" s="2">
        <f t="shared" si="13"/>
        <v>0</v>
      </c>
      <c r="J896">
        <v>6</v>
      </c>
    </row>
    <row r="897" spans="1:10" x14ac:dyDescent="0.3">
      <c r="A897" t="s">
        <v>97</v>
      </c>
      <c r="B897" t="s">
        <v>15</v>
      </c>
      <c r="C897" s="4">
        <v>0.47982689899999997</v>
      </c>
      <c r="D897" s="4">
        <v>0.51</v>
      </c>
      <c r="E897" s="18">
        <v>310</v>
      </c>
      <c r="G897" s="4"/>
      <c r="H897" s="4">
        <f t="shared" si="12"/>
        <v>0</v>
      </c>
      <c r="I897" s="2">
        <f t="shared" si="13"/>
        <v>0</v>
      </c>
      <c r="J897">
        <v>3</v>
      </c>
    </row>
    <row r="898" spans="1:10" x14ac:dyDescent="0.3">
      <c r="A898" t="s">
        <v>97</v>
      </c>
      <c r="B898" t="s">
        <v>15</v>
      </c>
      <c r="C898" s="4">
        <v>0.47982689899999997</v>
      </c>
      <c r="D898" s="4">
        <v>0.51</v>
      </c>
      <c r="E898" s="18">
        <v>311</v>
      </c>
      <c r="G898" s="4"/>
      <c r="H898" s="4">
        <f t="shared" si="12"/>
        <v>0</v>
      </c>
      <c r="I898" s="2">
        <f t="shared" si="13"/>
        <v>0</v>
      </c>
      <c r="J898">
        <v>5</v>
      </c>
    </row>
    <row r="899" spans="1:10" x14ac:dyDescent="0.3">
      <c r="A899" t="s">
        <v>97</v>
      </c>
      <c r="B899" t="s">
        <v>15</v>
      </c>
      <c r="C899" s="4">
        <v>0.47982689899999997</v>
      </c>
      <c r="D899" s="4">
        <v>0.51</v>
      </c>
      <c r="E899" s="18">
        <v>312</v>
      </c>
      <c r="G899" s="4"/>
      <c r="H899" s="4">
        <f t="shared" si="12"/>
        <v>0</v>
      </c>
      <c r="I899" s="2">
        <f t="shared" si="13"/>
        <v>0</v>
      </c>
      <c r="J899">
        <v>3</v>
      </c>
    </row>
    <row r="900" spans="1:10" x14ac:dyDescent="0.3">
      <c r="A900" t="s">
        <v>97</v>
      </c>
      <c r="B900" t="s">
        <v>55</v>
      </c>
      <c r="C900" s="4">
        <v>0.52500000000000002</v>
      </c>
      <c r="D900" s="4">
        <v>0.52500000000000002</v>
      </c>
      <c r="E900" s="18">
        <v>313</v>
      </c>
      <c r="G900" s="4"/>
      <c r="H900" s="4">
        <f t="shared" si="12"/>
        <v>0</v>
      </c>
      <c r="I900" s="2">
        <f t="shared" si="13"/>
        <v>0</v>
      </c>
      <c r="J900">
        <v>7.5</v>
      </c>
    </row>
    <row r="901" spans="1:10" x14ac:dyDescent="0.3">
      <c r="A901" t="s">
        <v>97</v>
      </c>
      <c r="B901" t="s">
        <v>49</v>
      </c>
      <c r="C901" s="4">
        <v>0.57917600000000002</v>
      </c>
      <c r="D901" s="4">
        <v>0.60285714300000004</v>
      </c>
      <c r="E901" s="18">
        <v>314</v>
      </c>
      <c r="G901" s="4"/>
      <c r="H901" s="4">
        <f t="shared" si="12"/>
        <v>0</v>
      </c>
      <c r="I901" s="2">
        <f t="shared" si="13"/>
        <v>0</v>
      </c>
      <c r="J901">
        <v>7</v>
      </c>
    </row>
    <row r="902" spans="1:10" x14ac:dyDescent="0.3">
      <c r="A902" t="s">
        <v>97</v>
      </c>
      <c r="B902" t="s">
        <v>49</v>
      </c>
      <c r="C902" s="4">
        <v>0.57917600000000002</v>
      </c>
      <c r="D902" s="4">
        <v>0.60285714300000004</v>
      </c>
      <c r="E902" s="18">
        <v>315</v>
      </c>
      <c r="G902" s="4"/>
      <c r="H902" s="4">
        <f t="shared" si="12"/>
        <v>0</v>
      </c>
      <c r="I902" s="2">
        <f t="shared" si="13"/>
        <v>0</v>
      </c>
      <c r="J902">
        <v>5.5</v>
      </c>
    </row>
    <row r="903" spans="1:10" x14ac:dyDescent="0.3">
      <c r="A903" t="s">
        <v>97</v>
      </c>
      <c r="B903" t="s">
        <v>49</v>
      </c>
      <c r="C903" s="4">
        <v>0.57917600000000002</v>
      </c>
      <c r="D903" s="4">
        <v>0.60285714300000004</v>
      </c>
      <c r="E903" s="18">
        <v>316</v>
      </c>
      <c r="G903" s="4"/>
      <c r="H903" s="4">
        <f t="shared" si="12"/>
        <v>0</v>
      </c>
      <c r="I903" s="2">
        <f t="shared" si="13"/>
        <v>0</v>
      </c>
      <c r="J903">
        <v>7</v>
      </c>
    </row>
    <row r="904" spans="1:10" x14ac:dyDescent="0.3">
      <c r="A904" t="s">
        <v>97</v>
      </c>
      <c r="B904" t="s">
        <v>49</v>
      </c>
      <c r="C904" s="4">
        <v>0.57917600000000002</v>
      </c>
      <c r="D904" s="4">
        <v>0.60285714300000004</v>
      </c>
      <c r="E904" s="18">
        <v>317</v>
      </c>
      <c r="G904" s="4"/>
      <c r="H904" s="4">
        <f t="shared" si="12"/>
        <v>0</v>
      </c>
      <c r="I904" s="2">
        <f t="shared" si="13"/>
        <v>0</v>
      </c>
      <c r="J904">
        <v>6.5</v>
      </c>
    </row>
    <row r="905" spans="1:10" x14ac:dyDescent="0.3">
      <c r="A905" t="s">
        <v>97</v>
      </c>
      <c r="B905" t="s">
        <v>88</v>
      </c>
      <c r="C905" s="4">
        <v>0.77</v>
      </c>
      <c r="D905" s="4">
        <v>0.77</v>
      </c>
      <c r="E905" s="18">
        <v>318</v>
      </c>
      <c r="G905" s="4"/>
      <c r="H905" s="4">
        <f t="shared" si="12"/>
        <v>0</v>
      </c>
      <c r="I905" s="2">
        <f t="shared" si="13"/>
        <v>0</v>
      </c>
      <c r="J905">
        <v>6</v>
      </c>
    </row>
    <row r="906" spans="1:10" x14ac:dyDescent="0.3">
      <c r="A906" t="s">
        <v>97</v>
      </c>
      <c r="B906" t="s">
        <v>88</v>
      </c>
      <c r="C906" s="4">
        <v>0.77</v>
      </c>
      <c r="D906" s="4">
        <v>0.77</v>
      </c>
      <c r="E906" s="18">
        <v>319</v>
      </c>
      <c r="G906" s="4"/>
      <c r="H906" s="4">
        <f t="shared" si="12"/>
        <v>0</v>
      </c>
      <c r="I906" s="2">
        <f t="shared" si="13"/>
        <v>0</v>
      </c>
      <c r="J906">
        <v>5.5</v>
      </c>
    </row>
    <row r="907" spans="1:10" x14ac:dyDescent="0.3">
      <c r="A907" t="s">
        <v>97</v>
      </c>
      <c r="B907" t="s">
        <v>88</v>
      </c>
      <c r="C907" s="4">
        <v>0.77</v>
      </c>
      <c r="D907" s="4">
        <v>0.77</v>
      </c>
      <c r="E907" s="18">
        <v>320</v>
      </c>
      <c r="G907" s="4"/>
      <c r="H907" s="4">
        <f t="shared" si="12"/>
        <v>0</v>
      </c>
      <c r="I907" s="2">
        <f t="shared" si="13"/>
        <v>0</v>
      </c>
      <c r="J907">
        <v>7</v>
      </c>
    </row>
    <row r="908" spans="1:10" x14ac:dyDescent="0.3">
      <c r="A908" t="s">
        <v>98</v>
      </c>
      <c r="B908" t="s">
        <v>92</v>
      </c>
      <c r="C908" s="4">
        <v>0.80803492399999999</v>
      </c>
      <c r="D908" s="4">
        <v>0.87275320499999998</v>
      </c>
      <c r="E908" s="18">
        <v>321</v>
      </c>
      <c r="G908" s="4"/>
      <c r="H908" s="4">
        <f t="shared" si="12"/>
        <v>0</v>
      </c>
      <c r="I908" s="2">
        <f t="shared" si="13"/>
        <v>0</v>
      </c>
      <c r="J908">
        <v>8</v>
      </c>
    </row>
    <row r="909" spans="1:10" x14ac:dyDescent="0.3">
      <c r="A909" t="s">
        <v>98</v>
      </c>
      <c r="B909" t="s">
        <v>99</v>
      </c>
      <c r="C909" s="4">
        <v>0.60064078700000001</v>
      </c>
      <c r="D909" s="4">
        <v>0.66733333299999997</v>
      </c>
      <c r="E909" s="18">
        <v>322</v>
      </c>
      <c r="G909" s="4"/>
      <c r="H909" s="4">
        <f t="shared" ref="H909:H972" si="14">G909/PI()</f>
        <v>0</v>
      </c>
      <c r="I909" s="2">
        <f t="shared" si="13"/>
        <v>0</v>
      </c>
      <c r="J909">
        <v>6.8</v>
      </c>
    </row>
    <row r="910" spans="1:10" x14ac:dyDescent="0.3">
      <c r="A910" t="s">
        <v>98</v>
      </c>
      <c r="B910" t="s">
        <v>55</v>
      </c>
      <c r="C910" s="4">
        <v>0.52500000000000002</v>
      </c>
      <c r="D910" s="4">
        <v>0.52500000000000002</v>
      </c>
      <c r="E910" s="18">
        <v>323</v>
      </c>
      <c r="G910" s="4"/>
      <c r="H910" s="4">
        <f t="shared" si="14"/>
        <v>0</v>
      </c>
      <c r="I910" s="2">
        <f t="shared" si="13"/>
        <v>0</v>
      </c>
      <c r="J910">
        <v>7</v>
      </c>
    </row>
    <row r="911" spans="1:10" x14ac:dyDescent="0.3">
      <c r="A911" t="s">
        <v>98</v>
      </c>
      <c r="B911" t="s">
        <v>55</v>
      </c>
      <c r="C911" s="4">
        <v>0.52500000000000002</v>
      </c>
      <c r="D911" s="4">
        <v>0.52500000000000002</v>
      </c>
      <c r="E911" s="18">
        <v>324</v>
      </c>
      <c r="G911" s="4"/>
      <c r="H911" s="4">
        <f t="shared" si="14"/>
        <v>0</v>
      </c>
      <c r="I911" s="2">
        <f t="shared" si="13"/>
        <v>0</v>
      </c>
      <c r="J911">
        <v>3.2</v>
      </c>
    </row>
    <row r="912" spans="1:10" x14ac:dyDescent="0.3">
      <c r="A912" t="s">
        <v>98</v>
      </c>
      <c r="B912" t="s">
        <v>55</v>
      </c>
      <c r="C912" s="4">
        <v>0.52500000000000002</v>
      </c>
      <c r="D912" s="4">
        <v>0.52500000000000002</v>
      </c>
      <c r="E912" s="18">
        <v>325</v>
      </c>
      <c r="G912" s="4"/>
      <c r="H912" s="4">
        <f t="shared" si="14"/>
        <v>0</v>
      </c>
      <c r="I912" s="2">
        <f t="shared" si="13"/>
        <v>0</v>
      </c>
      <c r="J912">
        <v>6</v>
      </c>
    </row>
    <row r="913" spans="1:10" x14ac:dyDescent="0.3">
      <c r="A913" t="s">
        <v>98</v>
      </c>
      <c r="B913" t="s">
        <v>41</v>
      </c>
      <c r="C913" s="4">
        <v>0.56193137999999998</v>
      </c>
      <c r="D913" s="4">
        <v>0.57808694400000005</v>
      </c>
      <c r="E913" s="18">
        <v>326</v>
      </c>
      <c r="G913" s="4"/>
      <c r="H913" s="4">
        <f t="shared" si="14"/>
        <v>0</v>
      </c>
      <c r="I913" s="2">
        <f t="shared" si="13"/>
        <v>0</v>
      </c>
      <c r="J913">
        <v>3.5</v>
      </c>
    </row>
    <row r="914" spans="1:10" x14ac:dyDescent="0.3">
      <c r="A914" t="s">
        <v>98</v>
      </c>
      <c r="B914" t="s">
        <v>41</v>
      </c>
      <c r="C914" s="4">
        <v>0.56193137999999998</v>
      </c>
      <c r="D914" s="4">
        <v>0.57808694400000005</v>
      </c>
      <c r="E914" s="18">
        <v>327</v>
      </c>
      <c r="G914" s="4"/>
      <c r="H914" s="4">
        <f t="shared" si="14"/>
        <v>0</v>
      </c>
      <c r="I914" s="2">
        <f t="shared" si="13"/>
        <v>0</v>
      </c>
      <c r="J914">
        <v>6</v>
      </c>
    </row>
    <row r="915" spans="1:10" x14ac:dyDescent="0.3">
      <c r="A915" t="s">
        <v>98</v>
      </c>
      <c r="B915" t="s">
        <v>41</v>
      </c>
      <c r="C915" s="4">
        <v>0.56193137999999998</v>
      </c>
      <c r="D915" s="4">
        <v>0.57808694400000005</v>
      </c>
      <c r="E915" s="18">
        <v>328</v>
      </c>
      <c r="G915" s="4"/>
      <c r="H915" s="4">
        <f t="shared" si="14"/>
        <v>0</v>
      </c>
      <c r="I915" s="2">
        <f t="shared" si="13"/>
        <v>0</v>
      </c>
      <c r="J915">
        <v>5</v>
      </c>
    </row>
    <row r="916" spans="1:10" x14ac:dyDescent="0.3">
      <c r="A916" t="s">
        <v>98</v>
      </c>
      <c r="B916" t="s">
        <v>41</v>
      </c>
      <c r="C916" s="4">
        <v>0.56193137999999998</v>
      </c>
      <c r="D916" s="4">
        <v>0.57808694400000005</v>
      </c>
      <c r="E916" s="18">
        <v>329</v>
      </c>
      <c r="G916" s="4"/>
      <c r="H916" s="4">
        <f t="shared" si="14"/>
        <v>0</v>
      </c>
      <c r="I916" s="2">
        <f t="shared" si="13"/>
        <v>0</v>
      </c>
      <c r="J916">
        <v>6</v>
      </c>
    </row>
    <row r="917" spans="1:10" x14ac:dyDescent="0.3">
      <c r="A917" t="s">
        <v>98</v>
      </c>
      <c r="B917" t="s">
        <v>56</v>
      </c>
      <c r="C917" s="4">
        <v>0.39984676499999999</v>
      </c>
      <c r="D917" s="4">
        <v>0.450333333</v>
      </c>
      <c r="E917" s="18">
        <v>330</v>
      </c>
      <c r="G917" s="4"/>
      <c r="H917" s="4">
        <f t="shared" si="14"/>
        <v>0</v>
      </c>
      <c r="I917" s="2">
        <f t="shared" si="13"/>
        <v>0</v>
      </c>
      <c r="J917">
        <v>8</v>
      </c>
    </row>
    <row r="918" spans="1:10" x14ac:dyDescent="0.3">
      <c r="A918" t="s">
        <v>98</v>
      </c>
      <c r="B918" t="s">
        <v>56</v>
      </c>
      <c r="C918" s="4">
        <v>0.39984676499999999</v>
      </c>
      <c r="D918" s="4">
        <v>0.450333333</v>
      </c>
      <c r="E918" s="18">
        <v>331</v>
      </c>
      <c r="G918" s="4"/>
      <c r="H918" s="4">
        <f t="shared" si="14"/>
        <v>0</v>
      </c>
      <c r="I918" s="2">
        <f t="shared" si="13"/>
        <v>0</v>
      </c>
      <c r="J918">
        <v>7</v>
      </c>
    </row>
    <row r="919" spans="1:10" x14ac:dyDescent="0.3">
      <c r="A919" t="s">
        <v>98</v>
      </c>
      <c r="B919" t="s">
        <v>56</v>
      </c>
      <c r="C919" s="4">
        <v>0.39984676499999999</v>
      </c>
      <c r="D919" s="4">
        <v>0.450333333</v>
      </c>
      <c r="E919" s="18">
        <v>332</v>
      </c>
      <c r="G919" s="4"/>
      <c r="H919" s="4">
        <f t="shared" si="14"/>
        <v>0</v>
      </c>
      <c r="I919" s="2">
        <f t="shared" ref="I919:I982" si="15">PI()*(H919/2)^2</f>
        <v>0</v>
      </c>
      <c r="J919">
        <v>7.5</v>
      </c>
    </row>
    <row r="920" spans="1:10" x14ac:dyDescent="0.3">
      <c r="A920" t="s">
        <v>98</v>
      </c>
      <c r="B920" t="s">
        <v>49</v>
      </c>
      <c r="C920" s="4">
        <v>0.57917600000000002</v>
      </c>
      <c r="D920" s="4">
        <v>0.60285714300000004</v>
      </c>
      <c r="E920" s="18">
        <v>333</v>
      </c>
      <c r="G920" s="4"/>
      <c r="H920" s="4">
        <f t="shared" si="14"/>
        <v>0</v>
      </c>
      <c r="I920" s="2">
        <f t="shared" si="15"/>
        <v>0</v>
      </c>
      <c r="J920">
        <v>5</v>
      </c>
    </row>
    <row r="921" spans="1:10" x14ac:dyDescent="0.3">
      <c r="A921" t="s">
        <v>98</v>
      </c>
      <c r="B921" t="s">
        <v>49</v>
      </c>
      <c r="C921" s="4">
        <v>0.57917600000000002</v>
      </c>
      <c r="D921" s="4">
        <v>0.60285714300000004</v>
      </c>
      <c r="E921" s="18">
        <v>334</v>
      </c>
      <c r="G921" s="4"/>
      <c r="H921" s="4">
        <f t="shared" si="14"/>
        <v>0</v>
      </c>
      <c r="I921" s="2">
        <f t="shared" si="15"/>
        <v>0</v>
      </c>
      <c r="J921">
        <v>7</v>
      </c>
    </row>
    <row r="922" spans="1:10" x14ac:dyDescent="0.3">
      <c r="A922" t="s">
        <v>98</v>
      </c>
      <c r="B922" t="s">
        <v>49</v>
      </c>
      <c r="C922" s="4">
        <v>0.57917600000000002</v>
      </c>
      <c r="D922" s="4">
        <v>0.60285714300000004</v>
      </c>
      <c r="E922" s="18">
        <v>335</v>
      </c>
      <c r="G922" s="4"/>
      <c r="H922" s="4">
        <f t="shared" si="14"/>
        <v>0</v>
      </c>
      <c r="I922" s="2">
        <f t="shared" si="15"/>
        <v>0</v>
      </c>
      <c r="J922">
        <v>7</v>
      </c>
    </row>
    <row r="923" spans="1:10" x14ac:dyDescent="0.3">
      <c r="A923" t="s">
        <v>100</v>
      </c>
      <c r="B923" t="s">
        <v>85</v>
      </c>
      <c r="C923" s="4">
        <v>0.6</v>
      </c>
      <c r="D923" s="4">
        <v>0.66674999999999995</v>
      </c>
      <c r="E923" s="18">
        <v>336</v>
      </c>
      <c r="G923" s="4"/>
      <c r="H923" s="4">
        <f t="shared" si="14"/>
        <v>0</v>
      </c>
      <c r="I923" s="2">
        <f t="shared" si="15"/>
        <v>0</v>
      </c>
      <c r="J923">
        <v>7</v>
      </c>
    </row>
    <row r="924" spans="1:10" x14ac:dyDescent="0.3">
      <c r="A924" t="s">
        <v>100</v>
      </c>
      <c r="B924" t="s">
        <v>55</v>
      </c>
      <c r="C924" s="4">
        <v>0.52500000000000002</v>
      </c>
      <c r="D924" s="4">
        <v>0.52500000000000002</v>
      </c>
      <c r="E924" s="18">
        <v>337</v>
      </c>
      <c r="G924" s="4"/>
      <c r="H924" s="4">
        <f t="shared" si="14"/>
        <v>0</v>
      </c>
      <c r="I924" s="2">
        <f t="shared" si="15"/>
        <v>0</v>
      </c>
      <c r="J924">
        <v>7</v>
      </c>
    </row>
    <row r="925" spans="1:10" x14ac:dyDescent="0.3">
      <c r="A925" t="s">
        <v>100</v>
      </c>
      <c r="B925" t="s">
        <v>55</v>
      </c>
      <c r="C925" s="4">
        <v>0.52500000000000002</v>
      </c>
      <c r="D925" s="4">
        <v>0.52500000000000002</v>
      </c>
      <c r="E925" s="18">
        <v>338</v>
      </c>
      <c r="G925" s="4"/>
      <c r="H925" s="4">
        <f t="shared" si="14"/>
        <v>0</v>
      </c>
      <c r="I925" s="2">
        <f t="shared" si="15"/>
        <v>0</v>
      </c>
      <c r="J925">
        <v>8</v>
      </c>
    </row>
    <row r="926" spans="1:10" x14ac:dyDescent="0.3">
      <c r="A926" t="s">
        <v>100</v>
      </c>
      <c r="B926" t="s">
        <v>41</v>
      </c>
      <c r="C926" s="4">
        <v>0.56193137999999998</v>
      </c>
      <c r="D926" s="4">
        <v>0.57808694400000005</v>
      </c>
      <c r="E926" s="18">
        <v>339</v>
      </c>
      <c r="G926" s="4"/>
      <c r="H926" s="4">
        <f t="shared" si="14"/>
        <v>0</v>
      </c>
      <c r="I926" s="2">
        <f t="shared" si="15"/>
        <v>0</v>
      </c>
      <c r="J926">
        <v>8</v>
      </c>
    </row>
    <row r="927" spans="1:10" x14ac:dyDescent="0.3">
      <c r="A927" t="s">
        <v>100</v>
      </c>
      <c r="B927" t="s">
        <v>41</v>
      </c>
      <c r="C927" s="4">
        <v>0.56193137999999998</v>
      </c>
      <c r="D927" s="4">
        <v>0.57808694400000005</v>
      </c>
      <c r="E927" s="18">
        <v>340</v>
      </c>
      <c r="G927" s="4"/>
      <c r="H927" s="4">
        <f t="shared" si="14"/>
        <v>0</v>
      </c>
      <c r="I927" s="2">
        <f t="shared" si="15"/>
        <v>0</v>
      </c>
      <c r="J927">
        <v>3.5</v>
      </c>
    </row>
    <row r="928" spans="1:10" x14ac:dyDescent="0.3">
      <c r="A928" t="s">
        <v>100</v>
      </c>
      <c r="B928" t="s">
        <v>56</v>
      </c>
      <c r="C928" s="4">
        <v>0.39984676499999999</v>
      </c>
      <c r="D928" s="4">
        <v>0.450333333</v>
      </c>
      <c r="E928" s="18">
        <v>341</v>
      </c>
      <c r="G928" s="4"/>
      <c r="H928" s="4">
        <f t="shared" si="14"/>
        <v>0</v>
      </c>
      <c r="I928" s="2">
        <f t="shared" si="15"/>
        <v>0</v>
      </c>
      <c r="J928">
        <v>15</v>
      </c>
    </row>
    <row r="929" spans="1:10" x14ac:dyDescent="0.3">
      <c r="A929" t="s">
        <v>100</v>
      </c>
      <c r="B929" t="s">
        <v>56</v>
      </c>
      <c r="C929" s="4">
        <v>0.39984676499999999</v>
      </c>
      <c r="D929" s="4">
        <v>0.450333333</v>
      </c>
      <c r="E929" s="18">
        <v>342</v>
      </c>
      <c r="G929" s="4"/>
      <c r="H929" s="4">
        <f t="shared" si="14"/>
        <v>0</v>
      </c>
      <c r="I929" s="2">
        <f t="shared" si="15"/>
        <v>0</v>
      </c>
      <c r="J929">
        <v>12</v>
      </c>
    </row>
    <row r="930" spans="1:10" x14ac:dyDescent="0.3">
      <c r="A930" t="s">
        <v>100</v>
      </c>
      <c r="B930" t="s">
        <v>56</v>
      </c>
      <c r="C930" s="4">
        <v>0.39984676499999999</v>
      </c>
      <c r="D930" s="4">
        <v>0.450333333</v>
      </c>
      <c r="E930" s="18">
        <v>343</v>
      </c>
      <c r="G930" s="4"/>
      <c r="H930" s="4">
        <f t="shared" si="14"/>
        <v>0</v>
      </c>
      <c r="I930" s="2">
        <f t="shared" si="15"/>
        <v>0</v>
      </c>
      <c r="J930">
        <v>10</v>
      </c>
    </row>
    <row r="931" spans="1:10" x14ac:dyDescent="0.3">
      <c r="A931" t="s">
        <v>100</v>
      </c>
      <c r="B931" t="s">
        <v>56</v>
      </c>
      <c r="C931" s="4">
        <v>0.39984676499999999</v>
      </c>
      <c r="D931" s="4">
        <v>0.450333333</v>
      </c>
      <c r="E931" s="18">
        <v>344</v>
      </c>
      <c r="G931" s="4"/>
      <c r="H931" s="4">
        <f t="shared" si="14"/>
        <v>0</v>
      </c>
      <c r="I931" s="2">
        <f t="shared" si="15"/>
        <v>0</v>
      </c>
      <c r="J931">
        <v>11</v>
      </c>
    </row>
    <row r="932" spans="1:10" x14ac:dyDescent="0.3">
      <c r="A932" t="s">
        <v>100</v>
      </c>
      <c r="B932" t="s">
        <v>78</v>
      </c>
      <c r="C932" s="4">
        <v>0.43538739399999998</v>
      </c>
      <c r="D932" s="4">
        <v>0.568333333</v>
      </c>
      <c r="E932" s="18">
        <v>345</v>
      </c>
      <c r="G932" s="4"/>
      <c r="H932" s="4">
        <f t="shared" si="14"/>
        <v>0</v>
      </c>
      <c r="I932" s="2">
        <f t="shared" si="15"/>
        <v>0</v>
      </c>
      <c r="J932">
        <v>7.5</v>
      </c>
    </row>
    <row r="933" spans="1:10" x14ac:dyDescent="0.3">
      <c r="A933" t="s">
        <v>100</v>
      </c>
      <c r="B933" t="s">
        <v>49</v>
      </c>
      <c r="C933" s="4">
        <v>0.57917600000000002</v>
      </c>
      <c r="D933" s="4">
        <v>0.60285714300000004</v>
      </c>
      <c r="E933" s="18">
        <v>346</v>
      </c>
      <c r="G933" s="4"/>
      <c r="H933" s="4">
        <f t="shared" si="14"/>
        <v>0</v>
      </c>
      <c r="I933" s="2">
        <f t="shared" si="15"/>
        <v>0</v>
      </c>
      <c r="J933">
        <v>10</v>
      </c>
    </row>
    <row r="934" spans="1:10" x14ac:dyDescent="0.3">
      <c r="A934" t="s">
        <v>100</v>
      </c>
      <c r="B934" t="s">
        <v>49</v>
      </c>
      <c r="C934" s="4">
        <v>0.57917600000000002</v>
      </c>
      <c r="D934" s="4">
        <v>0.60285714300000004</v>
      </c>
      <c r="E934" s="18">
        <v>347</v>
      </c>
      <c r="G934" s="4"/>
      <c r="H934" s="4">
        <f t="shared" si="14"/>
        <v>0</v>
      </c>
      <c r="I934" s="2">
        <f t="shared" si="15"/>
        <v>0</v>
      </c>
      <c r="J934">
        <v>6</v>
      </c>
    </row>
    <row r="935" spans="1:10" x14ac:dyDescent="0.3">
      <c r="A935" t="s">
        <v>100</v>
      </c>
      <c r="B935" t="s">
        <v>49</v>
      </c>
      <c r="C935" s="4">
        <v>0.57917600000000002</v>
      </c>
      <c r="D935" s="4">
        <v>0.60285714300000004</v>
      </c>
      <c r="E935" s="18">
        <v>348</v>
      </c>
      <c r="G935" s="4"/>
      <c r="H935" s="4">
        <f t="shared" si="14"/>
        <v>0</v>
      </c>
      <c r="I935" s="2">
        <f t="shared" si="15"/>
        <v>0</v>
      </c>
      <c r="J935">
        <v>6</v>
      </c>
    </row>
    <row r="936" spans="1:10" x14ac:dyDescent="0.3">
      <c r="A936" t="s">
        <v>100</v>
      </c>
      <c r="B936" t="s">
        <v>49</v>
      </c>
      <c r="C936" s="4">
        <v>0.57917600000000002</v>
      </c>
      <c r="D936" s="4">
        <v>0.60285714300000004</v>
      </c>
      <c r="E936" s="18">
        <v>349</v>
      </c>
      <c r="G936" s="4"/>
      <c r="H936" s="4">
        <f t="shared" si="14"/>
        <v>0</v>
      </c>
      <c r="I936" s="2">
        <f t="shared" si="15"/>
        <v>0</v>
      </c>
      <c r="J936">
        <v>8.4</v>
      </c>
    </row>
    <row r="937" spans="1:10" x14ac:dyDescent="0.3">
      <c r="A937" t="s">
        <v>101</v>
      </c>
      <c r="B937" t="s">
        <v>51</v>
      </c>
      <c r="C937" s="4">
        <v>0.40257753800000001</v>
      </c>
      <c r="D937" s="4">
        <v>0.40843333300000001</v>
      </c>
      <c r="E937" s="18">
        <v>350</v>
      </c>
      <c r="G937" s="4"/>
      <c r="H937" s="4">
        <f t="shared" si="14"/>
        <v>0</v>
      </c>
      <c r="I937" s="2">
        <f t="shared" si="15"/>
        <v>0</v>
      </c>
      <c r="J937">
        <v>5</v>
      </c>
    </row>
    <row r="938" spans="1:10" x14ac:dyDescent="0.3">
      <c r="A938" t="s">
        <v>101</v>
      </c>
      <c r="B938" t="s">
        <v>92</v>
      </c>
      <c r="C938" s="4">
        <v>0.80803492399999999</v>
      </c>
      <c r="D938" s="4">
        <v>0.87275320499999998</v>
      </c>
      <c r="E938" s="18">
        <v>351</v>
      </c>
      <c r="G938" s="4"/>
      <c r="H938" s="4">
        <f t="shared" si="14"/>
        <v>0</v>
      </c>
      <c r="I938" s="2">
        <f t="shared" si="15"/>
        <v>0</v>
      </c>
      <c r="J938">
        <v>7</v>
      </c>
    </row>
    <row r="939" spans="1:10" x14ac:dyDescent="0.3">
      <c r="A939" t="s">
        <v>101</v>
      </c>
      <c r="B939" t="s">
        <v>85</v>
      </c>
      <c r="C939" s="4">
        <v>0.6</v>
      </c>
      <c r="D939" s="4">
        <v>0.66674999999999995</v>
      </c>
      <c r="E939" s="18">
        <v>352</v>
      </c>
      <c r="G939" s="4"/>
      <c r="H939" s="4">
        <f t="shared" si="14"/>
        <v>0</v>
      </c>
      <c r="I939" s="2">
        <f t="shared" si="15"/>
        <v>0</v>
      </c>
      <c r="J939">
        <v>5</v>
      </c>
    </row>
    <row r="940" spans="1:10" x14ac:dyDescent="0.3">
      <c r="A940" t="s">
        <v>101</v>
      </c>
      <c r="B940" t="s">
        <v>54</v>
      </c>
      <c r="C940" s="4">
        <v>0.53</v>
      </c>
      <c r="D940" s="4">
        <v>0.54764999999999997</v>
      </c>
      <c r="E940" s="18">
        <v>353</v>
      </c>
      <c r="G940" s="4"/>
      <c r="H940" s="4">
        <f t="shared" si="14"/>
        <v>0</v>
      </c>
      <c r="I940" s="2">
        <f t="shared" si="15"/>
        <v>0</v>
      </c>
      <c r="J940">
        <v>5</v>
      </c>
    </row>
    <row r="941" spans="1:10" x14ac:dyDescent="0.3">
      <c r="A941" t="s">
        <v>101</v>
      </c>
      <c r="B941" t="s">
        <v>55</v>
      </c>
      <c r="C941" s="4">
        <v>0.52500000000000002</v>
      </c>
      <c r="D941" s="4">
        <v>0.52500000000000002</v>
      </c>
      <c r="E941" s="18">
        <v>354</v>
      </c>
      <c r="G941" s="4"/>
      <c r="H941" s="4">
        <f t="shared" si="14"/>
        <v>0</v>
      </c>
      <c r="I941" s="2">
        <f t="shared" si="15"/>
        <v>0</v>
      </c>
      <c r="J941">
        <v>7</v>
      </c>
    </row>
    <row r="942" spans="1:10" x14ac:dyDescent="0.3">
      <c r="A942" t="s">
        <v>101</v>
      </c>
      <c r="B942" t="s">
        <v>41</v>
      </c>
      <c r="C942" s="4">
        <v>0.56193137999999998</v>
      </c>
      <c r="D942" s="4">
        <v>0.57808694400000005</v>
      </c>
      <c r="E942" s="18">
        <v>355</v>
      </c>
      <c r="G942" s="4"/>
      <c r="H942" s="4">
        <f t="shared" si="14"/>
        <v>0</v>
      </c>
      <c r="I942" s="2">
        <f t="shared" si="15"/>
        <v>0</v>
      </c>
      <c r="J942">
        <v>7</v>
      </c>
    </row>
    <row r="943" spans="1:10" x14ac:dyDescent="0.3">
      <c r="A943" t="s">
        <v>101</v>
      </c>
      <c r="B943" t="s">
        <v>56</v>
      </c>
      <c r="C943" s="4">
        <v>0.39984676499999999</v>
      </c>
      <c r="D943" s="4">
        <v>0.450333333</v>
      </c>
      <c r="E943" s="18">
        <v>356</v>
      </c>
      <c r="G943" s="4"/>
      <c r="H943" s="4">
        <f t="shared" si="14"/>
        <v>0</v>
      </c>
      <c r="I943" s="2">
        <f t="shared" si="15"/>
        <v>0</v>
      </c>
      <c r="J943">
        <v>9</v>
      </c>
    </row>
    <row r="944" spans="1:10" x14ac:dyDescent="0.3">
      <c r="A944" t="s">
        <v>101</v>
      </c>
      <c r="B944" t="s">
        <v>80</v>
      </c>
      <c r="C944" s="4">
        <v>0.54</v>
      </c>
      <c r="D944" s="4">
        <v>0.61247410899999999</v>
      </c>
      <c r="E944" s="18">
        <v>357</v>
      </c>
      <c r="G944" s="4"/>
      <c r="H944" s="4">
        <f t="shared" si="14"/>
        <v>0</v>
      </c>
      <c r="I944" s="2">
        <f t="shared" si="15"/>
        <v>0</v>
      </c>
      <c r="J944">
        <v>8</v>
      </c>
    </row>
    <row r="945" spans="1:10" x14ac:dyDescent="0.3">
      <c r="A945" t="s">
        <v>101</v>
      </c>
      <c r="B945" t="s">
        <v>80</v>
      </c>
      <c r="C945" s="4">
        <v>0.54</v>
      </c>
      <c r="D945" s="4">
        <v>0.61247410899999999</v>
      </c>
      <c r="E945" s="18">
        <v>358</v>
      </c>
      <c r="G945" s="4"/>
      <c r="H945" s="4">
        <f t="shared" si="14"/>
        <v>0</v>
      </c>
      <c r="I945" s="2">
        <f t="shared" si="15"/>
        <v>0</v>
      </c>
      <c r="J945">
        <v>7</v>
      </c>
    </row>
    <row r="946" spans="1:10" x14ac:dyDescent="0.3">
      <c r="A946" t="s">
        <v>101</v>
      </c>
      <c r="B946" t="s">
        <v>80</v>
      </c>
      <c r="C946" s="4">
        <v>0.54</v>
      </c>
      <c r="D946" s="4">
        <v>0.61247410899999999</v>
      </c>
      <c r="E946" s="18">
        <v>359</v>
      </c>
      <c r="G946" s="4"/>
      <c r="H946" s="4">
        <f t="shared" si="14"/>
        <v>0</v>
      </c>
      <c r="I946" s="2">
        <f t="shared" si="15"/>
        <v>0</v>
      </c>
      <c r="J946">
        <v>7</v>
      </c>
    </row>
    <row r="947" spans="1:10" x14ac:dyDescent="0.3">
      <c r="A947" t="s">
        <v>101</v>
      </c>
      <c r="B947" t="s">
        <v>22</v>
      </c>
      <c r="C947" s="4">
        <v>0.43836446099999998</v>
      </c>
      <c r="D947" s="4">
        <v>0.58666666700000003</v>
      </c>
      <c r="E947" s="18">
        <v>360</v>
      </c>
      <c r="G947" s="4"/>
      <c r="H947" s="4">
        <f t="shared" si="14"/>
        <v>0</v>
      </c>
      <c r="I947" s="2">
        <f t="shared" si="15"/>
        <v>0</v>
      </c>
      <c r="J947">
        <v>6</v>
      </c>
    </row>
    <row r="948" spans="1:10" x14ac:dyDescent="0.3">
      <c r="A948" t="s">
        <v>101</v>
      </c>
      <c r="B948" t="s">
        <v>82</v>
      </c>
      <c r="C948" s="4">
        <v>0.46679999999999999</v>
      </c>
      <c r="D948" s="4">
        <v>0.81159999999999999</v>
      </c>
      <c r="E948" s="18">
        <v>361</v>
      </c>
      <c r="G948" s="4"/>
      <c r="H948" s="4">
        <f t="shared" si="14"/>
        <v>0</v>
      </c>
      <c r="I948" s="2">
        <f t="shared" si="15"/>
        <v>0</v>
      </c>
      <c r="J948">
        <v>7.5</v>
      </c>
    </row>
    <row r="949" spans="1:10" x14ac:dyDescent="0.3">
      <c r="A949" t="s">
        <v>101</v>
      </c>
      <c r="B949" t="s">
        <v>88</v>
      </c>
      <c r="C949" s="4">
        <v>0.77</v>
      </c>
      <c r="D949" s="4">
        <v>0.77</v>
      </c>
      <c r="E949" s="18">
        <v>362</v>
      </c>
      <c r="G949" s="4"/>
      <c r="H949" s="4">
        <f t="shared" si="14"/>
        <v>0</v>
      </c>
      <c r="I949" s="2">
        <f t="shared" si="15"/>
        <v>0</v>
      </c>
      <c r="J949">
        <v>3.5</v>
      </c>
    </row>
    <row r="950" spans="1:10" x14ac:dyDescent="0.3">
      <c r="A950" t="s">
        <v>102</v>
      </c>
      <c r="B950" t="s">
        <v>92</v>
      </c>
      <c r="C950" s="4">
        <v>0.80803492399999999</v>
      </c>
      <c r="D950" s="4">
        <v>0.87275320499999998</v>
      </c>
      <c r="E950" s="18">
        <v>363</v>
      </c>
      <c r="G950" s="4"/>
      <c r="H950" s="4">
        <f t="shared" si="14"/>
        <v>0</v>
      </c>
      <c r="I950" s="2">
        <f t="shared" si="15"/>
        <v>0</v>
      </c>
      <c r="J950">
        <v>9</v>
      </c>
    </row>
    <row r="951" spans="1:10" x14ac:dyDescent="0.3">
      <c r="A951" t="s">
        <v>102</v>
      </c>
      <c r="B951" t="s">
        <v>92</v>
      </c>
      <c r="C951" s="4">
        <v>0.80803492399999999</v>
      </c>
      <c r="D951" s="4">
        <v>0.87275320499999998</v>
      </c>
      <c r="E951" s="18">
        <v>364</v>
      </c>
      <c r="G951" s="4"/>
      <c r="H951" s="4">
        <f t="shared" si="14"/>
        <v>0</v>
      </c>
      <c r="I951" s="2">
        <f t="shared" si="15"/>
        <v>0</v>
      </c>
      <c r="J951">
        <v>8</v>
      </c>
    </row>
    <row r="952" spans="1:10" x14ac:dyDescent="0.3">
      <c r="A952" t="s">
        <v>102</v>
      </c>
      <c r="B952" t="s">
        <v>60</v>
      </c>
      <c r="C952" s="4">
        <v>0.41</v>
      </c>
      <c r="D952" s="4">
        <v>0.33983503399999998</v>
      </c>
      <c r="E952" s="18">
        <v>365</v>
      </c>
      <c r="G952" s="4"/>
      <c r="H952" s="4">
        <f t="shared" si="14"/>
        <v>0</v>
      </c>
      <c r="I952" s="2">
        <f t="shared" si="15"/>
        <v>0</v>
      </c>
      <c r="J952">
        <v>8</v>
      </c>
    </row>
    <row r="953" spans="1:10" x14ac:dyDescent="0.3">
      <c r="A953" t="s">
        <v>102</v>
      </c>
      <c r="B953" t="s">
        <v>55</v>
      </c>
      <c r="C953" s="4">
        <v>0.52500000000000002</v>
      </c>
      <c r="D953" s="4">
        <v>0.52500000000000002</v>
      </c>
      <c r="E953" s="18">
        <v>366</v>
      </c>
      <c r="G953" s="4"/>
      <c r="H953" s="4">
        <f t="shared" si="14"/>
        <v>0</v>
      </c>
      <c r="I953" s="2">
        <f t="shared" si="15"/>
        <v>0</v>
      </c>
      <c r="J953">
        <v>8</v>
      </c>
    </row>
    <row r="954" spans="1:10" x14ac:dyDescent="0.3">
      <c r="A954" t="s">
        <v>102</v>
      </c>
      <c r="B954" t="s">
        <v>41</v>
      </c>
      <c r="C954" s="4">
        <v>0.56193137999999998</v>
      </c>
      <c r="D954" s="4">
        <v>0.57808694400000005</v>
      </c>
      <c r="E954" s="18">
        <v>367</v>
      </c>
      <c r="G954" s="4"/>
      <c r="H954" s="4">
        <f t="shared" si="14"/>
        <v>0</v>
      </c>
      <c r="I954" s="2">
        <f t="shared" si="15"/>
        <v>0</v>
      </c>
      <c r="J954">
        <v>6</v>
      </c>
    </row>
    <row r="955" spans="1:10" x14ac:dyDescent="0.3">
      <c r="A955" t="s">
        <v>102</v>
      </c>
      <c r="B955" t="s">
        <v>41</v>
      </c>
      <c r="C955" s="4">
        <v>0.56193137999999998</v>
      </c>
      <c r="D955" s="4">
        <v>0.57808694400000005</v>
      </c>
      <c r="E955" s="18">
        <v>368</v>
      </c>
      <c r="G955" s="4"/>
      <c r="H955" s="4">
        <f t="shared" si="14"/>
        <v>0</v>
      </c>
      <c r="I955" s="2">
        <f t="shared" si="15"/>
        <v>0</v>
      </c>
      <c r="J955">
        <v>6.5</v>
      </c>
    </row>
    <row r="956" spans="1:10" x14ac:dyDescent="0.3">
      <c r="A956" t="s">
        <v>102</v>
      </c>
      <c r="B956" t="s">
        <v>41</v>
      </c>
      <c r="C956" s="4">
        <v>0.56193137999999998</v>
      </c>
      <c r="D956" s="4">
        <v>0.57808694400000005</v>
      </c>
      <c r="E956" s="18">
        <v>369</v>
      </c>
      <c r="G956" s="4"/>
      <c r="H956" s="4">
        <f t="shared" si="14"/>
        <v>0</v>
      </c>
      <c r="I956" s="2">
        <f t="shared" si="15"/>
        <v>0</v>
      </c>
      <c r="J956">
        <v>6.5</v>
      </c>
    </row>
    <row r="957" spans="1:10" x14ac:dyDescent="0.3">
      <c r="A957" t="s">
        <v>102</v>
      </c>
      <c r="B957" t="s">
        <v>41</v>
      </c>
      <c r="C957" s="4">
        <v>0.56193137999999998</v>
      </c>
      <c r="D957" s="4">
        <v>0.57808694400000005</v>
      </c>
      <c r="E957" s="18">
        <v>370</v>
      </c>
      <c r="G957" s="4"/>
      <c r="H957" s="4">
        <f t="shared" si="14"/>
        <v>0</v>
      </c>
      <c r="I957" s="2">
        <f t="shared" si="15"/>
        <v>0</v>
      </c>
      <c r="J957">
        <v>7</v>
      </c>
    </row>
    <row r="958" spans="1:10" x14ac:dyDescent="0.3">
      <c r="A958" t="s">
        <v>102</v>
      </c>
      <c r="B958" t="s">
        <v>41</v>
      </c>
      <c r="C958" s="4">
        <v>0.56193137999999998</v>
      </c>
      <c r="D958" s="4">
        <v>0.57808694400000005</v>
      </c>
      <c r="E958" s="18">
        <v>371</v>
      </c>
      <c r="G958" s="4"/>
      <c r="H958" s="4">
        <f t="shared" si="14"/>
        <v>0</v>
      </c>
      <c r="I958" s="2">
        <f t="shared" si="15"/>
        <v>0</v>
      </c>
      <c r="J958">
        <v>6</v>
      </c>
    </row>
    <row r="959" spans="1:10" x14ac:dyDescent="0.3">
      <c r="A959" t="s">
        <v>102</v>
      </c>
      <c r="B959" t="s">
        <v>56</v>
      </c>
      <c r="C959" s="4">
        <v>0.39984676499999999</v>
      </c>
      <c r="D959" s="4">
        <v>0.450333333</v>
      </c>
      <c r="E959" s="18">
        <v>372</v>
      </c>
      <c r="G959" s="4"/>
      <c r="H959" s="4">
        <f t="shared" si="14"/>
        <v>0</v>
      </c>
      <c r="I959" s="2">
        <f t="shared" si="15"/>
        <v>0</v>
      </c>
      <c r="J959">
        <v>9</v>
      </c>
    </row>
    <row r="960" spans="1:10" x14ac:dyDescent="0.3">
      <c r="A960" t="s">
        <v>102</v>
      </c>
      <c r="B960" t="s">
        <v>56</v>
      </c>
      <c r="C960" s="4">
        <v>0.39984676499999999</v>
      </c>
      <c r="D960" s="4">
        <v>0.450333333</v>
      </c>
      <c r="E960" s="18">
        <v>373</v>
      </c>
      <c r="G960" s="4"/>
      <c r="H960" s="4">
        <f t="shared" si="14"/>
        <v>0</v>
      </c>
      <c r="I960" s="2">
        <f t="shared" si="15"/>
        <v>0</v>
      </c>
      <c r="J960">
        <v>9</v>
      </c>
    </row>
    <row r="961" spans="1:10" x14ac:dyDescent="0.3">
      <c r="A961" t="s">
        <v>102</v>
      </c>
      <c r="B961" t="s">
        <v>22</v>
      </c>
      <c r="C961" s="4">
        <v>0.43836446099999998</v>
      </c>
      <c r="D961" s="4">
        <v>0.58666666700000003</v>
      </c>
      <c r="E961" s="18">
        <v>374</v>
      </c>
      <c r="G961" s="4"/>
      <c r="H961" s="4">
        <f t="shared" si="14"/>
        <v>0</v>
      </c>
      <c r="I961" s="2">
        <f t="shared" si="15"/>
        <v>0</v>
      </c>
      <c r="J961">
        <v>5</v>
      </c>
    </row>
    <row r="962" spans="1:10" x14ac:dyDescent="0.3">
      <c r="A962" t="s">
        <v>102</v>
      </c>
      <c r="B962" t="s">
        <v>22</v>
      </c>
      <c r="C962" s="4">
        <v>0.43836446099999998</v>
      </c>
      <c r="D962" s="4">
        <v>0.58666666700000003</v>
      </c>
      <c r="E962" s="18">
        <v>375</v>
      </c>
      <c r="G962" s="4"/>
      <c r="H962" s="4">
        <f t="shared" si="14"/>
        <v>0</v>
      </c>
      <c r="I962" s="2">
        <f t="shared" si="15"/>
        <v>0</v>
      </c>
      <c r="J962">
        <v>3</v>
      </c>
    </row>
    <row r="963" spans="1:10" x14ac:dyDescent="0.3">
      <c r="A963" t="s">
        <v>102</v>
      </c>
      <c r="B963" t="s">
        <v>22</v>
      </c>
      <c r="C963" s="4">
        <v>0.43836446099999998</v>
      </c>
      <c r="D963" s="4">
        <v>0.58666666700000003</v>
      </c>
      <c r="E963" s="18">
        <v>376</v>
      </c>
      <c r="G963" s="4"/>
      <c r="H963" s="4">
        <f t="shared" si="14"/>
        <v>0</v>
      </c>
      <c r="I963" s="2">
        <f t="shared" si="15"/>
        <v>0</v>
      </c>
      <c r="J963">
        <v>6.5</v>
      </c>
    </row>
    <row r="964" spans="1:10" x14ac:dyDescent="0.3">
      <c r="A964" t="s">
        <v>102</v>
      </c>
      <c r="B964" t="s">
        <v>49</v>
      </c>
      <c r="C964" s="4">
        <v>0.57917600000000002</v>
      </c>
      <c r="D964" s="4">
        <v>0.60285714300000004</v>
      </c>
      <c r="E964" s="18">
        <v>377</v>
      </c>
      <c r="G964" s="4"/>
      <c r="H964" s="4">
        <f t="shared" si="14"/>
        <v>0</v>
      </c>
      <c r="I964" s="2">
        <f t="shared" si="15"/>
        <v>0</v>
      </c>
      <c r="J964">
        <v>8</v>
      </c>
    </row>
    <row r="965" spans="1:10" x14ac:dyDescent="0.3">
      <c r="A965" t="s">
        <v>102</v>
      </c>
      <c r="B965" t="s">
        <v>88</v>
      </c>
      <c r="C965" s="4">
        <v>0.77</v>
      </c>
      <c r="D965" s="4">
        <v>0.77</v>
      </c>
      <c r="E965" s="18">
        <v>378</v>
      </c>
      <c r="G965" s="4"/>
      <c r="H965" s="4">
        <f t="shared" si="14"/>
        <v>0</v>
      </c>
      <c r="I965" s="2">
        <f t="shared" si="15"/>
        <v>0</v>
      </c>
      <c r="J965">
        <v>6</v>
      </c>
    </row>
    <row r="966" spans="1:10" x14ac:dyDescent="0.3">
      <c r="A966" t="s">
        <v>102</v>
      </c>
      <c r="B966" t="s">
        <v>88</v>
      </c>
      <c r="C966" s="4">
        <v>0.77</v>
      </c>
      <c r="D966" s="4">
        <v>0.77</v>
      </c>
      <c r="E966" s="18">
        <v>379</v>
      </c>
      <c r="G966" s="4"/>
      <c r="H966" s="4">
        <f t="shared" si="14"/>
        <v>0</v>
      </c>
      <c r="I966" s="2">
        <f t="shared" si="15"/>
        <v>0</v>
      </c>
      <c r="J966">
        <v>3.8</v>
      </c>
    </row>
    <row r="967" spans="1:10" x14ac:dyDescent="0.3">
      <c r="A967" t="s">
        <v>102</v>
      </c>
      <c r="B967" t="s">
        <v>88</v>
      </c>
      <c r="C967" s="4">
        <v>0.77</v>
      </c>
      <c r="D967" s="4">
        <v>0.77</v>
      </c>
      <c r="E967" s="18">
        <v>380</v>
      </c>
      <c r="G967" s="4"/>
      <c r="H967" s="4">
        <f t="shared" si="14"/>
        <v>0</v>
      </c>
      <c r="I967" s="2">
        <f t="shared" si="15"/>
        <v>0</v>
      </c>
      <c r="J967">
        <v>5.5</v>
      </c>
    </row>
    <row r="968" spans="1:10" x14ac:dyDescent="0.3">
      <c r="A968" t="s">
        <v>103</v>
      </c>
      <c r="B968" t="s">
        <v>75</v>
      </c>
      <c r="C968" s="4">
        <v>0.86</v>
      </c>
      <c r="D968" s="4">
        <v>0.65666666699999998</v>
      </c>
      <c r="E968" s="18">
        <v>381</v>
      </c>
      <c r="G968" s="4"/>
      <c r="H968" s="4">
        <f t="shared" si="14"/>
        <v>0</v>
      </c>
      <c r="I968" s="2">
        <f t="shared" si="15"/>
        <v>0</v>
      </c>
      <c r="J968">
        <v>5</v>
      </c>
    </row>
    <row r="969" spans="1:10" x14ac:dyDescent="0.3">
      <c r="A969" t="s">
        <v>103</v>
      </c>
      <c r="B969" t="s">
        <v>26</v>
      </c>
      <c r="C969" s="4">
        <v>0.80908761900000004</v>
      </c>
      <c r="D969" s="4">
        <v>0.87473809499999999</v>
      </c>
      <c r="E969" s="18">
        <v>382</v>
      </c>
      <c r="G969" s="4"/>
      <c r="H969" s="4">
        <f t="shared" si="14"/>
        <v>0</v>
      </c>
      <c r="I969" s="2">
        <f t="shared" si="15"/>
        <v>0</v>
      </c>
      <c r="J969">
        <v>7</v>
      </c>
    </row>
    <row r="970" spans="1:10" x14ac:dyDescent="0.3">
      <c r="A970" t="s">
        <v>103</v>
      </c>
      <c r="B970" t="s">
        <v>26</v>
      </c>
      <c r="C970" s="4">
        <v>0.80908761900000004</v>
      </c>
      <c r="D970" s="4">
        <v>0.87473809499999999</v>
      </c>
      <c r="E970" s="18">
        <v>383</v>
      </c>
      <c r="G970" s="4"/>
      <c r="H970" s="4">
        <f t="shared" si="14"/>
        <v>0</v>
      </c>
      <c r="I970" s="2">
        <f t="shared" si="15"/>
        <v>0</v>
      </c>
      <c r="J970">
        <v>8</v>
      </c>
    </row>
    <row r="971" spans="1:10" x14ac:dyDescent="0.3">
      <c r="A971" t="s">
        <v>103</v>
      </c>
      <c r="B971" t="s">
        <v>26</v>
      </c>
      <c r="C971" s="4">
        <v>0.80908761900000004</v>
      </c>
      <c r="D971" s="4">
        <v>0.87473809499999999</v>
      </c>
      <c r="E971" s="18">
        <v>384</v>
      </c>
      <c r="G971" s="4"/>
      <c r="H971" s="4">
        <f t="shared" si="14"/>
        <v>0</v>
      </c>
      <c r="I971" s="2">
        <f t="shared" si="15"/>
        <v>0</v>
      </c>
      <c r="J971">
        <v>4.5</v>
      </c>
    </row>
    <row r="972" spans="1:10" x14ac:dyDescent="0.3">
      <c r="A972" t="s">
        <v>103</v>
      </c>
      <c r="B972" t="s">
        <v>68</v>
      </c>
      <c r="C972" s="4">
        <v>0.77800000000000002</v>
      </c>
      <c r="D972" s="4">
        <v>0.77386111099999999</v>
      </c>
      <c r="E972" s="18">
        <v>385</v>
      </c>
      <c r="G972" s="4"/>
      <c r="H972" s="4">
        <f t="shared" si="14"/>
        <v>0</v>
      </c>
      <c r="I972" s="2">
        <f t="shared" si="15"/>
        <v>0</v>
      </c>
      <c r="J972">
        <v>6</v>
      </c>
    </row>
    <row r="973" spans="1:10" x14ac:dyDescent="0.3">
      <c r="A973" t="s">
        <v>103</v>
      </c>
      <c r="B973" t="s">
        <v>92</v>
      </c>
      <c r="C973" s="4">
        <v>0.80803492399999999</v>
      </c>
      <c r="D973" s="4">
        <v>0.87275320499999998</v>
      </c>
      <c r="E973" s="18">
        <v>386</v>
      </c>
      <c r="G973" s="4"/>
      <c r="H973" s="4">
        <f t="shared" ref="H973:H1036" si="16">G973/PI()</f>
        <v>0</v>
      </c>
      <c r="I973" s="2">
        <f t="shared" si="15"/>
        <v>0</v>
      </c>
      <c r="J973">
        <v>5</v>
      </c>
    </row>
    <row r="974" spans="1:10" x14ac:dyDescent="0.3">
      <c r="A974" t="s">
        <v>103</v>
      </c>
      <c r="B974" t="s">
        <v>60</v>
      </c>
      <c r="C974" s="4">
        <v>0.41</v>
      </c>
      <c r="D974" s="4">
        <v>0.33983503399999998</v>
      </c>
      <c r="E974" s="18">
        <v>387</v>
      </c>
      <c r="G974" s="4"/>
      <c r="H974" s="4">
        <f t="shared" si="16"/>
        <v>0</v>
      </c>
      <c r="I974" s="2">
        <f t="shared" si="15"/>
        <v>0</v>
      </c>
      <c r="J974">
        <v>8</v>
      </c>
    </row>
    <row r="975" spans="1:10" x14ac:dyDescent="0.3">
      <c r="A975" t="s">
        <v>103</v>
      </c>
      <c r="B975" t="s">
        <v>54</v>
      </c>
      <c r="C975" s="4">
        <v>0.53</v>
      </c>
      <c r="D975" s="4">
        <v>0.54764999999999997</v>
      </c>
      <c r="E975" s="18">
        <v>388</v>
      </c>
      <c r="G975" s="4"/>
      <c r="H975" s="4">
        <f t="shared" si="16"/>
        <v>0</v>
      </c>
      <c r="I975" s="2">
        <f t="shared" si="15"/>
        <v>0</v>
      </c>
      <c r="J975">
        <v>5</v>
      </c>
    </row>
    <row r="976" spans="1:10" x14ac:dyDescent="0.3">
      <c r="A976" t="s">
        <v>103</v>
      </c>
      <c r="B976" t="s">
        <v>55</v>
      </c>
      <c r="C976" s="4">
        <v>0.52500000000000002</v>
      </c>
      <c r="D976" s="4">
        <v>0.52500000000000002</v>
      </c>
      <c r="E976" s="18">
        <v>389</v>
      </c>
      <c r="G976" s="4"/>
      <c r="H976" s="4">
        <f t="shared" si="16"/>
        <v>0</v>
      </c>
      <c r="I976" s="2">
        <f t="shared" si="15"/>
        <v>0</v>
      </c>
      <c r="J976">
        <v>6.5</v>
      </c>
    </row>
    <row r="977" spans="1:10" x14ac:dyDescent="0.3">
      <c r="A977" t="s">
        <v>103</v>
      </c>
      <c r="B977" t="s">
        <v>56</v>
      </c>
      <c r="C977" s="4">
        <v>0.39984676499999999</v>
      </c>
      <c r="D977" s="4">
        <v>0.450333333</v>
      </c>
      <c r="E977" s="18">
        <v>390</v>
      </c>
      <c r="G977" s="4"/>
      <c r="H977" s="4">
        <f t="shared" si="16"/>
        <v>0</v>
      </c>
      <c r="I977" s="2">
        <f t="shared" si="15"/>
        <v>0</v>
      </c>
      <c r="J977">
        <v>11</v>
      </c>
    </row>
    <row r="978" spans="1:10" x14ac:dyDescent="0.3">
      <c r="A978" t="s">
        <v>103</v>
      </c>
      <c r="B978" t="s">
        <v>56</v>
      </c>
      <c r="C978" s="4">
        <v>0.39984676499999999</v>
      </c>
      <c r="D978" s="4">
        <v>0.450333333</v>
      </c>
      <c r="E978" s="18">
        <v>391</v>
      </c>
      <c r="G978" s="4"/>
      <c r="H978" s="4">
        <f t="shared" si="16"/>
        <v>0</v>
      </c>
      <c r="I978" s="2">
        <f t="shared" si="15"/>
        <v>0</v>
      </c>
      <c r="J978">
        <v>11</v>
      </c>
    </row>
    <row r="979" spans="1:10" x14ac:dyDescent="0.3">
      <c r="A979" t="s">
        <v>103</v>
      </c>
      <c r="B979" t="s">
        <v>56</v>
      </c>
      <c r="C979" s="4">
        <v>0.39984676499999999</v>
      </c>
      <c r="D979" s="4">
        <v>0.450333333</v>
      </c>
      <c r="E979" s="18">
        <v>392</v>
      </c>
      <c r="G979" s="4"/>
      <c r="H979" s="4">
        <f t="shared" si="16"/>
        <v>0</v>
      </c>
      <c r="I979" s="2">
        <f t="shared" si="15"/>
        <v>0</v>
      </c>
      <c r="J979">
        <v>7</v>
      </c>
    </row>
    <row r="980" spans="1:10" x14ac:dyDescent="0.3">
      <c r="A980" t="s">
        <v>103</v>
      </c>
      <c r="B980" t="s">
        <v>39</v>
      </c>
      <c r="C980" s="4">
        <v>0.590536375</v>
      </c>
      <c r="D980" s="4">
        <v>0.61247410899999999</v>
      </c>
      <c r="E980" s="18">
        <v>393</v>
      </c>
      <c r="G980" s="4"/>
      <c r="H980" s="4">
        <f t="shared" si="16"/>
        <v>0</v>
      </c>
      <c r="I980" s="2">
        <f t="shared" si="15"/>
        <v>0</v>
      </c>
      <c r="J980">
        <v>6</v>
      </c>
    </row>
    <row r="981" spans="1:10" x14ac:dyDescent="0.3">
      <c r="A981" t="s">
        <v>103</v>
      </c>
      <c r="B981" t="s">
        <v>49</v>
      </c>
      <c r="C981" s="4">
        <v>0.57917600000000002</v>
      </c>
      <c r="D981" s="4">
        <v>0.60285714300000004</v>
      </c>
      <c r="E981" s="18">
        <v>394</v>
      </c>
      <c r="G981" s="4"/>
      <c r="H981" s="4">
        <f t="shared" si="16"/>
        <v>0</v>
      </c>
      <c r="I981" s="2">
        <f t="shared" si="15"/>
        <v>0</v>
      </c>
      <c r="J981">
        <v>4</v>
      </c>
    </row>
    <row r="982" spans="1:10" x14ac:dyDescent="0.3">
      <c r="A982" t="s">
        <v>103</v>
      </c>
      <c r="B982" t="s">
        <v>88</v>
      </c>
      <c r="C982" s="4">
        <v>0.77</v>
      </c>
      <c r="D982" s="4">
        <v>0.77</v>
      </c>
      <c r="E982" s="18">
        <v>395</v>
      </c>
      <c r="G982" s="4"/>
      <c r="H982" s="4">
        <f t="shared" si="16"/>
        <v>0</v>
      </c>
      <c r="I982" s="2">
        <f t="shared" si="15"/>
        <v>0</v>
      </c>
      <c r="J982">
        <v>3.5</v>
      </c>
    </row>
    <row r="983" spans="1:10" x14ac:dyDescent="0.3">
      <c r="A983" t="s">
        <v>104</v>
      </c>
      <c r="B983" t="s">
        <v>75</v>
      </c>
      <c r="C983" s="4">
        <v>0.86</v>
      </c>
      <c r="D983" s="4">
        <v>0.65666666699999998</v>
      </c>
      <c r="E983" s="18">
        <v>396</v>
      </c>
      <c r="G983" s="4"/>
      <c r="H983" s="4">
        <f t="shared" si="16"/>
        <v>0</v>
      </c>
      <c r="I983" s="2">
        <f t="shared" ref="I983:I1046" si="17">PI()*(H983/2)^2</f>
        <v>0</v>
      </c>
      <c r="J983">
        <v>6.5</v>
      </c>
    </row>
    <row r="984" spans="1:10" x14ac:dyDescent="0.3">
      <c r="A984" t="s">
        <v>104</v>
      </c>
      <c r="B984" t="s">
        <v>75</v>
      </c>
      <c r="C984" s="4">
        <v>0.86</v>
      </c>
      <c r="D984" s="4">
        <v>0.65666666699999998</v>
      </c>
      <c r="E984" s="18">
        <v>397</v>
      </c>
      <c r="G984" s="4"/>
      <c r="H984" s="4">
        <f t="shared" si="16"/>
        <v>0</v>
      </c>
      <c r="I984" s="2">
        <f t="shared" si="17"/>
        <v>0</v>
      </c>
      <c r="J984">
        <v>7</v>
      </c>
    </row>
    <row r="985" spans="1:10" x14ac:dyDescent="0.3">
      <c r="A985" t="s">
        <v>104</v>
      </c>
      <c r="B985" t="s">
        <v>26</v>
      </c>
      <c r="C985" s="4">
        <v>0.80908761900000004</v>
      </c>
      <c r="D985" s="4">
        <v>0.87473809499999999</v>
      </c>
      <c r="E985" s="18">
        <v>398</v>
      </c>
      <c r="G985" s="4"/>
      <c r="H985" s="4">
        <f t="shared" si="16"/>
        <v>0</v>
      </c>
      <c r="I985" s="2">
        <f t="shared" si="17"/>
        <v>0</v>
      </c>
      <c r="J985">
        <v>4.5</v>
      </c>
    </row>
    <row r="986" spans="1:10" x14ac:dyDescent="0.3">
      <c r="A986" t="s">
        <v>104</v>
      </c>
      <c r="B986" t="s">
        <v>26</v>
      </c>
      <c r="C986" s="4">
        <v>0.80908761900000004</v>
      </c>
      <c r="D986" s="4">
        <v>0.87473809499999999</v>
      </c>
      <c r="E986" s="18">
        <v>399</v>
      </c>
      <c r="G986" s="4"/>
      <c r="H986" s="4">
        <f t="shared" si="16"/>
        <v>0</v>
      </c>
      <c r="I986" s="2">
        <f t="shared" si="17"/>
        <v>0</v>
      </c>
      <c r="J986">
        <v>8</v>
      </c>
    </row>
    <row r="987" spans="1:10" x14ac:dyDescent="0.3">
      <c r="A987" t="s">
        <v>104</v>
      </c>
      <c r="B987" t="s">
        <v>26</v>
      </c>
      <c r="C987" s="4">
        <v>0.80908761900000004</v>
      </c>
      <c r="D987" s="4">
        <v>0.87473809499999999</v>
      </c>
      <c r="E987" s="18">
        <v>400</v>
      </c>
      <c r="G987" s="4"/>
      <c r="H987" s="4">
        <f t="shared" si="16"/>
        <v>0</v>
      </c>
      <c r="I987" s="2">
        <f t="shared" si="17"/>
        <v>0</v>
      </c>
      <c r="J987">
        <v>7</v>
      </c>
    </row>
    <row r="988" spans="1:10" x14ac:dyDescent="0.3">
      <c r="A988" t="s">
        <v>104</v>
      </c>
      <c r="B988" t="s">
        <v>26</v>
      </c>
      <c r="C988" s="4">
        <v>0.80908761900000004</v>
      </c>
      <c r="D988" s="4">
        <v>0.87473809499999999</v>
      </c>
      <c r="E988" s="18">
        <v>401</v>
      </c>
      <c r="G988" s="4"/>
      <c r="H988" s="4">
        <f t="shared" si="16"/>
        <v>0</v>
      </c>
      <c r="I988" s="2">
        <f t="shared" si="17"/>
        <v>0</v>
      </c>
      <c r="J988">
        <v>8</v>
      </c>
    </row>
    <row r="989" spans="1:10" x14ac:dyDescent="0.3">
      <c r="A989" t="s">
        <v>104</v>
      </c>
      <c r="B989" t="s">
        <v>92</v>
      </c>
      <c r="C989" s="4">
        <v>0.80803492399999999</v>
      </c>
      <c r="D989" s="4">
        <v>0.87275320499999998</v>
      </c>
      <c r="E989" s="18">
        <v>402</v>
      </c>
      <c r="G989" s="4"/>
      <c r="H989" s="4">
        <f t="shared" si="16"/>
        <v>0</v>
      </c>
      <c r="I989" s="2">
        <f t="shared" si="17"/>
        <v>0</v>
      </c>
      <c r="J989">
        <v>9</v>
      </c>
    </row>
    <row r="990" spans="1:10" x14ac:dyDescent="0.3">
      <c r="A990" t="s">
        <v>104</v>
      </c>
      <c r="B990" t="s">
        <v>85</v>
      </c>
      <c r="C990" s="4">
        <v>0.6</v>
      </c>
      <c r="D990" s="4">
        <v>0.66674999999999995</v>
      </c>
      <c r="E990" s="18">
        <v>403</v>
      </c>
      <c r="G990" s="4"/>
      <c r="H990" s="4">
        <f t="shared" si="16"/>
        <v>0</v>
      </c>
      <c r="I990" s="2">
        <f t="shared" si="17"/>
        <v>0</v>
      </c>
      <c r="J990">
        <v>5.5</v>
      </c>
    </row>
    <row r="991" spans="1:10" x14ac:dyDescent="0.3">
      <c r="A991" t="s">
        <v>104</v>
      </c>
      <c r="B991" t="s">
        <v>15</v>
      </c>
      <c r="C991" s="4">
        <v>0.47982689899999997</v>
      </c>
      <c r="D991" s="4">
        <v>0.51</v>
      </c>
      <c r="E991" s="18">
        <v>404</v>
      </c>
      <c r="G991" s="4"/>
      <c r="H991" s="4">
        <f t="shared" si="16"/>
        <v>0</v>
      </c>
      <c r="I991" s="2">
        <f t="shared" si="17"/>
        <v>0</v>
      </c>
      <c r="J991">
        <v>3</v>
      </c>
    </row>
    <row r="992" spans="1:10" x14ac:dyDescent="0.3">
      <c r="A992" t="s">
        <v>104</v>
      </c>
      <c r="B992" t="s">
        <v>15</v>
      </c>
      <c r="C992" s="4">
        <v>0.47982689899999997</v>
      </c>
      <c r="D992" s="4">
        <v>0.51</v>
      </c>
      <c r="E992" s="18">
        <v>405</v>
      </c>
      <c r="G992" s="4"/>
      <c r="H992" s="4">
        <f t="shared" si="16"/>
        <v>0</v>
      </c>
      <c r="I992" s="2">
        <f t="shared" si="17"/>
        <v>0</v>
      </c>
      <c r="J992">
        <v>5</v>
      </c>
    </row>
    <row r="993" spans="1:10" x14ac:dyDescent="0.3">
      <c r="A993" t="s">
        <v>104</v>
      </c>
      <c r="B993" t="s">
        <v>54</v>
      </c>
      <c r="C993" s="4">
        <v>0.53</v>
      </c>
      <c r="D993" s="4">
        <v>0.54764999999999997</v>
      </c>
      <c r="E993" s="18">
        <v>406</v>
      </c>
      <c r="G993" s="4"/>
      <c r="H993" s="4">
        <f t="shared" si="16"/>
        <v>0</v>
      </c>
      <c r="I993" s="2">
        <f t="shared" si="17"/>
        <v>0</v>
      </c>
      <c r="J993">
        <v>5.5</v>
      </c>
    </row>
    <row r="994" spans="1:10" x14ac:dyDescent="0.3">
      <c r="A994" t="s">
        <v>104</v>
      </c>
      <c r="B994" t="s">
        <v>54</v>
      </c>
      <c r="C994" s="4">
        <v>0.53</v>
      </c>
      <c r="D994" s="4">
        <v>0.54764999999999997</v>
      </c>
      <c r="E994" s="18">
        <v>407</v>
      </c>
      <c r="G994" s="4"/>
      <c r="H994" s="4">
        <f t="shared" si="16"/>
        <v>0</v>
      </c>
      <c r="I994" s="2">
        <f t="shared" si="17"/>
        <v>0</v>
      </c>
      <c r="J994">
        <v>4.5</v>
      </c>
    </row>
    <row r="995" spans="1:10" x14ac:dyDescent="0.3">
      <c r="A995" t="s">
        <v>104</v>
      </c>
      <c r="B995" t="s">
        <v>56</v>
      </c>
      <c r="C995" s="4">
        <v>0.39984676499999999</v>
      </c>
      <c r="D995" s="4">
        <v>0.450333333</v>
      </c>
      <c r="E995" s="18">
        <v>408</v>
      </c>
      <c r="G995" s="4"/>
      <c r="H995" s="4">
        <f t="shared" si="16"/>
        <v>0</v>
      </c>
      <c r="I995" s="2">
        <f t="shared" si="17"/>
        <v>0</v>
      </c>
      <c r="J995">
        <v>8</v>
      </c>
    </row>
    <row r="996" spans="1:10" x14ac:dyDescent="0.3">
      <c r="A996" t="s">
        <v>104</v>
      </c>
      <c r="B996" t="s">
        <v>22</v>
      </c>
      <c r="C996" s="4">
        <v>0.43836446099999998</v>
      </c>
      <c r="D996" s="4">
        <v>0.58666666700000003</v>
      </c>
      <c r="E996" s="18">
        <v>409</v>
      </c>
      <c r="G996" s="4"/>
      <c r="H996" s="4">
        <f t="shared" si="16"/>
        <v>0</v>
      </c>
      <c r="I996" s="2">
        <f t="shared" si="17"/>
        <v>0</v>
      </c>
      <c r="J996">
        <v>5</v>
      </c>
    </row>
    <row r="997" spans="1:10" x14ac:dyDescent="0.3">
      <c r="A997" t="s">
        <v>104</v>
      </c>
      <c r="B997" t="s">
        <v>49</v>
      </c>
      <c r="C997" s="4">
        <v>0.57917600000000002</v>
      </c>
      <c r="D997" s="4">
        <v>0.60285714300000004</v>
      </c>
      <c r="E997" s="18">
        <v>410</v>
      </c>
      <c r="G997" s="4"/>
      <c r="H997" s="4">
        <f t="shared" si="16"/>
        <v>0</v>
      </c>
      <c r="I997" s="2">
        <f t="shared" si="17"/>
        <v>0</v>
      </c>
      <c r="J997">
        <v>6</v>
      </c>
    </row>
    <row r="998" spans="1:10" x14ac:dyDescent="0.3">
      <c r="A998" t="s">
        <v>104</v>
      </c>
      <c r="B998" t="s">
        <v>49</v>
      </c>
      <c r="C998" s="4">
        <v>0.57917600000000002</v>
      </c>
      <c r="D998" s="4">
        <v>0.60285714300000004</v>
      </c>
      <c r="E998" s="18">
        <v>411</v>
      </c>
      <c r="G998" s="4"/>
      <c r="H998" s="4">
        <f t="shared" si="16"/>
        <v>0</v>
      </c>
      <c r="I998" s="2">
        <f t="shared" si="17"/>
        <v>0</v>
      </c>
      <c r="J998">
        <v>5</v>
      </c>
    </row>
    <row r="999" spans="1:10" x14ac:dyDescent="0.3">
      <c r="A999" t="s">
        <v>104</v>
      </c>
      <c r="B999" t="s">
        <v>49</v>
      </c>
      <c r="C999" s="4">
        <v>0.57917600000000002</v>
      </c>
      <c r="D999" s="4">
        <v>0.60285714300000004</v>
      </c>
      <c r="E999" s="18">
        <v>412</v>
      </c>
      <c r="G999" s="4"/>
      <c r="H999" s="4">
        <f t="shared" si="16"/>
        <v>0</v>
      </c>
      <c r="I999" s="2">
        <f t="shared" si="17"/>
        <v>0</v>
      </c>
      <c r="J999">
        <v>6.5</v>
      </c>
    </row>
    <row r="1000" spans="1:10" x14ac:dyDescent="0.3">
      <c r="A1000" t="s">
        <v>104</v>
      </c>
      <c r="B1000" t="s">
        <v>49</v>
      </c>
      <c r="C1000" s="4">
        <v>0.57917600000000002</v>
      </c>
      <c r="D1000" s="4">
        <v>0.60285714300000004</v>
      </c>
      <c r="E1000" s="18">
        <v>413</v>
      </c>
      <c r="G1000" s="4"/>
      <c r="H1000" s="4">
        <f t="shared" si="16"/>
        <v>0</v>
      </c>
      <c r="I1000" s="2">
        <f t="shared" si="17"/>
        <v>0</v>
      </c>
      <c r="J1000">
        <v>5</v>
      </c>
    </row>
    <row r="1001" spans="1:10" x14ac:dyDescent="0.3">
      <c r="A1001" t="s">
        <v>104</v>
      </c>
      <c r="B1001" t="s">
        <v>49</v>
      </c>
      <c r="C1001" s="4">
        <v>0.57917600000000002</v>
      </c>
      <c r="D1001" s="4">
        <v>0.60285714300000004</v>
      </c>
      <c r="E1001" s="18">
        <v>414</v>
      </c>
      <c r="G1001" s="4"/>
      <c r="H1001" s="4">
        <f t="shared" si="16"/>
        <v>0</v>
      </c>
      <c r="I1001" s="2">
        <f t="shared" si="17"/>
        <v>0</v>
      </c>
      <c r="J1001">
        <v>7</v>
      </c>
    </row>
    <row r="1002" spans="1:10" x14ac:dyDescent="0.3">
      <c r="A1002" t="s">
        <v>105</v>
      </c>
      <c r="B1002" t="s">
        <v>75</v>
      </c>
      <c r="C1002" s="4">
        <v>0.86</v>
      </c>
      <c r="D1002" s="4">
        <v>0.65666666699999998</v>
      </c>
      <c r="E1002" s="18">
        <v>415</v>
      </c>
      <c r="G1002" s="4"/>
      <c r="H1002" s="4">
        <f t="shared" si="16"/>
        <v>0</v>
      </c>
      <c r="I1002" s="2">
        <f t="shared" si="17"/>
        <v>0</v>
      </c>
      <c r="J1002">
        <v>6</v>
      </c>
    </row>
    <row r="1003" spans="1:10" x14ac:dyDescent="0.3">
      <c r="A1003" t="s">
        <v>105</v>
      </c>
      <c r="B1003" t="s">
        <v>75</v>
      </c>
      <c r="C1003" s="4">
        <v>0.86</v>
      </c>
      <c r="D1003" s="4">
        <v>0.65666666699999998</v>
      </c>
      <c r="E1003" s="18">
        <v>416</v>
      </c>
      <c r="G1003" s="4"/>
      <c r="H1003" s="4">
        <f t="shared" si="16"/>
        <v>0</v>
      </c>
      <c r="I1003" s="2">
        <f t="shared" si="17"/>
        <v>0</v>
      </c>
      <c r="J1003">
        <v>6.5</v>
      </c>
    </row>
    <row r="1004" spans="1:10" x14ac:dyDescent="0.3">
      <c r="A1004" t="s">
        <v>105</v>
      </c>
      <c r="B1004" t="s">
        <v>60</v>
      </c>
      <c r="C1004" s="4">
        <v>0.41</v>
      </c>
      <c r="D1004" s="4">
        <v>0.33983503399999998</v>
      </c>
      <c r="E1004" s="18">
        <v>417</v>
      </c>
      <c r="G1004" s="4"/>
      <c r="H1004" s="4">
        <f t="shared" si="16"/>
        <v>0</v>
      </c>
      <c r="I1004" s="2">
        <f t="shared" si="17"/>
        <v>0</v>
      </c>
      <c r="J1004">
        <v>6</v>
      </c>
    </row>
    <row r="1005" spans="1:10" x14ac:dyDescent="0.3">
      <c r="A1005" t="s">
        <v>105</v>
      </c>
      <c r="B1005" t="s">
        <v>96</v>
      </c>
      <c r="C1005" s="4">
        <v>0.60413333300000005</v>
      </c>
      <c r="D1005" s="4">
        <v>0.60831666699999998</v>
      </c>
      <c r="E1005" s="18">
        <v>418</v>
      </c>
      <c r="G1005" s="4"/>
      <c r="H1005" s="4">
        <f t="shared" si="16"/>
        <v>0</v>
      </c>
      <c r="I1005" s="2">
        <f t="shared" si="17"/>
        <v>0</v>
      </c>
      <c r="J1005">
        <v>10</v>
      </c>
    </row>
    <row r="1006" spans="1:10" x14ac:dyDescent="0.3">
      <c r="A1006" t="s">
        <v>105</v>
      </c>
      <c r="B1006" t="s">
        <v>70</v>
      </c>
      <c r="C1006" s="4">
        <v>0.55560299999999996</v>
      </c>
      <c r="D1006" s="4">
        <v>0.55961111100000005</v>
      </c>
      <c r="E1006" s="18">
        <v>419</v>
      </c>
      <c r="G1006" s="4"/>
      <c r="H1006" s="4">
        <f t="shared" si="16"/>
        <v>0</v>
      </c>
      <c r="I1006" s="2">
        <f t="shared" si="17"/>
        <v>0</v>
      </c>
      <c r="J1006">
        <v>3</v>
      </c>
    </row>
    <row r="1007" spans="1:10" x14ac:dyDescent="0.3">
      <c r="A1007" t="s">
        <v>105</v>
      </c>
      <c r="B1007" t="s">
        <v>70</v>
      </c>
      <c r="C1007" s="4">
        <v>0.55560299999999996</v>
      </c>
      <c r="D1007" s="4">
        <v>0.55961111100000005</v>
      </c>
      <c r="E1007" s="18">
        <v>420</v>
      </c>
      <c r="G1007" s="4"/>
      <c r="H1007" s="4">
        <f t="shared" si="16"/>
        <v>0</v>
      </c>
      <c r="I1007" s="2">
        <f t="shared" si="17"/>
        <v>0</v>
      </c>
      <c r="J1007">
        <v>4</v>
      </c>
    </row>
    <row r="1008" spans="1:10" x14ac:dyDescent="0.3">
      <c r="A1008" t="s">
        <v>105</v>
      </c>
      <c r="B1008" t="s">
        <v>56</v>
      </c>
      <c r="C1008" s="4">
        <v>0.39984676499999999</v>
      </c>
      <c r="D1008" s="4">
        <v>0.450333333</v>
      </c>
      <c r="E1008" s="18">
        <v>421</v>
      </c>
      <c r="G1008" s="4"/>
      <c r="H1008" s="4">
        <f t="shared" si="16"/>
        <v>0</v>
      </c>
      <c r="I1008" s="2">
        <f t="shared" si="17"/>
        <v>0</v>
      </c>
      <c r="J1008">
        <v>11</v>
      </c>
    </row>
    <row r="1009" spans="1:10" x14ac:dyDescent="0.3">
      <c r="A1009" t="s">
        <v>105</v>
      </c>
      <c r="B1009" t="s">
        <v>56</v>
      </c>
      <c r="C1009" s="4">
        <v>0.39984676499999999</v>
      </c>
      <c r="D1009" s="4">
        <v>0.450333333</v>
      </c>
      <c r="E1009" s="18">
        <v>422</v>
      </c>
      <c r="G1009" s="4"/>
      <c r="H1009" s="4">
        <f t="shared" si="16"/>
        <v>0</v>
      </c>
      <c r="I1009" s="2">
        <f t="shared" si="17"/>
        <v>0</v>
      </c>
      <c r="J1009">
        <v>7</v>
      </c>
    </row>
    <row r="1010" spans="1:10" x14ac:dyDescent="0.3">
      <c r="A1010" t="s">
        <v>105</v>
      </c>
      <c r="B1010" t="s">
        <v>56</v>
      </c>
      <c r="C1010" s="4">
        <v>0.39984676499999999</v>
      </c>
      <c r="D1010" s="4">
        <v>0.450333333</v>
      </c>
      <c r="E1010" s="18">
        <v>423</v>
      </c>
      <c r="G1010" s="4"/>
      <c r="H1010" s="4">
        <f t="shared" si="16"/>
        <v>0</v>
      </c>
      <c r="I1010" s="2">
        <f t="shared" si="17"/>
        <v>0</v>
      </c>
      <c r="J1010">
        <v>8</v>
      </c>
    </row>
    <row r="1011" spans="1:10" x14ac:dyDescent="0.3">
      <c r="A1011" t="s">
        <v>105</v>
      </c>
      <c r="B1011" t="s">
        <v>56</v>
      </c>
      <c r="C1011" s="4">
        <v>0.39984676499999999</v>
      </c>
      <c r="D1011" s="4">
        <v>0.450333333</v>
      </c>
      <c r="E1011" s="18">
        <v>424</v>
      </c>
      <c r="G1011" s="4"/>
      <c r="H1011" s="4">
        <f t="shared" si="16"/>
        <v>0</v>
      </c>
      <c r="I1011" s="2">
        <f t="shared" si="17"/>
        <v>0</v>
      </c>
      <c r="J1011">
        <v>7.5</v>
      </c>
    </row>
    <row r="1012" spans="1:10" x14ac:dyDescent="0.3">
      <c r="A1012" t="s">
        <v>105</v>
      </c>
      <c r="B1012" t="s">
        <v>56</v>
      </c>
      <c r="C1012" s="4">
        <v>0.39984676499999999</v>
      </c>
      <c r="D1012" s="4">
        <v>0.450333333</v>
      </c>
      <c r="E1012" s="18">
        <v>425</v>
      </c>
      <c r="G1012" s="4"/>
      <c r="H1012" s="4">
        <f t="shared" si="16"/>
        <v>0</v>
      </c>
      <c r="I1012" s="2">
        <f t="shared" si="17"/>
        <v>0</v>
      </c>
      <c r="J1012">
        <v>7.5</v>
      </c>
    </row>
    <row r="1013" spans="1:10" x14ac:dyDescent="0.3">
      <c r="A1013" t="s">
        <v>105</v>
      </c>
      <c r="B1013" t="s">
        <v>56</v>
      </c>
      <c r="C1013" s="4">
        <v>0.39984676499999999</v>
      </c>
      <c r="D1013" s="4">
        <v>0.450333333</v>
      </c>
      <c r="E1013" s="18">
        <v>426</v>
      </c>
      <c r="G1013" s="4"/>
      <c r="H1013" s="4">
        <f t="shared" si="16"/>
        <v>0</v>
      </c>
      <c r="I1013" s="2">
        <f t="shared" si="17"/>
        <v>0</v>
      </c>
      <c r="J1013">
        <v>8</v>
      </c>
    </row>
    <row r="1014" spans="1:10" x14ac:dyDescent="0.3">
      <c r="A1014" t="s">
        <v>105</v>
      </c>
      <c r="B1014" t="s">
        <v>56</v>
      </c>
      <c r="C1014" s="4">
        <v>0.39984676499999999</v>
      </c>
      <c r="D1014" s="4">
        <v>0.450333333</v>
      </c>
      <c r="E1014" s="18">
        <v>427</v>
      </c>
      <c r="G1014" s="4"/>
      <c r="H1014" s="4">
        <f t="shared" si="16"/>
        <v>0</v>
      </c>
      <c r="I1014" s="2">
        <f t="shared" si="17"/>
        <v>0</v>
      </c>
      <c r="J1014">
        <v>7.5</v>
      </c>
    </row>
    <row r="1015" spans="1:10" x14ac:dyDescent="0.3">
      <c r="A1015" t="s">
        <v>105</v>
      </c>
      <c r="B1015" t="s">
        <v>22</v>
      </c>
      <c r="C1015" s="4">
        <v>0.43836446099999998</v>
      </c>
      <c r="D1015" s="4">
        <v>0.58666666700000003</v>
      </c>
      <c r="E1015" s="18">
        <v>428</v>
      </c>
      <c r="G1015" s="4"/>
      <c r="H1015" s="4">
        <f t="shared" si="16"/>
        <v>0</v>
      </c>
      <c r="I1015" s="2">
        <f t="shared" si="17"/>
        <v>0</v>
      </c>
      <c r="J1015">
        <v>4</v>
      </c>
    </row>
    <row r="1016" spans="1:10" x14ac:dyDescent="0.3">
      <c r="A1016" t="s">
        <v>105</v>
      </c>
      <c r="B1016" t="s">
        <v>62</v>
      </c>
      <c r="C1016" s="4">
        <v>0.693333333</v>
      </c>
      <c r="D1016" s="4">
        <v>0.64166666699999997</v>
      </c>
      <c r="E1016" s="18">
        <v>429</v>
      </c>
      <c r="G1016" s="4"/>
      <c r="H1016" s="4">
        <f t="shared" si="16"/>
        <v>0</v>
      </c>
      <c r="I1016" s="2">
        <f t="shared" si="17"/>
        <v>0</v>
      </c>
      <c r="J1016">
        <v>6</v>
      </c>
    </row>
    <row r="1017" spans="1:10" x14ac:dyDescent="0.3">
      <c r="A1017" t="s">
        <v>105</v>
      </c>
      <c r="B1017" t="s">
        <v>88</v>
      </c>
      <c r="C1017" s="4">
        <v>0.77</v>
      </c>
      <c r="D1017" s="4">
        <v>0.77</v>
      </c>
      <c r="E1017" s="18">
        <v>430</v>
      </c>
      <c r="G1017" s="4"/>
      <c r="H1017" s="4">
        <f t="shared" si="16"/>
        <v>0</v>
      </c>
      <c r="I1017" s="2">
        <f t="shared" si="17"/>
        <v>0</v>
      </c>
      <c r="J1017">
        <v>6</v>
      </c>
    </row>
    <row r="1018" spans="1:10" x14ac:dyDescent="0.3">
      <c r="A1018" t="s">
        <v>106</v>
      </c>
      <c r="B1018" t="s">
        <v>26</v>
      </c>
      <c r="C1018" s="4">
        <v>0.80908761900000004</v>
      </c>
      <c r="D1018" s="4">
        <v>0.87473809499999999</v>
      </c>
      <c r="E1018" s="18">
        <v>431</v>
      </c>
      <c r="G1018" s="4"/>
      <c r="H1018" s="4">
        <f t="shared" si="16"/>
        <v>0</v>
      </c>
      <c r="I1018" s="2">
        <f t="shared" si="17"/>
        <v>0</v>
      </c>
      <c r="J1018">
        <v>12</v>
      </c>
    </row>
    <row r="1019" spans="1:10" x14ac:dyDescent="0.3">
      <c r="A1019" t="s">
        <v>106</v>
      </c>
      <c r="B1019" t="s">
        <v>39</v>
      </c>
      <c r="C1019" s="4">
        <v>0.590536375</v>
      </c>
      <c r="D1019" s="4">
        <v>0.61247410899999999</v>
      </c>
      <c r="E1019" s="18">
        <v>432</v>
      </c>
      <c r="G1019" s="4"/>
      <c r="H1019" s="4">
        <f t="shared" si="16"/>
        <v>0</v>
      </c>
      <c r="I1019" s="2">
        <f t="shared" si="17"/>
        <v>0</v>
      </c>
      <c r="J1019">
        <v>7</v>
      </c>
    </row>
    <row r="1020" spans="1:10" x14ac:dyDescent="0.3">
      <c r="A1020" t="s">
        <v>106</v>
      </c>
      <c r="B1020" t="s">
        <v>39</v>
      </c>
      <c r="C1020" s="4">
        <v>0.590536375</v>
      </c>
      <c r="D1020" s="4">
        <v>0.61247410899999999</v>
      </c>
      <c r="E1020" s="18">
        <v>433</v>
      </c>
      <c r="G1020" s="4"/>
      <c r="H1020" s="4">
        <f t="shared" si="16"/>
        <v>0</v>
      </c>
      <c r="I1020" s="2">
        <f t="shared" si="17"/>
        <v>0</v>
      </c>
      <c r="J1020">
        <v>8</v>
      </c>
    </row>
    <row r="1021" spans="1:10" x14ac:dyDescent="0.3">
      <c r="A1021" t="s">
        <v>106</v>
      </c>
      <c r="B1021" t="s">
        <v>39</v>
      </c>
      <c r="C1021" s="4">
        <v>0.590536375</v>
      </c>
      <c r="D1021" s="4">
        <v>0.61247410899999999</v>
      </c>
      <c r="E1021" s="18">
        <v>434</v>
      </c>
      <c r="G1021" s="4"/>
      <c r="H1021" s="4">
        <f t="shared" si="16"/>
        <v>0</v>
      </c>
      <c r="I1021" s="2">
        <f t="shared" si="17"/>
        <v>0</v>
      </c>
      <c r="J1021">
        <v>11</v>
      </c>
    </row>
    <row r="1022" spans="1:10" x14ac:dyDescent="0.3">
      <c r="A1022" t="s">
        <v>106</v>
      </c>
      <c r="B1022" t="s">
        <v>39</v>
      </c>
      <c r="C1022" s="4">
        <v>0.590536375</v>
      </c>
      <c r="D1022" s="4">
        <v>0.61247410899999999</v>
      </c>
      <c r="E1022" s="18">
        <v>435</v>
      </c>
      <c r="G1022" s="4"/>
      <c r="H1022" s="4">
        <f t="shared" si="16"/>
        <v>0</v>
      </c>
      <c r="I1022" s="2">
        <f t="shared" si="17"/>
        <v>0</v>
      </c>
      <c r="J1022">
        <v>11</v>
      </c>
    </row>
    <row r="1023" spans="1:10" x14ac:dyDescent="0.3">
      <c r="A1023" t="s">
        <v>106</v>
      </c>
      <c r="B1023" t="s">
        <v>39</v>
      </c>
      <c r="C1023" s="4">
        <v>0.590536375</v>
      </c>
      <c r="D1023" s="4">
        <v>0.61247410899999999</v>
      </c>
      <c r="E1023" s="18">
        <v>436</v>
      </c>
      <c r="G1023" s="4"/>
      <c r="H1023" s="4">
        <f t="shared" si="16"/>
        <v>0</v>
      </c>
      <c r="I1023" s="2">
        <f t="shared" si="17"/>
        <v>0</v>
      </c>
      <c r="J1023">
        <v>10</v>
      </c>
    </row>
    <row r="1024" spans="1:10" x14ac:dyDescent="0.3">
      <c r="A1024" t="s">
        <v>106</v>
      </c>
      <c r="B1024" t="s">
        <v>39</v>
      </c>
      <c r="C1024" s="4">
        <v>0.590536375</v>
      </c>
      <c r="D1024" s="4">
        <v>0.61247410899999999</v>
      </c>
      <c r="E1024" s="18">
        <v>437</v>
      </c>
      <c r="G1024" s="4"/>
      <c r="H1024" s="4">
        <f t="shared" si="16"/>
        <v>0</v>
      </c>
      <c r="I1024" s="2">
        <f t="shared" si="17"/>
        <v>0</v>
      </c>
      <c r="J1024">
        <v>7</v>
      </c>
    </row>
    <row r="1025" spans="1:10" x14ac:dyDescent="0.3">
      <c r="A1025" t="s">
        <v>106</v>
      </c>
      <c r="B1025" t="s">
        <v>39</v>
      </c>
      <c r="C1025" s="4">
        <v>0.590536375</v>
      </c>
      <c r="D1025" s="4">
        <v>0.61247410899999999</v>
      </c>
      <c r="E1025" s="18">
        <v>438</v>
      </c>
      <c r="G1025" s="4"/>
      <c r="H1025" s="4">
        <f t="shared" si="16"/>
        <v>0</v>
      </c>
      <c r="I1025" s="2">
        <f t="shared" si="17"/>
        <v>0</v>
      </c>
      <c r="J1025">
        <v>8</v>
      </c>
    </row>
    <row r="1026" spans="1:10" x14ac:dyDescent="0.3">
      <c r="A1026" t="s">
        <v>106</v>
      </c>
      <c r="B1026" t="s">
        <v>39</v>
      </c>
      <c r="C1026" s="4">
        <v>0.590536375</v>
      </c>
      <c r="D1026" s="4">
        <v>0.61247410899999999</v>
      </c>
      <c r="E1026" s="18">
        <v>439</v>
      </c>
      <c r="G1026" s="4"/>
      <c r="H1026" s="4">
        <f t="shared" si="16"/>
        <v>0</v>
      </c>
      <c r="I1026" s="2">
        <f t="shared" si="17"/>
        <v>0</v>
      </c>
      <c r="J1026">
        <v>8</v>
      </c>
    </row>
    <row r="1027" spans="1:10" x14ac:dyDescent="0.3">
      <c r="A1027" t="s">
        <v>106</v>
      </c>
      <c r="B1027" t="s">
        <v>107</v>
      </c>
      <c r="C1027" s="4">
        <v>0.53168696000000004</v>
      </c>
      <c r="D1027" s="4">
        <v>0.61247410899999999</v>
      </c>
      <c r="E1027" s="18">
        <v>440</v>
      </c>
      <c r="G1027" s="4"/>
      <c r="H1027" s="4">
        <f t="shared" si="16"/>
        <v>0</v>
      </c>
      <c r="I1027" s="2">
        <f t="shared" si="17"/>
        <v>0</v>
      </c>
      <c r="J1027">
        <v>9</v>
      </c>
    </row>
    <row r="1028" spans="1:10" x14ac:dyDescent="0.3">
      <c r="A1028" t="s">
        <v>106</v>
      </c>
      <c r="B1028" t="s">
        <v>107</v>
      </c>
      <c r="C1028" s="4">
        <v>0.53168696000000004</v>
      </c>
      <c r="D1028" s="4">
        <v>0.61247410899999999</v>
      </c>
      <c r="E1028" s="18">
        <v>441</v>
      </c>
      <c r="G1028" s="4"/>
      <c r="H1028" s="4">
        <f t="shared" si="16"/>
        <v>0</v>
      </c>
      <c r="I1028" s="2">
        <f t="shared" si="17"/>
        <v>0</v>
      </c>
      <c r="J1028">
        <v>13</v>
      </c>
    </row>
    <row r="1029" spans="1:10" x14ac:dyDescent="0.3">
      <c r="A1029" t="s">
        <v>108</v>
      </c>
      <c r="B1029" t="s">
        <v>26</v>
      </c>
      <c r="C1029" s="4">
        <v>0.80908761900000004</v>
      </c>
      <c r="D1029" s="4">
        <v>0.87473809499999999</v>
      </c>
      <c r="E1029" s="18">
        <v>442</v>
      </c>
      <c r="G1029" s="4"/>
      <c r="H1029" s="4">
        <f t="shared" si="16"/>
        <v>0</v>
      </c>
      <c r="I1029" s="2">
        <f t="shared" si="17"/>
        <v>0</v>
      </c>
      <c r="J1029">
        <v>11</v>
      </c>
    </row>
    <row r="1030" spans="1:10" x14ac:dyDescent="0.3">
      <c r="A1030" t="s">
        <v>108</v>
      </c>
      <c r="B1030" t="s">
        <v>66</v>
      </c>
      <c r="C1030" s="4">
        <v>0.62643652800000005</v>
      </c>
      <c r="D1030" s="4">
        <v>0.57808694400000005</v>
      </c>
      <c r="E1030" s="18">
        <v>443</v>
      </c>
      <c r="G1030" s="4"/>
      <c r="H1030" s="4">
        <f t="shared" si="16"/>
        <v>0</v>
      </c>
      <c r="I1030" s="2">
        <f t="shared" si="17"/>
        <v>0</v>
      </c>
      <c r="J1030">
        <v>4</v>
      </c>
    </row>
    <row r="1031" spans="1:10" x14ac:dyDescent="0.3">
      <c r="A1031" t="s">
        <v>108</v>
      </c>
      <c r="B1031" t="s">
        <v>66</v>
      </c>
      <c r="C1031" s="4">
        <v>0.62643652800000005</v>
      </c>
      <c r="D1031" s="4">
        <v>0.57808694400000005</v>
      </c>
      <c r="E1031" s="18">
        <v>444</v>
      </c>
      <c r="G1031" s="4"/>
      <c r="H1031" s="4">
        <f t="shared" si="16"/>
        <v>0</v>
      </c>
      <c r="I1031" s="2">
        <f t="shared" si="17"/>
        <v>0</v>
      </c>
      <c r="J1031">
        <v>4.5</v>
      </c>
    </row>
    <row r="1032" spans="1:10" x14ac:dyDescent="0.3">
      <c r="A1032" t="s">
        <v>108</v>
      </c>
      <c r="B1032" t="s">
        <v>66</v>
      </c>
      <c r="C1032" s="4">
        <v>0.62643652800000005</v>
      </c>
      <c r="D1032" s="4">
        <v>0.57808694400000005</v>
      </c>
      <c r="E1032" s="18">
        <v>445</v>
      </c>
      <c r="G1032" s="4"/>
      <c r="H1032" s="4">
        <f t="shared" si="16"/>
        <v>0</v>
      </c>
      <c r="I1032" s="2">
        <f t="shared" si="17"/>
        <v>0</v>
      </c>
      <c r="J1032">
        <v>5.5</v>
      </c>
    </row>
    <row r="1033" spans="1:10" x14ac:dyDescent="0.3">
      <c r="A1033" t="s">
        <v>108</v>
      </c>
      <c r="B1033" t="s">
        <v>39</v>
      </c>
      <c r="C1033" s="4">
        <v>0.590536375</v>
      </c>
      <c r="D1033" s="4">
        <v>0.61247410899999999</v>
      </c>
      <c r="E1033" s="18">
        <v>446</v>
      </c>
      <c r="G1033" s="4"/>
      <c r="H1033" s="4">
        <f t="shared" si="16"/>
        <v>0</v>
      </c>
      <c r="I1033" s="2">
        <f t="shared" si="17"/>
        <v>0</v>
      </c>
      <c r="J1033">
        <v>7</v>
      </c>
    </row>
    <row r="1034" spans="1:10" x14ac:dyDescent="0.3">
      <c r="A1034" t="s">
        <v>108</v>
      </c>
      <c r="B1034" t="s">
        <v>39</v>
      </c>
      <c r="C1034" s="4">
        <v>0.590536375</v>
      </c>
      <c r="D1034" s="4">
        <v>0.61247410899999999</v>
      </c>
      <c r="E1034" s="18">
        <v>447</v>
      </c>
      <c r="G1034" s="4"/>
      <c r="H1034" s="4">
        <f t="shared" si="16"/>
        <v>0</v>
      </c>
      <c r="I1034" s="2">
        <f t="shared" si="17"/>
        <v>0</v>
      </c>
      <c r="J1034">
        <v>11</v>
      </c>
    </row>
    <row r="1035" spans="1:10" x14ac:dyDescent="0.3">
      <c r="A1035" t="s">
        <v>108</v>
      </c>
      <c r="B1035" t="s">
        <v>39</v>
      </c>
      <c r="C1035" s="4">
        <v>0.590536375</v>
      </c>
      <c r="D1035" s="4">
        <v>0.61247410899999999</v>
      </c>
      <c r="E1035" s="18">
        <v>448</v>
      </c>
      <c r="G1035" s="4"/>
      <c r="H1035" s="4">
        <f t="shared" si="16"/>
        <v>0</v>
      </c>
      <c r="I1035" s="2">
        <f t="shared" si="17"/>
        <v>0</v>
      </c>
      <c r="J1035">
        <v>8</v>
      </c>
    </row>
    <row r="1036" spans="1:10" x14ac:dyDescent="0.3">
      <c r="A1036" t="s">
        <v>108</v>
      </c>
      <c r="B1036" t="s">
        <v>39</v>
      </c>
      <c r="C1036" s="4">
        <v>0.590536375</v>
      </c>
      <c r="D1036" s="4">
        <v>0.61247410899999999</v>
      </c>
      <c r="E1036" s="18">
        <v>449</v>
      </c>
      <c r="G1036" s="4"/>
      <c r="H1036" s="4">
        <f t="shared" si="16"/>
        <v>0</v>
      </c>
      <c r="I1036" s="2">
        <f t="shared" si="17"/>
        <v>0</v>
      </c>
      <c r="J1036">
        <v>9</v>
      </c>
    </row>
    <row r="1037" spans="1:10" x14ac:dyDescent="0.3">
      <c r="A1037" t="s">
        <v>108</v>
      </c>
      <c r="B1037" t="s">
        <v>73</v>
      </c>
      <c r="C1037" s="4">
        <v>0.39</v>
      </c>
      <c r="D1037" s="4">
        <v>0.28861111099999998</v>
      </c>
      <c r="E1037" s="18">
        <v>450</v>
      </c>
      <c r="G1037" s="4"/>
      <c r="H1037" s="4">
        <f t="shared" ref="H1037:H1100" si="18">G1037/PI()</f>
        <v>0</v>
      </c>
      <c r="I1037" s="2">
        <f t="shared" si="17"/>
        <v>0</v>
      </c>
      <c r="J1037">
        <v>5</v>
      </c>
    </row>
    <row r="1038" spans="1:10" x14ac:dyDescent="0.3">
      <c r="A1038" t="s">
        <v>108</v>
      </c>
      <c r="B1038" t="s">
        <v>73</v>
      </c>
      <c r="C1038" s="4">
        <v>0.39</v>
      </c>
      <c r="D1038" s="4">
        <v>0.28861111099999998</v>
      </c>
      <c r="E1038" s="18">
        <v>451</v>
      </c>
      <c r="G1038" s="4"/>
      <c r="H1038" s="4">
        <f t="shared" si="18"/>
        <v>0</v>
      </c>
      <c r="I1038" s="2">
        <f t="shared" si="17"/>
        <v>0</v>
      </c>
      <c r="J1038">
        <v>6</v>
      </c>
    </row>
    <row r="1039" spans="1:10" x14ac:dyDescent="0.3">
      <c r="A1039" t="s">
        <v>108</v>
      </c>
      <c r="B1039" t="s">
        <v>73</v>
      </c>
      <c r="C1039" s="4">
        <v>0.39</v>
      </c>
      <c r="D1039" s="4">
        <v>0.28861111099999998</v>
      </c>
      <c r="E1039" s="18">
        <v>452</v>
      </c>
      <c r="G1039" s="4"/>
      <c r="H1039" s="4">
        <f t="shared" si="18"/>
        <v>0</v>
      </c>
      <c r="I1039" s="2">
        <f t="shared" si="17"/>
        <v>0</v>
      </c>
      <c r="J1039">
        <v>4</v>
      </c>
    </row>
    <row r="1040" spans="1:10" x14ac:dyDescent="0.3">
      <c r="A1040" t="s">
        <v>108</v>
      </c>
      <c r="B1040" t="s">
        <v>73</v>
      </c>
      <c r="C1040" s="4">
        <v>0.39</v>
      </c>
      <c r="D1040" s="4">
        <v>0.28861111099999998</v>
      </c>
      <c r="E1040" s="18">
        <v>453</v>
      </c>
      <c r="G1040" s="4"/>
      <c r="H1040" s="4">
        <f t="shared" si="18"/>
        <v>0</v>
      </c>
      <c r="I1040" s="2">
        <f t="shared" si="17"/>
        <v>0</v>
      </c>
      <c r="J1040">
        <v>6</v>
      </c>
    </row>
    <row r="1041" spans="1:10" x14ac:dyDescent="0.3">
      <c r="A1041" t="s">
        <v>108</v>
      </c>
      <c r="B1041" t="s">
        <v>73</v>
      </c>
      <c r="C1041" s="4">
        <v>0.39</v>
      </c>
      <c r="D1041" s="4">
        <v>0.28861111099999998</v>
      </c>
      <c r="E1041" s="18">
        <v>454</v>
      </c>
      <c r="G1041" s="4"/>
      <c r="H1041" s="4">
        <f t="shared" si="18"/>
        <v>0</v>
      </c>
      <c r="I1041" s="2">
        <f t="shared" si="17"/>
        <v>0</v>
      </c>
      <c r="J1041">
        <v>5</v>
      </c>
    </row>
    <row r="1042" spans="1:10" x14ac:dyDescent="0.3">
      <c r="A1042" t="s">
        <v>108</v>
      </c>
      <c r="B1042" t="s">
        <v>73</v>
      </c>
      <c r="C1042" s="4">
        <v>0.39</v>
      </c>
      <c r="D1042" s="4">
        <v>0.28861111099999998</v>
      </c>
      <c r="E1042" s="18">
        <v>455</v>
      </c>
      <c r="G1042" s="4"/>
      <c r="H1042" s="4">
        <f t="shared" si="18"/>
        <v>0</v>
      </c>
      <c r="I1042" s="2">
        <f t="shared" si="17"/>
        <v>0</v>
      </c>
      <c r="J1042">
        <v>3</v>
      </c>
    </row>
    <row r="1043" spans="1:10" x14ac:dyDescent="0.3">
      <c r="A1043" t="s">
        <v>108</v>
      </c>
      <c r="B1043" t="s">
        <v>73</v>
      </c>
      <c r="C1043" s="4">
        <v>0.39</v>
      </c>
      <c r="D1043" s="4">
        <v>0.28861111099999998</v>
      </c>
      <c r="E1043" s="18">
        <v>456</v>
      </c>
      <c r="G1043" s="4"/>
      <c r="H1043" s="4">
        <f t="shared" si="18"/>
        <v>0</v>
      </c>
      <c r="I1043" s="2">
        <f t="shared" si="17"/>
        <v>0</v>
      </c>
      <c r="J1043">
        <v>4.5</v>
      </c>
    </row>
    <row r="1044" spans="1:10" x14ac:dyDescent="0.3">
      <c r="A1044" t="s">
        <v>108</v>
      </c>
      <c r="B1044" t="s">
        <v>73</v>
      </c>
      <c r="C1044" s="4">
        <v>0.39</v>
      </c>
      <c r="D1044" s="4">
        <v>0.28861111099999998</v>
      </c>
      <c r="E1044" s="18">
        <v>457</v>
      </c>
      <c r="G1044" s="4"/>
      <c r="H1044" s="4">
        <f t="shared" si="18"/>
        <v>0</v>
      </c>
      <c r="I1044" s="2">
        <f t="shared" si="17"/>
        <v>0</v>
      </c>
      <c r="J1044">
        <v>5</v>
      </c>
    </row>
    <row r="1045" spans="1:10" x14ac:dyDescent="0.3">
      <c r="A1045" t="s">
        <v>108</v>
      </c>
      <c r="B1045" t="s">
        <v>73</v>
      </c>
      <c r="C1045" s="4">
        <v>0.39</v>
      </c>
      <c r="D1045" s="4">
        <v>0.28861111099999998</v>
      </c>
      <c r="E1045" s="18">
        <v>458</v>
      </c>
      <c r="G1045" s="4"/>
      <c r="H1045" s="4">
        <f t="shared" si="18"/>
        <v>0</v>
      </c>
      <c r="I1045" s="2">
        <f t="shared" si="17"/>
        <v>0</v>
      </c>
      <c r="J1045">
        <v>4.8</v>
      </c>
    </row>
    <row r="1046" spans="1:10" x14ac:dyDescent="0.3">
      <c r="A1046" t="s">
        <v>108</v>
      </c>
      <c r="B1046" t="s">
        <v>109</v>
      </c>
      <c r="C1046" s="4">
        <v>0.470857311</v>
      </c>
      <c r="D1046" s="4">
        <v>0.375</v>
      </c>
      <c r="E1046" s="18">
        <v>459</v>
      </c>
      <c r="G1046" s="4"/>
      <c r="H1046" s="4">
        <f t="shared" si="18"/>
        <v>0</v>
      </c>
      <c r="I1046" s="2">
        <f t="shared" si="17"/>
        <v>0</v>
      </c>
      <c r="J1046">
        <v>7</v>
      </c>
    </row>
    <row r="1047" spans="1:10" x14ac:dyDescent="0.3">
      <c r="A1047" t="s">
        <v>110</v>
      </c>
      <c r="B1047" t="s">
        <v>26</v>
      </c>
      <c r="C1047" s="4">
        <v>0.80908761900000004</v>
      </c>
      <c r="D1047" s="4">
        <v>0.87473809499999999</v>
      </c>
      <c r="E1047" s="18">
        <v>460</v>
      </c>
      <c r="G1047" s="4"/>
      <c r="H1047" s="4">
        <f t="shared" si="18"/>
        <v>0</v>
      </c>
      <c r="I1047" s="2">
        <f t="shared" ref="I1047:I1110" si="19">PI()*(H1047/2)^2</f>
        <v>0</v>
      </c>
      <c r="J1047">
        <v>8</v>
      </c>
    </row>
    <row r="1048" spans="1:10" x14ac:dyDescent="0.3">
      <c r="A1048" t="s">
        <v>110</v>
      </c>
      <c r="B1048" t="s">
        <v>26</v>
      </c>
      <c r="C1048" s="4">
        <v>0.80908761900000004</v>
      </c>
      <c r="D1048" s="4">
        <v>0.87473809499999999</v>
      </c>
      <c r="E1048" s="18">
        <v>461</v>
      </c>
      <c r="G1048" s="4"/>
      <c r="H1048" s="4">
        <f t="shared" si="18"/>
        <v>0</v>
      </c>
      <c r="I1048" s="2">
        <f t="shared" si="19"/>
        <v>0</v>
      </c>
      <c r="J1048">
        <v>9</v>
      </c>
    </row>
    <row r="1049" spans="1:10" x14ac:dyDescent="0.3">
      <c r="A1049" t="s">
        <v>110</v>
      </c>
      <c r="B1049" t="s">
        <v>26</v>
      </c>
      <c r="C1049" s="4">
        <v>0.80908761900000004</v>
      </c>
      <c r="D1049" s="4">
        <v>0.87473809499999999</v>
      </c>
      <c r="E1049" s="18">
        <v>462</v>
      </c>
      <c r="G1049" s="4"/>
      <c r="H1049" s="4">
        <f t="shared" si="18"/>
        <v>0</v>
      </c>
      <c r="I1049" s="2">
        <f t="shared" si="19"/>
        <v>0</v>
      </c>
      <c r="J1049">
        <v>10</v>
      </c>
    </row>
    <row r="1050" spans="1:10" x14ac:dyDescent="0.3">
      <c r="A1050" t="s">
        <v>110</v>
      </c>
      <c r="B1050" t="s">
        <v>26</v>
      </c>
      <c r="C1050" s="4">
        <v>0.80908761900000004</v>
      </c>
      <c r="D1050" s="4">
        <v>0.87473809499999999</v>
      </c>
      <c r="E1050" s="18">
        <v>463</v>
      </c>
      <c r="G1050" s="4"/>
      <c r="H1050" s="4">
        <f t="shared" si="18"/>
        <v>0</v>
      </c>
      <c r="I1050" s="2">
        <f t="shared" si="19"/>
        <v>0</v>
      </c>
      <c r="J1050">
        <v>11</v>
      </c>
    </row>
    <row r="1051" spans="1:10" x14ac:dyDescent="0.3">
      <c r="A1051" t="s">
        <v>110</v>
      </c>
      <c r="B1051" t="s">
        <v>26</v>
      </c>
      <c r="C1051" s="4">
        <v>0.80908761900000004</v>
      </c>
      <c r="D1051" s="4">
        <v>0.87473809499999999</v>
      </c>
      <c r="E1051" s="18">
        <v>464</v>
      </c>
      <c r="G1051" s="4"/>
      <c r="H1051" s="4">
        <f t="shared" si="18"/>
        <v>0</v>
      </c>
      <c r="I1051" s="2">
        <f t="shared" si="19"/>
        <v>0</v>
      </c>
      <c r="J1051">
        <v>12</v>
      </c>
    </row>
    <row r="1052" spans="1:10" x14ac:dyDescent="0.3">
      <c r="A1052" t="s">
        <v>110</v>
      </c>
      <c r="B1052" t="s">
        <v>26</v>
      </c>
      <c r="C1052" s="4">
        <v>0.80908761900000004</v>
      </c>
      <c r="D1052" s="4">
        <v>0.87473809499999999</v>
      </c>
      <c r="E1052" s="18">
        <v>465</v>
      </c>
      <c r="G1052" s="4"/>
      <c r="H1052" s="4">
        <f t="shared" si="18"/>
        <v>0</v>
      </c>
      <c r="I1052" s="2">
        <f t="shared" si="19"/>
        <v>0</v>
      </c>
      <c r="J1052">
        <v>12</v>
      </c>
    </row>
    <row r="1053" spans="1:10" x14ac:dyDescent="0.3">
      <c r="A1053" t="s">
        <v>110</v>
      </c>
      <c r="B1053" t="s">
        <v>85</v>
      </c>
      <c r="C1053" s="4">
        <v>0.6</v>
      </c>
      <c r="D1053" s="4">
        <v>0.66674999999999995</v>
      </c>
      <c r="E1053" s="18">
        <v>466</v>
      </c>
      <c r="G1053" s="4"/>
      <c r="H1053" s="4">
        <f t="shared" si="18"/>
        <v>0</v>
      </c>
      <c r="I1053" s="2">
        <f t="shared" si="19"/>
        <v>0</v>
      </c>
      <c r="J1053">
        <v>8</v>
      </c>
    </row>
    <row r="1054" spans="1:10" x14ac:dyDescent="0.3">
      <c r="A1054" t="s">
        <v>110</v>
      </c>
      <c r="B1054" t="s">
        <v>56</v>
      </c>
      <c r="C1054" s="4">
        <v>0.39984676499999999</v>
      </c>
      <c r="D1054" s="4">
        <v>0.450333333</v>
      </c>
      <c r="E1054" s="18">
        <v>467</v>
      </c>
      <c r="G1054" s="4"/>
      <c r="H1054" s="4">
        <f t="shared" si="18"/>
        <v>0</v>
      </c>
      <c r="I1054" s="2">
        <f t="shared" si="19"/>
        <v>0</v>
      </c>
      <c r="J1054">
        <v>6</v>
      </c>
    </row>
    <row r="1055" spans="1:10" x14ac:dyDescent="0.3">
      <c r="A1055" t="s">
        <v>110</v>
      </c>
      <c r="B1055" t="s">
        <v>56</v>
      </c>
      <c r="C1055" s="4">
        <v>0.39984676499999999</v>
      </c>
      <c r="D1055" s="4">
        <v>0.450333333</v>
      </c>
      <c r="E1055" s="18">
        <v>468</v>
      </c>
      <c r="G1055" s="4"/>
      <c r="H1055" s="4">
        <f t="shared" si="18"/>
        <v>0</v>
      </c>
      <c r="I1055" s="2">
        <f t="shared" si="19"/>
        <v>0</v>
      </c>
      <c r="J1055">
        <v>7</v>
      </c>
    </row>
    <row r="1056" spans="1:10" x14ac:dyDescent="0.3">
      <c r="A1056" t="s">
        <v>110</v>
      </c>
      <c r="B1056" t="s">
        <v>56</v>
      </c>
      <c r="C1056" s="4">
        <v>0.39984676499999999</v>
      </c>
      <c r="D1056" s="4">
        <v>0.450333333</v>
      </c>
      <c r="E1056" s="18">
        <v>469</v>
      </c>
      <c r="G1056" s="4"/>
      <c r="H1056" s="4">
        <f t="shared" si="18"/>
        <v>0</v>
      </c>
      <c r="I1056" s="2">
        <f t="shared" si="19"/>
        <v>0</v>
      </c>
      <c r="J1056">
        <v>7</v>
      </c>
    </row>
    <row r="1057" spans="1:10" x14ac:dyDescent="0.3">
      <c r="A1057" t="s">
        <v>110</v>
      </c>
      <c r="B1057" t="s">
        <v>56</v>
      </c>
      <c r="C1057" s="4">
        <v>0.39984676499999999</v>
      </c>
      <c r="D1057" s="4">
        <v>0.450333333</v>
      </c>
      <c r="E1057" s="18">
        <v>470</v>
      </c>
      <c r="G1057" s="4"/>
      <c r="H1057" s="4">
        <f t="shared" si="18"/>
        <v>0</v>
      </c>
      <c r="I1057" s="2">
        <f t="shared" si="19"/>
        <v>0</v>
      </c>
      <c r="J1057">
        <v>7</v>
      </c>
    </row>
    <row r="1058" spans="1:10" x14ac:dyDescent="0.3">
      <c r="A1058" t="s">
        <v>110</v>
      </c>
      <c r="B1058" t="s">
        <v>56</v>
      </c>
      <c r="C1058" s="4">
        <v>0.39984676499999999</v>
      </c>
      <c r="D1058" s="4">
        <v>0.450333333</v>
      </c>
      <c r="E1058" s="18">
        <v>471</v>
      </c>
      <c r="G1058" s="4"/>
      <c r="H1058" s="4">
        <f t="shared" si="18"/>
        <v>0</v>
      </c>
      <c r="I1058" s="2">
        <f t="shared" si="19"/>
        <v>0</v>
      </c>
      <c r="J1058">
        <v>8</v>
      </c>
    </row>
    <row r="1059" spans="1:10" x14ac:dyDescent="0.3">
      <c r="A1059" t="s">
        <v>110</v>
      </c>
      <c r="B1059" t="s">
        <v>56</v>
      </c>
      <c r="C1059" s="4">
        <v>0.39984676499999999</v>
      </c>
      <c r="D1059" s="4">
        <v>0.450333333</v>
      </c>
      <c r="E1059" s="18">
        <v>472</v>
      </c>
      <c r="G1059" s="4"/>
      <c r="H1059" s="4">
        <f t="shared" si="18"/>
        <v>0</v>
      </c>
      <c r="I1059" s="2">
        <f t="shared" si="19"/>
        <v>0</v>
      </c>
      <c r="J1059">
        <v>10</v>
      </c>
    </row>
    <row r="1060" spans="1:10" x14ac:dyDescent="0.3">
      <c r="A1060" t="s">
        <v>110</v>
      </c>
      <c r="B1060" t="s">
        <v>39</v>
      </c>
      <c r="C1060" s="4">
        <v>0.590536375</v>
      </c>
      <c r="D1060" s="4">
        <v>0.61247410899999999</v>
      </c>
      <c r="E1060" s="18">
        <v>473</v>
      </c>
      <c r="G1060" s="4"/>
      <c r="H1060" s="4">
        <f t="shared" si="18"/>
        <v>0</v>
      </c>
      <c r="I1060" s="2">
        <f t="shared" si="19"/>
        <v>0</v>
      </c>
      <c r="J1060">
        <v>8</v>
      </c>
    </row>
    <row r="1061" spans="1:10" x14ac:dyDescent="0.3">
      <c r="A1061" t="s">
        <v>110</v>
      </c>
      <c r="B1061" t="s">
        <v>39</v>
      </c>
      <c r="C1061" s="4">
        <v>0.590536375</v>
      </c>
      <c r="D1061" s="4">
        <v>0.61247410899999999</v>
      </c>
      <c r="E1061" s="18">
        <v>474</v>
      </c>
      <c r="G1061" s="4"/>
      <c r="H1061" s="4">
        <f t="shared" si="18"/>
        <v>0</v>
      </c>
      <c r="I1061" s="2">
        <f t="shared" si="19"/>
        <v>0</v>
      </c>
      <c r="J1061">
        <v>11</v>
      </c>
    </row>
    <row r="1062" spans="1:10" x14ac:dyDescent="0.3">
      <c r="A1062" t="s">
        <v>110</v>
      </c>
      <c r="B1062" t="s">
        <v>107</v>
      </c>
      <c r="C1062" s="4">
        <v>0.53168696000000004</v>
      </c>
      <c r="D1062" s="4">
        <v>0.61247410899999999</v>
      </c>
      <c r="E1062" s="18">
        <v>475</v>
      </c>
      <c r="G1062" s="4"/>
      <c r="H1062" s="4">
        <f t="shared" si="18"/>
        <v>0</v>
      </c>
      <c r="I1062" s="2">
        <f t="shared" si="19"/>
        <v>0</v>
      </c>
      <c r="J1062">
        <v>8</v>
      </c>
    </row>
    <row r="1063" spans="1:10" x14ac:dyDescent="0.3">
      <c r="A1063" t="s">
        <v>110</v>
      </c>
      <c r="B1063" t="s">
        <v>73</v>
      </c>
      <c r="C1063" s="4">
        <v>0.39</v>
      </c>
      <c r="D1063" s="4">
        <v>0.28861111099999998</v>
      </c>
      <c r="E1063" s="18">
        <v>476</v>
      </c>
      <c r="G1063" s="4"/>
      <c r="H1063" s="4">
        <f t="shared" si="18"/>
        <v>0</v>
      </c>
      <c r="I1063" s="2">
        <f t="shared" si="19"/>
        <v>0</v>
      </c>
      <c r="J1063">
        <v>2.8</v>
      </c>
    </row>
    <row r="1064" spans="1:10" x14ac:dyDescent="0.3">
      <c r="A1064" t="s">
        <v>110</v>
      </c>
      <c r="B1064" t="s">
        <v>73</v>
      </c>
      <c r="C1064" s="4">
        <v>0.39</v>
      </c>
      <c r="D1064" s="4">
        <v>0.28861111099999998</v>
      </c>
      <c r="E1064" s="18">
        <v>477</v>
      </c>
      <c r="G1064" s="4"/>
      <c r="H1064" s="4">
        <f t="shared" si="18"/>
        <v>0</v>
      </c>
      <c r="I1064" s="2">
        <f t="shared" si="19"/>
        <v>0</v>
      </c>
      <c r="J1064">
        <v>4.8</v>
      </c>
    </row>
    <row r="1065" spans="1:10" x14ac:dyDescent="0.3">
      <c r="A1065" t="s">
        <v>110</v>
      </c>
      <c r="B1065" t="s">
        <v>73</v>
      </c>
      <c r="C1065" s="4">
        <v>0.39</v>
      </c>
      <c r="D1065" s="4">
        <v>0.28861111099999998</v>
      </c>
      <c r="E1065" s="18">
        <v>478</v>
      </c>
      <c r="G1065" s="4"/>
      <c r="H1065" s="4">
        <f t="shared" si="18"/>
        <v>0</v>
      </c>
      <c r="I1065" s="2">
        <f t="shared" si="19"/>
        <v>0</v>
      </c>
      <c r="J1065">
        <v>4.5</v>
      </c>
    </row>
    <row r="1066" spans="1:10" x14ac:dyDescent="0.3">
      <c r="A1066" t="s">
        <v>110</v>
      </c>
      <c r="B1066" t="s">
        <v>73</v>
      </c>
      <c r="C1066" s="4">
        <v>0.39</v>
      </c>
      <c r="D1066" s="4">
        <v>0.28861111099999998</v>
      </c>
      <c r="E1066" s="18">
        <v>479</v>
      </c>
      <c r="G1066" s="4"/>
      <c r="H1066" s="4">
        <f t="shared" si="18"/>
        <v>0</v>
      </c>
      <c r="I1066" s="2">
        <f t="shared" si="19"/>
        <v>0</v>
      </c>
      <c r="J1066">
        <v>2</v>
      </c>
    </row>
    <row r="1067" spans="1:10" x14ac:dyDescent="0.3">
      <c r="A1067" t="s">
        <v>110</v>
      </c>
      <c r="B1067" t="s">
        <v>73</v>
      </c>
      <c r="C1067" s="4">
        <v>0.39</v>
      </c>
      <c r="D1067" s="4">
        <v>0.28861111099999998</v>
      </c>
      <c r="E1067" s="18">
        <v>480</v>
      </c>
      <c r="G1067" s="4"/>
      <c r="H1067" s="4">
        <f t="shared" si="18"/>
        <v>0</v>
      </c>
      <c r="I1067" s="2">
        <f t="shared" si="19"/>
        <v>0</v>
      </c>
      <c r="J1067">
        <v>6</v>
      </c>
    </row>
    <row r="1068" spans="1:10" x14ac:dyDescent="0.3">
      <c r="A1068" t="s">
        <v>111</v>
      </c>
      <c r="B1068" t="s">
        <v>90</v>
      </c>
      <c r="C1068" s="4">
        <v>0.37226847299999999</v>
      </c>
      <c r="D1068" s="4">
        <v>0.42234285700000002</v>
      </c>
      <c r="E1068" s="18">
        <v>481</v>
      </c>
      <c r="G1068" s="4"/>
      <c r="H1068" s="4">
        <f t="shared" si="18"/>
        <v>0</v>
      </c>
      <c r="I1068" s="2">
        <f t="shared" si="19"/>
        <v>0</v>
      </c>
      <c r="J1068">
        <v>6</v>
      </c>
    </row>
    <row r="1069" spans="1:10" x14ac:dyDescent="0.3">
      <c r="A1069" t="s">
        <v>111</v>
      </c>
      <c r="B1069" t="s">
        <v>66</v>
      </c>
      <c r="C1069" s="4">
        <v>0.62643652800000005</v>
      </c>
      <c r="D1069" s="4">
        <v>0.57808694400000005</v>
      </c>
      <c r="E1069" s="18">
        <v>482</v>
      </c>
      <c r="G1069" s="4"/>
      <c r="H1069" s="4">
        <f t="shared" si="18"/>
        <v>0</v>
      </c>
      <c r="I1069" s="2">
        <f t="shared" si="19"/>
        <v>0</v>
      </c>
      <c r="J1069">
        <v>5</v>
      </c>
    </row>
    <row r="1070" spans="1:10" x14ac:dyDescent="0.3">
      <c r="A1070" t="s">
        <v>111</v>
      </c>
      <c r="B1070" t="s">
        <v>66</v>
      </c>
      <c r="C1070" s="4">
        <v>0.62643652800000005</v>
      </c>
      <c r="D1070" s="4">
        <v>0.57808694400000005</v>
      </c>
      <c r="E1070" s="18">
        <v>483</v>
      </c>
      <c r="G1070" s="4"/>
      <c r="H1070" s="4">
        <f t="shared" si="18"/>
        <v>0</v>
      </c>
      <c r="I1070" s="2">
        <f t="shared" si="19"/>
        <v>0</v>
      </c>
      <c r="J1070">
        <v>4</v>
      </c>
    </row>
    <row r="1071" spans="1:10" x14ac:dyDescent="0.3">
      <c r="A1071" t="s">
        <v>111</v>
      </c>
      <c r="B1071" t="s">
        <v>66</v>
      </c>
      <c r="C1071" s="4">
        <v>0.62643652800000005</v>
      </c>
      <c r="D1071" s="4">
        <v>0.57808694400000005</v>
      </c>
      <c r="E1071" s="18">
        <v>484</v>
      </c>
      <c r="G1071" s="4"/>
      <c r="H1071" s="4">
        <f t="shared" si="18"/>
        <v>0</v>
      </c>
      <c r="I1071" s="2">
        <f t="shared" si="19"/>
        <v>0</v>
      </c>
      <c r="J1071">
        <v>5</v>
      </c>
    </row>
    <row r="1072" spans="1:10" x14ac:dyDescent="0.3">
      <c r="A1072" t="s">
        <v>111</v>
      </c>
      <c r="B1072" t="s">
        <v>56</v>
      </c>
      <c r="C1072" s="4">
        <v>0.39984676499999999</v>
      </c>
      <c r="D1072" s="4">
        <v>0.450333333</v>
      </c>
      <c r="E1072" s="18">
        <v>485</v>
      </c>
      <c r="G1072" s="4"/>
      <c r="H1072" s="4">
        <f t="shared" si="18"/>
        <v>0</v>
      </c>
      <c r="I1072" s="2">
        <f t="shared" si="19"/>
        <v>0</v>
      </c>
      <c r="J1072">
        <v>9</v>
      </c>
    </row>
    <row r="1073" spans="1:10" x14ac:dyDescent="0.3">
      <c r="A1073" t="s">
        <v>111</v>
      </c>
      <c r="B1073" t="s">
        <v>56</v>
      </c>
      <c r="C1073" s="4">
        <v>0.39984676499999999</v>
      </c>
      <c r="D1073" s="4">
        <v>0.450333333</v>
      </c>
      <c r="E1073" s="18">
        <v>486</v>
      </c>
      <c r="G1073" s="4"/>
      <c r="H1073" s="4">
        <f t="shared" si="18"/>
        <v>0</v>
      </c>
      <c r="I1073" s="2">
        <f t="shared" si="19"/>
        <v>0</v>
      </c>
      <c r="J1073">
        <v>10</v>
      </c>
    </row>
    <row r="1074" spans="1:10" x14ac:dyDescent="0.3">
      <c r="A1074" t="s">
        <v>111</v>
      </c>
      <c r="B1074" t="s">
        <v>56</v>
      </c>
      <c r="C1074" s="4">
        <v>0.39984676499999999</v>
      </c>
      <c r="D1074" s="4">
        <v>0.450333333</v>
      </c>
      <c r="E1074" s="18">
        <v>487</v>
      </c>
      <c r="G1074" s="4"/>
      <c r="H1074" s="4">
        <f t="shared" si="18"/>
        <v>0</v>
      </c>
      <c r="I1074" s="2">
        <f t="shared" si="19"/>
        <v>0</v>
      </c>
      <c r="J1074">
        <v>8</v>
      </c>
    </row>
    <row r="1075" spans="1:10" x14ac:dyDescent="0.3">
      <c r="A1075" t="s">
        <v>111</v>
      </c>
      <c r="B1075" t="s">
        <v>39</v>
      </c>
      <c r="C1075" s="4">
        <v>0.590536375</v>
      </c>
      <c r="D1075" s="4">
        <v>0.61247410899999999</v>
      </c>
      <c r="E1075" s="18">
        <v>488</v>
      </c>
      <c r="G1075" s="4"/>
      <c r="H1075" s="4">
        <f t="shared" si="18"/>
        <v>0</v>
      </c>
      <c r="I1075" s="2">
        <f t="shared" si="19"/>
        <v>0</v>
      </c>
      <c r="J1075">
        <v>6</v>
      </c>
    </row>
    <row r="1076" spans="1:10" x14ac:dyDescent="0.3">
      <c r="A1076" t="s">
        <v>111</v>
      </c>
      <c r="B1076" t="s">
        <v>39</v>
      </c>
      <c r="C1076" s="4">
        <v>0.590536375</v>
      </c>
      <c r="D1076" s="4">
        <v>0.61247410899999999</v>
      </c>
      <c r="E1076" s="18">
        <v>489</v>
      </c>
      <c r="G1076" s="4"/>
      <c r="H1076" s="4">
        <f t="shared" si="18"/>
        <v>0</v>
      </c>
      <c r="I1076" s="2">
        <f t="shared" si="19"/>
        <v>0</v>
      </c>
      <c r="J1076">
        <v>8</v>
      </c>
    </row>
    <row r="1077" spans="1:10" x14ac:dyDescent="0.3">
      <c r="A1077" t="s">
        <v>111</v>
      </c>
      <c r="B1077" t="s">
        <v>39</v>
      </c>
      <c r="C1077" s="4">
        <v>0.590536375</v>
      </c>
      <c r="D1077" s="4">
        <v>0.61247410899999999</v>
      </c>
      <c r="E1077" s="18">
        <v>490</v>
      </c>
      <c r="G1077" s="4"/>
      <c r="H1077" s="4">
        <f t="shared" si="18"/>
        <v>0</v>
      </c>
      <c r="I1077" s="2">
        <f t="shared" si="19"/>
        <v>0</v>
      </c>
      <c r="J1077">
        <v>9</v>
      </c>
    </row>
    <row r="1078" spans="1:10" x14ac:dyDescent="0.3">
      <c r="A1078" t="s">
        <v>111</v>
      </c>
      <c r="B1078" t="s">
        <v>39</v>
      </c>
      <c r="C1078" s="4">
        <v>0.590536375</v>
      </c>
      <c r="D1078" s="4">
        <v>0.61247410899999999</v>
      </c>
      <c r="E1078" s="18">
        <v>491</v>
      </c>
      <c r="G1078" s="4"/>
      <c r="H1078" s="4">
        <f t="shared" si="18"/>
        <v>0</v>
      </c>
      <c r="I1078" s="2">
        <f t="shared" si="19"/>
        <v>0</v>
      </c>
      <c r="J1078">
        <v>6</v>
      </c>
    </row>
    <row r="1079" spans="1:10" x14ac:dyDescent="0.3">
      <c r="A1079" t="s">
        <v>111</v>
      </c>
      <c r="B1079" t="s">
        <v>39</v>
      </c>
      <c r="C1079" s="4">
        <v>0.590536375</v>
      </c>
      <c r="D1079" s="4">
        <v>0.61247410899999999</v>
      </c>
      <c r="E1079" s="18">
        <v>492</v>
      </c>
      <c r="G1079" s="4"/>
      <c r="H1079" s="4">
        <f t="shared" si="18"/>
        <v>0</v>
      </c>
      <c r="I1079" s="2">
        <f t="shared" si="19"/>
        <v>0</v>
      </c>
      <c r="J1079">
        <v>8</v>
      </c>
    </row>
    <row r="1080" spans="1:10" x14ac:dyDescent="0.3">
      <c r="A1080" t="s">
        <v>111</v>
      </c>
      <c r="B1080" t="s">
        <v>39</v>
      </c>
      <c r="C1080" s="4">
        <v>0.590536375</v>
      </c>
      <c r="D1080" s="4">
        <v>0.61247410899999999</v>
      </c>
      <c r="E1080" s="18">
        <v>493</v>
      </c>
      <c r="G1080" s="4"/>
      <c r="H1080" s="4">
        <f t="shared" si="18"/>
        <v>0</v>
      </c>
      <c r="I1080" s="2">
        <f t="shared" si="19"/>
        <v>0</v>
      </c>
      <c r="J1080">
        <v>8</v>
      </c>
    </row>
    <row r="1081" spans="1:10" x14ac:dyDescent="0.3">
      <c r="A1081" t="s">
        <v>111</v>
      </c>
      <c r="B1081" t="s">
        <v>39</v>
      </c>
      <c r="C1081" s="4">
        <v>0.590536375</v>
      </c>
      <c r="D1081" s="4">
        <v>0.61247410899999999</v>
      </c>
      <c r="E1081" s="18">
        <v>494</v>
      </c>
      <c r="G1081" s="4"/>
      <c r="H1081" s="4">
        <f t="shared" si="18"/>
        <v>0</v>
      </c>
      <c r="I1081" s="2">
        <f t="shared" si="19"/>
        <v>0</v>
      </c>
      <c r="J1081">
        <v>9</v>
      </c>
    </row>
    <row r="1082" spans="1:10" x14ac:dyDescent="0.3">
      <c r="A1082" t="s">
        <v>111</v>
      </c>
      <c r="B1082" t="s">
        <v>39</v>
      </c>
      <c r="C1082" s="4">
        <v>0.590536375</v>
      </c>
      <c r="D1082" s="4">
        <v>0.61247410899999999</v>
      </c>
      <c r="E1082" s="18">
        <v>495</v>
      </c>
      <c r="G1082" s="4"/>
      <c r="H1082" s="4">
        <f t="shared" si="18"/>
        <v>0</v>
      </c>
      <c r="I1082" s="2">
        <f t="shared" si="19"/>
        <v>0</v>
      </c>
      <c r="J1082">
        <v>12</v>
      </c>
    </row>
    <row r="1083" spans="1:10" x14ac:dyDescent="0.3">
      <c r="A1083" t="s">
        <v>111</v>
      </c>
      <c r="B1083" t="s">
        <v>47</v>
      </c>
      <c r="C1083" s="4">
        <v>0.40238543599999999</v>
      </c>
      <c r="D1083" s="4">
        <v>0.40883333300000002</v>
      </c>
      <c r="E1083" s="18">
        <v>496</v>
      </c>
      <c r="G1083" s="4"/>
      <c r="H1083" s="4">
        <f t="shared" si="18"/>
        <v>0</v>
      </c>
      <c r="I1083" s="2">
        <f t="shared" si="19"/>
        <v>0</v>
      </c>
      <c r="J1083">
        <v>7</v>
      </c>
    </row>
    <row r="1084" spans="1:10" x14ac:dyDescent="0.3">
      <c r="A1084" t="s">
        <v>112</v>
      </c>
      <c r="B1084" t="s">
        <v>69</v>
      </c>
      <c r="C1084" s="4">
        <v>0.31264018999999998</v>
      </c>
      <c r="D1084" s="4">
        <v>0.356821212</v>
      </c>
      <c r="E1084" s="18">
        <v>497</v>
      </c>
      <c r="G1084" s="4"/>
      <c r="H1084" s="4">
        <f t="shared" si="18"/>
        <v>0</v>
      </c>
      <c r="I1084" s="2">
        <f t="shared" si="19"/>
        <v>0</v>
      </c>
      <c r="J1084">
        <v>5</v>
      </c>
    </row>
    <row r="1085" spans="1:10" x14ac:dyDescent="0.3">
      <c r="A1085" t="s">
        <v>112</v>
      </c>
      <c r="B1085" t="s">
        <v>69</v>
      </c>
      <c r="C1085" s="4">
        <v>0.31264018999999998</v>
      </c>
      <c r="D1085" s="4">
        <v>0.356821212</v>
      </c>
      <c r="E1085" s="18">
        <v>498</v>
      </c>
      <c r="G1085" s="4"/>
      <c r="H1085" s="4">
        <f t="shared" si="18"/>
        <v>0</v>
      </c>
      <c r="I1085" s="2">
        <f t="shared" si="19"/>
        <v>0</v>
      </c>
      <c r="J1085">
        <v>9</v>
      </c>
    </row>
    <row r="1086" spans="1:10" x14ac:dyDescent="0.3">
      <c r="A1086" t="s">
        <v>112</v>
      </c>
      <c r="B1086" t="s">
        <v>85</v>
      </c>
      <c r="C1086" s="4">
        <v>0.6</v>
      </c>
      <c r="D1086" s="4">
        <v>0.66674999999999995</v>
      </c>
      <c r="E1086" s="18">
        <v>499</v>
      </c>
      <c r="G1086" s="4"/>
      <c r="H1086" s="4">
        <f t="shared" si="18"/>
        <v>0</v>
      </c>
      <c r="I1086" s="2">
        <f t="shared" si="19"/>
        <v>0</v>
      </c>
      <c r="J1086">
        <v>7</v>
      </c>
    </row>
    <row r="1087" spans="1:10" x14ac:dyDescent="0.3">
      <c r="A1087" t="s">
        <v>112</v>
      </c>
      <c r="B1087" t="s">
        <v>85</v>
      </c>
      <c r="C1087" s="4">
        <v>0.6</v>
      </c>
      <c r="D1087" s="4">
        <v>0.66674999999999995</v>
      </c>
      <c r="E1087" s="18">
        <v>500</v>
      </c>
      <c r="G1087" s="4"/>
      <c r="H1087" s="4">
        <f t="shared" si="18"/>
        <v>0</v>
      </c>
      <c r="I1087" s="2">
        <f t="shared" si="19"/>
        <v>0</v>
      </c>
      <c r="J1087">
        <v>6.5</v>
      </c>
    </row>
    <row r="1088" spans="1:10" x14ac:dyDescent="0.3">
      <c r="A1088" t="s">
        <v>112</v>
      </c>
      <c r="B1088" t="s">
        <v>113</v>
      </c>
      <c r="C1088" s="4">
        <v>0.6</v>
      </c>
      <c r="D1088" s="4">
        <v>0.51040266700000003</v>
      </c>
      <c r="E1088" s="18">
        <v>501</v>
      </c>
      <c r="G1088" s="4"/>
      <c r="H1088" s="4">
        <f t="shared" si="18"/>
        <v>0</v>
      </c>
      <c r="I1088" s="2">
        <f t="shared" si="19"/>
        <v>0</v>
      </c>
      <c r="J1088">
        <v>8</v>
      </c>
    </row>
    <row r="1089" spans="1:10" x14ac:dyDescent="0.3">
      <c r="A1089" t="s">
        <v>112</v>
      </c>
      <c r="B1089" t="s">
        <v>113</v>
      </c>
      <c r="C1089" s="4">
        <v>0.6</v>
      </c>
      <c r="D1089" s="4">
        <v>0.51040266700000003</v>
      </c>
      <c r="E1089" s="18">
        <v>502</v>
      </c>
      <c r="G1089" s="4"/>
      <c r="H1089" s="4">
        <f t="shared" si="18"/>
        <v>0</v>
      </c>
      <c r="I1089" s="2">
        <f t="shared" si="19"/>
        <v>0</v>
      </c>
      <c r="J1089">
        <v>9</v>
      </c>
    </row>
    <row r="1090" spans="1:10" x14ac:dyDescent="0.3">
      <c r="A1090" t="s">
        <v>112</v>
      </c>
      <c r="B1090" t="s">
        <v>113</v>
      </c>
      <c r="C1090" s="4">
        <v>0.6</v>
      </c>
      <c r="D1090" s="4">
        <v>0.51040266700000003</v>
      </c>
      <c r="E1090" s="18">
        <v>503</v>
      </c>
      <c r="G1090" s="4"/>
      <c r="H1090" s="4">
        <f t="shared" si="18"/>
        <v>0</v>
      </c>
      <c r="I1090" s="2">
        <f t="shared" si="19"/>
        <v>0</v>
      </c>
      <c r="J1090">
        <v>11</v>
      </c>
    </row>
    <row r="1091" spans="1:10" x14ac:dyDescent="0.3">
      <c r="A1091" t="s">
        <v>112</v>
      </c>
      <c r="B1091" t="s">
        <v>66</v>
      </c>
      <c r="C1091" s="4">
        <v>0.62643652800000005</v>
      </c>
      <c r="D1091" s="4">
        <v>0.57808694400000005</v>
      </c>
      <c r="E1091" s="18">
        <v>504</v>
      </c>
      <c r="G1091" s="4"/>
      <c r="H1091" s="4">
        <f t="shared" si="18"/>
        <v>0</v>
      </c>
      <c r="I1091" s="2">
        <f t="shared" si="19"/>
        <v>0</v>
      </c>
      <c r="J1091">
        <v>5</v>
      </c>
    </row>
    <row r="1092" spans="1:10" x14ac:dyDescent="0.3">
      <c r="A1092" t="s">
        <v>112</v>
      </c>
      <c r="B1092" t="s">
        <v>66</v>
      </c>
      <c r="C1092" s="4">
        <v>0.62643652800000005</v>
      </c>
      <c r="D1092" s="4">
        <v>0.57808694400000005</v>
      </c>
      <c r="E1092" s="18">
        <v>505</v>
      </c>
      <c r="G1092" s="4"/>
      <c r="H1092" s="4">
        <f t="shared" si="18"/>
        <v>0</v>
      </c>
      <c r="I1092" s="2">
        <f t="shared" si="19"/>
        <v>0</v>
      </c>
      <c r="J1092">
        <v>5</v>
      </c>
    </row>
    <row r="1093" spans="1:10" x14ac:dyDescent="0.3">
      <c r="A1093" t="s">
        <v>112</v>
      </c>
      <c r="B1093" t="s">
        <v>66</v>
      </c>
      <c r="C1093" s="4">
        <v>0.62643652800000005</v>
      </c>
      <c r="D1093" s="4">
        <v>0.57808694400000005</v>
      </c>
      <c r="E1093" s="18">
        <v>506</v>
      </c>
      <c r="G1093" s="4"/>
      <c r="H1093" s="4">
        <f t="shared" si="18"/>
        <v>0</v>
      </c>
      <c r="I1093" s="2">
        <f t="shared" si="19"/>
        <v>0</v>
      </c>
      <c r="J1093">
        <v>4</v>
      </c>
    </row>
    <row r="1094" spans="1:10" x14ac:dyDescent="0.3">
      <c r="A1094" t="s">
        <v>112</v>
      </c>
      <c r="B1094" t="s">
        <v>66</v>
      </c>
      <c r="C1094" s="4">
        <v>0.62643652800000005</v>
      </c>
      <c r="D1094" s="4">
        <v>0.57808694400000005</v>
      </c>
      <c r="E1094" s="18">
        <v>507</v>
      </c>
      <c r="G1094" s="4"/>
      <c r="H1094" s="4">
        <f t="shared" si="18"/>
        <v>0</v>
      </c>
      <c r="I1094" s="2">
        <f t="shared" si="19"/>
        <v>0</v>
      </c>
      <c r="J1094">
        <v>5.5</v>
      </c>
    </row>
    <row r="1095" spans="1:10" x14ac:dyDescent="0.3">
      <c r="A1095" t="s">
        <v>112</v>
      </c>
      <c r="B1095" t="s">
        <v>66</v>
      </c>
      <c r="C1095" s="4">
        <v>0.62643652800000005</v>
      </c>
      <c r="D1095" s="4">
        <v>0.57808694400000005</v>
      </c>
      <c r="E1095" s="18">
        <v>508</v>
      </c>
      <c r="G1095" s="4"/>
      <c r="H1095" s="4">
        <f t="shared" si="18"/>
        <v>0</v>
      </c>
      <c r="I1095" s="2">
        <f t="shared" si="19"/>
        <v>0</v>
      </c>
      <c r="J1095">
        <v>6</v>
      </c>
    </row>
    <row r="1096" spans="1:10" x14ac:dyDescent="0.3">
      <c r="A1096" t="s">
        <v>112</v>
      </c>
      <c r="B1096" t="s">
        <v>56</v>
      </c>
      <c r="C1096" s="4">
        <v>0.39984676499999999</v>
      </c>
      <c r="D1096" s="4">
        <v>0.450333333</v>
      </c>
      <c r="E1096" s="18">
        <v>509</v>
      </c>
      <c r="G1096" s="4"/>
      <c r="H1096" s="4">
        <f t="shared" si="18"/>
        <v>0</v>
      </c>
      <c r="I1096" s="2">
        <f t="shared" si="19"/>
        <v>0</v>
      </c>
      <c r="J1096">
        <v>13</v>
      </c>
    </row>
    <row r="1097" spans="1:10" x14ac:dyDescent="0.3">
      <c r="A1097" t="s">
        <v>112</v>
      </c>
      <c r="B1097" t="s">
        <v>39</v>
      </c>
      <c r="C1097" s="4">
        <v>0.590536375</v>
      </c>
      <c r="D1097" s="4">
        <v>0.61247410899999999</v>
      </c>
      <c r="E1097" s="18">
        <v>510</v>
      </c>
      <c r="G1097" s="4"/>
      <c r="H1097" s="4">
        <f t="shared" si="18"/>
        <v>0</v>
      </c>
      <c r="I1097" s="2">
        <f t="shared" si="19"/>
        <v>0</v>
      </c>
      <c r="J1097">
        <v>9</v>
      </c>
    </row>
    <row r="1098" spans="1:10" x14ac:dyDescent="0.3">
      <c r="A1098" t="s">
        <v>112</v>
      </c>
      <c r="B1098" t="s">
        <v>39</v>
      </c>
      <c r="C1098" s="4">
        <v>0.590536375</v>
      </c>
      <c r="D1098" s="4">
        <v>0.61247410899999999</v>
      </c>
      <c r="E1098" s="18">
        <v>511</v>
      </c>
      <c r="G1098" s="4"/>
      <c r="H1098" s="4">
        <f t="shared" si="18"/>
        <v>0</v>
      </c>
      <c r="I1098" s="2">
        <f t="shared" si="19"/>
        <v>0</v>
      </c>
      <c r="J1098">
        <v>10</v>
      </c>
    </row>
    <row r="1099" spans="1:10" x14ac:dyDescent="0.3">
      <c r="A1099" t="s">
        <v>112</v>
      </c>
      <c r="B1099" t="s">
        <v>39</v>
      </c>
      <c r="C1099" s="4">
        <v>0.590536375</v>
      </c>
      <c r="D1099" s="4">
        <v>0.61247410899999999</v>
      </c>
      <c r="E1099" s="18">
        <v>512</v>
      </c>
      <c r="G1099" s="4"/>
      <c r="H1099" s="4">
        <f t="shared" si="18"/>
        <v>0</v>
      </c>
      <c r="I1099" s="2">
        <f t="shared" si="19"/>
        <v>0</v>
      </c>
      <c r="J1099">
        <v>11</v>
      </c>
    </row>
    <row r="1100" spans="1:10" x14ac:dyDescent="0.3">
      <c r="A1100" t="s">
        <v>112</v>
      </c>
      <c r="B1100" t="s">
        <v>73</v>
      </c>
      <c r="C1100" s="4">
        <v>0.39</v>
      </c>
      <c r="D1100" s="4">
        <v>0.28861111099999998</v>
      </c>
      <c r="E1100" s="18">
        <v>513</v>
      </c>
      <c r="G1100" s="4"/>
      <c r="H1100" s="4">
        <f t="shared" si="18"/>
        <v>0</v>
      </c>
      <c r="I1100" s="2">
        <f t="shared" si="19"/>
        <v>0</v>
      </c>
      <c r="J1100">
        <v>4.5</v>
      </c>
    </row>
    <row r="1101" spans="1:10" x14ac:dyDescent="0.3">
      <c r="A1101" t="s">
        <v>114</v>
      </c>
      <c r="B1101" t="s">
        <v>72</v>
      </c>
      <c r="C1101" s="4">
        <v>0.43916666700000001</v>
      </c>
      <c r="D1101" s="4">
        <v>0.51877777800000002</v>
      </c>
      <c r="E1101" s="18">
        <v>514</v>
      </c>
      <c r="G1101" s="4"/>
      <c r="H1101" s="4">
        <f t="shared" ref="H1101:H1164" si="20">G1101/PI()</f>
        <v>0</v>
      </c>
      <c r="I1101" s="2">
        <f t="shared" si="19"/>
        <v>0</v>
      </c>
      <c r="J1101">
        <v>4</v>
      </c>
    </row>
    <row r="1102" spans="1:10" x14ac:dyDescent="0.3">
      <c r="A1102" t="s">
        <v>114</v>
      </c>
      <c r="B1102" t="s">
        <v>115</v>
      </c>
      <c r="C1102" s="4">
        <v>0.56572270000000002</v>
      </c>
      <c r="D1102" s="4">
        <v>0.61247410899999999</v>
      </c>
      <c r="E1102" s="18">
        <v>515</v>
      </c>
      <c r="G1102" s="4"/>
      <c r="H1102" s="4">
        <f t="shared" si="20"/>
        <v>0</v>
      </c>
      <c r="I1102" s="2">
        <f t="shared" si="19"/>
        <v>0</v>
      </c>
      <c r="J1102">
        <v>6</v>
      </c>
    </row>
    <row r="1103" spans="1:10" x14ac:dyDescent="0.3">
      <c r="A1103" t="s">
        <v>114</v>
      </c>
      <c r="B1103" t="s">
        <v>116</v>
      </c>
      <c r="C1103" s="4">
        <v>0.46921933300000002</v>
      </c>
      <c r="D1103" s="4">
        <v>0.46713991199999999</v>
      </c>
      <c r="E1103" s="18">
        <v>516</v>
      </c>
      <c r="G1103" s="4"/>
      <c r="H1103" s="4">
        <f t="shared" si="20"/>
        <v>0</v>
      </c>
      <c r="I1103" s="2">
        <f t="shared" si="19"/>
        <v>0</v>
      </c>
      <c r="J1103">
        <v>5</v>
      </c>
    </row>
    <row r="1104" spans="1:10" x14ac:dyDescent="0.3">
      <c r="A1104" t="s">
        <v>114</v>
      </c>
      <c r="B1104" t="s">
        <v>18</v>
      </c>
      <c r="C1104" s="4">
        <v>0.45255480399999998</v>
      </c>
      <c r="D1104" s="4">
        <v>0.57808694400000005</v>
      </c>
      <c r="E1104" s="18">
        <v>517</v>
      </c>
      <c r="G1104" s="4"/>
      <c r="H1104" s="4">
        <f t="shared" si="20"/>
        <v>0</v>
      </c>
      <c r="I1104" s="2">
        <f t="shared" si="19"/>
        <v>0</v>
      </c>
      <c r="J1104">
        <v>8</v>
      </c>
    </row>
    <row r="1105" spans="1:10" x14ac:dyDescent="0.3">
      <c r="A1105" t="s">
        <v>114</v>
      </c>
      <c r="B1105" t="s">
        <v>56</v>
      </c>
      <c r="C1105" s="4">
        <v>0.39984676499999999</v>
      </c>
      <c r="D1105" s="4">
        <v>0.450333333</v>
      </c>
      <c r="E1105" s="18">
        <v>518</v>
      </c>
      <c r="G1105" s="4"/>
      <c r="H1105" s="4">
        <f t="shared" si="20"/>
        <v>0</v>
      </c>
      <c r="I1105" s="2">
        <f t="shared" si="19"/>
        <v>0</v>
      </c>
      <c r="J1105">
        <v>7</v>
      </c>
    </row>
    <row r="1106" spans="1:10" x14ac:dyDescent="0.3">
      <c r="A1106" t="s">
        <v>114</v>
      </c>
      <c r="B1106" t="s">
        <v>117</v>
      </c>
      <c r="C1106" s="4">
        <v>0.56572270000000002</v>
      </c>
      <c r="D1106" s="4">
        <v>0.61247410899999999</v>
      </c>
      <c r="E1106" s="18">
        <v>519</v>
      </c>
      <c r="G1106" s="4"/>
      <c r="H1106" s="4">
        <f t="shared" si="20"/>
        <v>0</v>
      </c>
      <c r="I1106" s="2">
        <f t="shared" si="19"/>
        <v>0</v>
      </c>
      <c r="J1106">
        <v>6</v>
      </c>
    </row>
    <row r="1107" spans="1:10" x14ac:dyDescent="0.3">
      <c r="A1107" t="s">
        <v>114</v>
      </c>
      <c r="B1107" t="s">
        <v>118</v>
      </c>
      <c r="C1107" s="4">
        <v>0.56023871300000005</v>
      </c>
      <c r="D1107" s="4">
        <v>0.74103703700000001</v>
      </c>
      <c r="E1107" s="18">
        <v>520</v>
      </c>
      <c r="G1107" s="4"/>
      <c r="H1107" s="4">
        <f t="shared" si="20"/>
        <v>0</v>
      </c>
      <c r="I1107" s="2">
        <f t="shared" si="19"/>
        <v>0</v>
      </c>
      <c r="J1107">
        <v>6</v>
      </c>
    </row>
    <row r="1108" spans="1:10" x14ac:dyDescent="0.3">
      <c r="A1108" t="s">
        <v>114</v>
      </c>
      <c r="B1108" t="s">
        <v>107</v>
      </c>
      <c r="C1108" s="4">
        <v>0.53168696000000004</v>
      </c>
      <c r="D1108" s="4">
        <v>0.61247410899999999</v>
      </c>
      <c r="E1108" s="18">
        <v>521</v>
      </c>
      <c r="G1108" s="4"/>
      <c r="H1108" s="4">
        <f t="shared" si="20"/>
        <v>0</v>
      </c>
      <c r="I1108" s="2">
        <f t="shared" si="19"/>
        <v>0</v>
      </c>
      <c r="J1108">
        <v>9</v>
      </c>
    </row>
    <row r="1109" spans="1:10" x14ac:dyDescent="0.3">
      <c r="A1109" t="s">
        <v>114</v>
      </c>
      <c r="B1109" t="s">
        <v>107</v>
      </c>
      <c r="C1109" s="4">
        <v>0.53168696000000004</v>
      </c>
      <c r="D1109" s="4">
        <v>0.61247410899999999</v>
      </c>
      <c r="E1109" s="18">
        <v>522</v>
      </c>
      <c r="G1109" s="4"/>
      <c r="H1109" s="4">
        <f t="shared" si="20"/>
        <v>0</v>
      </c>
      <c r="I1109" s="2">
        <f t="shared" si="19"/>
        <v>0</v>
      </c>
      <c r="J1109">
        <v>6</v>
      </c>
    </row>
    <row r="1110" spans="1:10" x14ac:dyDescent="0.3">
      <c r="A1110" t="s">
        <v>114</v>
      </c>
      <c r="B1110" t="s">
        <v>119</v>
      </c>
      <c r="C1110" s="4">
        <v>0.432770245</v>
      </c>
      <c r="D1110" s="4">
        <v>0.61247410899999999</v>
      </c>
      <c r="E1110" s="18">
        <v>523</v>
      </c>
      <c r="G1110" s="4"/>
      <c r="H1110" s="4">
        <f t="shared" si="20"/>
        <v>0</v>
      </c>
      <c r="I1110" s="2">
        <f t="shared" si="19"/>
        <v>0</v>
      </c>
      <c r="J1110">
        <v>5</v>
      </c>
    </row>
    <row r="1111" spans="1:10" x14ac:dyDescent="0.3">
      <c r="A1111" t="s">
        <v>114</v>
      </c>
      <c r="B1111" t="s">
        <v>120</v>
      </c>
      <c r="C1111" s="4">
        <v>0.98708677300000003</v>
      </c>
      <c r="D1111" s="4">
        <v>0.60285714300000004</v>
      </c>
      <c r="E1111" s="18">
        <v>524</v>
      </c>
      <c r="G1111" s="4"/>
      <c r="H1111" s="4">
        <f t="shared" si="20"/>
        <v>0</v>
      </c>
      <c r="I1111" s="2">
        <f t="shared" ref="I1111:I1174" si="21">PI()*(H1111/2)^2</f>
        <v>0</v>
      </c>
      <c r="J1111">
        <v>7</v>
      </c>
    </row>
    <row r="1112" spans="1:10" x14ac:dyDescent="0.3">
      <c r="A1112" t="s">
        <v>114</v>
      </c>
      <c r="B1112" t="s">
        <v>120</v>
      </c>
      <c r="C1112" s="4">
        <v>0.98708677300000003</v>
      </c>
      <c r="D1112" s="4">
        <v>0.60285714300000004</v>
      </c>
      <c r="E1112" s="18">
        <v>525</v>
      </c>
      <c r="G1112" s="4"/>
      <c r="H1112" s="4">
        <f t="shared" si="20"/>
        <v>0</v>
      </c>
      <c r="I1112" s="2">
        <f t="shared" si="21"/>
        <v>0</v>
      </c>
      <c r="J1112">
        <v>6</v>
      </c>
    </row>
    <row r="1113" spans="1:10" x14ac:dyDescent="0.3">
      <c r="A1113" t="s">
        <v>114</v>
      </c>
      <c r="B1113" t="s">
        <v>120</v>
      </c>
      <c r="C1113" s="4">
        <v>0.98708677300000003</v>
      </c>
      <c r="D1113" s="4">
        <v>0.60285714300000004</v>
      </c>
      <c r="E1113" s="18">
        <v>526</v>
      </c>
      <c r="G1113" s="4"/>
      <c r="H1113" s="4">
        <f t="shared" si="20"/>
        <v>0</v>
      </c>
      <c r="I1113" s="2">
        <f t="shared" si="21"/>
        <v>0</v>
      </c>
      <c r="J1113">
        <v>9</v>
      </c>
    </row>
    <row r="1114" spans="1:10" x14ac:dyDescent="0.3">
      <c r="A1114" t="s">
        <v>114</v>
      </c>
      <c r="B1114" t="s">
        <v>62</v>
      </c>
      <c r="C1114" s="4">
        <v>0.693333333</v>
      </c>
      <c r="D1114" s="4">
        <v>0.64166666699999997</v>
      </c>
      <c r="E1114" s="18">
        <v>527</v>
      </c>
      <c r="G1114" s="4"/>
      <c r="H1114" s="4">
        <f t="shared" si="20"/>
        <v>0</v>
      </c>
      <c r="I1114" s="2">
        <f t="shared" si="21"/>
        <v>0</v>
      </c>
      <c r="J1114">
        <v>6.8</v>
      </c>
    </row>
    <row r="1115" spans="1:10" x14ac:dyDescent="0.3">
      <c r="A1115" t="s">
        <v>114</v>
      </c>
      <c r="B1115" t="s">
        <v>62</v>
      </c>
      <c r="C1115" s="4">
        <v>0.693333333</v>
      </c>
      <c r="D1115" s="4">
        <v>0.64166666699999997</v>
      </c>
      <c r="E1115" s="18">
        <v>528</v>
      </c>
      <c r="G1115" s="4"/>
      <c r="H1115" s="4">
        <f t="shared" si="20"/>
        <v>0</v>
      </c>
      <c r="I1115" s="2">
        <f t="shared" si="21"/>
        <v>0</v>
      </c>
      <c r="J1115">
        <v>6</v>
      </c>
    </row>
    <row r="1116" spans="1:10" x14ac:dyDescent="0.3">
      <c r="A1116" t="s">
        <v>121</v>
      </c>
      <c r="B1116" t="s">
        <v>75</v>
      </c>
      <c r="C1116" s="4">
        <v>0.86</v>
      </c>
      <c r="D1116" s="4">
        <v>0.65666666699999998</v>
      </c>
      <c r="E1116" s="18">
        <v>529</v>
      </c>
      <c r="G1116" s="4"/>
      <c r="H1116" s="4">
        <f t="shared" si="20"/>
        <v>0</v>
      </c>
      <c r="I1116" s="2">
        <f t="shared" si="21"/>
        <v>0</v>
      </c>
      <c r="J1116">
        <v>7</v>
      </c>
    </row>
    <row r="1117" spans="1:10" x14ac:dyDescent="0.3">
      <c r="A1117" t="s">
        <v>121</v>
      </c>
      <c r="B1117" t="s">
        <v>51</v>
      </c>
      <c r="C1117" s="4">
        <v>0.40257753800000001</v>
      </c>
      <c r="D1117" s="4">
        <v>0.40843333300000001</v>
      </c>
      <c r="E1117" s="18">
        <v>530</v>
      </c>
      <c r="G1117" s="4"/>
      <c r="H1117" s="4">
        <f t="shared" si="20"/>
        <v>0</v>
      </c>
      <c r="I1117" s="2">
        <f t="shared" si="21"/>
        <v>0</v>
      </c>
      <c r="J1117">
        <v>6</v>
      </c>
    </row>
    <row r="1118" spans="1:10" x14ac:dyDescent="0.3">
      <c r="A1118" t="s">
        <v>121</v>
      </c>
      <c r="B1118" t="s">
        <v>26</v>
      </c>
      <c r="C1118" s="4">
        <v>0.80908761900000004</v>
      </c>
      <c r="D1118" s="4">
        <v>0.87473809499999999</v>
      </c>
      <c r="E1118" s="18">
        <v>531</v>
      </c>
      <c r="G1118" s="4"/>
      <c r="H1118" s="4">
        <f t="shared" si="20"/>
        <v>0</v>
      </c>
      <c r="I1118" s="2">
        <f t="shared" si="21"/>
        <v>0</v>
      </c>
      <c r="J1118">
        <v>8</v>
      </c>
    </row>
    <row r="1119" spans="1:10" x14ac:dyDescent="0.3">
      <c r="A1119" t="s">
        <v>121</v>
      </c>
      <c r="B1119" t="s">
        <v>85</v>
      </c>
      <c r="C1119" s="4">
        <v>0.6</v>
      </c>
      <c r="D1119" s="4">
        <v>0.66674999999999995</v>
      </c>
      <c r="E1119" s="18">
        <v>532</v>
      </c>
      <c r="G1119" s="4"/>
      <c r="H1119" s="4">
        <f t="shared" si="20"/>
        <v>0</v>
      </c>
      <c r="I1119" s="2">
        <f t="shared" si="21"/>
        <v>0</v>
      </c>
      <c r="J1119">
        <v>5</v>
      </c>
    </row>
    <row r="1120" spans="1:10" x14ac:dyDescent="0.3">
      <c r="A1120" t="s">
        <v>121</v>
      </c>
      <c r="B1120" t="s">
        <v>18</v>
      </c>
      <c r="C1120" s="4">
        <v>0.45255480399999998</v>
      </c>
      <c r="D1120" s="4">
        <v>0.57808694400000005</v>
      </c>
      <c r="E1120" s="18">
        <v>533</v>
      </c>
      <c r="G1120" s="4"/>
      <c r="H1120" s="4">
        <f t="shared" si="20"/>
        <v>0</v>
      </c>
      <c r="I1120" s="2">
        <f t="shared" si="21"/>
        <v>0</v>
      </c>
      <c r="J1120">
        <v>6</v>
      </c>
    </row>
    <row r="1121" spans="1:10" x14ac:dyDescent="0.3">
      <c r="A1121" t="s">
        <v>121</v>
      </c>
      <c r="B1121" t="s">
        <v>18</v>
      </c>
      <c r="C1121" s="4">
        <v>0.45255480399999998</v>
      </c>
      <c r="D1121" s="4">
        <v>0.57808694400000005</v>
      </c>
      <c r="E1121" s="18">
        <v>534</v>
      </c>
      <c r="G1121" s="4"/>
      <c r="H1121" s="4">
        <f t="shared" si="20"/>
        <v>0</v>
      </c>
      <c r="I1121" s="2">
        <f t="shared" si="21"/>
        <v>0</v>
      </c>
      <c r="J1121">
        <v>5</v>
      </c>
    </row>
    <row r="1122" spans="1:10" x14ac:dyDescent="0.3">
      <c r="A1122" t="s">
        <v>121</v>
      </c>
      <c r="B1122" t="s">
        <v>18</v>
      </c>
      <c r="C1122" s="4">
        <v>0.45255480399999998</v>
      </c>
      <c r="D1122" s="4">
        <v>0.57808694400000005</v>
      </c>
      <c r="E1122" s="18">
        <v>535</v>
      </c>
      <c r="G1122" s="4"/>
      <c r="H1122" s="4">
        <f t="shared" si="20"/>
        <v>0</v>
      </c>
      <c r="I1122" s="2">
        <f t="shared" si="21"/>
        <v>0</v>
      </c>
      <c r="J1122">
        <v>5.5</v>
      </c>
    </row>
    <row r="1123" spans="1:10" x14ac:dyDescent="0.3">
      <c r="A1123" t="s">
        <v>121</v>
      </c>
      <c r="B1123" t="s">
        <v>18</v>
      </c>
      <c r="C1123" s="4">
        <v>0.45255480399999998</v>
      </c>
      <c r="D1123" s="4">
        <v>0.57808694400000005</v>
      </c>
      <c r="E1123" s="18">
        <v>536</v>
      </c>
      <c r="G1123" s="4"/>
      <c r="H1123" s="4">
        <f t="shared" si="20"/>
        <v>0</v>
      </c>
      <c r="I1123" s="2">
        <f t="shared" si="21"/>
        <v>0</v>
      </c>
      <c r="J1123">
        <v>5</v>
      </c>
    </row>
    <row r="1124" spans="1:10" x14ac:dyDescent="0.3">
      <c r="A1124" t="s">
        <v>121</v>
      </c>
      <c r="B1124" t="s">
        <v>18</v>
      </c>
      <c r="C1124" s="4">
        <v>0.45255480399999998</v>
      </c>
      <c r="D1124" s="4">
        <v>0.57808694400000005</v>
      </c>
      <c r="E1124" s="18">
        <v>537</v>
      </c>
      <c r="G1124" s="4"/>
      <c r="H1124" s="4">
        <f t="shared" si="20"/>
        <v>0</v>
      </c>
      <c r="I1124" s="2">
        <f t="shared" si="21"/>
        <v>0</v>
      </c>
      <c r="J1124">
        <v>6</v>
      </c>
    </row>
    <row r="1125" spans="1:10" x14ac:dyDescent="0.3">
      <c r="A1125" t="s">
        <v>121</v>
      </c>
      <c r="B1125" t="s">
        <v>56</v>
      </c>
      <c r="C1125" s="4">
        <v>0.39984676499999999</v>
      </c>
      <c r="D1125" s="4">
        <v>0.450333333</v>
      </c>
      <c r="E1125" s="18">
        <v>538</v>
      </c>
      <c r="G1125" s="4"/>
      <c r="H1125" s="4">
        <f t="shared" si="20"/>
        <v>0</v>
      </c>
      <c r="I1125" s="2">
        <f t="shared" si="21"/>
        <v>0</v>
      </c>
      <c r="J1125">
        <v>8</v>
      </c>
    </row>
    <row r="1126" spans="1:10" x14ac:dyDescent="0.3">
      <c r="A1126" t="s">
        <v>121</v>
      </c>
      <c r="B1126" t="s">
        <v>56</v>
      </c>
      <c r="C1126" s="4">
        <v>0.39984676499999999</v>
      </c>
      <c r="D1126" s="4">
        <v>0.450333333</v>
      </c>
      <c r="E1126" s="18">
        <v>539</v>
      </c>
      <c r="G1126" s="4"/>
      <c r="H1126" s="4">
        <f t="shared" si="20"/>
        <v>0</v>
      </c>
      <c r="I1126" s="2">
        <f t="shared" si="21"/>
        <v>0</v>
      </c>
      <c r="J1126">
        <v>9</v>
      </c>
    </row>
    <row r="1127" spans="1:10" x14ac:dyDescent="0.3">
      <c r="A1127" t="s">
        <v>121</v>
      </c>
      <c r="B1127" t="s">
        <v>122</v>
      </c>
      <c r="C1127" s="4">
        <v>0.85750000000000004</v>
      </c>
      <c r="D1127" s="4">
        <v>0.61247410899999999</v>
      </c>
      <c r="E1127" s="18">
        <v>540</v>
      </c>
      <c r="G1127" s="4"/>
      <c r="H1127" s="4">
        <f t="shared" si="20"/>
        <v>0</v>
      </c>
      <c r="I1127" s="2">
        <f t="shared" si="21"/>
        <v>0</v>
      </c>
      <c r="J1127">
        <v>7</v>
      </c>
    </row>
    <row r="1128" spans="1:10" x14ac:dyDescent="0.3">
      <c r="A1128" t="s">
        <v>121</v>
      </c>
      <c r="B1128" t="s">
        <v>119</v>
      </c>
      <c r="C1128" s="4">
        <v>0.432770245</v>
      </c>
      <c r="D1128" s="4">
        <v>0.61247410899999999</v>
      </c>
      <c r="E1128" s="18">
        <v>541</v>
      </c>
      <c r="G1128" s="4"/>
      <c r="H1128" s="4">
        <f t="shared" si="20"/>
        <v>0</v>
      </c>
      <c r="I1128" s="2">
        <f t="shared" si="21"/>
        <v>0</v>
      </c>
      <c r="J1128">
        <v>5</v>
      </c>
    </row>
    <row r="1129" spans="1:10" x14ac:dyDescent="0.3">
      <c r="A1129" t="s">
        <v>121</v>
      </c>
      <c r="B1129" t="s">
        <v>73</v>
      </c>
      <c r="C1129" s="4">
        <v>0.39</v>
      </c>
      <c r="D1129" s="4">
        <v>0.28861111099999998</v>
      </c>
      <c r="E1129" s="18">
        <v>542</v>
      </c>
      <c r="G1129" s="4"/>
      <c r="H1129" s="4">
        <f t="shared" si="20"/>
        <v>0</v>
      </c>
      <c r="I1129" s="2">
        <f t="shared" si="21"/>
        <v>0</v>
      </c>
      <c r="J1129">
        <v>6</v>
      </c>
    </row>
    <row r="1130" spans="1:10" x14ac:dyDescent="0.3">
      <c r="A1130" t="s">
        <v>121</v>
      </c>
      <c r="B1130" t="s">
        <v>28</v>
      </c>
      <c r="C1130" s="4">
        <v>0.48464433800000001</v>
      </c>
      <c r="D1130" s="4">
        <v>0.62688577999999995</v>
      </c>
      <c r="E1130" s="18">
        <v>543</v>
      </c>
      <c r="G1130" s="4"/>
      <c r="H1130" s="4">
        <f t="shared" si="20"/>
        <v>0</v>
      </c>
      <c r="I1130" s="2">
        <f t="shared" si="21"/>
        <v>0</v>
      </c>
      <c r="J1130">
        <v>5</v>
      </c>
    </row>
    <row r="1131" spans="1:10" x14ac:dyDescent="0.3">
      <c r="A1131" t="s">
        <v>121</v>
      </c>
      <c r="B1131" t="s">
        <v>120</v>
      </c>
      <c r="C1131" s="4">
        <v>0.98708677300000003</v>
      </c>
      <c r="D1131" s="4">
        <v>0.60285714300000004</v>
      </c>
      <c r="E1131" s="18">
        <v>544</v>
      </c>
      <c r="G1131" s="4"/>
      <c r="H1131" s="4">
        <f t="shared" si="20"/>
        <v>0</v>
      </c>
      <c r="I1131" s="2">
        <f t="shared" si="21"/>
        <v>0</v>
      </c>
      <c r="J1131">
        <v>7</v>
      </c>
    </row>
    <row r="1132" spans="1:10" x14ac:dyDescent="0.3">
      <c r="A1132" t="s">
        <v>121</v>
      </c>
      <c r="B1132" t="s">
        <v>109</v>
      </c>
      <c r="C1132" s="4">
        <v>0.470857311</v>
      </c>
      <c r="D1132" s="4">
        <v>0.375</v>
      </c>
      <c r="E1132" s="18">
        <v>545</v>
      </c>
      <c r="G1132" s="4"/>
      <c r="H1132" s="4">
        <f t="shared" si="20"/>
        <v>0</v>
      </c>
      <c r="I1132" s="2">
        <f t="shared" si="21"/>
        <v>0</v>
      </c>
      <c r="J1132">
        <v>5</v>
      </c>
    </row>
    <row r="1133" spans="1:10" x14ac:dyDescent="0.3">
      <c r="A1133" t="s">
        <v>121</v>
      </c>
      <c r="B1133" t="s">
        <v>94</v>
      </c>
      <c r="C1133" s="4">
        <v>0.28577490700000002</v>
      </c>
      <c r="D1133" s="4">
        <v>0.3422</v>
      </c>
      <c r="E1133" s="18">
        <v>546</v>
      </c>
      <c r="G1133" s="4"/>
      <c r="H1133" s="4">
        <f t="shared" si="20"/>
        <v>0</v>
      </c>
      <c r="I1133" s="2">
        <f t="shared" si="21"/>
        <v>0</v>
      </c>
      <c r="J1133">
        <v>6</v>
      </c>
    </row>
    <row r="1134" spans="1:10" x14ac:dyDescent="0.3">
      <c r="A1134" t="s">
        <v>123</v>
      </c>
      <c r="B1134" t="s">
        <v>75</v>
      </c>
      <c r="C1134" s="4">
        <v>0.86</v>
      </c>
      <c r="D1134" s="4">
        <v>0.65666666699999998</v>
      </c>
      <c r="E1134" s="18">
        <v>547</v>
      </c>
      <c r="G1134" s="4"/>
      <c r="H1134" s="4">
        <f t="shared" si="20"/>
        <v>0</v>
      </c>
      <c r="I1134" s="2">
        <f t="shared" si="21"/>
        <v>0</v>
      </c>
      <c r="J1134">
        <v>8</v>
      </c>
    </row>
    <row r="1135" spans="1:10" x14ac:dyDescent="0.3">
      <c r="A1135" t="s">
        <v>123</v>
      </c>
      <c r="B1135" t="s">
        <v>60</v>
      </c>
      <c r="C1135" s="4">
        <v>0.41</v>
      </c>
      <c r="D1135" s="4">
        <v>0.33983503399999998</v>
      </c>
      <c r="E1135" s="18">
        <v>548</v>
      </c>
      <c r="G1135" s="4"/>
      <c r="H1135" s="4">
        <f t="shared" si="20"/>
        <v>0</v>
      </c>
      <c r="I1135" s="2">
        <f t="shared" si="21"/>
        <v>0</v>
      </c>
      <c r="J1135">
        <v>7</v>
      </c>
    </row>
    <row r="1136" spans="1:10" x14ac:dyDescent="0.3">
      <c r="A1136" t="s">
        <v>123</v>
      </c>
      <c r="B1136" t="s">
        <v>124</v>
      </c>
      <c r="C1136" s="4">
        <v>0.64800000000000002</v>
      </c>
      <c r="D1136" s="4">
        <v>0.66733333299999997</v>
      </c>
      <c r="E1136" s="18">
        <v>549</v>
      </c>
      <c r="G1136" s="4"/>
      <c r="H1136" s="4">
        <f t="shared" si="20"/>
        <v>0</v>
      </c>
      <c r="I1136" s="2">
        <f t="shared" si="21"/>
        <v>0</v>
      </c>
      <c r="J1136">
        <v>7</v>
      </c>
    </row>
    <row r="1137" spans="1:10" x14ac:dyDescent="0.3">
      <c r="A1137" t="s">
        <v>123</v>
      </c>
      <c r="B1137" t="s">
        <v>85</v>
      </c>
      <c r="C1137" s="4">
        <v>0.6</v>
      </c>
      <c r="D1137" s="4">
        <v>0.66674999999999995</v>
      </c>
      <c r="E1137" s="18">
        <v>550</v>
      </c>
      <c r="G1137" s="4"/>
      <c r="H1137" s="4">
        <f t="shared" si="20"/>
        <v>0</v>
      </c>
      <c r="I1137" s="2">
        <f t="shared" si="21"/>
        <v>0</v>
      </c>
      <c r="J1137">
        <v>6</v>
      </c>
    </row>
    <row r="1138" spans="1:10" x14ac:dyDescent="0.3">
      <c r="A1138" t="s">
        <v>123</v>
      </c>
      <c r="B1138" t="s">
        <v>113</v>
      </c>
      <c r="C1138" s="4">
        <v>0.6</v>
      </c>
      <c r="D1138" s="4">
        <v>0.51040266700000003</v>
      </c>
      <c r="E1138" s="18">
        <v>551</v>
      </c>
      <c r="G1138" s="4"/>
      <c r="H1138" s="4">
        <f t="shared" si="20"/>
        <v>0</v>
      </c>
      <c r="I1138" s="2">
        <f t="shared" si="21"/>
        <v>0</v>
      </c>
      <c r="J1138">
        <v>8</v>
      </c>
    </row>
    <row r="1139" spans="1:10" x14ac:dyDescent="0.3">
      <c r="A1139" t="s">
        <v>123</v>
      </c>
      <c r="B1139" t="s">
        <v>125</v>
      </c>
      <c r="C1139" s="4">
        <v>0.51642601200000005</v>
      </c>
      <c r="D1139" s="4">
        <v>0.60835714299999999</v>
      </c>
      <c r="E1139" s="18">
        <v>552</v>
      </c>
      <c r="G1139" s="4"/>
      <c r="H1139" s="4">
        <f t="shared" si="20"/>
        <v>0</v>
      </c>
      <c r="I1139" s="2">
        <f t="shared" si="21"/>
        <v>0</v>
      </c>
      <c r="J1139">
        <v>4</v>
      </c>
    </row>
    <row r="1140" spans="1:10" x14ac:dyDescent="0.3">
      <c r="A1140" t="s">
        <v>123</v>
      </c>
      <c r="B1140" t="s">
        <v>126</v>
      </c>
      <c r="C1140" s="4">
        <v>0.490852183</v>
      </c>
      <c r="D1140" s="4">
        <v>0.607288889</v>
      </c>
      <c r="E1140" s="18">
        <v>553</v>
      </c>
      <c r="G1140" s="4"/>
      <c r="H1140" s="4">
        <f t="shared" si="20"/>
        <v>0</v>
      </c>
      <c r="I1140" s="2">
        <f t="shared" si="21"/>
        <v>0</v>
      </c>
      <c r="J1140">
        <v>4</v>
      </c>
    </row>
    <row r="1141" spans="1:10" x14ac:dyDescent="0.3">
      <c r="A1141" t="s">
        <v>123</v>
      </c>
      <c r="B1141" t="s">
        <v>126</v>
      </c>
      <c r="C1141" s="4">
        <v>0.490852183</v>
      </c>
      <c r="D1141" s="4">
        <v>0.607288889</v>
      </c>
      <c r="E1141" s="18">
        <v>554</v>
      </c>
      <c r="G1141" s="4"/>
      <c r="H1141" s="4">
        <f t="shared" si="20"/>
        <v>0</v>
      </c>
      <c r="I1141" s="2">
        <f t="shared" si="21"/>
        <v>0</v>
      </c>
      <c r="J1141">
        <v>5</v>
      </c>
    </row>
    <row r="1142" spans="1:10" x14ac:dyDescent="0.3">
      <c r="A1142" t="s">
        <v>123</v>
      </c>
      <c r="B1142" t="s">
        <v>18</v>
      </c>
      <c r="C1142" s="4">
        <v>0.45255480399999998</v>
      </c>
      <c r="D1142" s="4">
        <v>0.57808694400000005</v>
      </c>
      <c r="E1142" s="18">
        <v>555</v>
      </c>
      <c r="G1142" s="4"/>
      <c r="H1142" s="4">
        <f t="shared" si="20"/>
        <v>0</v>
      </c>
      <c r="I1142" s="2">
        <f t="shared" si="21"/>
        <v>0</v>
      </c>
      <c r="J1142">
        <v>9</v>
      </c>
    </row>
    <row r="1143" spans="1:10" x14ac:dyDescent="0.3">
      <c r="A1143" t="s">
        <v>123</v>
      </c>
      <c r="B1143" t="s">
        <v>18</v>
      </c>
      <c r="C1143" s="4">
        <v>0.45255480399999998</v>
      </c>
      <c r="D1143" s="4">
        <v>0.57808694400000005</v>
      </c>
      <c r="E1143" s="18">
        <v>556</v>
      </c>
      <c r="G1143" s="4"/>
      <c r="H1143" s="4">
        <f t="shared" si="20"/>
        <v>0</v>
      </c>
      <c r="I1143" s="2">
        <f t="shared" si="21"/>
        <v>0</v>
      </c>
      <c r="J1143">
        <v>10</v>
      </c>
    </row>
    <row r="1144" spans="1:10" x14ac:dyDescent="0.3">
      <c r="A1144" t="s">
        <v>123</v>
      </c>
      <c r="B1144" t="s">
        <v>56</v>
      </c>
      <c r="C1144" s="4">
        <v>0.39984676499999999</v>
      </c>
      <c r="D1144" s="4">
        <v>0.450333333</v>
      </c>
      <c r="E1144" s="18">
        <v>557</v>
      </c>
      <c r="G1144" s="4"/>
      <c r="H1144" s="4">
        <f t="shared" si="20"/>
        <v>0</v>
      </c>
      <c r="I1144" s="2">
        <f t="shared" si="21"/>
        <v>0</v>
      </c>
      <c r="J1144">
        <v>9</v>
      </c>
    </row>
    <row r="1145" spans="1:10" x14ac:dyDescent="0.3">
      <c r="A1145" t="s">
        <v>123</v>
      </c>
      <c r="B1145" t="s">
        <v>39</v>
      </c>
      <c r="C1145" s="4">
        <v>0.590536375</v>
      </c>
      <c r="D1145" s="4">
        <v>0.61247410899999999</v>
      </c>
      <c r="E1145" s="18">
        <v>558</v>
      </c>
      <c r="G1145" s="4"/>
      <c r="H1145" s="4">
        <f t="shared" si="20"/>
        <v>0</v>
      </c>
      <c r="I1145" s="2">
        <f t="shared" si="21"/>
        <v>0</v>
      </c>
      <c r="J1145">
        <v>7</v>
      </c>
    </row>
    <row r="1146" spans="1:10" x14ac:dyDescent="0.3">
      <c r="A1146" t="s">
        <v>123</v>
      </c>
      <c r="B1146" t="s">
        <v>28</v>
      </c>
      <c r="C1146" s="4">
        <v>0.48464433800000001</v>
      </c>
      <c r="D1146" s="4">
        <v>0.62688577999999995</v>
      </c>
      <c r="E1146" s="18">
        <v>559</v>
      </c>
      <c r="G1146" s="4"/>
      <c r="H1146" s="4">
        <f t="shared" si="20"/>
        <v>0</v>
      </c>
      <c r="I1146" s="2">
        <f t="shared" si="21"/>
        <v>0</v>
      </c>
      <c r="J1146">
        <v>7</v>
      </c>
    </row>
    <row r="1147" spans="1:10" x14ac:dyDescent="0.3">
      <c r="A1147" t="s">
        <v>123</v>
      </c>
      <c r="B1147" t="s">
        <v>47</v>
      </c>
      <c r="C1147" s="4">
        <v>0.40238543599999999</v>
      </c>
      <c r="D1147" s="4">
        <v>0.40883333300000002</v>
      </c>
      <c r="E1147" s="18">
        <v>560</v>
      </c>
      <c r="G1147" s="4"/>
      <c r="H1147" s="4">
        <f t="shared" si="20"/>
        <v>0</v>
      </c>
      <c r="I1147" s="2">
        <f t="shared" si="21"/>
        <v>0</v>
      </c>
      <c r="J1147">
        <v>6</v>
      </c>
    </row>
    <row r="1148" spans="1:10" x14ac:dyDescent="0.3">
      <c r="A1148" t="s">
        <v>123</v>
      </c>
      <c r="B1148" t="s">
        <v>47</v>
      </c>
      <c r="C1148" s="4">
        <v>0.40238543599999999</v>
      </c>
      <c r="D1148" s="4">
        <v>0.40883333300000002</v>
      </c>
      <c r="E1148" s="18">
        <v>561</v>
      </c>
      <c r="G1148" s="4"/>
      <c r="H1148" s="4">
        <f t="shared" si="20"/>
        <v>0</v>
      </c>
      <c r="I1148" s="2">
        <f t="shared" si="21"/>
        <v>0</v>
      </c>
      <c r="J1148">
        <v>8</v>
      </c>
    </row>
    <row r="1149" spans="1:10" x14ac:dyDescent="0.3">
      <c r="A1149" t="s">
        <v>123</v>
      </c>
      <c r="B1149" t="s">
        <v>47</v>
      </c>
      <c r="C1149" s="4">
        <v>0.40238543599999999</v>
      </c>
      <c r="D1149" s="4">
        <v>0.40883333300000002</v>
      </c>
      <c r="E1149" s="18">
        <v>562</v>
      </c>
      <c r="G1149" s="4"/>
      <c r="H1149" s="4">
        <f t="shared" si="20"/>
        <v>0</v>
      </c>
      <c r="I1149" s="2">
        <f t="shared" si="21"/>
        <v>0</v>
      </c>
      <c r="J1149">
        <v>7</v>
      </c>
    </row>
    <row r="1150" spans="1:10" x14ac:dyDescent="0.3">
      <c r="A1150" t="s">
        <v>127</v>
      </c>
      <c r="B1150" t="s">
        <v>51</v>
      </c>
      <c r="C1150" s="4">
        <v>0.40257753800000001</v>
      </c>
      <c r="D1150" s="4">
        <v>0.40843333300000001</v>
      </c>
      <c r="E1150" s="18">
        <v>563</v>
      </c>
      <c r="G1150" s="4"/>
      <c r="H1150" s="4">
        <f t="shared" si="20"/>
        <v>0</v>
      </c>
      <c r="I1150" s="2">
        <f t="shared" si="21"/>
        <v>0</v>
      </c>
      <c r="J1150">
        <v>8</v>
      </c>
    </row>
    <row r="1151" spans="1:10" x14ac:dyDescent="0.3">
      <c r="A1151" t="s">
        <v>127</v>
      </c>
      <c r="B1151" t="s">
        <v>69</v>
      </c>
      <c r="C1151" s="4">
        <v>0.31264018999999998</v>
      </c>
      <c r="D1151" s="4">
        <v>0.356821212</v>
      </c>
      <c r="E1151" s="18">
        <v>564</v>
      </c>
      <c r="G1151" s="4"/>
      <c r="H1151" s="4">
        <f t="shared" si="20"/>
        <v>0</v>
      </c>
      <c r="I1151" s="2">
        <f t="shared" si="21"/>
        <v>0</v>
      </c>
      <c r="J1151">
        <v>4.5</v>
      </c>
    </row>
    <row r="1152" spans="1:10" x14ac:dyDescent="0.3">
      <c r="A1152" t="s">
        <v>127</v>
      </c>
      <c r="B1152" t="s">
        <v>124</v>
      </c>
      <c r="C1152" s="4">
        <v>0.64800000000000002</v>
      </c>
      <c r="D1152" s="4">
        <v>0.66733333299999997</v>
      </c>
      <c r="E1152" s="18">
        <v>565</v>
      </c>
      <c r="G1152" s="4"/>
      <c r="H1152" s="4">
        <f t="shared" si="20"/>
        <v>0</v>
      </c>
      <c r="I1152" s="2">
        <f t="shared" si="21"/>
        <v>0</v>
      </c>
      <c r="J1152">
        <v>7</v>
      </c>
    </row>
    <row r="1153" spans="1:10" x14ac:dyDescent="0.3">
      <c r="A1153" t="s">
        <v>127</v>
      </c>
      <c r="B1153" t="s">
        <v>115</v>
      </c>
      <c r="C1153" s="4">
        <v>0.56572270000000002</v>
      </c>
      <c r="D1153" s="4">
        <v>0.61247410899999999</v>
      </c>
      <c r="E1153" s="18">
        <v>566</v>
      </c>
      <c r="G1153" s="4"/>
      <c r="H1153" s="4">
        <f t="shared" si="20"/>
        <v>0</v>
      </c>
      <c r="I1153" s="2">
        <f t="shared" si="21"/>
        <v>0</v>
      </c>
      <c r="J1153">
        <v>8</v>
      </c>
    </row>
    <row r="1154" spans="1:10" x14ac:dyDescent="0.3">
      <c r="A1154" t="s">
        <v>127</v>
      </c>
      <c r="B1154" t="s">
        <v>113</v>
      </c>
      <c r="C1154" s="4">
        <v>0.6</v>
      </c>
      <c r="D1154" s="4">
        <v>0.51040266700000003</v>
      </c>
      <c r="E1154" s="18">
        <v>567</v>
      </c>
      <c r="G1154" s="4"/>
      <c r="H1154" s="4">
        <f t="shared" si="20"/>
        <v>0</v>
      </c>
      <c r="I1154" s="2">
        <f t="shared" si="21"/>
        <v>0</v>
      </c>
      <c r="J1154">
        <v>6</v>
      </c>
    </row>
    <row r="1155" spans="1:10" x14ac:dyDescent="0.3">
      <c r="A1155" t="s">
        <v>127</v>
      </c>
      <c r="B1155" t="s">
        <v>126</v>
      </c>
      <c r="C1155" s="4">
        <v>0.490852183</v>
      </c>
      <c r="D1155" s="4">
        <v>0.607288889</v>
      </c>
      <c r="E1155" s="18">
        <v>568</v>
      </c>
      <c r="G1155" s="4"/>
      <c r="H1155" s="4">
        <f t="shared" si="20"/>
        <v>0</v>
      </c>
      <c r="I1155" s="2">
        <f t="shared" si="21"/>
        <v>0</v>
      </c>
      <c r="J1155">
        <v>6</v>
      </c>
    </row>
    <row r="1156" spans="1:10" x14ac:dyDescent="0.3">
      <c r="A1156" t="s">
        <v>127</v>
      </c>
      <c r="B1156" t="s">
        <v>18</v>
      </c>
      <c r="C1156" s="4">
        <v>0.45255480399999998</v>
      </c>
      <c r="D1156" s="4">
        <v>0.57808694400000005</v>
      </c>
      <c r="E1156" s="18">
        <v>569</v>
      </c>
      <c r="G1156" s="4"/>
      <c r="H1156" s="4">
        <f t="shared" si="20"/>
        <v>0</v>
      </c>
      <c r="I1156" s="2">
        <f t="shared" si="21"/>
        <v>0</v>
      </c>
      <c r="J1156">
        <v>6</v>
      </c>
    </row>
    <row r="1157" spans="1:10" x14ac:dyDescent="0.3">
      <c r="A1157" t="s">
        <v>127</v>
      </c>
      <c r="B1157" t="s">
        <v>18</v>
      </c>
      <c r="C1157" s="4">
        <v>0.45255480399999998</v>
      </c>
      <c r="D1157" s="4">
        <v>0.57808694400000005</v>
      </c>
      <c r="E1157" s="18">
        <v>570</v>
      </c>
      <c r="G1157" s="4"/>
      <c r="H1157" s="4">
        <f t="shared" si="20"/>
        <v>0</v>
      </c>
      <c r="I1157" s="2">
        <f t="shared" si="21"/>
        <v>0</v>
      </c>
      <c r="J1157">
        <v>7</v>
      </c>
    </row>
    <row r="1158" spans="1:10" x14ac:dyDescent="0.3">
      <c r="A1158" t="s">
        <v>127</v>
      </c>
      <c r="B1158" t="s">
        <v>56</v>
      </c>
      <c r="C1158" s="4">
        <v>0.39984676499999999</v>
      </c>
      <c r="D1158" s="4">
        <v>0.450333333</v>
      </c>
      <c r="E1158" s="18">
        <v>571</v>
      </c>
      <c r="G1158" s="4"/>
      <c r="H1158" s="4">
        <f t="shared" si="20"/>
        <v>0</v>
      </c>
      <c r="I1158" s="2">
        <f t="shared" si="21"/>
        <v>0</v>
      </c>
      <c r="J1158">
        <v>8</v>
      </c>
    </row>
    <row r="1159" spans="1:10" x14ac:dyDescent="0.3">
      <c r="A1159" t="s">
        <v>127</v>
      </c>
      <c r="B1159" t="s">
        <v>118</v>
      </c>
      <c r="C1159" s="4">
        <v>0.56023871300000005</v>
      </c>
      <c r="D1159" s="4">
        <v>0.74103703700000001</v>
      </c>
      <c r="E1159" s="18">
        <v>572</v>
      </c>
      <c r="G1159" s="4"/>
      <c r="H1159" s="4">
        <f t="shared" si="20"/>
        <v>0</v>
      </c>
      <c r="I1159" s="2">
        <f t="shared" si="21"/>
        <v>0</v>
      </c>
      <c r="J1159">
        <v>6</v>
      </c>
    </row>
    <row r="1160" spans="1:10" x14ac:dyDescent="0.3">
      <c r="A1160" t="s">
        <v>127</v>
      </c>
      <c r="B1160" t="s">
        <v>27</v>
      </c>
      <c r="C1160" s="4">
        <v>0.50857142899999996</v>
      </c>
      <c r="D1160" s="4">
        <v>0.49666666700000001</v>
      </c>
      <c r="E1160" s="18">
        <v>573</v>
      </c>
      <c r="G1160" s="4"/>
      <c r="H1160" s="4">
        <f t="shared" si="20"/>
        <v>0</v>
      </c>
      <c r="I1160" s="2">
        <f t="shared" si="21"/>
        <v>0</v>
      </c>
      <c r="J1160">
        <v>6</v>
      </c>
    </row>
    <row r="1161" spans="1:10" x14ac:dyDescent="0.3">
      <c r="A1161" t="s">
        <v>127</v>
      </c>
      <c r="B1161" t="s">
        <v>27</v>
      </c>
      <c r="C1161" s="4">
        <v>0.50857142899999996</v>
      </c>
      <c r="D1161" s="4">
        <v>0.49666666700000001</v>
      </c>
      <c r="E1161" s="18">
        <v>574</v>
      </c>
      <c r="G1161" s="4"/>
      <c r="H1161" s="4">
        <f t="shared" si="20"/>
        <v>0</v>
      </c>
      <c r="I1161" s="2">
        <f t="shared" si="21"/>
        <v>0</v>
      </c>
      <c r="J1161">
        <v>8</v>
      </c>
    </row>
    <row r="1162" spans="1:10" x14ac:dyDescent="0.3">
      <c r="A1162" t="s">
        <v>127</v>
      </c>
      <c r="B1162" t="s">
        <v>73</v>
      </c>
      <c r="C1162" s="4">
        <v>0.39</v>
      </c>
      <c r="D1162" s="4">
        <v>0.28861111099999998</v>
      </c>
      <c r="E1162" s="18">
        <v>575</v>
      </c>
      <c r="G1162" s="4"/>
      <c r="H1162" s="4">
        <f t="shared" si="20"/>
        <v>0</v>
      </c>
      <c r="I1162" s="2">
        <f t="shared" si="21"/>
        <v>0</v>
      </c>
      <c r="J1162">
        <v>6</v>
      </c>
    </row>
    <row r="1163" spans="1:10" x14ac:dyDescent="0.3">
      <c r="A1163" t="s">
        <v>127</v>
      </c>
      <c r="B1163" t="s">
        <v>32</v>
      </c>
      <c r="C1163" s="4">
        <v>0.65716857299999998</v>
      </c>
      <c r="D1163" s="4">
        <v>0.85527777800000004</v>
      </c>
      <c r="E1163" s="18">
        <v>576</v>
      </c>
      <c r="G1163" s="4"/>
      <c r="H1163" s="4">
        <f t="shared" si="20"/>
        <v>0</v>
      </c>
      <c r="I1163" s="2">
        <f t="shared" si="21"/>
        <v>0</v>
      </c>
      <c r="J1163">
        <v>5</v>
      </c>
    </row>
    <row r="1164" spans="1:10" x14ac:dyDescent="0.3">
      <c r="A1164" t="s">
        <v>127</v>
      </c>
      <c r="B1164" t="s">
        <v>128</v>
      </c>
      <c r="C1164" s="4">
        <v>0.84850681500000003</v>
      </c>
      <c r="D1164" s="4">
        <v>0.85527777800000004</v>
      </c>
      <c r="E1164" s="18">
        <v>577</v>
      </c>
      <c r="G1164" s="4"/>
      <c r="H1164" s="4">
        <f t="shared" si="20"/>
        <v>0</v>
      </c>
      <c r="I1164" s="2">
        <f t="shared" si="21"/>
        <v>0</v>
      </c>
      <c r="J1164">
        <v>10</v>
      </c>
    </row>
    <row r="1165" spans="1:10" x14ac:dyDescent="0.3">
      <c r="A1165" t="s">
        <v>127</v>
      </c>
      <c r="B1165" t="s">
        <v>47</v>
      </c>
      <c r="C1165" s="4">
        <v>0.40238543599999999</v>
      </c>
      <c r="D1165" s="4">
        <v>0.40883333300000002</v>
      </c>
      <c r="E1165" s="18">
        <v>578</v>
      </c>
      <c r="G1165" s="4"/>
      <c r="H1165" s="4">
        <f t="shared" ref="H1165:H1228" si="22">G1165/PI()</f>
        <v>0</v>
      </c>
      <c r="I1165" s="2">
        <f t="shared" si="21"/>
        <v>0</v>
      </c>
      <c r="J1165">
        <v>8</v>
      </c>
    </row>
    <row r="1166" spans="1:10" x14ac:dyDescent="0.3">
      <c r="A1166" t="s">
        <v>127</v>
      </c>
      <c r="B1166" t="s">
        <v>47</v>
      </c>
      <c r="C1166" s="4">
        <v>0.40238543599999999</v>
      </c>
      <c r="D1166" s="4">
        <v>0.40883333300000002</v>
      </c>
      <c r="E1166" s="18">
        <v>579</v>
      </c>
      <c r="G1166" s="4"/>
      <c r="H1166" s="4">
        <f t="shared" si="22"/>
        <v>0</v>
      </c>
      <c r="I1166" s="2">
        <f t="shared" si="21"/>
        <v>0</v>
      </c>
      <c r="J1166">
        <v>8</v>
      </c>
    </row>
    <row r="1167" spans="1:10" x14ac:dyDescent="0.3">
      <c r="A1167" t="s">
        <v>127</v>
      </c>
      <c r="B1167" t="s">
        <v>47</v>
      </c>
      <c r="C1167" s="4">
        <v>0.40238543599999999</v>
      </c>
      <c r="D1167" s="4">
        <v>0.40883333300000002</v>
      </c>
      <c r="E1167" s="18">
        <v>580</v>
      </c>
      <c r="G1167" s="4"/>
      <c r="H1167" s="4">
        <f t="shared" si="22"/>
        <v>0</v>
      </c>
      <c r="I1167" s="2">
        <f t="shared" si="21"/>
        <v>0</v>
      </c>
      <c r="J1167">
        <v>8</v>
      </c>
    </row>
    <row r="1168" spans="1:10" x14ac:dyDescent="0.3">
      <c r="A1168" t="s">
        <v>127</v>
      </c>
      <c r="B1168" t="s">
        <v>120</v>
      </c>
      <c r="C1168" s="4">
        <v>0.98708677300000003</v>
      </c>
      <c r="D1168" s="4">
        <v>0.60285714300000004</v>
      </c>
      <c r="E1168" s="18">
        <v>581</v>
      </c>
      <c r="G1168" s="4"/>
      <c r="H1168" s="4">
        <f t="shared" si="22"/>
        <v>0</v>
      </c>
      <c r="I1168" s="2">
        <f t="shared" si="21"/>
        <v>0</v>
      </c>
      <c r="J1168">
        <v>7</v>
      </c>
    </row>
    <row r="1169" spans="1:10" x14ac:dyDescent="0.3">
      <c r="A1169" t="s">
        <v>129</v>
      </c>
      <c r="B1169" t="s">
        <v>26</v>
      </c>
      <c r="C1169" s="4">
        <v>0.80908761900000004</v>
      </c>
      <c r="D1169" s="4">
        <v>0.87473809499999999</v>
      </c>
      <c r="E1169" s="18">
        <v>582</v>
      </c>
      <c r="G1169" s="4"/>
      <c r="H1169" s="4">
        <f t="shared" si="22"/>
        <v>0</v>
      </c>
      <c r="I1169" s="2">
        <f t="shared" si="21"/>
        <v>0</v>
      </c>
      <c r="J1169">
        <v>6</v>
      </c>
    </row>
    <row r="1170" spans="1:10" x14ac:dyDescent="0.3">
      <c r="A1170" t="s">
        <v>129</v>
      </c>
      <c r="B1170" t="s">
        <v>26</v>
      </c>
      <c r="C1170" s="4">
        <v>0.80908761900000004</v>
      </c>
      <c r="D1170" s="4">
        <v>0.87473809499999999</v>
      </c>
      <c r="E1170" s="18">
        <v>583</v>
      </c>
      <c r="G1170" s="4"/>
      <c r="H1170" s="4">
        <f t="shared" si="22"/>
        <v>0</v>
      </c>
      <c r="I1170" s="2">
        <f t="shared" si="21"/>
        <v>0</v>
      </c>
      <c r="J1170">
        <v>8</v>
      </c>
    </row>
    <row r="1171" spans="1:10" x14ac:dyDescent="0.3">
      <c r="A1171" t="s">
        <v>129</v>
      </c>
      <c r="B1171" t="s">
        <v>26</v>
      </c>
      <c r="C1171" s="4">
        <v>0.80908761900000004</v>
      </c>
      <c r="D1171" s="4">
        <v>0.87473809499999999</v>
      </c>
      <c r="E1171" s="18">
        <v>584</v>
      </c>
      <c r="G1171" s="4"/>
      <c r="H1171" s="4">
        <f t="shared" si="22"/>
        <v>0</v>
      </c>
      <c r="I1171" s="2">
        <f t="shared" si="21"/>
        <v>0</v>
      </c>
      <c r="J1171">
        <v>7</v>
      </c>
    </row>
    <row r="1172" spans="1:10" x14ac:dyDescent="0.3">
      <c r="A1172" t="s">
        <v>129</v>
      </c>
      <c r="B1172" t="s">
        <v>26</v>
      </c>
      <c r="C1172" s="4">
        <v>0.80908761900000004</v>
      </c>
      <c r="D1172" s="4">
        <v>0.87473809499999999</v>
      </c>
      <c r="E1172" s="18">
        <v>585</v>
      </c>
      <c r="G1172" s="4"/>
      <c r="H1172" s="4">
        <f t="shared" si="22"/>
        <v>0</v>
      </c>
      <c r="I1172" s="2">
        <f t="shared" si="21"/>
        <v>0</v>
      </c>
      <c r="J1172">
        <v>8</v>
      </c>
    </row>
    <row r="1173" spans="1:10" x14ac:dyDescent="0.3">
      <c r="A1173" t="s">
        <v>129</v>
      </c>
      <c r="B1173" t="s">
        <v>26</v>
      </c>
      <c r="C1173" s="4">
        <v>0.80908761900000004</v>
      </c>
      <c r="D1173" s="4">
        <v>0.87473809499999999</v>
      </c>
      <c r="E1173" s="18">
        <v>586</v>
      </c>
      <c r="G1173" s="4"/>
      <c r="H1173" s="4">
        <f t="shared" si="22"/>
        <v>0</v>
      </c>
      <c r="I1173" s="2">
        <f t="shared" si="21"/>
        <v>0</v>
      </c>
      <c r="J1173">
        <v>8</v>
      </c>
    </row>
    <row r="1174" spans="1:10" x14ac:dyDescent="0.3">
      <c r="A1174" t="s">
        <v>129</v>
      </c>
      <c r="B1174" t="s">
        <v>26</v>
      </c>
      <c r="C1174" s="4">
        <v>0.80908761900000004</v>
      </c>
      <c r="D1174" s="4">
        <v>0.87473809499999999</v>
      </c>
      <c r="E1174" s="18">
        <v>587</v>
      </c>
      <c r="G1174" s="4"/>
      <c r="H1174" s="4">
        <f t="shared" si="22"/>
        <v>0</v>
      </c>
      <c r="I1174" s="2">
        <f t="shared" si="21"/>
        <v>0</v>
      </c>
      <c r="J1174">
        <v>8</v>
      </c>
    </row>
    <row r="1175" spans="1:10" x14ac:dyDescent="0.3">
      <c r="A1175" t="s">
        <v>129</v>
      </c>
      <c r="B1175" t="s">
        <v>85</v>
      </c>
      <c r="C1175" s="4">
        <v>0.6</v>
      </c>
      <c r="D1175" s="4">
        <v>0.66674999999999995</v>
      </c>
      <c r="E1175" s="18">
        <v>588</v>
      </c>
      <c r="G1175" s="4"/>
      <c r="H1175" s="4">
        <f t="shared" si="22"/>
        <v>0</v>
      </c>
      <c r="I1175" s="2">
        <f t="shared" ref="I1175:I1238" si="23">PI()*(H1175/2)^2</f>
        <v>0</v>
      </c>
      <c r="J1175">
        <v>6.5</v>
      </c>
    </row>
    <row r="1176" spans="1:10" x14ac:dyDescent="0.3">
      <c r="A1176" t="s">
        <v>129</v>
      </c>
      <c r="B1176" t="s">
        <v>18</v>
      </c>
      <c r="C1176" s="4">
        <v>0.45255480399999998</v>
      </c>
      <c r="D1176" s="4">
        <v>0.57808694400000005</v>
      </c>
      <c r="E1176" s="18">
        <v>589</v>
      </c>
      <c r="G1176" s="4"/>
      <c r="H1176" s="4">
        <f t="shared" si="22"/>
        <v>0</v>
      </c>
      <c r="I1176" s="2">
        <f t="shared" si="23"/>
        <v>0</v>
      </c>
      <c r="J1176">
        <v>3</v>
      </c>
    </row>
    <row r="1177" spans="1:10" x14ac:dyDescent="0.3">
      <c r="A1177" t="s">
        <v>129</v>
      </c>
      <c r="B1177" t="s">
        <v>78</v>
      </c>
      <c r="C1177" s="4">
        <v>0.43538739399999998</v>
      </c>
      <c r="D1177" s="4">
        <v>0.568333333</v>
      </c>
      <c r="E1177" s="18">
        <v>590</v>
      </c>
      <c r="G1177" s="4"/>
      <c r="H1177" s="4">
        <f t="shared" si="22"/>
        <v>0</v>
      </c>
      <c r="I1177" s="2">
        <f t="shared" si="23"/>
        <v>0</v>
      </c>
      <c r="J1177">
        <v>2</v>
      </c>
    </row>
    <row r="1178" spans="1:10" x14ac:dyDescent="0.3">
      <c r="A1178" t="s">
        <v>129</v>
      </c>
      <c r="B1178" t="s">
        <v>117</v>
      </c>
      <c r="C1178" s="4">
        <v>0.56572270000000002</v>
      </c>
      <c r="D1178" s="4">
        <v>0.61247410899999999</v>
      </c>
      <c r="E1178" s="18">
        <v>591</v>
      </c>
      <c r="G1178" s="4"/>
      <c r="H1178" s="4">
        <f t="shared" si="22"/>
        <v>0</v>
      </c>
      <c r="I1178" s="2">
        <f t="shared" si="23"/>
        <v>0</v>
      </c>
      <c r="J1178">
        <v>4.5</v>
      </c>
    </row>
    <row r="1179" spans="1:10" x14ac:dyDescent="0.3">
      <c r="A1179" t="s">
        <v>129</v>
      </c>
      <c r="B1179" t="s">
        <v>122</v>
      </c>
      <c r="C1179" s="4">
        <v>0.85750000000000004</v>
      </c>
      <c r="D1179" s="4">
        <v>0.61247410899999999</v>
      </c>
      <c r="E1179" s="18">
        <v>592</v>
      </c>
      <c r="G1179" s="4"/>
      <c r="H1179" s="4">
        <f t="shared" si="22"/>
        <v>0</v>
      </c>
      <c r="I1179" s="2">
        <f t="shared" si="23"/>
        <v>0</v>
      </c>
      <c r="J1179">
        <v>5</v>
      </c>
    </row>
    <row r="1180" spans="1:10" x14ac:dyDescent="0.3">
      <c r="A1180" t="s">
        <v>129</v>
      </c>
      <c r="B1180" t="s">
        <v>47</v>
      </c>
      <c r="C1180" s="4">
        <v>0.40238543599999999</v>
      </c>
      <c r="D1180" s="4">
        <v>0.40883333300000002</v>
      </c>
      <c r="E1180" s="18">
        <v>593</v>
      </c>
      <c r="G1180" s="4"/>
      <c r="H1180" s="4">
        <f t="shared" si="22"/>
        <v>0</v>
      </c>
      <c r="I1180" s="2">
        <f t="shared" si="23"/>
        <v>0</v>
      </c>
      <c r="J1180">
        <v>7</v>
      </c>
    </row>
    <row r="1181" spans="1:10" x14ac:dyDescent="0.3">
      <c r="A1181" t="s">
        <v>129</v>
      </c>
      <c r="B1181" t="s">
        <v>120</v>
      </c>
      <c r="C1181" s="4">
        <v>0.98708677300000003</v>
      </c>
      <c r="D1181" s="4">
        <v>0.60285714300000004</v>
      </c>
      <c r="E1181" s="18">
        <v>594</v>
      </c>
      <c r="G1181" s="4"/>
      <c r="H1181" s="4">
        <f t="shared" si="22"/>
        <v>0</v>
      </c>
      <c r="I1181" s="2">
        <f t="shared" si="23"/>
        <v>0</v>
      </c>
      <c r="J1181">
        <v>9</v>
      </c>
    </row>
    <row r="1182" spans="1:10" x14ac:dyDescent="0.3">
      <c r="A1182" t="s">
        <v>129</v>
      </c>
      <c r="B1182" t="s">
        <v>120</v>
      </c>
      <c r="C1182" s="4">
        <v>0.98708677300000003</v>
      </c>
      <c r="D1182" s="4">
        <v>0.60285714300000004</v>
      </c>
      <c r="E1182" s="18">
        <v>595</v>
      </c>
      <c r="G1182" s="4"/>
      <c r="H1182" s="4">
        <f t="shared" si="22"/>
        <v>0</v>
      </c>
      <c r="I1182" s="2">
        <f t="shared" si="23"/>
        <v>0</v>
      </c>
      <c r="J1182">
        <v>8</v>
      </c>
    </row>
    <row r="1183" spans="1:10" x14ac:dyDescent="0.3">
      <c r="A1183" t="s">
        <v>129</v>
      </c>
      <c r="B1183" t="s">
        <v>120</v>
      </c>
      <c r="C1183" s="4">
        <v>0.98708677300000003</v>
      </c>
      <c r="D1183" s="4">
        <v>0.60285714300000004</v>
      </c>
      <c r="E1183" s="18">
        <v>596</v>
      </c>
      <c r="G1183" s="4"/>
      <c r="H1183" s="4">
        <f t="shared" si="22"/>
        <v>0</v>
      </c>
      <c r="I1183" s="2">
        <f t="shared" si="23"/>
        <v>0</v>
      </c>
      <c r="J1183">
        <v>10</v>
      </c>
    </row>
    <row r="1184" spans="1:10" x14ac:dyDescent="0.3">
      <c r="A1184" t="s">
        <v>130</v>
      </c>
      <c r="B1184" t="s">
        <v>85</v>
      </c>
      <c r="C1184" s="4">
        <v>0.6</v>
      </c>
      <c r="D1184" s="4">
        <v>0.66674999999999995</v>
      </c>
      <c r="E1184" s="18">
        <v>597</v>
      </c>
      <c r="G1184" s="4"/>
      <c r="H1184" s="4">
        <f t="shared" si="22"/>
        <v>0</v>
      </c>
      <c r="I1184" s="2">
        <f t="shared" si="23"/>
        <v>0</v>
      </c>
      <c r="J1184">
        <v>3</v>
      </c>
    </row>
    <row r="1185" spans="1:10" x14ac:dyDescent="0.3">
      <c r="A1185" t="s">
        <v>130</v>
      </c>
      <c r="B1185" t="s">
        <v>37</v>
      </c>
      <c r="C1185" s="4">
        <v>0.39790071399999999</v>
      </c>
      <c r="D1185" s="4">
        <v>0.50565277799999997</v>
      </c>
      <c r="E1185" s="18">
        <v>598</v>
      </c>
      <c r="G1185" s="4"/>
      <c r="H1185" s="4">
        <f t="shared" si="22"/>
        <v>0</v>
      </c>
      <c r="I1185" s="2">
        <f t="shared" si="23"/>
        <v>0</v>
      </c>
      <c r="J1185">
        <v>4.5</v>
      </c>
    </row>
    <row r="1186" spans="1:10" x14ac:dyDescent="0.3">
      <c r="A1186" t="s">
        <v>130</v>
      </c>
      <c r="B1186" t="s">
        <v>66</v>
      </c>
      <c r="C1186" s="4">
        <v>0.62643652800000005</v>
      </c>
      <c r="D1186" s="4">
        <v>0.57808694400000005</v>
      </c>
      <c r="E1186" s="18">
        <v>599</v>
      </c>
      <c r="G1186" s="4"/>
      <c r="H1186" s="4">
        <f t="shared" si="22"/>
        <v>0</v>
      </c>
      <c r="I1186" s="2">
        <f t="shared" si="23"/>
        <v>0</v>
      </c>
      <c r="J1186">
        <v>5</v>
      </c>
    </row>
    <row r="1187" spans="1:10" x14ac:dyDescent="0.3">
      <c r="A1187" t="s">
        <v>130</v>
      </c>
      <c r="B1187" t="s">
        <v>41</v>
      </c>
      <c r="C1187" s="4">
        <v>0.56193137999999998</v>
      </c>
      <c r="D1187" s="4">
        <v>0.57808694400000005</v>
      </c>
      <c r="E1187" s="18">
        <v>600</v>
      </c>
      <c r="G1187" s="4"/>
      <c r="H1187" s="4">
        <f t="shared" si="22"/>
        <v>0</v>
      </c>
      <c r="I1187" s="2">
        <f t="shared" si="23"/>
        <v>0</v>
      </c>
      <c r="J1187">
        <v>4.5</v>
      </c>
    </row>
    <row r="1188" spans="1:10" x14ac:dyDescent="0.3">
      <c r="A1188" t="s">
        <v>130</v>
      </c>
      <c r="B1188" t="s">
        <v>41</v>
      </c>
      <c r="C1188" s="4">
        <v>0.56193137999999998</v>
      </c>
      <c r="D1188" s="4">
        <v>0.57808694400000005</v>
      </c>
      <c r="E1188" s="18">
        <v>601</v>
      </c>
      <c r="G1188" s="4"/>
      <c r="H1188" s="4">
        <f t="shared" si="22"/>
        <v>0</v>
      </c>
      <c r="I1188" s="2">
        <f t="shared" si="23"/>
        <v>0</v>
      </c>
      <c r="J1188">
        <v>7</v>
      </c>
    </row>
    <row r="1189" spans="1:10" x14ac:dyDescent="0.3">
      <c r="A1189" t="s">
        <v>130</v>
      </c>
      <c r="B1189" t="s">
        <v>41</v>
      </c>
      <c r="C1189" s="4">
        <v>0.56193137999999998</v>
      </c>
      <c r="D1189" s="4">
        <v>0.57808694400000005</v>
      </c>
      <c r="E1189" s="18">
        <v>602</v>
      </c>
      <c r="G1189" s="4"/>
      <c r="H1189" s="4">
        <f t="shared" si="22"/>
        <v>0</v>
      </c>
      <c r="I1189" s="2">
        <f t="shared" si="23"/>
        <v>0</v>
      </c>
      <c r="J1189">
        <v>8</v>
      </c>
    </row>
    <row r="1190" spans="1:10" x14ac:dyDescent="0.3">
      <c r="A1190" t="s">
        <v>130</v>
      </c>
      <c r="B1190" t="s">
        <v>41</v>
      </c>
      <c r="C1190" s="4">
        <v>0.56193137999999998</v>
      </c>
      <c r="D1190" s="4">
        <v>0.57808694400000005</v>
      </c>
      <c r="E1190" s="18">
        <v>603</v>
      </c>
      <c r="G1190" s="4"/>
      <c r="H1190" s="4">
        <f t="shared" si="22"/>
        <v>0</v>
      </c>
      <c r="I1190" s="2">
        <f t="shared" si="23"/>
        <v>0</v>
      </c>
      <c r="J1190">
        <v>8</v>
      </c>
    </row>
    <row r="1191" spans="1:10" x14ac:dyDescent="0.3">
      <c r="A1191" t="s">
        <v>130</v>
      </c>
      <c r="B1191" t="s">
        <v>41</v>
      </c>
      <c r="C1191" s="4">
        <v>0.56193137999999998</v>
      </c>
      <c r="D1191" s="4">
        <v>0.57808694400000005</v>
      </c>
      <c r="E1191" s="18">
        <v>604</v>
      </c>
      <c r="G1191" s="4"/>
      <c r="H1191" s="4">
        <f t="shared" si="22"/>
        <v>0</v>
      </c>
      <c r="I1191" s="2">
        <f t="shared" si="23"/>
        <v>0</v>
      </c>
      <c r="J1191">
        <v>6</v>
      </c>
    </row>
    <row r="1192" spans="1:10" x14ac:dyDescent="0.3">
      <c r="A1192" t="s">
        <v>130</v>
      </c>
      <c r="B1192" t="s">
        <v>41</v>
      </c>
      <c r="C1192" s="4">
        <v>0.56193137999999998</v>
      </c>
      <c r="D1192" s="4">
        <v>0.57808694400000005</v>
      </c>
      <c r="E1192" s="18">
        <v>605</v>
      </c>
      <c r="G1192" s="4"/>
      <c r="H1192" s="4">
        <f t="shared" si="22"/>
        <v>0</v>
      </c>
      <c r="I1192" s="2">
        <f t="shared" si="23"/>
        <v>0</v>
      </c>
      <c r="J1192">
        <v>7.5</v>
      </c>
    </row>
    <row r="1193" spans="1:10" x14ac:dyDescent="0.3">
      <c r="A1193" t="s">
        <v>130</v>
      </c>
      <c r="B1193" t="s">
        <v>122</v>
      </c>
      <c r="C1193" s="4">
        <v>0.85750000000000004</v>
      </c>
      <c r="D1193" s="4">
        <v>0.61247410899999999</v>
      </c>
      <c r="E1193" s="18">
        <v>606</v>
      </c>
      <c r="G1193" s="4"/>
      <c r="H1193" s="4">
        <f t="shared" si="22"/>
        <v>0</v>
      </c>
      <c r="I1193" s="2">
        <f t="shared" si="23"/>
        <v>0</v>
      </c>
      <c r="J1193">
        <v>2.7</v>
      </c>
    </row>
    <row r="1194" spans="1:10" x14ac:dyDescent="0.3">
      <c r="A1194" t="s">
        <v>130</v>
      </c>
      <c r="B1194" t="s">
        <v>122</v>
      </c>
      <c r="C1194" s="4">
        <v>0.85750000000000004</v>
      </c>
      <c r="D1194" s="4">
        <v>0.61247410899999999</v>
      </c>
      <c r="E1194" s="18">
        <v>607</v>
      </c>
      <c r="G1194" s="4"/>
      <c r="H1194" s="4">
        <f t="shared" si="22"/>
        <v>0</v>
      </c>
      <c r="I1194" s="2">
        <f t="shared" si="23"/>
        <v>0</v>
      </c>
      <c r="J1194">
        <v>2</v>
      </c>
    </row>
    <row r="1195" spans="1:10" x14ac:dyDescent="0.3">
      <c r="A1195" t="s">
        <v>130</v>
      </c>
      <c r="B1195" t="s">
        <v>122</v>
      </c>
      <c r="C1195" s="4">
        <v>0.85750000000000004</v>
      </c>
      <c r="D1195" s="4">
        <v>0.61247410899999999</v>
      </c>
      <c r="E1195" s="18">
        <v>608</v>
      </c>
      <c r="G1195" s="4"/>
      <c r="H1195" s="4">
        <f t="shared" si="22"/>
        <v>0</v>
      </c>
      <c r="I1195" s="2">
        <f t="shared" si="23"/>
        <v>0</v>
      </c>
      <c r="J1195">
        <v>4.5</v>
      </c>
    </row>
    <row r="1196" spans="1:10" x14ac:dyDescent="0.3">
      <c r="A1196" t="s">
        <v>130</v>
      </c>
      <c r="B1196" t="s">
        <v>122</v>
      </c>
      <c r="C1196" s="4">
        <v>0.85750000000000004</v>
      </c>
      <c r="D1196" s="4">
        <v>0.61247410899999999</v>
      </c>
      <c r="E1196" s="18">
        <v>609</v>
      </c>
      <c r="G1196" s="4"/>
      <c r="H1196" s="4">
        <f t="shared" si="22"/>
        <v>0</v>
      </c>
      <c r="I1196" s="2">
        <f t="shared" si="23"/>
        <v>0</v>
      </c>
      <c r="J1196">
        <v>6.5</v>
      </c>
    </row>
    <row r="1197" spans="1:10" x14ac:dyDescent="0.3">
      <c r="A1197" t="s">
        <v>130</v>
      </c>
      <c r="B1197" t="s">
        <v>122</v>
      </c>
      <c r="C1197" s="4">
        <v>0.85750000000000004</v>
      </c>
      <c r="D1197" s="4">
        <v>0.61247410899999999</v>
      </c>
      <c r="E1197" s="18">
        <v>610</v>
      </c>
      <c r="G1197" s="4"/>
      <c r="H1197" s="4">
        <f t="shared" si="22"/>
        <v>0</v>
      </c>
      <c r="I1197" s="2">
        <f t="shared" si="23"/>
        <v>0</v>
      </c>
      <c r="J1197">
        <v>4.5</v>
      </c>
    </row>
    <row r="1198" spans="1:10" x14ac:dyDescent="0.3">
      <c r="A1198" t="s">
        <v>130</v>
      </c>
      <c r="B1198" t="s">
        <v>122</v>
      </c>
      <c r="C1198" s="4">
        <v>0.85750000000000004</v>
      </c>
      <c r="D1198" s="4">
        <v>0.61247410899999999</v>
      </c>
      <c r="E1198" s="18">
        <v>611</v>
      </c>
      <c r="G1198" s="4"/>
      <c r="H1198" s="4">
        <f t="shared" si="22"/>
        <v>0</v>
      </c>
      <c r="I1198" s="2">
        <f t="shared" si="23"/>
        <v>0</v>
      </c>
      <c r="J1198">
        <v>3.5</v>
      </c>
    </row>
    <row r="1199" spans="1:10" x14ac:dyDescent="0.3">
      <c r="A1199" t="s">
        <v>130</v>
      </c>
      <c r="B1199" t="s">
        <v>122</v>
      </c>
      <c r="C1199" s="4">
        <v>0.85750000000000004</v>
      </c>
      <c r="D1199" s="4">
        <v>0.61247410899999999</v>
      </c>
      <c r="E1199" s="18">
        <v>612</v>
      </c>
      <c r="G1199" s="4"/>
      <c r="H1199" s="4">
        <f t="shared" si="22"/>
        <v>0</v>
      </c>
      <c r="I1199" s="2">
        <f t="shared" si="23"/>
        <v>0</v>
      </c>
      <c r="J1199">
        <v>5.5</v>
      </c>
    </row>
    <row r="1200" spans="1:10" x14ac:dyDescent="0.3">
      <c r="A1200" t="s">
        <v>130</v>
      </c>
      <c r="B1200" t="s">
        <v>122</v>
      </c>
      <c r="C1200" s="4">
        <v>0.85750000000000004</v>
      </c>
      <c r="D1200" s="4">
        <v>0.61247410899999999</v>
      </c>
      <c r="E1200" s="18">
        <v>613</v>
      </c>
      <c r="G1200" s="4"/>
      <c r="H1200" s="4">
        <f t="shared" si="22"/>
        <v>0</v>
      </c>
      <c r="I1200" s="2">
        <f t="shared" si="23"/>
        <v>0</v>
      </c>
      <c r="J1200">
        <v>6.5</v>
      </c>
    </row>
    <row r="1201" spans="1:10" x14ac:dyDescent="0.3">
      <c r="A1201" t="s">
        <v>130</v>
      </c>
      <c r="B1201" t="s">
        <v>122</v>
      </c>
      <c r="C1201" s="4">
        <v>0.85750000000000004</v>
      </c>
      <c r="D1201" s="4">
        <v>0.61247410899999999</v>
      </c>
      <c r="E1201" s="18">
        <v>614</v>
      </c>
      <c r="G1201" s="4"/>
      <c r="H1201" s="4">
        <f t="shared" si="22"/>
        <v>0</v>
      </c>
      <c r="I1201" s="2">
        <f t="shared" si="23"/>
        <v>0</v>
      </c>
      <c r="J1201">
        <v>7</v>
      </c>
    </row>
    <row r="1202" spans="1:10" x14ac:dyDescent="0.3">
      <c r="A1202" t="s">
        <v>130</v>
      </c>
      <c r="B1202" t="s">
        <v>122</v>
      </c>
      <c r="C1202" s="4">
        <v>0.85750000000000004</v>
      </c>
      <c r="D1202" s="4">
        <v>0.61247410899999999</v>
      </c>
      <c r="E1202" s="18">
        <v>615</v>
      </c>
      <c r="G1202" s="4"/>
      <c r="H1202" s="4">
        <f t="shared" si="22"/>
        <v>0</v>
      </c>
      <c r="I1202" s="2">
        <f t="shared" si="23"/>
        <v>0</v>
      </c>
      <c r="J1202">
        <v>8</v>
      </c>
    </row>
    <row r="1203" spans="1:10" x14ac:dyDescent="0.3">
      <c r="A1203" t="s">
        <v>130</v>
      </c>
      <c r="B1203" t="s">
        <v>32</v>
      </c>
      <c r="C1203" s="4">
        <v>0.65716857299999998</v>
      </c>
      <c r="D1203" s="4">
        <v>0.85527777800000004</v>
      </c>
      <c r="E1203" s="18">
        <v>616</v>
      </c>
      <c r="G1203" s="4"/>
      <c r="H1203" s="4">
        <f t="shared" si="22"/>
        <v>0</v>
      </c>
      <c r="I1203" s="2">
        <f t="shared" si="23"/>
        <v>0</v>
      </c>
      <c r="J1203">
        <v>1.9</v>
      </c>
    </row>
    <row r="1204" spans="1:10" x14ac:dyDescent="0.3">
      <c r="A1204" t="s">
        <v>130</v>
      </c>
      <c r="B1204" t="s">
        <v>32</v>
      </c>
      <c r="C1204" s="4">
        <v>0.65716857299999998</v>
      </c>
      <c r="D1204" s="4">
        <v>0.85527777800000004</v>
      </c>
      <c r="E1204" s="18">
        <v>617</v>
      </c>
      <c r="G1204" s="4"/>
      <c r="H1204" s="4">
        <f t="shared" si="22"/>
        <v>0</v>
      </c>
      <c r="I1204" s="2">
        <f t="shared" si="23"/>
        <v>0</v>
      </c>
      <c r="J1204">
        <v>1.5</v>
      </c>
    </row>
    <row r="1205" spans="1:10" x14ac:dyDescent="0.3">
      <c r="A1205" t="s">
        <v>130</v>
      </c>
      <c r="B1205" t="s">
        <v>131</v>
      </c>
      <c r="C1205" s="4">
        <v>0.52520999999999995</v>
      </c>
      <c r="D1205" s="4">
        <v>0.58666666700000003</v>
      </c>
      <c r="E1205" s="18">
        <v>618</v>
      </c>
      <c r="G1205" s="4"/>
      <c r="H1205" s="4">
        <f t="shared" si="22"/>
        <v>0</v>
      </c>
      <c r="I1205" s="2">
        <f t="shared" si="23"/>
        <v>0</v>
      </c>
      <c r="J1205">
        <v>7</v>
      </c>
    </row>
    <row r="1206" spans="1:10" x14ac:dyDescent="0.3">
      <c r="A1206" t="s">
        <v>130</v>
      </c>
      <c r="B1206" t="s">
        <v>23</v>
      </c>
      <c r="C1206" s="4">
        <v>0.76500000000000001</v>
      </c>
      <c r="D1206" s="4">
        <v>0.61247410899999999</v>
      </c>
      <c r="E1206" s="18">
        <v>619</v>
      </c>
      <c r="G1206" s="4"/>
      <c r="H1206" s="4">
        <f t="shared" si="22"/>
        <v>0</v>
      </c>
      <c r="I1206" s="2">
        <f t="shared" si="23"/>
        <v>0</v>
      </c>
      <c r="J1206">
        <v>7</v>
      </c>
    </row>
    <row r="1207" spans="1:10" x14ac:dyDescent="0.3">
      <c r="A1207" t="s">
        <v>130</v>
      </c>
      <c r="B1207" t="s">
        <v>132</v>
      </c>
      <c r="C1207" s="4">
        <v>0.68500000000000005</v>
      </c>
      <c r="D1207" s="4">
        <v>0.54</v>
      </c>
      <c r="E1207" s="18">
        <v>620</v>
      </c>
      <c r="G1207" s="4"/>
      <c r="H1207" s="4">
        <f t="shared" si="22"/>
        <v>0</v>
      </c>
      <c r="I1207" s="2">
        <f t="shared" si="23"/>
        <v>0</v>
      </c>
      <c r="J1207">
        <v>2.5</v>
      </c>
    </row>
    <row r="1208" spans="1:10" x14ac:dyDescent="0.3">
      <c r="A1208" t="s">
        <v>130</v>
      </c>
      <c r="B1208" t="s">
        <v>132</v>
      </c>
      <c r="C1208" s="4">
        <v>0.68500000000000005</v>
      </c>
      <c r="D1208" s="4">
        <v>0.54</v>
      </c>
      <c r="E1208" s="18">
        <v>621</v>
      </c>
      <c r="G1208" s="4"/>
      <c r="H1208" s="4">
        <f t="shared" si="22"/>
        <v>0</v>
      </c>
      <c r="I1208" s="2">
        <f t="shared" si="23"/>
        <v>0</v>
      </c>
      <c r="J1208">
        <v>4.5</v>
      </c>
    </row>
    <row r="1209" spans="1:10" x14ac:dyDescent="0.3">
      <c r="A1209" t="s">
        <v>130</v>
      </c>
      <c r="B1209" t="s">
        <v>133</v>
      </c>
      <c r="C1209" s="4">
        <v>0.50016547600000005</v>
      </c>
      <c r="D1209" s="4">
        <v>0.61774072899999999</v>
      </c>
      <c r="E1209" s="18">
        <v>622</v>
      </c>
      <c r="G1209" s="4"/>
      <c r="H1209" s="4">
        <f t="shared" si="22"/>
        <v>0</v>
      </c>
      <c r="I1209" s="2">
        <f t="shared" si="23"/>
        <v>0</v>
      </c>
      <c r="J1209">
        <v>2</v>
      </c>
    </row>
    <row r="1210" spans="1:10" x14ac:dyDescent="0.3">
      <c r="A1210" t="s">
        <v>134</v>
      </c>
      <c r="B1210" t="s">
        <v>61</v>
      </c>
      <c r="C1210" s="4">
        <v>0.9</v>
      </c>
      <c r="D1210" s="4">
        <v>0.61247410899999999</v>
      </c>
      <c r="E1210" s="18">
        <v>623</v>
      </c>
      <c r="G1210" s="4"/>
      <c r="H1210" s="4">
        <f t="shared" si="22"/>
        <v>0</v>
      </c>
      <c r="I1210" s="2">
        <f t="shared" si="23"/>
        <v>0</v>
      </c>
      <c r="J1210">
        <v>4</v>
      </c>
    </row>
    <row r="1211" spans="1:10" x14ac:dyDescent="0.3">
      <c r="A1211" t="s">
        <v>134</v>
      </c>
      <c r="B1211" t="s">
        <v>41</v>
      </c>
      <c r="C1211" s="4">
        <v>0.56193137999999998</v>
      </c>
      <c r="D1211" s="4">
        <v>0.57808694400000005</v>
      </c>
      <c r="E1211" s="18">
        <v>624</v>
      </c>
      <c r="G1211" s="4"/>
      <c r="H1211" s="4">
        <f t="shared" si="22"/>
        <v>0</v>
      </c>
      <c r="I1211" s="2">
        <f t="shared" si="23"/>
        <v>0</v>
      </c>
      <c r="J1211">
        <v>5</v>
      </c>
    </row>
    <row r="1212" spans="1:10" x14ac:dyDescent="0.3">
      <c r="A1212" t="s">
        <v>134</v>
      </c>
      <c r="B1212" t="s">
        <v>41</v>
      </c>
      <c r="C1212" s="4">
        <v>0.56193137999999998</v>
      </c>
      <c r="D1212" s="4">
        <v>0.57808694400000005</v>
      </c>
      <c r="E1212" s="18">
        <v>625</v>
      </c>
      <c r="G1212" s="4"/>
      <c r="H1212" s="4">
        <f t="shared" si="22"/>
        <v>0</v>
      </c>
      <c r="I1212" s="2">
        <f t="shared" si="23"/>
        <v>0</v>
      </c>
      <c r="J1212">
        <v>6</v>
      </c>
    </row>
    <row r="1213" spans="1:10" x14ac:dyDescent="0.3">
      <c r="A1213" t="s">
        <v>134</v>
      </c>
      <c r="B1213" t="s">
        <v>41</v>
      </c>
      <c r="C1213" s="4">
        <v>0.56193137999999998</v>
      </c>
      <c r="D1213" s="4">
        <v>0.57808694400000005</v>
      </c>
      <c r="E1213" s="18">
        <v>626</v>
      </c>
      <c r="G1213" s="4"/>
      <c r="H1213" s="4">
        <f t="shared" si="22"/>
        <v>0</v>
      </c>
      <c r="I1213" s="2">
        <f t="shared" si="23"/>
        <v>0</v>
      </c>
      <c r="J1213">
        <v>6</v>
      </c>
    </row>
    <row r="1214" spans="1:10" x14ac:dyDescent="0.3">
      <c r="A1214" t="s">
        <v>134</v>
      </c>
      <c r="B1214" t="s">
        <v>41</v>
      </c>
      <c r="C1214" s="4">
        <v>0.56193137999999998</v>
      </c>
      <c r="D1214" s="4">
        <v>0.57808694400000005</v>
      </c>
      <c r="E1214" s="18">
        <v>627</v>
      </c>
      <c r="G1214" s="4"/>
      <c r="H1214" s="4">
        <f t="shared" si="22"/>
        <v>0</v>
      </c>
      <c r="I1214" s="2">
        <f t="shared" si="23"/>
        <v>0</v>
      </c>
      <c r="J1214">
        <v>6</v>
      </c>
    </row>
    <row r="1215" spans="1:10" x14ac:dyDescent="0.3">
      <c r="A1215" t="s">
        <v>134</v>
      </c>
      <c r="B1215" t="s">
        <v>41</v>
      </c>
      <c r="C1215" s="4">
        <v>0.56193137999999998</v>
      </c>
      <c r="D1215" s="4">
        <v>0.57808694400000005</v>
      </c>
      <c r="E1215" s="18">
        <v>628</v>
      </c>
      <c r="G1215" s="4"/>
      <c r="H1215" s="4">
        <f t="shared" si="22"/>
        <v>0</v>
      </c>
      <c r="I1215" s="2">
        <f t="shared" si="23"/>
        <v>0</v>
      </c>
      <c r="J1215">
        <v>5.7</v>
      </c>
    </row>
    <row r="1216" spans="1:10" x14ac:dyDescent="0.3">
      <c r="A1216" t="s">
        <v>134</v>
      </c>
      <c r="B1216" t="s">
        <v>41</v>
      </c>
      <c r="C1216" s="4">
        <v>0.56193137999999998</v>
      </c>
      <c r="D1216" s="4">
        <v>0.57808694400000005</v>
      </c>
      <c r="E1216" s="18">
        <v>629</v>
      </c>
      <c r="G1216" s="4"/>
      <c r="H1216" s="4">
        <f t="shared" si="22"/>
        <v>0</v>
      </c>
      <c r="I1216" s="2">
        <f t="shared" si="23"/>
        <v>0</v>
      </c>
      <c r="J1216">
        <v>6.3</v>
      </c>
    </row>
    <row r="1217" spans="1:10" x14ac:dyDescent="0.3">
      <c r="A1217" t="s">
        <v>134</v>
      </c>
      <c r="B1217" t="s">
        <v>135</v>
      </c>
      <c r="C1217" s="4">
        <v>0.84088890000000005</v>
      </c>
      <c r="D1217" s="4">
        <v>0.84088888900000003</v>
      </c>
      <c r="E1217" s="18">
        <v>630</v>
      </c>
      <c r="G1217" s="4"/>
      <c r="H1217" s="4">
        <f t="shared" si="22"/>
        <v>0</v>
      </c>
      <c r="I1217" s="2">
        <f t="shared" si="23"/>
        <v>0</v>
      </c>
      <c r="J1217">
        <v>9</v>
      </c>
    </row>
    <row r="1218" spans="1:10" x14ac:dyDescent="0.3">
      <c r="A1218" t="s">
        <v>134</v>
      </c>
      <c r="B1218" t="s">
        <v>122</v>
      </c>
      <c r="C1218" s="4">
        <v>0.85750000000000004</v>
      </c>
      <c r="D1218" s="4">
        <v>0.61247410899999999</v>
      </c>
      <c r="E1218" s="18">
        <v>631</v>
      </c>
      <c r="G1218" s="4"/>
      <c r="H1218" s="4">
        <f t="shared" si="22"/>
        <v>0</v>
      </c>
      <c r="I1218" s="2">
        <f t="shared" si="23"/>
        <v>0</v>
      </c>
      <c r="J1218">
        <v>2.5</v>
      </c>
    </row>
    <row r="1219" spans="1:10" x14ac:dyDescent="0.3">
      <c r="A1219" t="s">
        <v>134</v>
      </c>
      <c r="B1219" t="s">
        <v>122</v>
      </c>
      <c r="C1219" s="4">
        <v>0.85750000000000004</v>
      </c>
      <c r="D1219" s="4">
        <v>0.61247410899999999</v>
      </c>
      <c r="E1219" s="18">
        <v>632</v>
      </c>
      <c r="G1219" s="4"/>
      <c r="H1219" s="4">
        <f t="shared" si="22"/>
        <v>0</v>
      </c>
      <c r="I1219" s="2">
        <f t="shared" si="23"/>
        <v>0</v>
      </c>
      <c r="J1219">
        <v>4</v>
      </c>
    </row>
    <row r="1220" spans="1:10" x14ac:dyDescent="0.3">
      <c r="A1220" t="s">
        <v>134</v>
      </c>
      <c r="B1220" t="s">
        <v>122</v>
      </c>
      <c r="C1220" s="4">
        <v>0.85750000000000004</v>
      </c>
      <c r="D1220" s="4">
        <v>0.61247410899999999</v>
      </c>
      <c r="E1220" s="18">
        <v>633</v>
      </c>
      <c r="G1220" s="4"/>
      <c r="H1220" s="4">
        <f t="shared" si="22"/>
        <v>0</v>
      </c>
      <c r="I1220" s="2">
        <f t="shared" si="23"/>
        <v>0</v>
      </c>
      <c r="J1220">
        <v>7.5</v>
      </c>
    </row>
    <row r="1221" spans="1:10" x14ac:dyDescent="0.3">
      <c r="A1221" t="s">
        <v>134</v>
      </c>
      <c r="B1221" t="s">
        <v>122</v>
      </c>
      <c r="C1221" s="4">
        <v>0.85750000000000004</v>
      </c>
      <c r="D1221" s="4">
        <v>0.61247410899999999</v>
      </c>
      <c r="E1221" s="18">
        <v>634</v>
      </c>
      <c r="G1221" s="4"/>
      <c r="H1221" s="4">
        <f t="shared" si="22"/>
        <v>0</v>
      </c>
      <c r="I1221" s="2">
        <f t="shared" si="23"/>
        <v>0</v>
      </c>
      <c r="J1221">
        <v>3</v>
      </c>
    </row>
    <row r="1222" spans="1:10" x14ac:dyDescent="0.3">
      <c r="A1222" t="s">
        <v>134</v>
      </c>
      <c r="B1222" t="s">
        <v>122</v>
      </c>
      <c r="C1222" s="4">
        <v>0.85750000000000004</v>
      </c>
      <c r="D1222" s="4">
        <v>0.61247410899999999</v>
      </c>
      <c r="E1222" s="18">
        <v>635</v>
      </c>
      <c r="G1222" s="4"/>
      <c r="H1222" s="4">
        <f t="shared" si="22"/>
        <v>0</v>
      </c>
      <c r="I1222" s="2">
        <f t="shared" si="23"/>
        <v>0</v>
      </c>
      <c r="J1222">
        <v>6.5</v>
      </c>
    </row>
    <row r="1223" spans="1:10" x14ac:dyDescent="0.3">
      <c r="A1223" t="s">
        <v>134</v>
      </c>
      <c r="B1223" t="s">
        <v>122</v>
      </c>
      <c r="C1223" s="4">
        <v>0.85750000000000004</v>
      </c>
      <c r="D1223" s="4">
        <v>0.61247410899999999</v>
      </c>
      <c r="E1223" s="18">
        <v>636</v>
      </c>
      <c r="G1223" s="4"/>
      <c r="H1223" s="4">
        <f t="shared" si="22"/>
        <v>0</v>
      </c>
      <c r="I1223" s="2">
        <f t="shared" si="23"/>
        <v>0</v>
      </c>
      <c r="J1223">
        <v>6</v>
      </c>
    </row>
    <row r="1224" spans="1:10" x14ac:dyDescent="0.3">
      <c r="A1224" t="s">
        <v>134</v>
      </c>
      <c r="B1224" t="s">
        <v>20</v>
      </c>
      <c r="C1224" s="4">
        <v>0.74387999999999999</v>
      </c>
      <c r="D1224" s="4">
        <v>0.59130000000000005</v>
      </c>
      <c r="E1224" s="18">
        <v>637</v>
      </c>
      <c r="G1224" s="4"/>
      <c r="H1224" s="4">
        <f t="shared" si="22"/>
        <v>0</v>
      </c>
      <c r="I1224" s="2">
        <f t="shared" si="23"/>
        <v>0</v>
      </c>
      <c r="J1224">
        <v>3.7</v>
      </c>
    </row>
    <row r="1225" spans="1:10" x14ac:dyDescent="0.3">
      <c r="A1225" t="s">
        <v>134</v>
      </c>
      <c r="B1225" t="s">
        <v>32</v>
      </c>
      <c r="C1225" s="4">
        <v>0.65716857299999998</v>
      </c>
      <c r="D1225" s="4">
        <v>0.85527777800000004</v>
      </c>
      <c r="E1225" s="18">
        <v>638</v>
      </c>
      <c r="G1225" s="4"/>
      <c r="H1225" s="4">
        <f t="shared" si="22"/>
        <v>0</v>
      </c>
      <c r="I1225" s="2">
        <f t="shared" si="23"/>
        <v>0</v>
      </c>
      <c r="J1225">
        <v>2</v>
      </c>
    </row>
    <row r="1226" spans="1:10" x14ac:dyDescent="0.3">
      <c r="A1226" t="s">
        <v>134</v>
      </c>
      <c r="B1226" t="s">
        <v>32</v>
      </c>
      <c r="C1226" s="4">
        <v>0.65716857299999998</v>
      </c>
      <c r="D1226" s="4">
        <v>0.85527777800000004</v>
      </c>
      <c r="E1226" s="18">
        <v>639</v>
      </c>
      <c r="G1226" s="4"/>
      <c r="H1226" s="4">
        <f t="shared" si="22"/>
        <v>0</v>
      </c>
      <c r="I1226" s="2">
        <f t="shared" si="23"/>
        <v>0</v>
      </c>
      <c r="J1226">
        <v>2.5</v>
      </c>
    </row>
    <row r="1227" spans="1:10" x14ac:dyDescent="0.3">
      <c r="A1227" t="s">
        <v>134</v>
      </c>
      <c r="B1227" t="s">
        <v>131</v>
      </c>
      <c r="C1227" s="4">
        <v>0.52520999999999995</v>
      </c>
      <c r="D1227" s="4">
        <v>0.58666666700000003</v>
      </c>
      <c r="E1227" s="18">
        <v>640</v>
      </c>
      <c r="G1227" s="4"/>
      <c r="H1227" s="4">
        <f t="shared" si="22"/>
        <v>0</v>
      </c>
      <c r="I1227" s="2">
        <f t="shared" si="23"/>
        <v>0</v>
      </c>
      <c r="J1227">
        <v>5.5</v>
      </c>
    </row>
    <row r="1228" spans="1:10" x14ac:dyDescent="0.3">
      <c r="A1228" t="s">
        <v>134</v>
      </c>
      <c r="B1228" t="s">
        <v>131</v>
      </c>
      <c r="C1228" s="4">
        <v>0.52520999999999995</v>
      </c>
      <c r="D1228" s="4">
        <v>0.58666666700000003</v>
      </c>
      <c r="E1228" s="18">
        <v>641</v>
      </c>
      <c r="G1228" s="4"/>
      <c r="H1228" s="4">
        <f t="shared" si="22"/>
        <v>0</v>
      </c>
      <c r="I1228" s="2">
        <f t="shared" si="23"/>
        <v>0</v>
      </c>
      <c r="J1228">
        <v>5.2</v>
      </c>
    </row>
    <row r="1229" spans="1:10" x14ac:dyDescent="0.3">
      <c r="A1229" t="s">
        <v>134</v>
      </c>
      <c r="B1229" t="s">
        <v>23</v>
      </c>
      <c r="C1229" s="4">
        <v>0.76500000000000001</v>
      </c>
      <c r="D1229" s="4">
        <v>0.61247410899999999</v>
      </c>
      <c r="E1229" s="18">
        <v>642</v>
      </c>
      <c r="G1229" s="4"/>
      <c r="H1229" s="4">
        <f t="shared" ref="H1229:H1292" si="24">G1229/PI()</f>
        <v>0</v>
      </c>
      <c r="I1229" s="2">
        <f t="shared" si="23"/>
        <v>0</v>
      </c>
      <c r="J1229">
        <v>9.5</v>
      </c>
    </row>
    <row r="1230" spans="1:10" x14ac:dyDescent="0.3">
      <c r="A1230" t="s">
        <v>134</v>
      </c>
      <c r="B1230" t="s">
        <v>23</v>
      </c>
      <c r="C1230" s="4">
        <v>0.76500000000000001</v>
      </c>
      <c r="D1230" s="4">
        <v>0.61247410899999999</v>
      </c>
      <c r="E1230" s="18">
        <v>643</v>
      </c>
      <c r="G1230" s="4"/>
      <c r="H1230" s="4">
        <f t="shared" si="24"/>
        <v>0</v>
      </c>
      <c r="I1230" s="2">
        <f t="shared" si="23"/>
        <v>0</v>
      </c>
      <c r="J1230">
        <v>9.5</v>
      </c>
    </row>
    <row r="1231" spans="1:10" x14ac:dyDescent="0.3">
      <c r="A1231" t="s">
        <v>136</v>
      </c>
      <c r="B1231" t="s">
        <v>26</v>
      </c>
      <c r="C1231" s="4">
        <v>0.80908761900000004</v>
      </c>
      <c r="D1231" s="4">
        <v>0.87473809499999999</v>
      </c>
      <c r="E1231" s="18">
        <v>644</v>
      </c>
      <c r="G1231" s="4"/>
      <c r="H1231" s="4">
        <f t="shared" si="24"/>
        <v>0</v>
      </c>
      <c r="I1231" s="2">
        <f t="shared" si="23"/>
        <v>0</v>
      </c>
      <c r="J1231">
        <v>5.5</v>
      </c>
    </row>
    <row r="1232" spans="1:10" x14ac:dyDescent="0.3">
      <c r="A1232" t="s">
        <v>136</v>
      </c>
      <c r="B1232" t="s">
        <v>85</v>
      </c>
      <c r="C1232" s="4">
        <v>0.6</v>
      </c>
      <c r="D1232" s="4">
        <v>0.66674999999999995</v>
      </c>
      <c r="E1232" s="18">
        <v>645</v>
      </c>
      <c r="G1232" s="4"/>
      <c r="H1232" s="4">
        <f t="shared" si="24"/>
        <v>0</v>
      </c>
      <c r="I1232" s="2">
        <f t="shared" si="23"/>
        <v>0</v>
      </c>
      <c r="J1232">
        <v>6.5</v>
      </c>
    </row>
    <row r="1233" spans="1:10" x14ac:dyDescent="0.3">
      <c r="A1233" t="s">
        <v>136</v>
      </c>
      <c r="B1233" t="s">
        <v>87</v>
      </c>
      <c r="C1233" s="4">
        <v>0.59</v>
      </c>
      <c r="D1233" s="4">
        <v>0.59</v>
      </c>
      <c r="E1233" s="18">
        <v>646</v>
      </c>
      <c r="G1233" s="4"/>
      <c r="H1233" s="4">
        <f t="shared" si="24"/>
        <v>0</v>
      </c>
      <c r="I1233" s="2">
        <f t="shared" si="23"/>
        <v>0</v>
      </c>
      <c r="J1233">
        <v>2</v>
      </c>
    </row>
    <row r="1234" spans="1:10" x14ac:dyDescent="0.3">
      <c r="A1234" t="s">
        <v>136</v>
      </c>
      <c r="B1234" t="s">
        <v>37</v>
      </c>
      <c r="C1234" s="4">
        <v>0.39790071399999999</v>
      </c>
      <c r="D1234" s="4">
        <v>0.50565277799999997</v>
      </c>
      <c r="E1234" s="18">
        <v>647</v>
      </c>
      <c r="G1234" s="4"/>
      <c r="H1234" s="4">
        <f t="shared" si="24"/>
        <v>0</v>
      </c>
      <c r="I1234" s="2">
        <f t="shared" si="23"/>
        <v>0</v>
      </c>
      <c r="J1234">
        <v>8.5</v>
      </c>
    </row>
    <row r="1235" spans="1:10" x14ac:dyDescent="0.3">
      <c r="A1235" t="s">
        <v>136</v>
      </c>
      <c r="B1235" t="s">
        <v>70</v>
      </c>
      <c r="C1235" s="4">
        <v>0.55560299999999996</v>
      </c>
      <c r="D1235" s="4">
        <v>0.55961111100000005</v>
      </c>
      <c r="E1235" s="18">
        <v>648</v>
      </c>
      <c r="G1235" s="4"/>
      <c r="H1235" s="4">
        <f t="shared" si="24"/>
        <v>0</v>
      </c>
      <c r="I1235" s="2">
        <f t="shared" si="23"/>
        <v>0</v>
      </c>
      <c r="J1235">
        <v>10</v>
      </c>
    </row>
    <row r="1236" spans="1:10" x14ac:dyDescent="0.3">
      <c r="A1236" t="s">
        <v>136</v>
      </c>
      <c r="B1236" t="s">
        <v>122</v>
      </c>
      <c r="C1236" s="4">
        <v>0.85750000000000004</v>
      </c>
      <c r="D1236" s="4">
        <v>0.61247410899999999</v>
      </c>
      <c r="E1236" s="18">
        <v>649</v>
      </c>
      <c r="G1236" s="4"/>
      <c r="H1236" s="4">
        <f t="shared" si="24"/>
        <v>0</v>
      </c>
      <c r="I1236" s="2">
        <f t="shared" si="23"/>
        <v>0</v>
      </c>
      <c r="J1236">
        <v>8.5</v>
      </c>
    </row>
    <row r="1237" spans="1:10" x14ac:dyDescent="0.3">
      <c r="A1237" t="s">
        <v>136</v>
      </c>
      <c r="B1237" t="s">
        <v>20</v>
      </c>
      <c r="C1237" s="4">
        <v>0.74387999999999999</v>
      </c>
      <c r="D1237" s="4">
        <v>0.59130000000000005</v>
      </c>
      <c r="E1237" s="18">
        <v>650</v>
      </c>
      <c r="G1237" s="4"/>
      <c r="H1237" s="4">
        <f t="shared" si="24"/>
        <v>0</v>
      </c>
      <c r="I1237" s="2">
        <f t="shared" si="23"/>
        <v>0</v>
      </c>
      <c r="J1237">
        <v>5</v>
      </c>
    </row>
    <row r="1238" spans="1:10" x14ac:dyDescent="0.3">
      <c r="A1238" t="s">
        <v>136</v>
      </c>
      <c r="B1238" t="s">
        <v>131</v>
      </c>
      <c r="C1238" s="4">
        <v>0.52520999999999995</v>
      </c>
      <c r="D1238" s="4">
        <v>0.58666666700000003</v>
      </c>
      <c r="E1238" s="18">
        <v>651</v>
      </c>
      <c r="G1238" s="4"/>
      <c r="H1238" s="4">
        <f t="shared" si="24"/>
        <v>0</v>
      </c>
      <c r="I1238" s="2">
        <f t="shared" si="23"/>
        <v>0</v>
      </c>
      <c r="J1238">
        <v>6</v>
      </c>
    </row>
    <row r="1239" spans="1:10" x14ac:dyDescent="0.3">
      <c r="A1239" t="s">
        <v>136</v>
      </c>
      <c r="B1239" t="s">
        <v>131</v>
      </c>
      <c r="C1239" s="4">
        <v>0.52520999999999995</v>
      </c>
      <c r="D1239" s="4">
        <v>0.58666666700000003</v>
      </c>
      <c r="E1239" s="18">
        <v>652</v>
      </c>
      <c r="G1239" s="4"/>
      <c r="H1239" s="4">
        <f t="shared" si="24"/>
        <v>0</v>
      </c>
      <c r="I1239" s="2">
        <f t="shared" ref="I1239:I1302" si="25">PI()*(H1239/2)^2</f>
        <v>0</v>
      </c>
      <c r="J1239">
        <v>5</v>
      </c>
    </row>
    <row r="1240" spans="1:10" x14ac:dyDescent="0.3">
      <c r="A1240" t="s">
        <v>137</v>
      </c>
      <c r="B1240" t="s">
        <v>37</v>
      </c>
      <c r="C1240" s="4">
        <v>0.39790071399999999</v>
      </c>
      <c r="D1240" s="4">
        <v>0.50565277799999997</v>
      </c>
      <c r="E1240" s="18">
        <v>653</v>
      </c>
      <c r="G1240" s="4"/>
      <c r="H1240" s="4">
        <f t="shared" si="24"/>
        <v>0</v>
      </c>
      <c r="I1240" s="2">
        <f t="shared" si="25"/>
        <v>0</v>
      </c>
      <c r="J1240">
        <v>4.5</v>
      </c>
    </row>
    <row r="1241" spans="1:10" x14ac:dyDescent="0.3">
      <c r="A1241" t="s">
        <v>137</v>
      </c>
      <c r="B1241" t="s">
        <v>45</v>
      </c>
      <c r="C1241" s="4">
        <v>0.81991655299999999</v>
      </c>
      <c r="D1241" s="4">
        <v>0.72276027399999998</v>
      </c>
      <c r="E1241" s="18">
        <v>654</v>
      </c>
      <c r="G1241" s="4"/>
      <c r="H1241" s="4">
        <f t="shared" si="24"/>
        <v>0</v>
      </c>
      <c r="I1241" s="2">
        <f t="shared" si="25"/>
        <v>0</v>
      </c>
      <c r="J1241">
        <v>2</v>
      </c>
    </row>
    <row r="1242" spans="1:10" x14ac:dyDescent="0.3">
      <c r="A1242" t="s">
        <v>137</v>
      </c>
      <c r="B1242" t="s">
        <v>41</v>
      </c>
      <c r="C1242" s="4">
        <v>0.56193137999999998</v>
      </c>
      <c r="D1242" s="4">
        <v>0.57808694400000005</v>
      </c>
      <c r="E1242" s="18">
        <v>655</v>
      </c>
      <c r="G1242" s="4"/>
      <c r="H1242" s="4">
        <f t="shared" si="24"/>
        <v>0</v>
      </c>
      <c r="I1242" s="2">
        <f t="shared" si="25"/>
        <v>0</v>
      </c>
      <c r="J1242">
        <v>6</v>
      </c>
    </row>
    <row r="1243" spans="1:10" x14ac:dyDescent="0.3">
      <c r="A1243" t="s">
        <v>137</v>
      </c>
      <c r="B1243" t="s">
        <v>135</v>
      </c>
      <c r="C1243" s="4">
        <v>0.84088890000000005</v>
      </c>
      <c r="D1243" s="4">
        <v>0.84088888900000003</v>
      </c>
      <c r="E1243" s="18">
        <v>656</v>
      </c>
      <c r="G1243" s="4"/>
      <c r="H1243" s="4">
        <f t="shared" si="24"/>
        <v>0</v>
      </c>
      <c r="I1243" s="2">
        <f t="shared" si="25"/>
        <v>0</v>
      </c>
      <c r="J1243">
        <v>10</v>
      </c>
    </row>
    <row r="1244" spans="1:10" x14ac:dyDescent="0.3">
      <c r="A1244" t="s">
        <v>137</v>
      </c>
      <c r="B1244" t="s">
        <v>135</v>
      </c>
      <c r="C1244" s="4">
        <v>0.84088890000000005</v>
      </c>
      <c r="D1244" s="4">
        <v>0.84088888900000003</v>
      </c>
      <c r="E1244" s="18">
        <v>657</v>
      </c>
      <c r="G1244" s="4"/>
      <c r="H1244" s="4">
        <f t="shared" si="24"/>
        <v>0</v>
      </c>
      <c r="I1244" s="2">
        <f t="shared" si="25"/>
        <v>0</v>
      </c>
      <c r="J1244">
        <v>9</v>
      </c>
    </row>
    <row r="1245" spans="1:10" x14ac:dyDescent="0.3">
      <c r="A1245" t="s">
        <v>137</v>
      </c>
      <c r="B1245" t="s">
        <v>135</v>
      </c>
      <c r="C1245" s="4">
        <v>0.84088890000000005</v>
      </c>
      <c r="D1245" s="4">
        <v>0.84088888900000003</v>
      </c>
      <c r="E1245" s="18">
        <v>658</v>
      </c>
      <c r="G1245" s="4"/>
      <c r="H1245" s="4">
        <f t="shared" si="24"/>
        <v>0</v>
      </c>
      <c r="I1245" s="2">
        <f t="shared" si="25"/>
        <v>0</v>
      </c>
      <c r="J1245">
        <v>8.5</v>
      </c>
    </row>
    <row r="1246" spans="1:10" x14ac:dyDescent="0.3">
      <c r="A1246" t="s">
        <v>137</v>
      </c>
      <c r="B1246" t="s">
        <v>122</v>
      </c>
      <c r="C1246" s="4">
        <v>0.85750000000000004</v>
      </c>
      <c r="D1246" s="4">
        <v>0.61247410899999999</v>
      </c>
      <c r="E1246" s="18">
        <v>659</v>
      </c>
      <c r="G1246" s="4"/>
      <c r="H1246" s="4">
        <f t="shared" si="24"/>
        <v>0</v>
      </c>
      <c r="I1246" s="2">
        <f t="shared" si="25"/>
        <v>0</v>
      </c>
      <c r="J1246">
        <v>5</v>
      </c>
    </row>
    <row r="1247" spans="1:10" x14ac:dyDescent="0.3">
      <c r="A1247" t="s">
        <v>137</v>
      </c>
      <c r="B1247" t="s">
        <v>119</v>
      </c>
      <c r="C1247" s="4">
        <v>0.432770245</v>
      </c>
      <c r="D1247" s="4">
        <v>0.61247410899999999</v>
      </c>
      <c r="E1247" s="18">
        <v>660</v>
      </c>
      <c r="G1247" s="4"/>
      <c r="H1247" s="4">
        <f t="shared" si="24"/>
        <v>0</v>
      </c>
      <c r="I1247" s="2">
        <f t="shared" si="25"/>
        <v>0</v>
      </c>
      <c r="J1247">
        <v>3</v>
      </c>
    </row>
    <row r="1248" spans="1:10" x14ac:dyDescent="0.3">
      <c r="A1248" t="s">
        <v>138</v>
      </c>
      <c r="B1248" t="s">
        <v>26</v>
      </c>
      <c r="C1248" s="4">
        <v>0.80908761900000004</v>
      </c>
      <c r="D1248" s="4">
        <v>0.87473809499999999</v>
      </c>
      <c r="E1248" s="18">
        <v>661</v>
      </c>
      <c r="G1248" s="4"/>
      <c r="H1248" s="4">
        <f t="shared" si="24"/>
        <v>0</v>
      </c>
      <c r="I1248" s="2">
        <f t="shared" si="25"/>
        <v>0</v>
      </c>
      <c r="J1248">
        <v>9.5</v>
      </c>
    </row>
    <row r="1249" spans="1:10" x14ac:dyDescent="0.3">
      <c r="A1249" t="s">
        <v>138</v>
      </c>
      <c r="B1249" t="s">
        <v>26</v>
      </c>
      <c r="C1249" s="4">
        <v>0.80908761900000004</v>
      </c>
      <c r="D1249" s="4">
        <v>0.87473809499999999</v>
      </c>
      <c r="E1249" s="18">
        <v>662</v>
      </c>
      <c r="G1249" s="4"/>
      <c r="H1249" s="4">
        <f t="shared" si="24"/>
        <v>0</v>
      </c>
      <c r="I1249" s="2">
        <f t="shared" si="25"/>
        <v>0</v>
      </c>
      <c r="J1249">
        <v>9.5</v>
      </c>
    </row>
    <row r="1250" spans="1:10" x14ac:dyDescent="0.3">
      <c r="A1250" t="s">
        <v>138</v>
      </c>
      <c r="B1250" t="s">
        <v>85</v>
      </c>
      <c r="C1250" s="4">
        <v>0.6</v>
      </c>
      <c r="D1250" s="4">
        <v>0.66674999999999995</v>
      </c>
      <c r="E1250" s="18">
        <v>663</v>
      </c>
      <c r="G1250" s="4"/>
      <c r="H1250" s="4">
        <f t="shared" si="24"/>
        <v>0</v>
      </c>
      <c r="I1250" s="2">
        <f t="shared" si="25"/>
        <v>0</v>
      </c>
      <c r="J1250">
        <v>7</v>
      </c>
    </row>
    <row r="1251" spans="1:10" x14ac:dyDescent="0.3">
      <c r="A1251" t="s">
        <v>138</v>
      </c>
      <c r="B1251" t="s">
        <v>85</v>
      </c>
      <c r="C1251" s="4">
        <v>0.6</v>
      </c>
      <c r="D1251" s="4">
        <v>0.66674999999999995</v>
      </c>
      <c r="E1251" s="18">
        <v>664</v>
      </c>
      <c r="G1251" s="4"/>
      <c r="H1251" s="4">
        <f t="shared" si="24"/>
        <v>0</v>
      </c>
      <c r="I1251" s="2">
        <f t="shared" si="25"/>
        <v>0</v>
      </c>
      <c r="J1251">
        <v>7.3</v>
      </c>
    </row>
    <row r="1252" spans="1:10" x14ac:dyDescent="0.3">
      <c r="A1252" t="s">
        <v>138</v>
      </c>
      <c r="B1252" t="s">
        <v>85</v>
      </c>
      <c r="C1252" s="4">
        <v>0.6</v>
      </c>
      <c r="D1252" s="4">
        <v>0.66674999999999995</v>
      </c>
      <c r="E1252" s="18">
        <v>665</v>
      </c>
      <c r="G1252" s="4"/>
      <c r="H1252" s="4">
        <f t="shared" si="24"/>
        <v>0</v>
      </c>
      <c r="I1252" s="2">
        <f t="shared" si="25"/>
        <v>0</v>
      </c>
      <c r="J1252">
        <v>7.5</v>
      </c>
    </row>
    <row r="1253" spans="1:10" x14ac:dyDescent="0.3">
      <c r="A1253" t="s">
        <v>138</v>
      </c>
      <c r="B1253" t="s">
        <v>37</v>
      </c>
      <c r="C1253" s="4">
        <v>0.39790071399999999</v>
      </c>
      <c r="D1253" s="4">
        <v>0.50565277799999997</v>
      </c>
      <c r="E1253" s="18">
        <v>666</v>
      </c>
      <c r="G1253" s="4"/>
      <c r="H1253" s="4">
        <f t="shared" si="24"/>
        <v>0</v>
      </c>
      <c r="I1253" s="2">
        <f t="shared" si="25"/>
        <v>0</v>
      </c>
      <c r="J1253">
        <v>6.5</v>
      </c>
    </row>
    <row r="1254" spans="1:10" x14ac:dyDescent="0.3">
      <c r="A1254" t="s">
        <v>138</v>
      </c>
      <c r="B1254" t="s">
        <v>18</v>
      </c>
      <c r="C1254" s="4">
        <v>0.45255480399999998</v>
      </c>
      <c r="D1254" s="4">
        <v>0.57808694400000005</v>
      </c>
      <c r="E1254" s="18">
        <v>667</v>
      </c>
      <c r="G1254" s="4"/>
      <c r="H1254" s="4">
        <f t="shared" si="24"/>
        <v>0</v>
      </c>
      <c r="I1254" s="2">
        <f t="shared" si="25"/>
        <v>0</v>
      </c>
      <c r="J1254">
        <v>3.5</v>
      </c>
    </row>
    <row r="1255" spans="1:10" x14ac:dyDescent="0.3">
      <c r="A1255" t="s">
        <v>138</v>
      </c>
      <c r="B1255" t="s">
        <v>18</v>
      </c>
      <c r="C1255" s="4">
        <v>0.45255480399999998</v>
      </c>
      <c r="D1255" s="4">
        <v>0.57808694400000005</v>
      </c>
      <c r="E1255" s="18">
        <v>668</v>
      </c>
      <c r="G1255" s="4"/>
      <c r="H1255" s="4">
        <f t="shared" si="24"/>
        <v>0</v>
      </c>
      <c r="I1255" s="2">
        <f t="shared" si="25"/>
        <v>0</v>
      </c>
      <c r="J1255">
        <v>6</v>
      </c>
    </row>
    <row r="1256" spans="1:10" x14ac:dyDescent="0.3">
      <c r="A1256" t="s">
        <v>138</v>
      </c>
      <c r="B1256" t="s">
        <v>66</v>
      </c>
      <c r="C1256" s="4">
        <v>0.62643652800000005</v>
      </c>
      <c r="D1256" s="4">
        <v>0.57808694400000005</v>
      </c>
      <c r="E1256" s="18">
        <v>669</v>
      </c>
      <c r="G1256" s="4"/>
      <c r="H1256" s="4">
        <f t="shared" si="24"/>
        <v>0</v>
      </c>
      <c r="I1256" s="2">
        <f t="shared" si="25"/>
        <v>0</v>
      </c>
      <c r="J1256">
        <v>4.5</v>
      </c>
    </row>
    <row r="1257" spans="1:10" x14ac:dyDescent="0.3">
      <c r="A1257" t="s">
        <v>138</v>
      </c>
      <c r="B1257" t="s">
        <v>66</v>
      </c>
      <c r="C1257" s="4">
        <v>0.62643652800000005</v>
      </c>
      <c r="D1257" s="4">
        <v>0.57808694400000005</v>
      </c>
      <c r="E1257" s="18">
        <v>670</v>
      </c>
      <c r="G1257" s="4"/>
      <c r="H1257" s="4">
        <f t="shared" si="24"/>
        <v>0</v>
      </c>
      <c r="I1257" s="2">
        <f t="shared" si="25"/>
        <v>0</v>
      </c>
      <c r="J1257">
        <v>4</v>
      </c>
    </row>
    <row r="1258" spans="1:10" x14ac:dyDescent="0.3">
      <c r="A1258" t="s">
        <v>138</v>
      </c>
      <c r="B1258" t="s">
        <v>66</v>
      </c>
      <c r="C1258" s="4">
        <v>0.62643652800000005</v>
      </c>
      <c r="D1258" s="4">
        <v>0.57808694400000005</v>
      </c>
      <c r="E1258" s="18">
        <v>671</v>
      </c>
      <c r="G1258" s="4"/>
      <c r="H1258" s="4">
        <f t="shared" si="24"/>
        <v>0</v>
      </c>
      <c r="I1258" s="2">
        <f t="shared" si="25"/>
        <v>0</v>
      </c>
      <c r="J1258">
        <v>3.5</v>
      </c>
    </row>
    <row r="1259" spans="1:10" x14ac:dyDescent="0.3">
      <c r="A1259" t="s">
        <v>138</v>
      </c>
      <c r="B1259" t="s">
        <v>66</v>
      </c>
      <c r="C1259" s="4">
        <v>0.62643652800000005</v>
      </c>
      <c r="D1259" s="4">
        <v>0.57808694400000005</v>
      </c>
      <c r="E1259" s="18">
        <v>672</v>
      </c>
      <c r="G1259" s="4"/>
      <c r="H1259" s="4">
        <f t="shared" si="24"/>
        <v>0</v>
      </c>
      <c r="I1259" s="2">
        <f t="shared" si="25"/>
        <v>0</v>
      </c>
      <c r="J1259">
        <v>5</v>
      </c>
    </row>
    <row r="1260" spans="1:10" x14ac:dyDescent="0.3">
      <c r="A1260" t="s">
        <v>138</v>
      </c>
      <c r="B1260" t="s">
        <v>41</v>
      </c>
      <c r="C1260" s="4">
        <v>0.56193137999999998</v>
      </c>
      <c r="D1260" s="4">
        <v>0.57808694400000005</v>
      </c>
      <c r="E1260" s="18">
        <v>673</v>
      </c>
      <c r="G1260" s="4"/>
      <c r="H1260" s="4">
        <f t="shared" si="24"/>
        <v>0</v>
      </c>
      <c r="I1260" s="2">
        <f t="shared" si="25"/>
        <v>0</v>
      </c>
      <c r="J1260">
        <v>6</v>
      </c>
    </row>
    <row r="1261" spans="1:10" x14ac:dyDescent="0.3">
      <c r="A1261" t="s">
        <v>138</v>
      </c>
      <c r="B1261" t="s">
        <v>122</v>
      </c>
      <c r="C1261" s="4">
        <v>0.85750000000000004</v>
      </c>
      <c r="D1261" s="4">
        <v>0.61247410899999999</v>
      </c>
      <c r="E1261" s="18">
        <v>674</v>
      </c>
      <c r="G1261" s="4"/>
      <c r="H1261" s="4">
        <f t="shared" si="24"/>
        <v>0</v>
      </c>
      <c r="I1261" s="2">
        <f t="shared" si="25"/>
        <v>0</v>
      </c>
      <c r="J1261">
        <v>3.5</v>
      </c>
    </row>
    <row r="1262" spans="1:10" x14ac:dyDescent="0.3">
      <c r="A1262" t="s">
        <v>138</v>
      </c>
      <c r="B1262" t="s">
        <v>122</v>
      </c>
      <c r="C1262" s="4">
        <v>0.85750000000000004</v>
      </c>
      <c r="D1262" s="4">
        <v>0.61247410899999999</v>
      </c>
      <c r="E1262" s="18">
        <v>675</v>
      </c>
      <c r="G1262" s="4"/>
      <c r="H1262" s="4">
        <f t="shared" si="24"/>
        <v>0</v>
      </c>
      <c r="I1262" s="2">
        <f t="shared" si="25"/>
        <v>0</v>
      </c>
      <c r="J1262">
        <v>6</v>
      </c>
    </row>
    <row r="1263" spans="1:10" x14ac:dyDescent="0.3">
      <c r="A1263" t="s">
        <v>138</v>
      </c>
      <c r="B1263" t="s">
        <v>122</v>
      </c>
      <c r="C1263" s="4">
        <v>0.85750000000000004</v>
      </c>
      <c r="D1263" s="4">
        <v>0.61247410899999999</v>
      </c>
      <c r="E1263" s="18">
        <v>676</v>
      </c>
      <c r="G1263" s="4"/>
      <c r="H1263" s="4">
        <f t="shared" si="24"/>
        <v>0</v>
      </c>
      <c r="I1263" s="2">
        <f t="shared" si="25"/>
        <v>0</v>
      </c>
      <c r="J1263">
        <v>7</v>
      </c>
    </row>
    <row r="1264" spans="1:10" x14ac:dyDescent="0.3">
      <c r="A1264" t="s">
        <v>138</v>
      </c>
      <c r="B1264" t="s">
        <v>122</v>
      </c>
      <c r="C1264" s="4">
        <v>0.85750000000000004</v>
      </c>
      <c r="D1264" s="4">
        <v>0.61247410899999999</v>
      </c>
      <c r="E1264" s="18">
        <v>677</v>
      </c>
      <c r="G1264" s="4"/>
      <c r="H1264" s="4">
        <f t="shared" si="24"/>
        <v>0</v>
      </c>
      <c r="I1264" s="2">
        <f t="shared" si="25"/>
        <v>0</v>
      </c>
      <c r="J1264">
        <v>2.5</v>
      </c>
    </row>
    <row r="1265" spans="1:10" x14ac:dyDescent="0.3">
      <c r="A1265" t="s">
        <v>138</v>
      </c>
      <c r="B1265" t="s">
        <v>20</v>
      </c>
      <c r="C1265" s="4">
        <v>0.74387999999999999</v>
      </c>
      <c r="D1265" s="4">
        <v>0.59130000000000005</v>
      </c>
      <c r="E1265" s="18">
        <v>678</v>
      </c>
      <c r="G1265" s="4"/>
      <c r="H1265" s="4">
        <f t="shared" si="24"/>
        <v>0</v>
      </c>
      <c r="I1265" s="2">
        <f t="shared" si="25"/>
        <v>0</v>
      </c>
      <c r="J1265">
        <v>7</v>
      </c>
    </row>
    <row r="1266" spans="1:10" x14ac:dyDescent="0.3">
      <c r="A1266" t="s">
        <v>138</v>
      </c>
      <c r="B1266" t="s">
        <v>23</v>
      </c>
      <c r="C1266" s="4">
        <v>0.76500000000000001</v>
      </c>
      <c r="D1266" s="4">
        <v>0.61247410899999999</v>
      </c>
      <c r="E1266" s="18">
        <v>679</v>
      </c>
      <c r="G1266" s="4"/>
      <c r="H1266" s="4">
        <f t="shared" si="24"/>
        <v>0</v>
      </c>
      <c r="I1266" s="2">
        <f t="shared" si="25"/>
        <v>0</v>
      </c>
      <c r="J1266">
        <v>10</v>
      </c>
    </row>
    <row r="1267" spans="1:10" x14ac:dyDescent="0.3">
      <c r="A1267" t="s">
        <v>138</v>
      </c>
      <c r="B1267" t="s">
        <v>23</v>
      </c>
      <c r="C1267" s="4">
        <v>0.76500000000000001</v>
      </c>
      <c r="D1267" s="4">
        <v>0.61247410899999999</v>
      </c>
      <c r="E1267" s="18">
        <v>680</v>
      </c>
      <c r="G1267" s="4"/>
      <c r="H1267" s="4">
        <f t="shared" si="24"/>
        <v>0</v>
      </c>
      <c r="I1267" s="2">
        <f t="shared" si="25"/>
        <v>0</v>
      </c>
      <c r="J1267">
        <v>4.5</v>
      </c>
    </row>
    <row r="1268" spans="1:10" x14ac:dyDescent="0.3">
      <c r="A1268" t="s">
        <v>138</v>
      </c>
      <c r="B1268" t="s">
        <v>23</v>
      </c>
      <c r="C1268" s="4">
        <v>0.76500000000000001</v>
      </c>
      <c r="D1268" s="4">
        <v>0.61247410899999999</v>
      </c>
      <c r="E1268" s="18">
        <v>681</v>
      </c>
      <c r="G1268" s="4"/>
      <c r="H1268" s="4">
        <f t="shared" si="24"/>
        <v>0</v>
      </c>
      <c r="I1268" s="2">
        <f t="shared" si="25"/>
        <v>0</v>
      </c>
      <c r="J1268">
        <v>8.5</v>
      </c>
    </row>
    <row r="1269" spans="1:10" x14ac:dyDescent="0.3">
      <c r="A1269" t="s">
        <v>138</v>
      </c>
      <c r="B1269" t="s">
        <v>23</v>
      </c>
      <c r="C1269" s="4">
        <v>0.76500000000000001</v>
      </c>
      <c r="D1269" s="4">
        <v>0.61247410899999999</v>
      </c>
      <c r="E1269" s="18">
        <v>682</v>
      </c>
      <c r="G1269" s="4"/>
      <c r="H1269" s="4">
        <f t="shared" si="24"/>
        <v>0</v>
      </c>
      <c r="I1269" s="2">
        <f t="shared" si="25"/>
        <v>0</v>
      </c>
      <c r="J1269">
        <v>8.5</v>
      </c>
    </row>
    <row r="1270" spans="1:10" x14ac:dyDescent="0.3">
      <c r="A1270" t="s">
        <v>138</v>
      </c>
      <c r="B1270" t="s">
        <v>23</v>
      </c>
      <c r="C1270" s="4">
        <v>0.76500000000000001</v>
      </c>
      <c r="D1270" s="4">
        <v>0.61247410899999999</v>
      </c>
      <c r="E1270" s="18">
        <v>683</v>
      </c>
      <c r="G1270" s="4"/>
      <c r="H1270" s="4">
        <f t="shared" si="24"/>
        <v>0</v>
      </c>
      <c r="I1270" s="2">
        <f t="shared" si="25"/>
        <v>0</v>
      </c>
      <c r="J1270">
        <v>10</v>
      </c>
    </row>
    <row r="1271" spans="1:10" x14ac:dyDescent="0.3">
      <c r="A1271" t="s">
        <v>138</v>
      </c>
      <c r="B1271" t="s">
        <v>133</v>
      </c>
      <c r="C1271" s="4">
        <v>0.50016547600000005</v>
      </c>
      <c r="D1271" s="4">
        <v>0.61774072899999999</v>
      </c>
      <c r="E1271" s="18">
        <v>684</v>
      </c>
      <c r="G1271" s="4"/>
      <c r="H1271" s="4">
        <f t="shared" si="24"/>
        <v>0</v>
      </c>
      <c r="I1271" s="2">
        <f t="shared" si="25"/>
        <v>0</v>
      </c>
      <c r="J1271">
        <v>5</v>
      </c>
    </row>
    <row r="1272" spans="1:10" x14ac:dyDescent="0.3">
      <c r="A1272" t="s">
        <v>138</v>
      </c>
      <c r="B1272" t="s">
        <v>133</v>
      </c>
      <c r="C1272" s="4">
        <v>0.50016547600000005</v>
      </c>
      <c r="D1272" s="4">
        <v>0.61774072899999999</v>
      </c>
      <c r="E1272" s="18">
        <v>685</v>
      </c>
      <c r="G1272" s="4"/>
      <c r="H1272" s="4">
        <f t="shared" si="24"/>
        <v>0</v>
      </c>
      <c r="I1272" s="2">
        <f t="shared" si="25"/>
        <v>0</v>
      </c>
      <c r="J1272">
        <v>8</v>
      </c>
    </row>
    <row r="1273" spans="1:10" x14ac:dyDescent="0.3">
      <c r="A1273" t="s">
        <v>139</v>
      </c>
      <c r="B1273" t="s">
        <v>26</v>
      </c>
      <c r="C1273" s="4">
        <v>0.80908761900000004</v>
      </c>
      <c r="D1273" s="4">
        <v>0.87473809499999999</v>
      </c>
      <c r="E1273" s="18">
        <v>686</v>
      </c>
      <c r="G1273" s="4"/>
      <c r="H1273" s="4">
        <f t="shared" si="24"/>
        <v>0</v>
      </c>
      <c r="I1273" s="2">
        <f t="shared" si="25"/>
        <v>0</v>
      </c>
      <c r="J1273">
        <v>10</v>
      </c>
    </row>
    <row r="1274" spans="1:10" x14ac:dyDescent="0.3">
      <c r="A1274" t="s">
        <v>139</v>
      </c>
      <c r="B1274" t="s">
        <v>26</v>
      </c>
      <c r="C1274" s="4">
        <v>0.80908761900000004</v>
      </c>
      <c r="D1274" s="4">
        <v>0.87473809499999999</v>
      </c>
      <c r="E1274" s="18">
        <v>687</v>
      </c>
      <c r="G1274" s="4"/>
      <c r="H1274" s="4">
        <f t="shared" si="24"/>
        <v>0</v>
      </c>
      <c r="I1274" s="2">
        <f t="shared" si="25"/>
        <v>0</v>
      </c>
      <c r="J1274">
        <v>10</v>
      </c>
    </row>
    <row r="1275" spans="1:10" x14ac:dyDescent="0.3">
      <c r="A1275" t="s">
        <v>139</v>
      </c>
      <c r="B1275" t="s">
        <v>85</v>
      </c>
      <c r="C1275" s="4">
        <v>0.6</v>
      </c>
      <c r="D1275" s="4">
        <v>0.66674999999999995</v>
      </c>
      <c r="E1275" s="18">
        <v>688</v>
      </c>
      <c r="G1275" s="4"/>
      <c r="H1275" s="4">
        <f t="shared" si="24"/>
        <v>0</v>
      </c>
      <c r="I1275" s="2">
        <f t="shared" si="25"/>
        <v>0</v>
      </c>
      <c r="J1275">
        <v>6</v>
      </c>
    </row>
    <row r="1276" spans="1:10" x14ac:dyDescent="0.3">
      <c r="A1276" t="s">
        <v>139</v>
      </c>
      <c r="B1276" t="s">
        <v>85</v>
      </c>
      <c r="C1276" s="4">
        <v>0.6</v>
      </c>
      <c r="D1276" s="4">
        <v>0.66674999999999995</v>
      </c>
      <c r="E1276" s="18">
        <v>689</v>
      </c>
      <c r="G1276" s="4"/>
      <c r="H1276" s="4">
        <f t="shared" si="24"/>
        <v>0</v>
      </c>
      <c r="I1276" s="2">
        <f t="shared" si="25"/>
        <v>0</v>
      </c>
      <c r="J1276">
        <v>7</v>
      </c>
    </row>
    <row r="1277" spans="1:10" x14ac:dyDescent="0.3">
      <c r="A1277" t="s">
        <v>139</v>
      </c>
      <c r="B1277" t="s">
        <v>18</v>
      </c>
      <c r="C1277" s="4">
        <v>0.45255480399999998</v>
      </c>
      <c r="D1277" s="4">
        <v>0.57808694400000005</v>
      </c>
      <c r="E1277" s="18">
        <v>690</v>
      </c>
      <c r="G1277" s="4"/>
      <c r="H1277" s="4">
        <f t="shared" si="24"/>
        <v>0</v>
      </c>
      <c r="I1277" s="2">
        <f t="shared" si="25"/>
        <v>0</v>
      </c>
      <c r="J1277">
        <v>5</v>
      </c>
    </row>
    <row r="1278" spans="1:10" x14ac:dyDescent="0.3">
      <c r="A1278" t="s">
        <v>139</v>
      </c>
      <c r="B1278" t="s">
        <v>18</v>
      </c>
      <c r="C1278" s="4">
        <v>0.45255480399999998</v>
      </c>
      <c r="D1278" s="4">
        <v>0.57808694400000005</v>
      </c>
      <c r="E1278" s="18">
        <v>691</v>
      </c>
      <c r="G1278" s="4"/>
      <c r="H1278" s="4">
        <f t="shared" si="24"/>
        <v>0</v>
      </c>
      <c r="I1278" s="2">
        <f t="shared" si="25"/>
        <v>0</v>
      </c>
      <c r="J1278">
        <v>5</v>
      </c>
    </row>
    <row r="1279" spans="1:10" x14ac:dyDescent="0.3">
      <c r="A1279" t="s">
        <v>139</v>
      </c>
      <c r="B1279" t="s">
        <v>18</v>
      </c>
      <c r="C1279" s="4">
        <v>0.45255480399999998</v>
      </c>
      <c r="D1279" s="4">
        <v>0.57808694400000005</v>
      </c>
      <c r="E1279" s="18">
        <v>692</v>
      </c>
      <c r="G1279" s="4"/>
      <c r="H1279" s="4">
        <f t="shared" si="24"/>
        <v>0</v>
      </c>
      <c r="I1279" s="2">
        <f t="shared" si="25"/>
        <v>0</v>
      </c>
      <c r="J1279">
        <v>4</v>
      </c>
    </row>
    <row r="1280" spans="1:10" x14ac:dyDescent="0.3">
      <c r="A1280" t="s">
        <v>139</v>
      </c>
      <c r="B1280" t="s">
        <v>122</v>
      </c>
      <c r="C1280" s="4">
        <v>0.85750000000000004</v>
      </c>
      <c r="D1280" s="4">
        <v>0.61247410899999999</v>
      </c>
      <c r="E1280" s="18">
        <v>693</v>
      </c>
      <c r="G1280" s="4"/>
      <c r="H1280" s="4">
        <f t="shared" si="24"/>
        <v>0</v>
      </c>
      <c r="I1280" s="2">
        <f t="shared" si="25"/>
        <v>0</v>
      </c>
      <c r="J1280">
        <v>9</v>
      </c>
    </row>
    <row r="1281" spans="1:10" x14ac:dyDescent="0.3">
      <c r="A1281" t="s">
        <v>139</v>
      </c>
      <c r="B1281" t="s">
        <v>122</v>
      </c>
      <c r="C1281" s="4">
        <v>0.85750000000000004</v>
      </c>
      <c r="D1281" s="4">
        <v>0.61247410899999999</v>
      </c>
      <c r="E1281" s="18">
        <v>694</v>
      </c>
      <c r="G1281" s="4"/>
      <c r="H1281" s="4">
        <f t="shared" si="24"/>
        <v>0</v>
      </c>
      <c r="I1281" s="2">
        <f t="shared" si="25"/>
        <v>0</v>
      </c>
      <c r="J1281">
        <v>8.5</v>
      </c>
    </row>
    <row r="1282" spans="1:10" x14ac:dyDescent="0.3">
      <c r="A1282" t="s">
        <v>139</v>
      </c>
      <c r="B1282" t="s">
        <v>122</v>
      </c>
      <c r="C1282" s="4">
        <v>0.85750000000000004</v>
      </c>
      <c r="D1282" s="4">
        <v>0.61247410899999999</v>
      </c>
      <c r="E1282" s="18">
        <v>695</v>
      </c>
      <c r="G1282" s="4"/>
      <c r="H1282" s="4">
        <f t="shared" si="24"/>
        <v>0</v>
      </c>
      <c r="I1282" s="2">
        <f t="shared" si="25"/>
        <v>0</v>
      </c>
      <c r="J1282">
        <v>8.5</v>
      </c>
    </row>
    <row r="1283" spans="1:10" x14ac:dyDescent="0.3">
      <c r="A1283" t="s">
        <v>139</v>
      </c>
      <c r="B1283" t="s">
        <v>122</v>
      </c>
      <c r="C1283" s="4">
        <v>0.85750000000000004</v>
      </c>
      <c r="D1283" s="4">
        <v>0.61247410899999999</v>
      </c>
      <c r="E1283" s="18">
        <v>696</v>
      </c>
      <c r="G1283" s="4"/>
      <c r="H1283" s="4">
        <f t="shared" si="24"/>
        <v>0</v>
      </c>
      <c r="I1283" s="2">
        <f t="shared" si="25"/>
        <v>0</v>
      </c>
      <c r="J1283">
        <v>9.5</v>
      </c>
    </row>
    <row r="1284" spans="1:10" x14ac:dyDescent="0.3">
      <c r="A1284" t="s">
        <v>139</v>
      </c>
      <c r="B1284" t="s">
        <v>122</v>
      </c>
      <c r="C1284" s="4">
        <v>0.85750000000000004</v>
      </c>
      <c r="D1284" s="4">
        <v>0.61247410899999999</v>
      </c>
      <c r="E1284" s="18">
        <v>697</v>
      </c>
      <c r="G1284" s="4"/>
      <c r="H1284" s="4">
        <f t="shared" si="24"/>
        <v>0</v>
      </c>
      <c r="I1284" s="2">
        <f t="shared" si="25"/>
        <v>0</v>
      </c>
      <c r="J1284">
        <v>9</v>
      </c>
    </row>
    <row r="1285" spans="1:10" x14ac:dyDescent="0.3">
      <c r="A1285" t="s">
        <v>139</v>
      </c>
      <c r="B1285" t="s">
        <v>122</v>
      </c>
      <c r="C1285" s="4">
        <v>0.85750000000000004</v>
      </c>
      <c r="D1285" s="4">
        <v>0.61247410899999999</v>
      </c>
      <c r="E1285" s="18">
        <v>698</v>
      </c>
      <c r="G1285" s="4"/>
      <c r="H1285" s="4">
        <f t="shared" si="24"/>
        <v>0</v>
      </c>
      <c r="I1285" s="2">
        <f t="shared" si="25"/>
        <v>0</v>
      </c>
      <c r="J1285">
        <v>9</v>
      </c>
    </row>
    <row r="1286" spans="1:10" x14ac:dyDescent="0.3">
      <c r="A1286" t="s">
        <v>139</v>
      </c>
      <c r="B1286" t="s">
        <v>122</v>
      </c>
      <c r="C1286" s="4">
        <v>0.85750000000000004</v>
      </c>
      <c r="D1286" s="4">
        <v>0.61247410899999999</v>
      </c>
      <c r="E1286" s="18">
        <v>699</v>
      </c>
      <c r="G1286" s="4"/>
      <c r="H1286" s="4">
        <f t="shared" si="24"/>
        <v>0</v>
      </c>
      <c r="I1286" s="2">
        <f t="shared" si="25"/>
        <v>0</v>
      </c>
      <c r="J1286">
        <v>8</v>
      </c>
    </row>
    <row r="1287" spans="1:10" x14ac:dyDescent="0.3">
      <c r="A1287" t="s">
        <v>139</v>
      </c>
      <c r="B1287" t="s">
        <v>122</v>
      </c>
      <c r="C1287" s="4">
        <v>0.85750000000000004</v>
      </c>
      <c r="D1287" s="4">
        <v>0.61247410899999999</v>
      </c>
      <c r="E1287" s="18">
        <v>700</v>
      </c>
      <c r="G1287" s="4"/>
      <c r="H1287" s="4">
        <f t="shared" si="24"/>
        <v>0</v>
      </c>
      <c r="I1287" s="2">
        <f t="shared" si="25"/>
        <v>0</v>
      </c>
      <c r="J1287">
        <v>8</v>
      </c>
    </row>
    <row r="1288" spans="1:10" x14ac:dyDescent="0.3">
      <c r="A1288" t="s">
        <v>139</v>
      </c>
      <c r="B1288" t="s">
        <v>20</v>
      </c>
      <c r="C1288" s="4">
        <v>0.74387999999999999</v>
      </c>
      <c r="D1288" s="4">
        <v>0.59130000000000005</v>
      </c>
      <c r="E1288" s="18">
        <v>701</v>
      </c>
      <c r="G1288" s="4"/>
      <c r="H1288" s="4">
        <f t="shared" si="24"/>
        <v>0</v>
      </c>
      <c r="I1288" s="2">
        <f t="shared" si="25"/>
        <v>0</v>
      </c>
      <c r="J1288">
        <v>2.5</v>
      </c>
    </row>
    <row r="1289" spans="1:10" x14ac:dyDescent="0.3">
      <c r="A1289" t="s">
        <v>140</v>
      </c>
      <c r="B1289" t="s">
        <v>52</v>
      </c>
      <c r="C1289" s="4">
        <v>0.78445916699999996</v>
      </c>
      <c r="D1289" s="4">
        <v>0.87841666699999998</v>
      </c>
      <c r="E1289" s="18">
        <v>702</v>
      </c>
      <c r="G1289" s="4"/>
      <c r="H1289" s="4">
        <f t="shared" si="24"/>
        <v>0</v>
      </c>
      <c r="I1289" s="2">
        <f t="shared" si="25"/>
        <v>0</v>
      </c>
      <c r="J1289">
        <v>3</v>
      </c>
    </row>
    <row r="1290" spans="1:10" x14ac:dyDescent="0.3">
      <c r="A1290" t="s">
        <v>140</v>
      </c>
      <c r="B1290" t="s">
        <v>124</v>
      </c>
      <c r="C1290" s="4">
        <v>0.64800000000000002</v>
      </c>
      <c r="D1290" s="4">
        <v>0.66733333299999997</v>
      </c>
      <c r="E1290" s="18">
        <v>703</v>
      </c>
      <c r="G1290" s="4"/>
      <c r="H1290" s="4">
        <f t="shared" si="24"/>
        <v>0</v>
      </c>
      <c r="I1290" s="2">
        <f t="shared" si="25"/>
        <v>0</v>
      </c>
      <c r="J1290">
        <v>4.5</v>
      </c>
    </row>
    <row r="1291" spans="1:10" x14ac:dyDescent="0.3">
      <c r="A1291" t="s">
        <v>140</v>
      </c>
      <c r="B1291" t="s">
        <v>85</v>
      </c>
      <c r="C1291" s="4">
        <v>0.6</v>
      </c>
      <c r="D1291" s="4">
        <v>0.66674999999999995</v>
      </c>
      <c r="E1291" s="18">
        <v>704</v>
      </c>
      <c r="G1291" s="4"/>
      <c r="H1291" s="4">
        <f t="shared" si="24"/>
        <v>0</v>
      </c>
      <c r="I1291" s="2">
        <f t="shared" si="25"/>
        <v>0</v>
      </c>
      <c r="J1291">
        <v>3</v>
      </c>
    </row>
    <row r="1292" spans="1:10" x14ac:dyDescent="0.3">
      <c r="A1292" t="s">
        <v>140</v>
      </c>
      <c r="B1292" t="s">
        <v>85</v>
      </c>
      <c r="C1292" s="4">
        <v>0.6</v>
      </c>
      <c r="D1292" s="4">
        <v>0.66674999999999995</v>
      </c>
      <c r="E1292" s="18">
        <v>705</v>
      </c>
      <c r="G1292" s="4"/>
      <c r="H1292" s="4">
        <f t="shared" si="24"/>
        <v>0</v>
      </c>
      <c r="I1292" s="2">
        <f t="shared" si="25"/>
        <v>0</v>
      </c>
      <c r="J1292">
        <v>7</v>
      </c>
    </row>
    <row r="1293" spans="1:10" x14ac:dyDescent="0.3">
      <c r="A1293" t="s">
        <v>140</v>
      </c>
      <c r="B1293" t="s">
        <v>141</v>
      </c>
      <c r="C1293" s="4">
        <v>0.83069230800000005</v>
      </c>
      <c r="D1293" s="4">
        <v>0.78683697699999999</v>
      </c>
      <c r="E1293" s="18">
        <v>706</v>
      </c>
      <c r="G1293" s="4"/>
      <c r="H1293" s="4">
        <f t="shared" ref="H1293:H1356" si="26">G1293/PI()</f>
        <v>0</v>
      </c>
      <c r="I1293" s="2">
        <f t="shared" si="25"/>
        <v>0</v>
      </c>
      <c r="J1293">
        <v>5.5</v>
      </c>
    </row>
    <row r="1294" spans="1:10" x14ac:dyDescent="0.3">
      <c r="A1294" t="s">
        <v>140</v>
      </c>
      <c r="B1294" t="s">
        <v>141</v>
      </c>
      <c r="C1294" s="4">
        <v>0.83069230800000005</v>
      </c>
      <c r="D1294" s="4">
        <v>0.78683697699999999</v>
      </c>
      <c r="E1294" s="18">
        <v>707</v>
      </c>
      <c r="G1294" s="4"/>
      <c r="H1294" s="4">
        <f t="shared" si="26"/>
        <v>0</v>
      </c>
      <c r="I1294" s="2">
        <f t="shared" si="25"/>
        <v>0</v>
      </c>
      <c r="J1294">
        <v>5.5</v>
      </c>
    </row>
    <row r="1295" spans="1:10" x14ac:dyDescent="0.3">
      <c r="A1295" t="s">
        <v>140</v>
      </c>
      <c r="B1295" t="s">
        <v>37</v>
      </c>
      <c r="C1295" s="4">
        <v>0.39790071399999999</v>
      </c>
      <c r="D1295" s="4">
        <v>0.50565277799999997</v>
      </c>
      <c r="E1295" s="18">
        <v>708</v>
      </c>
      <c r="G1295" s="4"/>
      <c r="H1295" s="4">
        <f t="shared" si="26"/>
        <v>0</v>
      </c>
      <c r="I1295" s="2">
        <f t="shared" si="25"/>
        <v>0</v>
      </c>
      <c r="J1295">
        <v>8</v>
      </c>
    </row>
    <row r="1296" spans="1:10" x14ac:dyDescent="0.3">
      <c r="A1296" t="s">
        <v>140</v>
      </c>
      <c r="B1296" t="s">
        <v>61</v>
      </c>
      <c r="C1296" s="4">
        <v>0.9</v>
      </c>
      <c r="D1296" s="4">
        <v>0.61247410899999999</v>
      </c>
      <c r="E1296" s="18">
        <v>709</v>
      </c>
      <c r="G1296" s="4"/>
      <c r="H1296" s="4">
        <f t="shared" si="26"/>
        <v>0</v>
      </c>
      <c r="I1296" s="2">
        <f t="shared" si="25"/>
        <v>0</v>
      </c>
      <c r="J1296">
        <v>3</v>
      </c>
    </row>
    <row r="1297" spans="1:10" x14ac:dyDescent="0.3">
      <c r="A1297" t="s">
        <v>140</v>
      </c>
      <c r="B1297" t="s">
        <v>16</v>
      </c>
      <c r="C1297" s="4">
        <v>0.89361000000000002</v>
      </c>
      <c r="D1297" s="4">
        <v>0.61247410899999999</v>
      </c>
      <c r="E1297" s="18">
        <v>710</v>
      </c>
      <c r="G1297" s="4"/>
      <c r="H1297" s="4">
        <f t="shared" si="26"/>
        <v>0</v>
      </c>
      <c r="I1297" s="2">
        <f t="shared" si="25"/>
        <v>0</v>
      </c>
      <c r="J1297">
        <v>5.5</v>
      </c>
    </row>
    <row r="1298" spans="1:10" x14ac:dyDescent="0.3">
      <c r="A1298" t="s">
        <v>140</v>
      </c>
      <c r="B1298" t="s">
        <v>16</v>
      </c>
      <c r="C1298" s="4">
        <v>0.89361000000000002</v>
      </c>
      <c r="D1298" s="4">
        <v>0.61247410899999999</v>
      </c>
      <c r="E1298" s="18">
        <v>711</v>
      </c>
      <c r="G1298" s="4"/>
      <c r="H1298" s="4">
        <f t="shared" si="26"/>
        <v>0</v>
      </c>
      <c r="I1298" s="2">
        <f t="shared" si="25"/>
        <v>0</v>
      </c>
      <c r="J1298">
        <v>4.5</v>
      </c>
    </row>
    <row r="1299" spans="1:10" x14ac:dyDescent="0.3">
      <c r="A1299" t="s">
        <v>140</v>
      </c>
      <c r="B1299" t="s">
        <v>16</v>
      </c>
      <c r="C1299" s="4">
        <v>0.89361000000000002</v>
      </c>
      <c r="D1299" s="4">
        <v>0.61247410899999999</v>
      </c>
      <c r="E1299" s="18">
        <v>712</v>
      </c>
      <c r="G1299" s="4"/>
      <c r="H1299" s="4">
        <f t="shared" si="26"/>
        <v>0</v>
      </c>
      <c r="I1299" s="2">
        <f t="shared" si="25"/>
        <v>0</v>
      </c>
      <c r="J1299">
        <v>5</v>
      </c>
    </row>
    <row r="1300" spans="1:10" x14ac:dyDescent="0.3">
      <c r="A1300" t="s">
        <v>140</v>
      </c>
      <c r="B1300" t="s">
        <v>16</v>
      </c>
      <c r="C1300" s="4">
        <v>0.89361000000000002</v>
      </c>
      <c r="D1300" s="4">
        <v>0.61247410899999999</v>
      </c>
      <c r="E1300" s="18">
        <v>713</v>
      </c>
      <c r="G1300" s="4"/>
      <c r="H1300" s="4">
        <f t="shared" si="26"/>
        <v>0</v>
      </c>
      <c r="I1300" s="2">
        <f t="shared" si="25"/>
        <v>0</v>
      </c>
      <c r="J1300">
        <v>4.5</v>
      </c>
    </row>
    <row r="1301" spans="1:10" x14ac:dyDescent="0.3">
      <c r="A1301" t="s">
        <v>140</v>
      </c>
      <c r="B1301" t="s">
        <v>18</v>
      </c>
      <c r="C1301" s="4">
        <v>0.45255480399999998</v>
      </c>
      <c r="D1301" s="4">
        <v>0.57808694400000005</v>
      </c>
      <c r="E1301" s="18">
        <v>714</v>
      </c>
      <c r="G1301" s="4"/>
      <c r="H1301" s="4">
        <f t="shared" si="26"/>
        <v>0</v>
      </c>
      <c r="I1301" s="2">
        <f t="shared" si="25"/>
        <v>0</v>
      </c>
      <c r="J1301">
        <v>5.5</v>
      </c>
    </row>
    <row r="1302" spans="1:10" x14ac:dyDescent="0.3">
      <c r="A1302" t="s">
        <v>140</v>
      </c>
      <c r="B1302" t="s">
        <v>66</v>
      </c>
      <c r="C1302" s="4">
        <v>0.62643652800000005</v>
      </c>
      <c r="D1302" s="4">
        <v>0.57808694400000005</v>
      </c>
      <c r="E1302" s="18">
        <v>715</v>
      </c>
      <c r="G1302" s="4"/>
      <c r="H1302" s="4">
        <f t="shared" si="26"/>
        <v>0</v>
      </c>
      <c r="I1302" s="2">
        <f t="shared" si="25"/>
        <v>0</v>
      </c>
      <c r="J1302">
        <v>6.5</v>
      </c>
    </row>
    <row r="1303" spans="1:10" x14ac:dyDescent="0.3">
      <c r="A1303" t="s">
        <v>140</v>
      </c>
      <c r="B1303" t="s">
        <v>39</v>
      </c>
      <c r="C1303" s="4">
        <v>0.590536375</v>
      </c>
      <c r="D1303" s="4">
        <v>0.61247410899999999</v>
      </c>
      <c r="E1303" s="18">
        <v>716</v>
      </c>
      <c r="G1303" s="4"/>
      <c r="H1303" s="4">
        <f t="shared" si="26"/>
        <v>0</v>
      </c>
      <c r="I1303" s="2">
        <f t="shared" ref="I1303:I1366" si="27">PI()*(H1303/2)^2</f>
        <v>0</v>
      </c>
      <c r="J1303">
        <v>9</v>
      </c>
    </row>
    <row r="1304" spans="1:10" x14ac:dyDescent="0.3">
      <c r="A1304" t="s">
        <v>140</v>
      </c>
      <c r="B1304" t="s">
        <v>119</v>
      </c>
      <c r="C1304" s="4">
        <v>0.432770245</v>
      </c>
      <c r="D1304" s="4">
        <v>0.61247410899999999</v>
      </c>
      <c r="E1304" s="18">
        <v>717</v>
      </c>
      <c r="G1304" s="4"/>
      <c r="H1304" s="4">
        <f t="shared" si="26"/>
        <v>0</v>
      </c>
      <c r="I1304" s="2">
        <f t="shared" si="27"/>
        <v>0</v>
      </c>
      <c r="J1304">
        <v>6.5</v>
      </c>
    </row>
    <row r="1305" spans="1:10" x14ac:dyDescent="0.3">
      <c r="A1305" t="s">
        <v>140</v>
      </c>
      <c r="B1305" t="s">
        <v>22</v>
      </c>
      <c r="C1305" s="4">
        <v>0.43836446099999998</v>
      </c>
      <c r="D1305" s="4">
        <v>0.58666666700000003</v>
      </c>
      <c r="E1305" s="18">
        <v>718</v>
      </c>
      <c r="G1305" s="4"/>
      <c r="H1305" s="4">
        <f t="shared" si="26"/>
        <v>0</v>
      </c>
      <c r="I1305" s="2">
        <f t="shared" si="27"/>
        <v>0</v>
      </c>
      <c r="J1305">
        <v>5.5</v>
      </c>
    </row>
    <row r="1306" spans="1:10" x14ac:dyDescent="0.3">
      <c r="A1306" t="s">
        <v>140</v>
      </c>
      <c r="B1306" t="s">
        <v>22</v>
      </c>
      <c r="C1306" s="4">
        <v>0.43836446099999998</v>
      </c>
      <c r="D1306" s="4">
        <v>0.58666666700000003</v>
      </c>
      <c r="E1306" s="18">
        <v>719</v>
      </c>
      <c r="G1306" s="4"/>
      <c r="H1306" s="4">
        <f t="shared" si="26"/>
        <v>0</v>
      </c>
      <c r="I1306" s="2">
        <f t="shared" si="27"/>
        <v>0</v>
      </c>
      <c r="J1306">
        <v>5</v>
      </c>
    </row>
    <row r="1307" spans="1:10" x14ac:dyDescent="0.3">
      <c r="A1307" t="s">
        <v>142</v>
      </c>
      <c r="B1307" t="s">
        <v>26</v>
      </c>
      <c r="C1307" s="4">
        <v>0.80908761900000004</v>
      </c>
      <c r="D1307" s="4">
        <v>0.87473809499999999</v>
      </c>
      <c r="E1307" s="18">
        <v>720</v>
      </c>
      <c r="G1307" s="4"/>
      <c r="H1307" s="4">
        <f t="shared" si="26"/>
        <v>0</v>
      </c>
      <c r="I1307" s="2">
        <f t="shared" si="27"/>
        <v>0</v>
      </c>
      <c r="J1307">
        <v>15</v>
      </c>
    </row>
    <row r="1308" spans="1:10" x14ac:dyDescent="0.3">
      <c r="A1308" t="s">
        <v>142</v>
      </c>
      <c r="B1308" t="s">
        <v>60</v>
      </c>
      <c r="C1308" s="4">
        <v>0.41</v>
      </c>
      <c r="D1308" s="4">
        <v>0.33983503399999998</v>
      </c>
      <c r="E1308" s="18">
        <v>721</v>
      </c>
      <c r="G1308" s="4"/>
      <c r="H1308" s="4">
        <f t="shared" si="26"/>
        <v>0</v>
      </c>
      <c r="I1308" s="2">
        <f t="shared" si="27"/>
        <v>0</v>
      </c>
      <c r="J1308">
        <v>6</v>
      </c>
    </row>
    <row r="1309" spans="1:10" x14ac:dyDescent="0.3">
      <c r="A1309" t="s">
        <v>142</v>
      </c>
      <c r="B1309" t="s">
        <v>69</v>
      </c>
      <c r="C1309" s="4">
        <v>0.31264018999999998</v>
      </c>
      <c r="D1309" s="4">
        <v>0.356821212</v>
      </c>
      <c r="E1309" s="18">
        <v>722</v>
      </c>
      <c r="G1309" s="4"/>
      <c r="H1309" s="4">
        <f t="shared" si="26"/>
        <v>0</v>
      </c>
      <c r="I1309" s="2">
        <f t="shared" si="27"/>
        <v>0</v>
      </c>
      <c r="J1309">
        <v>15</v>
      </c>
    </row>
    <row r="1310" spans="1:10" x14ac:dyDescent="0.3">
      <c r="A1310" t="s">
        <v>142</v>
      </c>
      <c r="B1310" t="s">
        <v>14</v>
      </c>
      <c r="C1310" s="4">
        <v>0.766138345</v>
      </c>
      <c r="D1310" s="4">
        <v>0.90500000000000003</v>
      </c>
      <c r="E1310" s="18">
        <v>723</v>
      </c>
      <c r="G1310" s="4"/>
      <c r="H1310" s="4">
        <f t="shared" si="26"/>
        <v>0</v>
      </c>
      <c r="I1310" s="2">
        <f t="shared" si="27"/>
        <v>0</v>
      </c>
      <c r="J1310">
        <v>11</v>
      </c>
    </row>
    <row r="1311" spans="1:10" x14ac:dyDescent="0.3">
      <c r="A1311" t="s">
        <v>142</v>
      </c>
      <c r="B1311" t="s">
        <v>85</v>
      </c>
      <c r="C1311" s="4">
        <v>0.6</v>
      </c>
      <c r="D1311" s="4">
        <v>0.66674999999999995</v>
      </c>
      <c r="E1311" s="18">
        <v>724</v>
      </c>
      <c r="G1311" s="4"/>
      <c r="H1311" s="4">
        <f t="shared" si="26"/>
        <v>0</v>
      </c>
      <c r="I1311" s="2">
        <f t="shared" si="27"/>
        <v>0</v>
      </c>
      <c r="J1311">
        <v>5.5</v>
      </c>
    </row>
    <row r="1312" spans="1:10" x14ac:dyDescent="0.3">
      <c r="A1312" t="s">
        <v>142</v>
      </c>
      <c r="B1312" t="s">
        <v>85</v>
      </c>
      <c r="C1312" s="4">
        <v>0.6</v>
      </c>
      <c r="D1312" s="4">
        <v>0.66674999999999995</v>
      </c>
      <c r="E1312" s="18">
        <v>725</v>
      </c>
      <c r="G1312" s="4"/>
      <c r="H1312" s="4">
        <f t="shared" si="26"/>
        <v>0</v>
      </c>
      <c r="I1312" s="2">
        <f t="shared" si="27"/>
        <v>0</v>
      </c>
      <c r="J1312">
        <v>3.5</v>
      </c>
    </row>
    <row r="1313" spans="1:10" x14ac:dyDescent="0.3">
      <c r="A1313" t="s">
        <v>142</v>
      </c>
      <c r="B1313" t="s">
        <v>85</v>
      </c>
      <c r="C1313" s="4">
        <v>0.6</v>
      </c>
      <c r="D1313" s="4">
        <v>0.66674999999999995</v>
      </c>
      <c r="E1313" s="18">
        <v>726</v>
      </c>
      <c r="G1313" s="4"/>
      <c r="H1313" s="4">
        <f t="shared" si="26"/>
        <v>0</v>
      </c>
      <c r="I1313" s="2">
        <f t="shared" si="27"/>
        <v>0</v>
      </c>
      <c r="J1313">
        <v>2.5</v>
      </c>
    </row>
    <row r="1314" spans="1:10" x14ac:dyDescent="0.3">
      <c r="A1314" t="s">
        <v>142</v>
      </c>
      <c r="B1314" t="s">
        <v>53</v>
      </c>
      <c r="C1314" s="4">
        <v>0.63206279899999995</v>
      </c>
      <c r="D1314" s="4">
        <v>0.75690909100000003</v>
      </c>
      <c r="E1314" s="18">
        <v>727</v>
      </c>
      <c r="G1314" s="4"/>
      <c r="H1314" s="4">
        <f t="shared" si="26"/>
        <v>0</v>
      </c>
      <c r="I1314" s="2">
        <f t="shared" si="27"/>
        <v>0</v>
      </c>
      <c r="J1314">
        <v>2.5</v>
      </c>
    </row>
    <row r="1315" spans="1:10" x14ac:dyDescent="0.3">
      <c r="A1315" t="s">
        <v>142</v>
      </c>
      <c r="B1315" t="s">
        <v>53</v>
      </c>
      <c r="C1315" s="4">
        <v>0.63206279899999995</v>
      </c>
      <c r="D1315" s="4">
        <v>0.75690909100000003</v>
      </c>
      <c r="E1315" s="18">
        <v>728</v>
      </c>
      <c r="G1315" s="4"/>
      <c r="H1315" s="4">
        <f t="shared" si="26"/>
        <v>0</v>
      </c>
      <c r="I1315" s="2">
        <f t="shared" si="27"/>
        <v>0</v>
      </c>
      <c r="J1315">
        <v>4.5</v>
      </c>
    </row>
    <row r="1316" spans="1:10" x14ac:dyDescent="0.3">
      <c r="A1316" t="s">
        <v>142</v>
      </c>
      <c r="B1316" t="s">
        <v>53</v>
      </c>
      <c r="C1316" s="4">
        <v>0.63206279899999995</v>
      </c>
      <c r="D1316" s="4">
        <v>0.75690909100000003</v>
      </c>
      <c r="E1316" s="18">
        <v>729</v>
      </c>
      <c r="G1316" s="4"/>
      <c r="H1316" s="4">
        <f t="shared" si="26"/>
        <v>0</v>
      </c>
      <c r="I1316" s="2">
        <f t="shared" si="27"/>
        <v>0</v>
      </c>
      <c r="J1316">
        <v>2.5</v>
      </c>
    </row>
    <row r="1317" spans="1:10" x14ac:dyDescent="0.3">
      <c r="A1317" t="s">
        <v>142</v>
      </c>
      <c r="B1317" t="s">
        <v>16</v>
      </c>
      <c r="C1317" s="4">
        <v>0.89361000000000002</v>
      </c>
      <c r="D1317" s="4">
        <v>0.61247410899999999</v>
      </c>
      <c r="E1317" s="18">
        <v>730</v>
      </c>
      <c r="G1317" s="4"/>
      <c r="H1317" s="4">
        <f t="shared" si="26"/>
        <v>0</v>
      </c>
      <c r="I1317" s="2">
        <f t="shared" si="27"/>
        <v>0</v>
      </c>
      <c r="J1317">
        <v>7</v>
      </c>
    </row>
    <row r="1318" spans="1:10" x14ac:dyDescent="0.3">
      <c r="A1318" t="s">
        <v>142</v>
      </c>
      <c r="B1318" t="s">
        <v>16</v>
      </c>
      <c r="C1318" s="4">
        <v>0.89361000000000002</v>
      </c>
      <c r="D1318" s="4">
        <v>0.61247410899999999</v>
      </c>
      <c r="E1318" s="18">
        <v>731</v>
      </c>
      <c r="G1318" s="4"/>
      <c r="H1318" s="4">
        <f t="shared" si="26"/>
        <v>0</v>
      </c>
      <c r="I1318" s="2">
        <f t="shared" si="27"/>
        <v>0</v>
      </c>
      <c r="J1318">
        <v>4.5</v>
      </c>
    </row>
    <row r="1319" spans="1:10" x14ac:dyDescent="0.3">
      <c r="A1319" t="s">
        <v>142</v>
      </c>
      <c r="B1319" t="s">
        <v>17</v>
      </c>
      <c r="C1319" s="4">
        <v>0.708787469</v>
      </c>
      <c r="D1319" s="4">
        <v>0.80167708299999996</v>
      </c>
      <c r="E1319" s="18">
        <v>732</v>
      </c>
      <c r="G1319" s="4"/>
      <c r="H1319" s="4">
        <f t="shared" si="26"/>
        <v>0</v>
      </c>
      <c r="I1319" s="2">
        <f t="shared" si="27"/>
        <v>0</v>
      </c>
      <c r="J1319">
        <v>4</v>
      </c>
    </row>
    <row r="1320" spans="1:10" x14ac:dyDescent="0.3">
      <c r="A1320" t="s">
        <v>142</v>
      </c>
      <c r="B1320" t="s">
        <v>17</v>
      </c>
      <c r="C1320" s="4">
        <v>0.708787469</v>
      </c>
      <c r="D1320" s="4">
        <v>0.80167708299999996</v>
      </c>
      <c r="E1320" s="18">
        <v>733</v>
      </c>
      <c r="G1320" s="4"/>
      <c r="H1320" s="4">
        <f t="shared" si="26"/>
        <v>0</v>
      </c>
      <c r="I1320" s="2">
        <f t="shared" si="27"/>
        <v>0</v>
      </c>
      <c r="J1320">
        <v>4</v>
      </c>
    </row>
    <row r="1321" spans="1:10" x14ac:dyDescent="0.3">
      <c r="A1321" t="s">
        <v>142</v>
      </c>
      <c r="B1321" t="s">
        <v>66</v>
      </c>
      <c r="C1321" s="4">
        <v>0.62643652800000005</v>
      </c>
      <c r="D1321" s="4">
        <v>0.57808694400000005</v>
      </c>
      <c r="E1321" s="18">
        <v>734</v>
      </c>
      <c r="G1321" s="4"/>
      <c r="H1321" s="4">
        <f t="shared" si="26"/>
        <v>0</v>
      </c>
      <c r="I1321" s="2">
        <f t="shared" si="27"/>
        <v>0</v>
      </c>
      <c r="J1321">
        <v>10</v>
      </c>
    </row>
    <row r="1322" spans="1:10" x14ac:dyDescent="0.3">
      <c r="A1322" t="s">
        <v>142</v>
      </c>
      <c r="B1322" t="s">
        <v>66</v>
      </c>
      <c r="C1322" s="4">
        <v>0.62643652800000005</v>
      </c>
      <c r="D1322" s="4">
        <v>0.57808694400000005</v>
      </c>
      <c r="E1322" s="18">
        <v>735</v>
      </c>
      <c r="G1322" s="4"/>
      <c r="H1322" s="4">
        <f t="shared" si="26"/>
        <v>0</v>
      </c>
      <c r="I1322" s="2">
        <f t="shared" si="27"/>
        <v>0</v>
      </c>
      <c r="J1322">
        <v>3</v>
      </c>
    </row>
    <row r="1323" spans="1:10" x14ac:dyDescent="0.3">
      <c r="A1323" t="s">
        <v>142</v>
      </c>
      <c r="B1323" t="s">
        <v>31</v>
      </c>
      <c r="C1323" s="4">
        <v>0.63400000000000001</v>
      </c>
      <c r="D1323" s="4">
        <v>0.73247777800000002</v>
      </c>
      <c r="E1323" s="18">
        <v>736</v>
      </c>
      <c r="G1323" s="4"/>
      <c r="H1323" s="4">
        <f t="shared" si="26"/>
        <v>0</v>
      </c>
      <c r="I1323" s="2">
        <f t="shared" si="27"/>
        <v>0</v>
      </c>
      <c r="J1323">
        <v>9</v>
      </c>
    </row>
    <row r="1324" spans="1:10" x14ac:dyDescent="0.3">
      <c r="A1324" t="s">
        <v>142</v>
      </c>
      <c r="B1324" t="s">
        <v>73</v>
      </c>
      <c r="C1324" s="4">
        <v>0.39</v>
      </c>
      <c r="D1324" s="4">
        <v>0.28861111099999998</v>
      </c>
      <c r="E1324" s="18">
        <v>737</v>
      </c>
      <c r="G1324" s="4"/>
      <c r="H1324" s="4">
        <f t="shared" si="26"/>
        <v>0</v>
      </c>
      <c r="I1324" s="2">
        <f t="shared" si="27"/>
        <v>0</v>
      </c>
      <c r="J1324">
        <v>12</v>
      </c>
    </row>
    <row r="1325" spans="1:10" x14ac:dyDescent="0.3">
      <c r="A1325" t="s">
        <v>142</v>
      </c>
      <c r="B1325" t="s">
        <v>143</v>
      </c>
      <c r="C1325" s="4">
        <v>0.56000000000000005</v>
      </c>
      <c r="D1325" s="4">
        <v>0.53945833300000001</v>
      </c>
      <c r="E1325" s="18">
        <v>738</v>
      </c>
      <c r="G1325" s="4"/>
      <c r="H1325" s="4">
        <f t="shared" si="26"/>
        <v>0</v>
      </c>
      <c r="I1325" s="2">
        <f t="shared" si="27"/>
        <v>0</v>
      </c>
      <c r="J1325">
        <v>6</v>
      </c>
    </row>
    <row r="1326" spans="1:10" x14ac:dyDescent="0.3">
      <c r="A1326" t="s">
        <v>142</v>
      </c>
      <c r="B1326" t="s">
        <v>47</v>
      </c>
      <c r="C1326" s="4">
        <v>0.40238543599999999</v>
      </c>
      <c r="D1326" s="4">
        <v>0.40883333300000002</v>
      </c>
      <c r="E1326" s="18">
        <v>739</v>
      </c>
      <c r="G1326" s="4"/>
      <c r="H1326" s="4">
        <f t="shared" si="26"/>
        <v>0</v>
      </c>
      <c r="I1326" s="2">
        <f t="shared" si="27"/>
        <v>0</v>
      </c>
      <c r="J1326">
        <v>10</v>
      </c>
    </row>
    <row r="1327" spans="1:10" x14ac:dyDescent="0.3">
      <c r="A1327" t="s">
        <v>142</v>
      </c>
      <c r="B1327" t="s">
        <v>47</v>
      </c>
      <c r="C1327" s="4">
        <v>0.40238543599999999</v>
      </c>
      <c r="D1327" s="4">
        <v>0.40883333300000002</v>
      </c>
      <c r="E1327" s="18">
        <v>740</v>
      </c>
      <c r="G1327" s="4"/>
      <c r="H1327" s="4">
        <f t="shared" si="26"/>
        <v>0</v>
      </c>
      <c r="I1327" s="2">
        <f t="shared" si="27"/>
        <v>0</v>
      </c>
      <c r="J1327">
        <v>11</v>
      </c>
    </row>
    <row r="1328" spans="1:10" x14ac:dyDescent="0.3">
      <c r="A1328" t="s">
        <v>144</v>
      </c>
      <c r="B1328" t="s">
        <v>69</v>
      </c>
      <c r="C1328" s="4">
        <v>0.31264018999999998</v>
      </c>
      <c r="D1328" s="4">
        <v>0.356821212</v>
      </c>
      <c r="E1328" s="18">
        <v>741</v>
      </c>
      <c r="G1328" s="4"/>
      <c r="H1328" s="4">
        <f t="shared" si="26"/>
        <v>0</v>
      </c>
      <c r="I1328" s="2">
        <f t="shared" si="27"/>
        <v>0</v>
      </c>
      <c r="J1328">
        <v>11</v>
      </c>
    </row>
    <row r="1329" spans="1:10" x14ac:dyDescent="0.3">
      <c r="A1329" t="s">
        <v>144</v>
      </c>
      <c r="B1329" t="s">
        <v>14</v>
      </c>
      <c r="C1329" s="4">
        <v>0.766138345</v>
      </c>
      <c r="D1329" s="4">
        <v>0.90500000000000003</v>
      </c>
      <c r="E1329" s="18">
        <v>742</v>
      </c>
      <c r="G1329" s="4"/>
      <c r="H1329" s="4">
        <f t="shared" si="26"/>
        <v>0</v>
      </c>
      <c r="I1329" s="2">
        <f t="shared" si="27"/>
        <v>0</v>
      </c>
      <c r="J1329">
        <v>6</v>
      </c>
    </row>
    <row r="1330" spans="1:10" x14ac:dyDescent="0.3">
      <c r="A1330" t="s">
        <v>144</v>
      </c>
      <c r="B1330" t="s">
        <v>14</v>
      </c>
      <c r="C1330" s="4">
        <v>0.766138345</v>
      </c>
      <c r="D1330" s="4">
        <v>0.90500000000000003</v>
      </c>
      <c r="E1330" s="18">
        <v>743</v>
      </c>
      <c r="G1330" s="4"/>
      <c r="H1330" s="4">
        <f t="shared" si="26"/>
        <v>0</v>
      </c>
      <c r="I1330" s="2">
        <f t="shared" si="27"/>
        <v>0</v>
      </c>
      <c r="J1330">
        <v>7</v>
      </c>
    </row>
    <row r="1331" spans="1:10" x14ac:dyDescent="0.3">
      <c r="A1331" t="s">
        <v>144</v>
      </c>
      <c r="B1331" t="s">
        <v>85</v>
      </c>
      <c r="C1331" s="4">
        <v>0.6</v>
      </c>
      <c r="D1331" s="4">
        <v>0.66674999999999995</v>
      </c>
      <c r="E1331" s="18">
        <v>744</v>
      </c>
      <c r="G1331" s="4"/>
      <c r="H1331" s="4">
        <f t="shared" si="26"/>
        <v>0</v>
      </c>
      <c r="I1331" s="2">
        <f t="shared" si="27"/>
        <v>0</v>
      </c>
      <c r="J1331">
        <v>3.5</v>
      </c>
    </row>
    <row r="1332" spans="1:10" x14ac:dyDescent="0.3">
      <c r="A1332" t="s">
        <v>144</v>
      </c>
      <c r="B1332" t="s">
        <v>85</v>
      </c>
      <c r="C1332" s="4">
        <v>0.6</v>
      </c>
      <c r="D1332" s="4">
        <v>0.66674999999999995</v>
      </c>
      <c r="E1332" s="18">
        <v>745</v>
      </c>
      <c r="G1332" s="4"/>
      <c r="H1332" s="4">
        <f t="shared" si="26"/>
        <v>0</v>
      </c>
      <c r="I1332" s="2">
        <f t="shared" si="27"/>
        <v>0</v>
      </c>
      <c r="J1332">
        <v>8</v>
      </c>
    </row>
    <row r="1333" spans="1:10" x14ac:dyDescent="0.3">
      <c r="A1333" t="s">
        <v>144</v>
      </c>
      <c r="B1333" t="s">
        <v>85</v>
      </c>
      <c r="C1333" s="4">
        <v>0.6</v>
      </c>
      <c r="D1333" s="4">
        <v>0.66674999999999995</v>
      </c>
      <c r="E1333" s="18">
        <v>746</v>
      </c>
      <c r="G1333" s="4"/>
      <c r="H1333" s="4">
        <f t="shared" si="26"/>
        <v>0</v>
      </c>
      <c r="I1333" s="2">
        <f t="shared" si="27"/>
        <v>0</v>
      </c>
      <c r="J1333">
        <v>3</v>
      </c>
    </row>
    <row r="1334" spans="1:10" x14ac:dyDescent="0.3">
      <c r="A1334" t="s">
        <v>144</v>
      </c>
      <c r="B1334" t="s">
        <v>16</v>
      </c>
      <c r="C1334" s="4">
        <v>0.89361000000000002</v>
      </c>
      <c r="D1334" s="4">
        <v>0.61247410899999999</v>
      </c>
      <c r="E1334" s="18">
        <v>747</v>
      </c>
      <c r="G1334" s="4"/>
      <c r="H1334" s="4">
        <f t="shared" si="26"/>
        <v>0</v>
      </c>
      <c r="I1334" s="2">
        <f t="shared" si="27"/>
        <v>0</v>
      </c>
      <c r="J1334">
        <v>6.5</v>
      </c>
    </row>
    <row r="1335" spans="1:10" x14ac:dyDescent="0.3">
      <c r="A1335" t="s">
        <v>144</v>
      </c>
      <c r="B1335" t="s">
        <v>17</v>
      </c>
      <c r="C1335" s="4">
        <v>0.708787469</v>
      </c>
      <c r="D1335" s="4">
        <v>0.80167708299999996</v>
      </c>
      <c r="E1335" s="18">
        <v>748</v>
      </c>
      <c r="G1335" s="4"/>
      <c r="H1335" s="4">
        <f t="shared" si="26"/>
        <v>0</v>
      </c>
      <c r="I1335" s="2">
        <f t="shared" si="27"/>
        <v>0</v>
      </c>
      <c r="J1335">
        <v>6.5</v>
      </c>
    </row>
    <row r="1336" spans="1:10" x14ac:dyDescent="0.3">
      <c r="A1336" t="s">
        <v>144</v>
      </c>
      <c r="B1336" t="s">
        <v>66</v>
      </c>
      <c r="C1336" s="4">
        <v>0.62643652800000005</v>
      </c>
      <c r="D1336" s="4">
        <v>0.57808694400000005</v>
      </c>
      <c r="E1336" s="18">
        <v>749</v>
      </c>
      <c r="G1336" s="4"/>
      <c r="H1336" s="4">
        <f t="shared" si="26"/>
        <v>0</v>
      </c>
      <c r="I1336" s="2">
        <f t="shared" si="27"/>
        <v>0</v>
      </c>
      <c r="J1336">
        <v>8</v>
      </c>
    </row>
    <row r="1337" spans="1:10" x14ac:dyDescent="0.3">
      <c r="A1337" t="s">
        <v>144</v>
      </c>
      <c r="B1337" t="s">
        <v>20</v>
      </c>
      <c r="C1337" s="4">
        <v>0.74387999999999999</v>
      </c>
      <c r="D1337" s="4">
        <v>0.59130000000000005</v>
      </c>
      <c r="E1337" s="18">
        <v>750</v>
      </c>
      <c r="G1337" s="4"/>
      <c r="H1337" s="4">
        <f t="shared" si="26"/>
        <v>0</v>
      </c>
      <c r="I1337" s="2">
        <f t="shared" si="27"/>
        <v>0</v>
      </c>
      <c r="J1337">
        <v>12</v>
      </c>
    </row>
    <row r="1338" spans="1:10" x14ac:dyDescent="0.3">
      <c r="A1338" t="s">
        <v>144</v>
      </c>
      <c r="B1338" t="s">
        <v>119</v>
      </c>
      <c r="C1338" s="4">
        <v>0.432770245</v>
      </c>
      <c r="D1338" s="4">
        <v>0.61247410899999999</v>
      </c>
      <c r="E1338" s="18">
        <v>751</v>
      </c>
      <c r="G1338" s="4"/>
      <c r="H1338" s="4">
        <f t="shared" si="26"/>
        <v>0</v>
      </c>
      <c r="I1338" s="2">
        <f t="shared" si="27"/>
        <v>0</v>
      </c>
      <c r="J1338">
        <v>5</v>
      </c>
    </row>
    <row r="1339" spans="1:10" x14ac:dyDescent="0.3">
      <c r="A1339" t="s">
        <v>144</v>
      </c>
      <c r="B1339" t="s">
        <v>143</v>
      </c>
      <c r="C1339" s="4">
        <v>0.56000000000000005</v>
      </c>
      <c r="D1339" s="4">
        <v>0.53945833300000001</v>
      </c>
      <c r="E1339" s="18">
        <v>752</v>
      </c>
      <c r="G1339" s="4"/>
      <c r="H1339" s="4">
        <f t="shared" si="26"/>
        <v>0</v>
      </c>
      <c r="I1339" s="2">
        <f t="shared" si="27"/>
        <v>0</v>
      </c>
      <c r="J1339">
        <v>5.5</v>
      </c>
    </row>
    <row r="1340" spans="1:10" x14ac:dyDescent="0.3">
      <c r="A1340" t="s">
        <v>144</v>
      </c>
      <c r="B1340" t="s">
        <v>22</v>
      </c>
      <c r="C1340" s="4">
        <v>0.43836446099999998</v>
      </c>
      <c r="D1340" s="4">
        <v>0.58666666700000003</v>
      </c>
      <c r="E1340" s="18">
        <v>753</v>
      </c>
      <c r="G1340" s="4"/>
      <c r="H1340" s="4">
        <f t="shared" si="26"/>
        <v>0</v>
      </c>
      <c r="I1340" s="2">
        <f t="shared" si="27"/>
        <v>0</v>
      </c>
      <c r="J1340">
        <v>3.5</v>
      </c>
    </row>
    <row r="1341" spans="1:10" x14ac:dyDescent="0.3">
      <c r="A1341" t="s">
        <v>145</v>
      </c>
      <c r="B1341" t="s">
        <v>75</v>
      </c>
      <c r="C1341" s="4">
        <v>0.86</v>
      </c>
      <c r="D1341" s="4">
        <v>0.65666666699999998</v>
      </c>
      <c r="E1341" s="18">
        <v>754</v>
      </c>
      <c r="G1341" s="4"/>
      <c r="H1341" s="4">
        <f t="shared" si="26"/>
        <v>0</v>
      </c>
      <c r="I1341" s="2">
        <f t="shared" si="27"/>
        <v>0</v>
      </c>
      <c r="J1341">
        <v>9</v>
      </c>
    </row>
    <row r="1342" spans="1:10" x14ac:dyDescent="0.3">
      <c r="A1342" t="s">
        <v>145</v>
      </c>
      <c r="B1342" t="s">
        <v>75</v>
      </c>
      <c r="C1342" s="4">
        <v>0.86</v>
      </c>
      <c r="D1342" s="4">
        <v>0.65666666699999998</v>
      </c>
      <c r="E1342" s="18">
        <v>755</v>
      </c>
      <c r="G1342" s="4"/>
      <c r="H1342" s="4">
        <f t="shared" si="26"/>
        <v>0</v>
      </c>
      <c r="I1342" s="2">
        <f t="shared" si="27"/>
        <v>0</v>
      </c>
      <c r="J1342">
        <v>11</v>
      </c>
    </row>
    <row r="1343" spans="1:10" x14ac:dyDescent="0.3">
      <c r="A1343" t="s">
        <v>145</v>
      </c>
      <c r="B1343" t="s">
        <v>75</v>
      </c>
      <c r="C1343" s="4">
        <v>0.86</v>
      </c>
      <c r="D1343" s="4">
        <v>0.65666666699999998</v>
      </c>
      <c r="E1343" s="18">
        <v>756</v>
      </c>
      <c r="G1343" s="4"/>
      <c r="H1343" s="4">
        <f t="shared" si="26"/>
        <v>0</v>
      </c>
      <c r="I1343" s="2">
        <f t="shared" si="27"/>
        <v>0</v>
      </c>
      <c r="J1343">
        <v>7</v>
      </c>
    </row>
    <row r="1344" spans="1:10" x14ac:dyDescent="0.3">
      <c r="A1344" t="s">
        <v>145</v>
      </c>
      <c r="B1344" t="s">
        <v>75</v>
      </c>
      <c r="C1344" s="4">
        <v>0.86</v>
      </c>
      <c r="D1344" s="4">
        <v>0.65666666699999998</v>
      </c>
      <c r="E1344" s="18">
        <v>757</v>
      </c>
      <c r="G1344" s="4"/>
      <c r="H1344" s="4">
        <f t="shared" si="26"/>
        <v>0</v>
      </c>
      <c r="I1344" s="2">
        <f t="shared" si="27"/>
        <v>0</v>
      </c>
      <c r="J1344">
        <v>11</v>
      </c>
    </row>
    <row r="1345" spans="1:10" x14ac:dyDescent="0.3">
      <c r="A1345" t="s">
        <v>145</v>
      </c>
      <c r="B1345" t="s">
        <v>75</v>
      </c>
      <c r="C1345" s="4">
        <v>0.86</v>
      </c>
      <c r="D1345" s="4">
        <v>0.65666666699999998</v>
      </c>
      <c r="E1345" s="18">
        <v>758</v>
      </c>
      <c r="G1345" s="4"/>
      <c r="H1345" s="4">
        <f t="shared" si="26"/>
        <v>0</v>
      </c>
      <c r="I1345" s="2">
        <f t="shared" si="27"/>
        <v>0</v>
      </c>
      <c r="J1345">
        <v>10</v>
      </c>
    </row>
    <row r="1346" spans="1:10" x14ac:dyDescent="0.3">
      <c r="A1346" t="s">
        <v>145</v>
      </c>
      <c r="B1346" t="s">
        <v>69</v>
      </c>
      <c r="C1346" s="4">
        <v>0.31264018999999998</v>
      </c>
      <c r="D1346" s="4">
        <v>0.356821212</v>
      </c>
      <c r="E1346" s="18">
        <v>759</v>
      </c>
      <c r="G1346" s="4"/>
      <c r="H1346" s="4">
        <f t="shared" si="26"/>
        <v>0</v>
      </c>
      <c r="I1346" s="2">
        <f t="shared" si="27"/>
        <v>0</v>
      </c>
      <c r="J1346">
        <v>13</v>
      </c>
    </row>
    <row r="1347" spans="1:10" x14ac:dyDescent="0.3">
      <c r="A1347" t="s">
        <v>145</v>
      </c>
      <c r="B1347" t="s">
        <v>69</v>
      </c>
      <c r="C1347" s="4">
        <v>0.31264018999999998</v>
      </c>
      <c r="D1347" s="4">
        <v>0.356821212</v>
      </c>
      <c r="E1347" s="18">
        <v>760</v>
      </c>
      <c r="G1347" s="4"/>
      <c r="H1347" s="4">
        <f t="shared" si="26"/>
        <v>0</v>
      </c>
      <c r="I1347" s="2">
        <f t="shared" si="27"/>
        <v>0</v>
      </c>
      <c r="J1347">
        <v>15</v>
      </c>
    </row>
    <row r="1348" spans="1:10" x14ac:dyDescent="0.3">
      <c r="A1348" t="s">
        <v>145</v>
      </c>
      <c r="B1348" t="s">
        <v>69</v>
      </c>
      <c r="C1348" s="4">
        <v>0.31264018999999998</v>
      </c>
      <c r="D1348" s="4">
        <v>0.356821212</v>
      </c>
      <c r="E1348" s="18">
        <v>761</v>
      </c>
      <c r="G1348" s="4"/>
      <c r="H1348" s="4">
        <f t="shared" si="26"/>
        <v>0</v>
      </c>
      <c r="I1348" s="2">
        <f t="shared" si="27"/>
        <v>0</v>
      </c>
      <c r="J1348">
        <v>15.5</v>
      </c>
    </row>
    <row r="1349" spans="1:10" x14ac:dyDescent="0.3">
      <c r="A1349" t="s">
        <v>145</v>
      </c>
      <c r="B1349" t="s">
        <v>69</v>
      </c>
      <c r="C1349" s="4">
        <v>0.31264018999999998</v>
      </c>
      <c r="D1349" s="4">
        <v>0.356821212</v>
      </c>
      <c r="E1349" s="18">
        <v>762</v>
      </c>
      <c r="G1349" s="4"/>
      <c r="H1349" s="4">
        <f t="shared" si="26"/>
        <v>0</v>
      </c>
      <c r="I1349" s="2">
        <f t="shared" si="27"/>
        <v>0</v>
      </c>
      <c r="J1349">
        <v>15.5</v>
      </c>
    </row>
    <row r="1350" spans="1:10" x14ac:dyDescent="0.3">
      <c r="A1350" t="s">
        <v>145</v>
      </c>
      <c r="B1350" t="s">
        <v>14</v>
      </c>
      <c r="C1350" s="4">
        <v>0.766138345</v>
      </c>
      <c r="D1350" s="4">
        <v>0.90500000000000003</v>
      </c>
      <c r="E1350" s="18">
        <v>763</v>
      </c>
      <c r="G1350" s="4"/>
      <c r="H1350" s="4">
        <f t="shared" si="26"/>
        <v>0</v>
      </c>
      <c r="I1350" s="2">
        <f t="shared" si="27"/>
        <v>0</v>
      </c>
      <c r="J1350">
        <v>12</v>
      </c>
    </row>
    <row r="1351" spans="1:10" x14ac:dyDescent="0.3">
      <c r="A1351" t="s">
        <v>145</v>
      </c>
      <c r="B1351" t="s">
        <v>85</v>
      </c>
      <c r="C1351" s="4">
        <v>0.6</v>
      </c>
      <c r="D1351" s="4">
        <v>0.66674999999999995</v>
      </c>
      <c r="E1351" s="18">
        <v>764</v>
      </c>
      <c r="G1351" s="4"/>
      <c r="H1351" s="4">
        <f t="shared" si="26"/>
        <v>0</v>
      </c>
      <c r="I1351" s="2">
        <f t="shared" si="27"/>
        <v>0</v>
      </c>
      <c r="J1351">
        <v>10</v>
      </c>
    </row>
    <row r="1352" spans="1:10" x14ac:dyDescent="0.3">
      <c r="A1352" t="s">
        <v>145</v>
      </c>
      <c r="B1352" t="s">
        <v>141</v>
      </c>
      <c r="C1352" s="4">
        <v>0.83069230800000005</v>
      </c>
      <c r="D1352" s="4">
        <v>0.78683697699999999</v>
      </c>
      <c r="E1352" s="18">
        <v>765</v>
      </c>
      <c r="G1352" s="4"/>
      <c r="H1352" s="4">
        <f t="shared" si="26"/>
        <v>0</v>
      </c>
      <c r="I1352" s="2">
        <f t="shared" si="27"/>
        <v>0</v>
      </c>
      <c r="J1352">
        <v>8</v>
      </c>
    </row>
    <row r="1353" spans="1:10" x14ac:dyDescent="0.3">
      <c r="A1353" t="s">
        <v>145</v>
      </c>
      <c r="B1353" t="s">
        <v>16</v>
      </c>
      <c r="C1353" s="4">
        <v>0.89361000000000002</v>
      </c>
      <c r="D1353" s="4">
        <v>0.61247410899999999</v>
      </c>
      <c r="E1353" s="18">
        <v>766</v>
      </c>
      <c r="G1353" s="4"/>
      <c r="H1353" s="4">
        <f t="shared" si="26"/>
        <v>0</v>
      </c>
      <c r="I1353" s="2">
        <f t="shared" si="27"/>
        <v>0</v>
      </c>
      <c r="J1353">
        <v>3</v>
      </c>
    </row>
    <row r="1354" spans="1:10" x14ac:dyDescent="0.3">
      <c r="A1354" t="s">
        <v>145</v>
      </c>
      <c r="B1354" t="s">
        <v>66</v>
      </c>
      <c r="C1354" s="4">
        <v>0.62643652800000005</v>
      </c>
      <c r="D1354" s="4">
        <v>0.57808694400000005</v>
      </c>
      <c r="E1354" s="18">
        <v>767</v>
      </c>
      <c r="G1354" s="4"/>
      <c r="H1354" s="4">
        <f t="shared" si="26"/>
        <v>0</v>
      </c>
      <c r="I1354" s="2">
        <f t="shared" si="27"/>
        <v>0</v>
      </c>
      <c r="J1354">
        <v>11</v>
      </c>
    </row>
    <row r="1355" spans="1:10" x14ac:dyDescent="0.3">
      <c r="A1355" t="s">
        <v>145</v>
      </c>
      <c r="B1355" t="s">
        <v>66</v>
      </c>
      <c r="C1355" s="4">
        <v>0.62643652800000005</v>
      </c>
      <c r="D1355" s="4">
        <v>0.57808694400000005</v>
      </c>
      <c r="E1355" s="18">
        <v>768</v>
      </c>
      <c r="G1355" s="4"/>
      <c r="H1355" s="4">
        <f t="shared" si="26"/>
        <v>0</v>
      </c>
      <c r="I1355" s="2">
        <f t="shared" si="27"/>
        <v>0</v>
      </c>
      <c r="J1355">
        <v>4</v>
      </c>
    </row>
    <row r="1356" spans="1:10" x14ac:dyDescent="0.3">
      <c r="A1356" t="s">
        <v>145</v>
      </c>
      <c r="B1356" t="s">
        <v>118</v>
      </c>
      <c r="C1356" s="4">
        <v>0.56023871300000005</v>
      </c>
      <c r="D1356" s="4">
        <v>0.74103703700000001</v>
      </c>
      <c r="E1356" s="18">
        <v>769</v>
      </c>
      <c r="G1356" s="4"/>
      <c r="H1356" s="4">
        <f t="shared" si="26"/>
        <v>0</v>
      </c>
      <c r="I1356" s="2">
        <f t="shared" si="27"/>
        <v>0</v>
      </c>
      <c r="J1356">
        <v>11</v>
      </c>
    </row>
    <row r="1357" spans="1:10" x14ac:dyDescent="0.3">
      <c r="A1357" t="s">
        <v>145</v>
      </c>
      <c r="B1357" t="s">
        <v>119</v>
      </c>
      <c r="C1357" s="4">
        <v>0.432770245</v>
      </c>
      <c r="D1357" s="4">
        <v>0.61247410899999999</v>
      </c>
      <c r="E1357" s="18">
        <v>770</v>
      </c>
      <c r="G1357" s="4"/>
      <c r="H1357" s="4">
        <f t="shared" ref="H1357:H1420" si="28">G1357/PI()</f>
        <v>0</v>
      </c>
      <c r="I1357" s="2">
        <f t="shared" si="27"/>
        <v>0</v>
      </c>
      <c r="J1357">
        <v>10</v>
      </c>
    </row>
    <row r="1358" spans="1:10" x14ac:dyDescent="0.3">
      <c r="A1358" t="s">
        <v>145</v>
      </c>
      <c r="B1358" t="s">
        <v>22</v>
      </c>
      <c r="C1358" s="4">
        <v>0.43836446099999998</v>
      </c>
      <c r="D1358" s="4">
        <v>0.58666666700000003</v>
      </c>
      <c r="E1358" s="18">
        <v>771</v>
      </c>
      <c r="G1358" s="4"/>
      <c r="H1358" s="4">
        <f t="shared" si="28"/>
        <v>0</v>
      </c>
      <c r="I1358" s="2">
        <f t="shared" si="27"/>
        <v>0</v>
      </c>
      <c r="J1358">
        <v>4</v>
      </c>
    </row>
    <row r="1359" spans="1:10" x14ac:dyDescent="0.3">
      <c r="A1359" t="s">
        <v>146</v>
      </c>
      <c r="B1359" t="s">
        <v>69</v>
      </c>
      <c r="C1359" s="4">
        <v>0.31264018999999998</v>
      </c>
      <c r="D1359" s="4">
        <v>0.356821212</v>
      </c>
      <c r="E1359" s="18">
        <v>772</v>
      </c>
      <c r="G1359" s="4"/>
      <c r="H1359" s="4">
        <f t="shared" si="28"/>
        <v>0</v>
      </c>
      <c r="I1359" s="2">
        <f t="shared" si="27"/>
        <v>0</v>
      </c>
      <c r="J1359">
        <v>14</v>
      </c>
    </row>
    <row r="1360" spans="1:10" x14ac:dyDescent="0.3">
      <c r="A1360" t="s">
        <v>146</v>
      </c>
      <c r="B1360" t="s">
        <v>69</v>
      </c>
      <c r="C1360" s="4">
        <v>0.31264018999999998</v>
      </c>
      <c r="D1360" s="4">
        <v>0.356821212</v>
      </c>
      <c r="E1360" s="18">
        <v>773</v>
      </c>
      <c r="G1360" s="4"/>
      <c r="H1360" s="4">
        <f t="shared" si="28"/>
        <v>0</v>
      </c>
      <c r="I1360" s="2">
        <f t="shared" si="27"/>
        <v>0</v>
      </c>
      <c r="J1360">
        <v>13</v>
      </c>
    </row>
    <row r="1361" spans="1:10" x14ac:dyDescent="0.3">
      <c r="A1361" t="s">
        <v>146</v>
      </c>
      <c r="B1361" t="s">
        <v>69</v>
      </c>
      <c r="C1361" s="4">
        <v>0.31264018999999998</v>
      </c>
      <c r="D1361" s="4">
        <v>0.356821212</v>
      </c>
      <c r="E1361" s="18">
        <v>774</v>
      </c>
      <c r="G1361" s="4"/>
      <c r="H1361" s="4">
        <f t="shared" si="28"/>
        <v>0</v>
      </c>
      <c r="I1361" s="2">
        <f t="shared" si="27"/>
        <v>0</v>
      </c>
      <c r="J1361">
        <v>13</v>
      </c>
    </row>
    <row r="1362" spans="1:10" x14ac:dyDescent="0.3">
      <c r="A1362" t="s">
        <v>146</v>
      </c>
      <c r="B1362" t="s">
        <v>14</v>
      </c>
      <c r="C1362" s="4">
        <v>0.766138345</v>
      </c>
      <c r="D1362" s="4">
        <v>0.90500000000000003</v>
      </c>
      <c r="E1362" s="18">
        <v>775</v>
      </c>
      <c r="G1362" s="4"/>
      <c r="H1362" s="4">
        <f t="shared" si="28"/>
        <v>0</v>
      </c>
      <c r="I1362" s="2">
        <f t="shared" si="27"/>
        <v>0</v>
      </c>
      <c r="J1362">
        <v>9</v>
      </c>
    </row>
    <row r="1363" spans="1:10" x14ac:dyDescent="0.3">
      <c r="A1363" t="s">
        <v>146</v>
      </c>
      <c r="B1363" t="s">
        <v>14</v>
      </c>
      <c r="C1363" s="4">
        <v>0.766138345</v>
      </c>
      <c r="D1363" s="4">
        <v>0.90500000000000003</v>
      </c>
      <c r="E1363" s="18">
        <v>776</v>
      </c>
      <c r="G1363" s="4"/>
      <c r="H1363" s="4">
        <f t="shared" si="28"/>
        <v>0</v>
      </c>
      <c r="I1363" s="2">
        <f t="shared" si="27"/>
        <v>0</v>
      </c>
      <c r="J1363">
        <v>11</v>
      </c>
    </row>
    <row r="1364" spans="1:10" x14ac:dyDescent="0.3">
      <c r="A1364" t="s">
        <v>146</v>
      </c>
      <c r="B1364" t="s">
        <v>14</v>
      </c>
      <c r="C1364" s="4">
        <v>0.766138345</v>
      </c>
      <c r="D1364" s="4">
        <v>0.90500000000000003</v>
      </c>
      <c r="E1364" s="18">
        <v>777</v>
      </c>
      <c r="G1364" s="4"/>
      <c r="H1364" s="4">
        <f t="shared" si="28"/>
        <v>0</v>
      </c>
      <c r="I1364" s="2">
        <f t="shared" si="27"/>
        <v>0</v>
      </c>
      <c r="J1364">
        <v>6.5</v>
      </c>
    </row>
    <row r="1365" spans="1:10" x14ac:dyDescent="0.3">
      <c r="A1365" t="s">
        <v>146</v>
      </c>
      <c r="B1365" t="s">
        <v>37</v>
      </c>
      <c r="C1365" s="4">
        <v>0.39790071399999999</v>
      </c>
      <c r="D1365" s="4">
        <v>0.50565277799999997</v>
      </c>
      <c r="E1365" s="18">
        <v>778</v>
      </c>
      <c r="G1365" s="4"/>
      <c r="H1365" s="4">
        <f t="shared" si="28"/>
        <v>0</v>
      </c>
      <c r="I1365" s="2">
        <f t="shared" si="27"/>
        <v>0</v>
      </c>
      <c r="J1365">
        <v>13</v>
      </c>
    </row>
    <row r="1366" spans="1:10" x14ac:dyDescent="0.3">
      <c r="A1366" t="s">
        <v>146</v>
      </c>
      <c r="B1366" t="s">
        <v>66</v>
      </c>
      <c r="C1366" s="4">
        <v>0.62643652800000005</v>
      </c>
      <c r="D1366" s="4">
        <v>0.57808694400000005</v>
      </c>
      <c r="E1366" s="18">
        <v>779</v>
      </c>
      <c r="G1366" s="4"/>
      <c r="H1366" s="4">
        <f t="shared" si="28"/>
        <v>0</v>
      </c>
      <c r="I1366" s="2">
        <f t="shared" si="27"/>
        <v>0</v>
      </c>
      <c r="J1366">
        <v>13</v>
      </c>
    </row>
    <row r="1367" spans="1:10" x14ac:dyDescent="0.3">
      <c r="A1367" t="s">
        <v>146</v>
      </c>
      <c r="B1367" t="s">
        <v>66</v>
      </c>
      <c r="C1367" s="4">
        <v>0.62643652800000005</v>
      </c>
      <c r="D1367" s="4">
        <v>0.57808694400000005</v>
      </c>
      <c r="E1367" s="18">
        <v>780</v>
      </c>
      <c r="G1367" s="4"/>
      <c r="H1367" s="4">
        <f t="shared" si="28"/>
        <v>0</v>
      </c>
      <c r="I1367" s="2">
        <f t="shared" ref="I1367:I1430" si="29">PI()*(H1367/2)^2</f>
        <v>0</v>
      </c>
      <c r="J1367">
        <v>5</v>
      </c>
    </row>
    <row r="1368" spans="1:10" x14ac:dyDescent="0.3">
      <c r="A1368" t="s">
        <v>146</v>
      </c>
      <c r="B1368" t="s">
        <v>66</v>
      </c>
      <c r="C1368" s="4">
        <v>0.62643652800000005</v>
      </c>
      <c r="D1368" s="4">
        <v>0.57808694400000005</v>
      </c>
      <c r="E1368" s="18">
        <v>781</v>
      </c>
      <c r="G1368" s="4"/>
      <c r="H1368" s="4">
        <f t="shared" si="28"/>
        <v>0</v>
      </c>
      <c r="I1368" s="2">
        <f t="shared" si="29"/>
        <v>0</v>
      </c>
      <c r="J1368">
        <v>12</v>
      </c>
    </row>
    <row r="1369" spans="1:10" x14ac:dyDescent="0.3">
      <c r="A1369" t="s">
        <v>146</v>
      </c>
      <c r="B1369" t="s">
        <v>66</v>
      </c>
      <c r="C1369" s="4">
        <v>0.62643652800000005</v>
      </c>
      <c r="D1369" s="4">
        <v>0.57808694400000005</v>
      </c>
      <c r="E1369" s="18">
        <v>782</v>
      </c>
      <c r="G1369" s="4"/>
      <c r="H1369" s="4">
        <f t="shared" si="28"/>
        <v>0</v>
      </c>
      <c r="I1369" s="2">
        <f t="shared" si="29"/>
        <v>0</v>
      </c>
      <c r="J1369">
        <v>6</v>
      </c>
    </row>
    <row r="1370" spans="1:10" x14ac:dyDescent="0.3">
      <c r="A1370" t="s">
        <v>146</v>
      </c>
      <c r="B1370" t="s">
        <v>66</v>
      </c>
      <c r="C1370" s="4">
        <v>0.62643652800000005</v>
      </c>
      <c r="D1370" s="4">
        <v>0.57808694400000005</v>
      </c>
      <c r="E1370" s="18">
        <v>783</v>
      </c>
      <c r="G1370" s="4"/>
      <c r="H1370" s="4">
        <f t="shared" si="28"/>
        <v>0</v>
      </c>
      <c r="I1370" s="2">
        <f t="shared" si="29"/>
        <v>0</v>
      </c>
      <c r="J1370">
        <v>4.5</v>
      </c>
    </row>
    <row r="1371" spans="1:10" x14ac:dyDescent="0.3">
      <c r="A1371" t="s">
        <v>146</v>
      </c>
      <c r="B1371" t="s">
        <v>31</v>
      </c>
      <c r="C1371" s="4">
        <v>0.63400000000000001</v>
      </c>
      <c r="D1371" s="4">
        <v>0.73247777800000002</v>
      </c>
      <c r="E1371" s="18">
        <v>784</v>
      </c>
      <c r="G1371" s="4"/>
      <c r="H1371" s="4">
        <f t="shared" si="28"/>
        <v>0</v>
      </c>
      <c r="I1371" s="2">
        <f t="shared" si="29"/>
        <v>0</v>
      </c>
      <c r="J1371">
        <v>10</v>
      </c>
    </row>
    <row r="1372" spans="1:10" x14ac:dyDescent="0.3">
      <c r="A1372" t="s">
        <v>146</v>
      </c>
      <c r="B1372" t="s">
        <v>119</v>
      </c>
      <c r="C1372" s="4">
        <v>0.432770245</v>
      </c>
      <c r="D1372" s="4">
        <v>0.61247410899999999</v>
      </c>
      <c r="E1372" s="18">
        <v>785</v>
      </c>
      <c r="G1372" s="4"/>
      <c r="H1372" s="4">
        <f t="shared" si="28"/>
        <v>0</v>
      </c>
      <c r="I1372" s="2">
        <f t="shared" si="29"/>
        <v>0</v>
      </c>
      <c r="J1372">
        <v>13</v>
      </c>
    </row>
    <row r="1373" spans="1:10" x14ac:dyDescent="0.3">
      <c r="A1373" t="s">
        <v>146</v>
      </c>
      <c r="B1373" t="s">
        <v>119</v>
      </c>
      <c r="C1373" s="4">
        <v>0.432770245</v>
      </c>
      <c r="D1373" s="4">
        <v>0.61247410899999999</v>
      </c>
      <c r="E1373" s="18">
        <v>786</v>
      </c>
      <c r="G1373" s="4"/>
      <c r="H1373" s="4">
        <f t="shared" si="28"/>
        <v>0</v>
      </c>
      <c r="I1373" s="2">
        <f t="shared" si="29"/>
        <v>0</v>
      </c>
      <c r="J1373">
        <v>12</v>
      </c>
    </row>
    <row r="1374" spans="1:10" x14ac:dyDescent="0.3">
      <c r="A1374" t="s">
        <v>146</v>
      </c>
      <c r="B1374" t="s">
        <v>119</v>
      </c>
      <c r="C1374" s="4">
        <v>0.432770245</v>
      </c>
      <c r="D1374" s="4">
        <v>0.61247410899999999</v>
      </c>
      <c r="E1374" s="18">
        <v>787</v>
      </c>
      <c r="G1374" s="4"/>
      <c r="H1374" s="4">
        <f t="shared" si="28"/>
        <v>0</v>
      </c>
      <c r="I1374" s="2">
        <f t="shared" si="29"/>
        <v>0</v>
      </c>
      <c r="J1374">
        <v>11</v>
      </c>
    </row>
    <row r="1375" spans="1:10" x14ac:dyDescent="0.3">
      <c r="A1375" t="s">
        <v>146</v>
      </c>
      <c r="B1375" t="s">
        <v>119</v>
      </c>
      <c r="C1375" s="4">
        <v>0.432770245</v>
      </c>
      <c r="D1375" s="4">
        <v>0.61247410899999999</v>
      </c>
      <c r="E1375" s="18">
        <v>788</v>
      </c>
      <c r="G1375" s="4"/>
      <c r="H1375" s="4">
        <f t="shared" si="28"/>
        <v>0</v>
      </c>
      <c r="I1375" s="2">
        <f t="shared" si="29"/>
        <v>0</v>
      </c>
      <c r="J1375">
        <v>8</v>
      </c>
    </row>
    <row r="1376" spans="1:10" x14ac:dyDescent="0.3">
      <c r="A1376" t="s">
        <v>146</v>
      </c>
      <c r="B1376" t="s">
        <v>22</v>
      </c>
      <c r="C1376" s="4">
        <v>0.43836446099999998</v>
      </c>
      <c r="D1376" s="4">
        <v>0.58666666700000003</v>
      </c>
      <c r="E1376" s="18">
        <v>789</v>
      </c>
      <c r="G1376" s="4"/>
      <c r="H1376" s="4">
        <f t="shared" si="28"/>
        <v>0</v>
      </c>
      <c r="I1376" s="2">
        <f t="shared" si="29"/>
        <v>0</v>
      </c>
      <c r="J1376">
        <v>6</v>
      </c>
    </row>
    <row r="1377" spans="1:10" x14ac:dyDescent="0.3">
      <c r="A1377" t="s">
        <v>147</v>
      </c>
      <c r="B1377" t="s">
        <v>26</v>
      </c>
      <c r="C1377" s="4">
        <v>0.80908761900000004</v>
      </c>
      <c r="D1377" s="4">
        <v>0.87473809499999999</v>
      </c>
      <c r="E1377" s="18">
        <v>790</v>
      </c>
      <c r="G1377" s="4"/>
      <c r="H1377" s="4">
        <f t="shared" si="28"/>
        <v>0</v>
      </c>
      <c r="I1377" s="2">
        <f t="shared" si="29"/>
        <v>0</v>
      </c>
      <c r="J1377">
        <v>7</v>
      </c>
    </row>
    <row r="1378" spans="1:10" x14ac:dyDescent="0.3">
      <c r="A1378" t="s">
        <v>147</v>
      </c>
      <c r="B1378" t="s">
        <v>60</v>
      </c>
      <c r="C1378" s="4">
        <v>0.41</v>
      </c>
      <c r="D1378" s="4">
        <v>0.33983503399999998</v>
      </c>
      <c r="E1378" s="18">
        <v>791</v>
      </c>
      <c r="G1378" s="4"/>
      <c r="H1378" s="4">
        <f t="shared" si="28"/>
        <v>0</v>
      </c>
      <c r="I1378" s="2">
        <f t="shared" si="29"/>
        <v>0</v>
      </c>
      <c r="J1378">
        <v>7</v>
      </c>
    </row>
    <row r="1379" spans="1:10" x14ac:dyDescent="0.3">
      <c r="A1379" t="s">
        <v>147</v>
      </c>
      <c r="B1379" t="s">
        <v>14</v>
      </c>
      <c r="C1379" s="4">
        <v>0.766138345</v>
      </c>
      <c r="D1379" s="4">
        <v>0.90500000000000003</v>
      </c>
      <c r="E1379" s="18">
        <v>792</v>
      </c>
      <c r="G1379" s="4"/>
      <c r="H1379" s="4">
        <f t="shared" si="28"/>
        <v>0</v>
      </c>
      <c r="I1379" s="2">
        <f t="shared" si="29"/>
        <v>0</v>
      </c>
      <c r="J1379">
        <v>4</v>
      </c>
    </row>
    <row r="1380" spans="1:10" x14ac:dyDescent="0.3">
      <c r="A1380" t="s">
        <v>147</v>
      </c>
      <c r="B1380" t="s">
        <v>85</v>
      </c>
      <c r="C1380" s="4">
        <v>0.6</v>
      </c>
      <c r="D1380" s="4">
        <v>0.66674999999999995</v>
      </c>
      <c r="E1380" s="18">
        <v>793</v>
      </c>
      <c r="G1380" s="4"/>
      <c r="H1380" s="4">
        <f t="shared" si="28"/>
        <v>0</v>
      </c>
      <c r="I1380" s="2">
        <f t="shared" si="29"/>
        <v>0</v>
      </c>
      <c r="J1380">
        <v>8</v>
      </c>
    </row>
    <row r="1381" spans="1:10" x14ac:dyDescent="0.3">
      <c r="A1381" t="s">
        <v>147</v>
      </c>
      <c r="B1381" t="s">
        <v>85</v>
      </c>
      <c r="C1381" s="4">
        <v>0.6</v>
      </c>
      <c r="D1381" s="4">
        <v>0.66674999999999995</v>
      </c>
      <c r="E1381" s="18">
        <v>794</v>
      </c>
      <c r="G1381" s="4"/>
      <c r="H1381" s="4">
        <f t="shared" si="28"/>
        <v>0</v>
      </c>
      <c r="I1381" s="2">
        <f t="shared" si="29"/>
        <v>0</v>
      </c>
      <c r="J1381">
        <v>8</v>
      </c>
    </row>
    <row r="1382" spans="1:10" x14ac:dyDescent="0.3">
      <c r="A1382" t="s">
        <v>147</v>
      </c>
      <c r="B1382" t="s">
        <v>85</v>
      </c>
      <c r="C1382" s="4">
        <v>0.6</v>
      </c>
      <c r="D1382" s="4">
        <v>0.66674999999999995</v>
      </c>
      <c r="E1382" s="18">
        <v>795</v>
      </c>
      <c r="G1382" s="4"/>
      <c r="H1382" s="4">
        <f t="shared" si="28"/>
        <v>0</v>
      </c>
      <c r="I1382" s="2">
        <f t="shared" si="29"/>
        <v>0</v>
      </c>
      <c r="J1382">
        <v>6.5</v>
      </c>
    </row>
    <row r="1383" spans="1:10" x14ac:dyDescent="0.3">
      <c r="A1383" t="s">
        <v>147</v>
      </c>
      <c r="B1383" t="s">
        <v>15</v>
      </c>
      <c r="C1383" s="4">
        <v>0.47982689899999997</v>
      </c>
      <c r="D1383" s="4">
        <v>0.51</v>
      </c>
      <c r="E1383" s="18">
        <v>796</v>
      </c>
      <c r="G1383" s="4"/>
      <c r="H1383" s="4">
        <f t="shared" si="28"/>
        <v>0</v>
      </c>
      <c r="I1383" s="2">
        <f t="shared" si="29"/>
        <v>0</v>
      </c>
      <c r="J1383">
        <v>1.2</v>
      </c>
    </row>
    <row r="1384" spans="1:10" x14ac:dyDescent="0.3">
      <c r="A1384" t="s">
        <v>147</v>
      </c>
      <c r="B1384" t="s">
        <v>126</v>
      </c>
      <c r="C1384" s="4">
        <v>0.490852183</v>
      </c>
      <c r="D1384" s="4">
        <v>0.607288889</v>
      </c>
      <c r="E1384" s="18">
        <v>797</v>
      </c>
      <c r="G1384" s="4"/>
      <c r="H1384" s="4">
        <f t="shared" si="28"/>
        <v>0</v>
      </c>
      <c r="I1384" s="2">
        <f t="shared" si="29"/>
        <v>0</v>
      </c>
      <c r="J1384">
        <v>6.5</v>
      </c>
    </row>
    <row r="1385" spans="1:10" x14ac:dyDescent="0.3">
      <c r="A1385" t="s">
        <v>147</v>
      </c>
      <c r="B1385" t="s">
        <v>16</v>
      </c>
      <c r="C1385" s="4">
        <v>0.89361000000000002</v>
      </c>
      <c r="D1385" s="4">
        <v>0.61247410899999999</v>
      </c>
      <c r="E1385" s="18">
        <v>798</v>
      </c>
      <c r="G1385" s="4"/>
      <c r="H1385" s="4">
        <f t="shared" si="28"/>
        <v>0</v>
      </c>
      <c r="I1385" s="2">
        <f t="shared" si="29"/>
        <v>0</v>
      </c>
      <c r="J1385">
        <v>5</v>
      </c>
    </row>
    <row r="1386" spans="1:10" x14ac:dyDescent="0.3">
      <c r="A1386" t="s">
        <v>147</v>
      </c>
      <c r="B1386" t="s">
        <v>38</v>
      </c>
      <c r="C1386" s="4">
        <v>1082380952</v>
      </c>
      <c r="D1386" s="4">
        <v>0.61247410899999999</v>
      </c>
      <c r="E1386" s="18">
        <v>799</v>
      </c>
      <c r="G1386" s="4"/>
      <c r="H1386" s="4">
        <f t="shared" si="28"/>
        <v>0</v>
      </c>
      <c r="I1386" s="2">
        <f t="shared" si="29"/>
        <v>0</v>
      </c>
      <c r="J1386">
        <v>3</v>
      </c>
    </row>
    <row r="1387" spans="1:10" x14ac:dyDescent="0.3">
      <c r="A1387" t="s">
        <v>147</v>
      </c>
      <c r="B1387" t="s">
        <v>122</v>
      </c>
      <c r="C1387" s="4">
        <v>0.85750000000000004</v>
      </c>
      <c r="D1387" s="4">
        <v>0.61247410899999999</v>
      </c>
      <c r="E1387" s="18">
        <v>800</v>
      </c>
      <c r="G1387" s="4"/>
      <c r="H1387" s="4">
        <f t="shared" si="28"/>
        <v>0</v>
      </c>
      <c r="I1387" s="2">
        <f t="shared" si="29"/>
        <v>0</v>
      </c>
      <c r="J1387">
        <v>8.6999999999999993</v>
      </c>
    </row>
    <row r="1388" spans="1:10" x14ac:dyDescent="0.3">
      <c r="A1388" t="s">
        <v>147</v>
      </c>
      <c r="B1388" t="s">
        <v>122</v>
      </c>
      <c r="C1388" s="4">
        <v>0.85750000000000004</v>
      </c>
      <c r="D1388" s="4">
        <v>0.61247410899999999</v>
      </c>
      <c r="E1388" s="18">
        <v>801</v>
      </c>
      <c r="G1388" s="4"/>
      <c r="H1388" s="4">
        <f t="shared" si="28"/>
        <v>0</v>
      </c>
      <c r="I1388" s="2">
        <f t="shared" si="29"/>
        <v>0</v>
      </c>
      <c r="J1388">
        <v>6</v>
      </c>
    </row>
    <row r="1389" spans="1:10" x14ac:dyDescent="0.3">
      <c r="A1389" t="s">
        <v>147</v>
      </c>
      <c r="B1389" t="s">
        <v>122</v>
      </c>
      <c r="C1389" s="4">
        <v>0.85750000000000004</v>
      </c>
      <c r="D1389" s="4">
        <v>0.61247410899999999</v>
      </c>
      <c r="E1389" s="18">
        <v>802</v>
      </c>
      <c r="G1389" s="4"/>
      <c r="H1389" s="4">
        <f t="shared" si="28"/>
        <v>0</v>
      </c>
      <c r="I1389" s="2">
        <f t="shared" si="29"/>
        <v>0</v>
      </c>
      <c r="J1389">
        <v>6</v>
      </c>
    </row>
    <row r="1390" spans="1:10" x14ac:dyDescent="0.3">
      <c r="A1390" t="s">
        <v>147</v>
      </c>
      <c r="B1390" t="s">
        <v>122</v>
      </c>
      <c r="C1390" s="4">
        <v>0.85750000000000004</v>
      </c>
      <c r="D1390" s="4">
        <v>0.61247410899999999</v>
      </c>
      <c r="E1390" s="18">
        <v>803</v>
      </c>
      <c r="G1390" s="4"/>
      <c r="H1390" s="4">
        <f t="shared" si="28"/>
        <v>0</v>
      </c>
      <c r="I1390" s="2">
        <f t="shared" si="29"/>
        <v>0</v>
      </c>
      <c r="J1390">
        <v>5.7</v>
      </c>
    </row>
    <row r="1391" spans="1:10" x14ac:dyDescent="0.3">
      <c r="A1391" t="s">
        <v>147</v>
      </c>
      <c r="B1391" t="s">
        <v>122</v>
      </c>
      <c r="C1391" s="4">
        <v>0.85750000000000004</v>
      </c>
      <c r="D1391" s="4">
        <v>0.61247410899999999</v>
      </c>
      <c r="E1391" s="18">
        <v>804</v>
      </c>
      <c r="G1391" s="4"/>
      <c r="H1391" s="4">
        <f t="shared" si="28"/>
        <v>0</v>
      </c>
      <c r="I1391" s="2">
        <f t="shared" si="29"/>
        <v>0</v>
      </c>
      <c r="J1391">
        <v>5.5</v>
      </c>
    </row>
    <row r="1392" spans="1:10" x14ac:dyDescent="0.3">
      <c r="A1392" t="s">
        <v>147</v>
      </c>
      <c r="B1392" t="s">
        <v>148</v>
      </c>
      <c r="C1392" s="4">
        <v>0.93384615400000004</v>
      </c>
      <c r="D1392" s="4">
        <v>0.61247410899999999</v>
      </c>
      <c r="E1392" s="18">
        <v>805</v>
      </c>
      <c r="G1392" s="4"/>
      <c r="H1392" s="4">
        <f t="shared" si="28"/>
        <v>0</v>
      </c>
      <c r="I1392" s="2">
        <f t="shared" si="29"/>
        <v>0</v>
      </c>
      <c r="J1392">
        <v>2</v>
      </c>
    </row>
    <row r="1393" spans="1:10" x14ac:dyDescent="0.3">
      <c r="A1393" t="s">
        <v>147</v>
      </c>
      <c r="B1393" t="s">
        <v>39</v>
      </c>
      <c r="C1393" s="4">
        <v>0.590536375</v>
      </c>
      <c r="D1393" s="4">
        <v>0.61247410899999999</v>
      </c>
      <c r="E1393" s="18">
        <v>806</v>
      </c>
      <c r="G1393" s="4"/>
      <c r="H1393" s="4">
        <f t="shared" si="28"/>
        <v>0</v>
      </c>
      <c r="I1393" s="2">
        <f t="shared" si="29"/>
        <v>0</v>
      </c>
      <c r="J1393">
        <v>8</v>
      </c>
    </row>
    <row r="1394" spans="1:10" x14ac:dyDescent="0.3">
      <c r="A1394" t="s">
        <v>147</v>
      </c>
      <c r="B1394" t="s">
        <v>27</v>
      </c>
      <c r="C1394" s="4">
        <v>0.50857142899999996</v>
      </c>
      <c r="D1394" s="4">
        <v>0.49666666700000001</v>
      </c>
      <c r="E1394" s="18">
        <v>807</v>
      </c>
      <c r="G1394" s="4"/>
      <c r="H1394" s="4">
        <f t="shared" si="28"/>
        <v>0</v>
      </c>
      <c r="I1394" s="2">
        <f t="shared" si="29"/>
        <v>0</v>
      </c>
      <c r="J1394">
        <v>10</v>
      </c>
    </row>
    <row r="1395" spans="1:10" x14ac:dyDescent="0.3">
      <c r="A1395" t="s">
        <v>147</v>
      </c>
      <c r="B1395" t="s">
        <v>73</v>
      </c>
      <c r="C1395" s="4">
        <v>0.39</v>
      </c>
      <c r="D1395" s="4">
        <v>0.28861111099999998</v>
      </c>
      <c r="E1395" s="18">
        <v>808</v>
      </c>
      <c r="G1395" s="4"/>
      <c r="H1395" s="4">
        <f t="shared" si="28"/>
        <v>0</v>
      </c>
      <c r="I1395" s="2">
        <f t="shared" si="29"/>
        <v>0</v>
      </c>
      <c r="J1395">
        <v>8</v>
      </c>
    </row>
    <row r="1396" spans="1:10" x14ac:dyDescent="0.3">
      <c r="A1396" t="s">
        <v>147</v>
      </c>
      <c r="B1396" t="s">
        <v>46</v>
      </c>
      <c r="C1396" s="4">
        <v>1.1200000000000001</v>
      </c>
      <c r="D1396" s="4">
        <v>0.85527777800000004</v>
      </c>
      <c r="E1396" s="18">
        <v>809</v>
      </c>
      <c r="G1396" s="4"/>
      <c r="H1396" s="4">
        <f t="shared" si="28"/>
        <v>0</v>
      </c>
      <c r="I1396" s="2">
        <f t="shared" si="29"/>
        <v>0</v>
      </c>
      <c r="J1396">
        <v>2.5</v>
      </c>
    </row>
    <row r="1397" spans="1:10" x14ac:dyDescent="0.3">
      <c r="A1397" t="s">
        <v>147</v>
      </c>
      <c r="B1397" t="s">
        <v>21</v>
      </c>
      <c r="C1397" s="4">
        <v>0.66608171000000005</v>
      </c>
      <c r="D1397" s="4">
        <v>0.68661666700000001</v>
      </c>
      <c r="E1397" s="18">
        <v>810</v>
      </c>
      <c r="G1397" s="4"/>
      <c r="H1397" s="4">
        <f t="shared" si="28"/>
        <v>0</v>
      </c>
      <c r="I1397" s="2">
        <f t="shared" si="29"/>
        <v>0</v>
      </c>
      <c r="J1397">
        <v>6.5</v>
      </c>
    </row>
    <row r="1398" spans="1:10" x14ac:dyDescent="0.3">
      <c r="A1398" t="s">
        <v>147</v>
      </c>
      <c r="B1398" t="s">
        <v>49</v>
      </c>
      <c r="C1398" s="4">
        <v>0.57917600000000002</v>
      </c>
      <c r="D1398" s="4">
        <v>0.60285714300000004</v>
      </c>
      <c r="E1398" s="18">
        <v>811</v>
      </c>
      <c r="G1398" s="4"/>
      <c r="H1398" s="4">
        <f t="shared" si="28"/>
        <v>0</v>
      </c>
      <c r="I1398" s="2">
        <f t="shared" si="29"/>
        <v>0</v>
      </c>
      <c r="J1398">
        <v>10</v>
      </c>
    </row>
    <row r="1399" spans="1:10" x14ac:dyDescent="0.3">
      <c r="A1399" t="s">
        <v>147</v>
      </c>
      <c r="B1399" t="s">
        <v>149</v>
      </c>
      <c r="C1399" s="4">
        <v>0.41185709999999998</v>
      </c>
      <c r="D1399" s="4">
        <v>0.41185714299999998</v>
      </c>
      <c r="E1399" s="18">
        <v>812</v>
      </c>
      <c r="G1399" s="4"/>
      <c r="H1399" s="4">
        <f t="shared" si="28"/>
        <v>0</v>
      </c>
      <c r="I1399" s="2">
        <f t="shared" si="29"/>
        <v>0</v>
      </c>
      <c r="J1399">
        <v>2.8</v>
      </c>
    </row>
    <row r="1400" spans="1:10" x14ac:dyDescent="0.3">
      <c r="A1400" t="s">
        <v>150</v>
      </c>
      <c r="B1400" t="s">
        <v>85</v>
      </c>
      <c r="C1400" s="4">
        <v>0.6</v>
      </c>
      <c r="D1400" s="4">
        <v>0.66674999999999995</v>
      </c>
      <c r="E1400" s="18">
        <v>813</v>
      </c>
      <c r="G1400" s="4"/>
      <c r="H1400" s="4">
        <f t="shared" si="28"/>
        <v>0</v>
      </c>
      <c r="I1400" s="2">
        <f t="shared" si="29"/>
        <v>0</v>
      </c>
      <c r="J1400">
        <v>4</v>
      </c>
    </row>
    <row r="1401" spans="1:10" x14ac:dyDescent="0.3">
      <c r="A1401" t="s">
        <v>150</v>
      </c>
      <c r="B1401" t="s">
        <v>126</v>
      </c>
      <c r="C1401" s="4">
        <v>0.490852183</v>
      </c>
      <c r="D1401" s="4">
        <v>0.607288889</v>
      </c>
      <c r="E1401" s="18">
        <v>814</v>
      </c>
      <c r="G1401" s="4"/>
      <c r="H1401" s="4">
        <f t="shared" si="28"/>
        <v>0</v>
      </c>
      <c r="I1401" s="2">
        <f t="shared" si="29"/>
        <v>0</v>
      </c>
      <c r="J1401">
        <v>2.5</v>
      </c>
    </row>
    <row r="1402" spans="1:10" x14ac:dyDescent="0.3">
      <c r="A1402" t="s">
        <v>150</v>
      </c>
      <c r="B1402" t="s">
        <v>16</v>
      </c>
      <c r="C1402" s="4">
        <v>0.89361000000000002</v>
      </c>
      <c r="D1402" s="4">
        <v>0.61247410899999999</v>
      </c>
      <c r="E1402" s="18">
        <v>815</v>
      </c>
      <c r="G1402" s="4"/>
      <c r="H1402" s="4">
        <f t="shared" si="28"/>
        <v>0</v>
      </c>
      <c r="I1402" s="2">
        <f t="shared" si="29"/>
        <v>0</v>
      </c>
      <c r="J1402">
        <v>2.1</v>
      </c>
    </row>
    <row r="1403" spans="1:10" x14ac:dyDescent="0.3">
      <c r="A1403" t="s">
        <v>150</v>
      </c>
      <c r="B1403" t="s">
        <v>17</v>
      </c>
      <c r="C1403" s="4">
        <v>0.708787469</v>
      </c>
      <c r="D1403" s="4">
        <v>0.80167708299999996</v>
      </c>
      <c r="E1403" s="18">
        <v>816</v>
      </c>
      <c r="G1403" s="4"/>
      <c r="H1403" s="4">
        <f t="shared" si="28"/>
        <v>0</v>
      </c>
      <c r="I1403" s="2">
        <f t="shared" si="29"/>
        <v>0</v>
      </c>
      <c r="J1403">
        <v>3.7</v>
      </c>
    </row>
    <row r="1404" spans="1:10" x14ac:dyDescent="0.3">
      <c r="A1404" t="s">
        <v>150</v>
      </c>
      <c r="B1404" t="s">
        <v>17</v>
      </c>
      <c r="C1404" s="4">
        <v>0.708787469</v>
      </c>
      <c r="D1404" s="4">
        <v>0.80167708299999996</v>
      </c>
      <c r="E1404" s="18">
        <v>817</v>
      </c>
      <c r="G1404" s="4"/>
      <c r="H1404" s="4">
        <f t="shared" si="28"/>
        <v>0</v>
      </c>
      <c r="I1404" s="2">
        <f t="shared" si="29"/>
        <v>0</v>
      </c>
      <c r="J1404">
        <v>2.2000000000000002</v>
      </c>
    </row>
    <row r="1405" spans="1:10" x14ac:dyDescent="0.3">
      <c r="A1405" t="s">
        <v>150</v>
      </c>
      <c r="B1405" t="s">
        <v>151</v>
      </c>
      <c r="C1405" s="4">
        <v>0.13069240100000001</v>
      </c>
      <c r="D1405" s="4">
        <v>0.26500000000000001</v>
      </c>
      <c r="E1405" s="18">
        <v>818</v>
      </c>
      <c r="G1405" s="4"/>
      <c r="H1405" s="4">
        <f t="shared" si="28"/>
        <v>0</v>
      </c>
      <c r="I1405" s="2">
        <f t="shared" si="29"/>
        <v>0</v>
      </c>
      <c r="J1405">
        <v>6</v>
      </c>
    </row>
    <row r="1406" spans="1:10" x14ac:dyDescent="0.3">
      <c r="A1406" t="s">
        <v>150</v>
      </c>
      <c r="B1406" t="s">
        <v>151</v>
      </c>
      <c r="C1406" s="4">
        <v>0.13069240100000001</v>
      </c>
      <c r="D1406" s="4">
        <v>0.26500000000000001</v>
      </c>
      <c r="E1406" s="18">
        <v>819</v>
      </c>
      <c r="G1406" s="4"/>
      <c r="H1406" s="4">
        <f t="shared" si="28"/>
        <v>0</v>
      </c>
      <c r="I1406" s="2">
        <f t="shared" si="29"/>
        <v>0</v>
      </c>
      <c r="J1406">
        <v>4.5</v>
      </c>
    </row>
    <row r="1407" spans="1:10" x14ac:dyDescent="0.3">
      <c r="A1407" t="s">
        <v>150</v>
      </c>
      <c r="B1407" t="s">
        <v>151</v>
      </c>
      <c r="C1407" s="4">
        <v>0.13069240100000001</v>
      </c>
      <c r="D1407" s="4">
        <v>0.26500000000000001</v>
      </c>
      <c r="E1407" s="18">
        <v>820</v>
      </c>
      <c r="G1407" s="4"/>
      <c r="H1407" s="4">
        <f t="shared" si="28"/>
        <v>0</v>
      </c>
      <c r="I1407" s="2">
        <f t="shared" si="29"/>
        <v>0</v>
      </c>
      <c r="J1407">
        <v>4.5</v>
      </c>
    </row>
    <row r="1408" spans="1:10" x14ac:dyDescent="0.3">
      <c r="A1408" t="s">
        <v>150</v>
      </c>
      <c r="B1408" t="s">
        <v>122</v>
      </c>
      <c r="C1408" s="4">
        <v>0.85750000000000004</v>
      </c>
      <c r="D1408" s="4">
        <v>0.61247410899999999</v>
      </c>
      <c r="E1408" s="18">
        <v>821</v>
      </c>
      <c r="G1408" s="4"/>
      <c r="H1408" s="4">
        <f t="shared" si="28"/>
        <v>0</v>
      </c>
      <c r="I1408" s="2">
        <f t="shared" si="29"/>
        <v>0</v>
      </c>
      <c r="J1408">
        <v>3.5</v>
      </c>
    </row>
    <row r="1409" spans="1:10" x14ac:dyDescent="0.3">
      <c r="A1409" t="s">
        <v>150</v>
      </c>
      <c r="B1409" t="s">
        <v>118</v>
      </c>
      <c r="C1409" s="4">
        <v>0.56023871300000005</v>
      </c>
      <c r="D1409" s="4">
        <v>0.74103703700000001</v>
      </c>
      <c r="E1409" s="18">
        <v>822</v>
      </c>
      <c r="G1409" s="4"/>
      <c r="H1409" s="4">
        <f t="shared" si="28"/>
        <v>0</v>
      </c>
      <c r="I1409" s="2">
        <f t="shared" si="29"/>
        <v>0</v>
      </c>
      <c r="J1409">
        <v>6</v>
      </c>
    </row>
    <row r="1410" spans="1:10" x14ac:dyDescent="0.3">
      <c r="A1410" t="s">
        <v>150</v>
      </c>
      <c r="B1410" t="s">
        <v>118</v>
      </c>
      <c r="C1410" s="4">
        <v>0.56023871300000005</v>
      </c>
      <c r="D1410" s="4">
        <v>0.74103703700000001</v>
      </c>
      <c r="E1410" s="18">
        <v>823</v>
      </c>
      <c r="G1410" s="4"/>
      <c r="H1410" s="4">
        <f t="shared" si="28"/>
        <v>0</v>
      </c>
      <c r="I1410" s="2">
        <f t="shared" si="29"/>
        <v>0</v>
      </c>
      <c r="J1410">
        <v>4.2</v>
      </c>
    </row>
    <row r="1411" spans="1:10" x14ac:dyDescent="0.3">
      <c r="A1411" t="s">
        <v>150</v>
      </c>
      <c r="B1411" t="s">
        <v>33</v>
      </c>
      <c r="C1411" s="4">
        <v>0.69835862100000001</v>
      </c>
      <c r="D1411" s="4">
        <v>0.69262500000000005</v>
      </c>
      <c r="E1411" s="18">
        <v>824</v>
      </c>
      <c r="G1411" s="4"/>
      <c r="H1411" s="4">
        <f t="shared" si="28"/>
        <v>0</v>
      </c>
      <c r="I1411" s="2">
        <f t="shared" si="29"/>
        <v>0</v>
      </c>
      <c r="J1411">
        <v>8.9</v>
      </c>
    </row>
    <row r="1412" spans="1:10" x14ac:dyDescent="0.3">
      <c r="A1412" t="s">
        <v>150</v>
      </c>
      <c r="B1412" t="s">
        <v>33</v>
      </c>
      <c r="C1412" s="4">
        <v>0.69835862100000001</v>
      </c>
      <c r="D1412" s="4">
        <v>0.69262500000000005</v>
      </c>
      <c r="E1412" s="18">
        <v>825</v>
      </c>
      <c r="G1412" s="4"/>
      <c r="H1412" s="4">
        <f t="shared" si="28"/>
        <v>0</v>
      </c>
      <c r="I1412" s="2">
        <f t="shared" si="29"/>
        <v>0</v>
      </c>
      <c r="J1412">
        <v>7.2</v>
      </c>
    </row>
    <row r="1413" spans="1:10" x14ac:dyDescent="0.3">
      <c r="A1413" t="s">
        <v>150</v>
      </c>
      <c r="B1413" t="s">
        <v>22</v>
      </c>
      <c r="C1413" s="4">
        <v>0.43836446099999998</v>
      </c>
      <c r="D1413" s="4">
        <v>0.58666666700000003</v>
      </c>
      <c r="E1413" s="18">
        <v>826</v>
      </c>
      <c r="G1413" s="4"/>
      <c r="H1413" s="4">
        <f t="shared" si="28"/>
        <v>0</v>
      </c>
      <c r="I1413" s="2">
        <f t="shared" si="29"/>
        <v>0</v>
      </c>
      <c r="J1413">
        <v>2.7</v>
      </c>
    </row>
    <row r="1414" spans="1:10" x14ac:dyDescent="0.3">
      <c r="A1414" t="s">
        <v>150</v>
      </c>
      <c r="B1414" t="s">
        <v>22</v>
      </c>
      <c r="C1414" s="4">
        <v>0.43836446099999998</v>
      </c>
      <c r="D1414" s="4">
        <v>0.58666666700000003</v>
      </c>
      <c r="E1414" s="18">
        <v>827</v>
      </c>
      <c r="G1414" s="4"/>
      <c r="H1414" s="4">
        <f t="shared" si="28"/>
        <v>0</v>
      </c>
      <c r="I1414" s="2">
        <f t="shared" si="29"/>
        <v>0</v>
      </c>
      <c r="J1414">
        <v>1.9</v>
      </c>
    </row>
    <row r="1415" spans="1:10" x14ac:dyDescent="0.3">
      <c r="A1415" t="s">
        <v>150</v>
      </c>
      <c r="B1415" t="s">
        <v>49</v>
      </c>
      <c r="C1415" s="4">
        <v>0.57917600000000002</v>
      </c>
      <c r="D1415" s="4">
        <v>0.60285714300000004</v>
      </c>
      <c r="E1415" s="18">
        <v>828</v>
      </c>
      <c r="G1415" s="4"/>
      <c r="H1415" s="4">
        <f t="shared" si="28"/>
        <v>0</v>
      </c>
      <c r="I1415" s="2">
        <f t="shared" si="29"/>
        <v>0</v>
      </c>
      <c r="J1415">
        <v>8</v>
      </c>
    </row>
    <row r="1416" spans="1:10" x14ac:dyDescent="0.3">
      <c r="A1416" t="s">
        <v>150</v>
      </c>
      <c r="B1416" t="s">
        <v>94</v>
      </c>
      <c r="C1416" s="4">
        <v>0.28577490700000002</v>
      </c>
      <c r="D1416" s="4">
        <v>0.3422</v>
      </c>
      <c r="E1416" s="18">
        <v>829</v>
      </c>
      <c r="G1416" s="4"/>
      <c r="H1416" s="4">
        <f t="shared" si="28"/>
        <v>0</v>
      </c>
      <c r="I1416" s="2">
        <f t="shared" si="29"/>
        <v>0</v>
      </c>
      <c r="J1416">
        <v>8</v>
      </c>
    </row>
    <row r="1417" spans="1:10" x14ac:dyDescent="0.3">
      <c r="A1417" t="s">
        <v>152</v>
      </c>
      <c r="B1417" t="s">
        <v>26</v>
      </c>
      <c r="C1417" s="4">
        <v>0.80908761900000004</v>
      </c>
      <c r="D1417" s="4">
        <v>0.87473809499999999</v>
      </c>
      <c r="E1417" s="18">
        <v>830</v>
      </c>
      <c r="G1417" s="4"/>
      <c r="H1417" s="4">
        <f t="shared" si="28"/>
        <v>0</v>
      </c>
      <c r="I1417" s="2">
        <f t="shared" si="29"/>
        <v>0</v>
      </c>
      <c r="J1417">
        <v>7</v>
      </c>
    </row>
    <row r="1418" spans="1:10" x14ac:dyDescent="0.3">
      <c r="A1418" t="s">
        <v>152</v>
      </c>
      <c r="B1418" t="s">
        <v>153</v>
      </c>
      <c r="C1418" s="4">
        <v>0.57550000000000001</v>
      </c>
      <c r="D1418" s="4">
        <v>0.57550000000000001</v>
      </c>
      <c r="E1418" s="18">
        <v>831</v>
      </c>
      <c r="G1418" s="4"/>
      <c r="H1418" s="4">
        <f t="shared" si="28"/>
        <v>0</v>
      </c>
      <c r="I1418" s="2">
        <f t="shared" si="29"/>
        <v>0</v>
      </c>
      <c r="J1418">
        <v>3</v>
      </c>
    </row>
    <row r="1419" spans="1:10" x14ac:dyDescent="0.3">
      <c r="A1419" t="s">
        <v>152</v>
      </c>
      <c r="B1419" t="s">
        <v>85</v>
      </c>
      <c r="C1419" s="4">
        <v>0.6</v>
      </c>
      <c r="D1419" s="4">
        <v>0.66674999999999995</v>
      </c>
      <c r="E1419" s="18">
        <v>832</v>
      </c>
      <c r="G1419" s="4"/>
      <c r="H1419" s="4">
        <f t="shared" si="28"/>
        <v>0</v>
      </c>
      <c r="I1419" s="2">
        <f t="shared" si="29"/>
        <v>0</v>
      </c>
      <c r="J1419">
        <v>8</v>
      </c>
    </row>
    <row r="1420" spans="1:10" x14ac:dyDescent="0.3">
      <c r="A1420" t="s">
        <v>152</v>
      </c>
      <c r="B1420" t="s">
        <v>45</v>
      </c>
      <c r="C1420" s="4">
        <v>0.81991655299999999</v>
      </c>
      <c r="D1420" s="4">
        <v>0.72276027399999998</v>
      </c>
      <c r="E1420" s="18">
        <v>833</v>
      </c>
      <c r="G1420" s="4"/>
      <c r="H1420" s="4">
        <f t="shared" si="28"/>
        <v>0</v>
      </c>
      <c r="I1420" s="2">
        <f t="shared" si="29"/>
        <v>0</v>
      </c>
      <c r="J1420">
        <v>2.2999999999999998</v>
      </c>
    </row>
    <row r="1421" spans="1:10" x14ac:dyDescent="0.3">
      <c r="A1421" t="s">
        <v>152</v>
      </c>
      <c r="B1421" t="s">
        <v>15</v>
      </c>
      <c r="C1421" s="4">
        <v>0.47982689899999997</v>
      </c>
      <c r="D1421" s="4">
        <v>0.51</v>
      </c>
      <c r="E1421" s="18">
        <v>834</v>
      </c>
      <c r="G1421" s="4"/>
      <c r="H1421" s="4">
        <f t="shared" ref="H1421:H1484" si="30">G1421/PI()</f>
        <v>0</v>
      </c>
      <c r="I1421" s="2">
        <f t="shared" si="29"/>
        <v>0</v>
      </c>
      <c r="J1421">
        <v>3.5</v>
      </c>
    </row>
    <row r="1422" spans="1:10" x14ac:dyDescent="0.3">
      <c r="A1422" t="s">
        <v>152</v>
      </c>
      <c r="B1422" t="s">
        <v>15</v>
      </c>
      <c r="C1422" s="4">
        <v>0.47982689899999997</v>
      </c>
      <c r="D1422" s="4">
        <v>0.51</v>
      </c>
      <c r="E1422" s="18">
        <v>835</v>
      </c>
      <c r="G1422" s="4"/>
      <c r="H1422" s="4">
        <f t="shared" si="30"/>
        <v>0</v>
      </c>
      <c r="I1422" s="2">
        <f t="shared" si="29"/>
        <v>0</v>
      </c>
      <c r="J1422">
        <v>2.7</v>
      </c>
    </row>
    <row r="1423" spans="1:10" x14ac:dyDescent="0.3">
      <c r="A1423" t="s">
        <v>152</v>
      </c>
      <c r="B1423" t="s">
        <v>126</v>
      </c>
      <c r="C1423" s="4">
        <v>0.490852183</v>
      </c>
      <c r="D1423" s="4">
        <v>0.607288889</v>
      </c>
      <c r="E1423" s="18">
        <v>836</v>
      </c>
      <c r="G1423" s="4"/>
      <c r="H1423" s="4">
        <f t="shared" si="30"/>
        <v>0</v>
      </c>
      <c r="I1423" s="2">
        <f t="shared" si="29"/>
        <v>0</v>
      </c>
      <c r="J1423">
        <v>4.7</v>
      </c>
    </row>
    <row r="1424" spans="1:10" x14ac:dyDescent="0.3">
      <c r="A1424" t="s">
        <v>152</v>
      </c>
      <c r="B1424" t="s">
        <v>126</v>
      </c>
      <c r="C1424" s="4">
        <v>0.490852183</v>
      </c>
      <c r="D1424" s="4">
        <v>0.607288889</v>
      </c>
      <c r="E1424" s="18">
        <v>837</v>
      </c>
      <c r="G1424" s="4"/>
      <c r="H1424" s="4">
        <f t="shared" si="30"/>
        <v>0</v>
      </c>
      <c r="I1424" s="2">
        <f t="shared" si="29"/>
        <v>0</v>
      </c>
      <c r="J1424">
        <v>4.5</v>
      </c>
    </row>
    <row r="1425" spans="1:10" x14ac:dyDescent="0.3">
      <c r="A1425" t="s">
        <v>152</v>
      </c>
      <c r="B1425" t="s">
        <v>18</v>
      </c>
      <c r="C1425" s="4">
        <v>0.45255480399999998</v>
      </c>
      <c r="D1425" s="4">
        <v>0.57808694400000005</v>
      </c>
      <c r="E1425" s="18">
        <v>838</v>
      </c>
      <c r="G1425" s="4"/>
      <c r="H1425" s="4">
        <f t="shared" si="30"/>
        <v>0</v>
      </c>
      <c r="I1425" s="2">
        <f t="shared" si="29"/>
        <v>0</v>
      </c>
      <c r="J1425">
        <v>5.7</v>
      </c>
    </row>
    <row r="1426" spans="1:10" x14ac:dyDescent="0.3">
      <c r="A1426" t="s">
        <v>152</v>
      </c>
      <c r="B1426" t="s">
        <v>151</v>
      </c>
      <c r="C1426" s="4">
        <v>0.13069240100000001</v>
      </c>
      <c r="D1426" s="4">
        <v>0.26500000000000001</v>
      </c>
      <c r="E1426" s="18">
        <v>839</v>
      </c>
      <c r="G1426" s="4"/>
      <c r="H1426" s="4">
        <f t="shared" si="30"/>
        <v>0</v>
      </c>
      <c r="I1426" s="2">
        <f t="shared" si="29"/>
        <v>0</v>
      </c>
      <c r="J1426">
        <v>7</v>
      </c>
    </row>
    <row r="1427" spans="1:10" x14ac:dyDescent="0.3">
      <c r="A1427" t="s">
        <v>152</v>
      </c>
      <c r="B1427" t="s">
        <v>38</v>
      </c>
      <c r="C1427" s="4">
        <v>1082380952</v>
      </c>
      <c r="D1427" s="4">
        <v>0.61247410899999999</v>
      </c>
      <c r="E1427" s="18">
        <v>840</v>
      </c>
      <c r="G1427" s="4"/>
      <c r="H1427" s="4">
        <f t="shared" si="30"/>
        <v>0</v>
      </c>
      <c r="I1427" s="2">
        <f t="shared" si="29"/>
        <v>0</v>
      </c>
      <c r="J1427">
        <v>3.7</v>
      </c>
    </row>
    <row r="1428" spans="1:10" x14ac:dyDescent="0.3">
      <c r="A1428" t="s">
        <v>152</v>
      </c>
      <c r="B1428" t="s">
        <v>122</v>
      </c>
      <c r="C1428" s="4">
        <v>0.85750000000000004</v>
      </c>
      <c r="D1428" s="4">
        <v>0.61247410899999999</v>
      </c>
      <c r="E1428" s="18">
        <v>841</v>
      </c>
      <c r="G1428" s="4"/>
      <c r="H1428" s="4">
        <f t="shared" si="30"/>
        <v>0</v>
      </c>
      <c r="I1428" s="2">
        <f t="shared" si="29"/>
        <v>0</v>
      </c>
      <c r="J1428">
        <v>6</v>
      </c>
    </row>
    <row r="1429" spans="1:10" x14ac:dyDescent="0.3">
      <c r="A1429" t="s">
        <v>152</v>
      </c>
      <c r="B1429" t="s">
        <v>122</v>
      </c>
      <c r="C1429" s="4">
        <v>0.85750000000000004</v>
      </c>
      <c r="D1429" s="4">
        <v>0.61247410899999999</v>
      </c>
      <c r="E1429" s="18">
        <v>842</v>
      </c>
      <c r="G1429" s="4"/>
      <c r="H1429" s="4">
        <f t="shared" si="30"/>
        <v>0</v>
      </c>
      <c r="I1429" s="2">
        <f t="shared" si="29"/>
        <v>0</v>
      </c>
      <c r="J1429">
        <v>3.5</v>
      </c>
    </row>
    <row r="1430" spans="1:10" x14ac:dyDescent="0.3">
      <c r="A1430" t="s">
        <v>152</v>
      </c>
      <c r="B1430" t="s">
        <v>39</v>
      </c>
      <c r="C1430" s="4">
        <v>0.590536375</v>
      </c>
      <c r="D1430" s="4">
        <v>0.61247410899999999</v>
      </c>
      <c r="E1430" s="18">
        <v>843</v>
      </c>
      <c r="G1430" s="4"/>
      <c r="H1430" s="4">
        <f t="shared" si="30"/>
        <v>0</v>
      </c>
      <c r="I1430" s="2">
        <f t="shared" si="29"/>
        <v>0</v>
      </c>
      <c r="J1430">
        <v>10</v>
      </c>
    </row>
    <row r="1431" spans="1:10" x14ac:dyDescent="0.3">
      <c r="A1431" t="s">
        <v>152</v>
      </c>
      <c r="B1431" t="s">
        <v>73</v>
      </c>
      <c r="C1431" s="4">
        <v>0.39</v>
      </c>
      <c r="D1431" s="4">
        <v>0.28861111099999998</v>
      </c>
      <c r="E1431" s="18">
        <v>844</v>
      </c>
      <c r="G1431" s="4"/>
      <c r="H1431" s="4">
        <f t="shared" si="30"/>
        <v>0</v>
      </c>
      <c r="I1431" s="2">
        <f t="shared" ref="I1431:I1494" si="31">PI()*(H1431/2)^2</f>
        <v>0</v>
      </c>
      <c r="J1431">
        <v>7.5</v>
      </c>
    </row>
    <row r="1432" spans="1:10" x14ac:dyDescent="0.3">
      <c r="A1432" t="s">
        <v>152</v>
      </c>
      <c r="B1432" t="s">
        <v>47</v>
      </c>
      <c r="C1432" s="4">
        <v>0.40238543599999999</v>
      </c>
      <c r="D1432" s="4">
        <v>0.40883333300000002</v>
      </c>
      <c r="E1432" s="18">
        <v>845</v>
      </c>
      <c r="G1432" s="4"/>
      <c r="H1432" s="4">
        <f t="shared" si="30"/>
        <v>0</v>
      </c>
      <c r="I1432" s="2">
        <f t="shared" si="31"/>
        <v>0</v>
      </c>
      <c r="J1432">
        <v>9</v>
      </c>
    </row>
    <row r="1433" spans="1:10" x14ac:dyDescent="0.3">
      <c r="A1433" t="s">
        <v>152</v>
      </c>
      <c r="B1433" t="s">
        <v>94</v>
      </c>
      <c r="C1433" s="4">
        <v>0.28577490700000002</v>
      </c>
      <c r="D1433" s="4">
        <v>0.3422</v>
      </c>
      <c r="E1433" s="18">
        <v>846</v>
      </c>
      <c r="G1433" s="4"/>
      <c r="H1433" s="4">
        <f t="shared" si="30"/>
        <v>0</v>
      </c>
      <c r="I1433" s="2">
        <f t="shared" si="31"/>
        <v>0</v>
      </c>
      <c r="J1433">
        <v>8.5</v>
      </c>
    </row>
    <row r="1434" spans="1:10" x14ac:dyDescent="0.3">
      <c r="A1434" t="s">
        <v>154</v>
      </c>
      <c r="B1434" t="s">
        <v>26</v>
      </c>
      <c r="C1434" s="4">
        <v>0.80908761900000004</v>
      </c>
      <c r="D1434" s="4">
        <v>0.87473809499999999</v>
      </c>
      <c r="E1434" s="18">
        <v>847</v>
      </c>
      <c r="G1434" s="4"/>
      <c r="H1434" s="4">
        <f t="shared" si="30"/>
        <v>0</v>
      </c>
      <c r="I1434" s="2">
        <f t="shared" si="31"/>
        <v>0</v>
      </c>
      <c r="J1434">
        <v>4.5</v>
      </c>
    </row>
    <row r="1435" spans="1:10" x14ac:dyDescent="0.3">
      <c r="A1435" t="s">
        <v>154</v>
      </c>
      <c r="B1435" t="s">
        <v>26</v>
      </c>
      <c r="C1435" s="4">
        <v>0.80908761900000004</v>
      </c>
      <c r="D1435" s="4">
        <v>0.87473809499999999</v>
      </c>
      <c r="E1435" s="18">
        <v>848</v>
      </c>
      <c r="G1435" s="4"/>
      <c r="H1435" s="4">
        <f t="shared" si="30"/>
        <v>0</v>
      </c>
      <c r="I1435" s="2">
        <f t="shared" si="31"/>
        <v>0</v>
      </c>
      <c r="J1435">
        <v>3.7</v>
      </c>
    </row>
    <row r="1436" spans="1:10" x14ac:dyDescent="0.3">
      <c r="A1436" t="s">
        <v>154</v>
      </c>
      <c r="B1436" t="s">
        <v>69</v>
      </c>
      <c r="C1436" s="4">
        <v>0.31264018999999998</v>
      </c>
      <c r="D1436" s="4">
        <v>0.356821212</v>
      </c>
      <c r="E1436" s="18">
        <v>849</v>
      </c>
      <c r="G1436" s="4"/>
      <c r="H1436" s="4">
        <f t="shared" si="30"/>
        <v>0</v>
      </c>
      <c r="I1436" s="2">
        <f t="shared" si="31"/>
        <v>0</v>
      </c>
      <c r="J1436">
        <v>5.7</v>
      </c>
    </row>
    <row r="1437" spans="1:10" x14ac:dyDescent="0.3">
      <c r="A1437" t="s">
        <v>154</v>
      </c>
      <c r="B1437" t="s">
        <v>85</v>
      </c>
      <c r="C1437" s="4">
        <v>0.6</v>
      </c>
      <c r="D1437" s="4">
        <v>0.66674999999999995</v>
      </c>
      <c r="E1437" s="18">
        <v>850</v>
      </c>
      <c r="G1437" s="4"/>
      <c r="H1437" s="4">
        <f t="shared" si="30"/>
        <v>0</v>
      </c>
      <c r="I1437" s="2">
        <f t="shared" si="31"/>
        <v>0</v>
      </c>
      <c r="J1437">
        <v>7.5</v>
      </c>
    </row>
    <row r="1438" spans="1:10" x14ac:dyDescent="0.3">
      <c r="A1438" t="s">
        <v>154</v>
      </c>
      <c r="B1438" t="s">
        <v>141</v>
      </c>
      <c r="C1438" s="4">
        <v>0.83069230800000005</v>
      </c>
      <c r="D1438" s="4">
        <v>0.78683697699999999</v>
      </c>
      <c r="E1438" s="18">
        <v>851</v>
      </c>
      <c r="G1438" s="4"/>
      <c r="H1438" s="4">
        <f t="shared" si="30"/>
        <v>0</v>
      </c>
      <c r="I1438" s="2">
        <f t="shared" si="31"/>
        <v>0</v>
      </c>
      <c r="J1438">
        <v>5.7</v>
      </c>
    </row>
    <row r="1439" spans="1:10" x14ac:dyDescent="0.3">
      <c r="A1439" t="s">
        <v>154</v>
      </c>
      <c r="B1439" t="s">
        <v>45</v>
      </c>
      <c r="C1439" s="4">
        <v>0.81991655299999999</v>
      </c>
      <c r="D1439" s="4">
        <v>0.72276027399999998</v>
      </c>
      <c r="E1439" s="18">
        <v>852</v>
      </c>
      <c r="G1439" s="4"/>
      <c r="H1439" s="4">
        <f t="shared" si="30"/>
        <v>0</v>
      </c>
      <c r="I1439" s="2">
        <f t="shared" si="31"/>
        <v>0</v>
      </c>
      <c r="J1439">
        <v>1.7</v>
      </c>
    </row>
    <row r="1440" spans="1:10" x14ac:dyDescent="0.3">
      <c r="A1440" t="s">
        <v>154</v>
      </c>
      <c r="B1440" t="s">
        <v>45</v>
      </c>
      <c r="C1440" s="4">
        <v>0.81991655299999999</v>
      </c>
      <c r="D1440" s="4">
        <v>0.72276027399999998</v>
      </c>
      <c r="E1440" s="18">
        <v>853</v>
      </c>
      <c r="G1440" s="4"/>
      <c r="H1440" s="4">
        <f t="shared" si="30"/>
        <v>0</v>
      </c>
      <c r="I1440" s="2">
        <f t="shared" si="31"/>
        <v>0</v>
      </c>
      <c r="J1440">
        <v>1.7</v>
      </c>
    </row>
    <row r="1441" spans="1:10" x14ac:dyDescent="0.3">
      <c r="A1441" t="s">
        <v>154</v>
      </c>
      <c r="B1441" t="s">
        <v>45</v>
      </c>
      <c r="C1441" s="4">
        <v>0.81991655299999999</v>
      </c>
      <c r="D1441" s="4">
        <v>0.72276027399999998</v>
      </c>
      <c r="E1441" s="18">
        <v>854</v>
      </c>
      <c r="G1441" s="4"/>
      <c r="H1441" s="4">
        <f t="shared" si="30"/>
        <v>0</v>
      </c>
      <c r="I1441" s="2">
        <f t="shared" si="31"/>
        <v>0</v>
      </c>
      <c r="J1441">
        <v>1.6</v>
      </c>
    </row>
    <row r="1442" spans="1:10" x14ac:dyDescent="0.3">
      <c r="A1442" t="s">
        <v>154</v>
      </c>
      <c r="B1442" t="s">
        <v>16</v>
      </c>
      <c r="C1442" s="4">
        <v>0.89361000000000002</v>
      </c>
      <c r="D1442" s="4">
        <v>0.61247410899999999</v>
      </c>
      <c r="E1442" s="18">
        <v>855</v>
      </c>
      <c r="G1442" s="4"/>
      <c r="H1442" s="4">
        <f t="shared" si="30"/>
        <v>0</v>
      </c>
      <c r="I1442" s="2">
        <f t="shared" si="31"/>
        <v>0</v>
      </c>
      <c r="J1442">
        <v>3</v>
      </c>
    </row>
    <row r="1443" spans="1:10" x14ac:dyDescent="0.3">
      <c r="A1443" t="s">
        <v>154</v>
      </c>
      <c r="B1443" t="s">
        <v>93</v>
      </c>
      <c r="C1443" s="4">
        <v>0.85449533600000005</v>
      </c>
      <c r="D1443" s="4">
        <v>0.81482857099999995</v>
      </c>
      <c r="E1443" s="18">
        <v>856</v>
      </c>
      <c r="G1443" s="4"/>
      <c r="H1443" s="4">
        <f t="shared" si="30"/>
        <v>0</v>
      </c>
      <c r="I1443" s="2">
        <f t="shared" si="31"/>
        <v>0</v>
      </c>
      <c r="J1443">
        <v>1.7</v>
      </c>
    </row>
    <row r="1444" spans="1:10" x14ac:dyDescent="0.3">
      <c r="A1444" t="s">
        <v>154</v>
      </c>
      <c r="B1444" t="s">
        <v>122</v>
      </c>
      <c r="C1444" s="4">
        <v>0.85750000000000004</v>
      </c>
      <c r="D1444" s="4">
        <v>0.61247410899999999</v>
      </c>
      <c r="E1444" s="18">
        <v>857</v>
      </c>
      <c r="G1444" s="4"/>
      <c r="H1444" s="4">
        <f t="shared" si="30"/>
        <v>0</v>
      </c>
      <c r="I1444" s="2">
        <f t="shared" si="31"/>
        <v>0</v>
      </c>
      <c r="J1444">
        <v>6.8</v>
      </c>
    </row>
    <row r="1445" spans="1:10" x14ac:dyDescent="0.3">
      <c r="A1445" t="s">
        <v>154</v>
      </c>
      <c r="B1445" t="s">
        <v>122</v>
      </c>
      <c r="C1445" s="4">
        <v>0.85750000000000004</v>
      </c>
      <c r="D1445" s="4">
        <v>0.61247410899999999</v>
      </c>
      <c r="E1445" s="18">
        <v>858</v>
      </c>
      <c r="G1445" s="4"/>
      <c r="H1445" s="4">
        <f t="shared" si="30"/>
        <v>0</v>
      </c>
      <c r="I1445" s="2">
        <f t="shared" si="31"/>
        <v>0</v>
      </c>
      <c r="J1445">
        <v>2.2000000000000002</v>
      </c>
    </row>
    <row r="1446" spans="1:10" x14ac:dyDescent="0.3">
      <c r="A1446" t="s">
        <v>154</v>
      </c>
      <c r="B1446" t="s">
        <v>118</v>
      </c>
      <c r="C1446" s="4">
        <v>0.56023871300000005</v>
      </c>
      <c r="D1446" s="4">
        <v>0.74103703700000001</v>
      </c>
      <c r="E1446" s="18">
        <v>859</v>
      </c>
      <c r="G1446" s="4"/>
      <c r="H1446" s="4">
        <f t="shared" si="30"/>
        <v>0</v>
      </c>
      <c r="I1446" s="2">
        <f t="shared" si="31"/>
        <v>0</v>
      </c>
      <c r="J1446">
        <v>6</v>
      </c>
    </row>
    <row r="1447" spans="1:10" x14ac:dyDescent="0.3">
      <c r="A1447" t="s">
        <v>154</v>
      </c>
      <c r="B1447" t="s">
        <v>119</v>
      </c>
      <c r="C1447" s="4">
        <v>0.432770245</v>
      </c>
      <c r="D1447" s="4">
        <v>0.61247410899999999</v>
      </c>
      <c r="E1447" s="18">
        <v>860</v>
      </c>
      <c r="G1447" s="4"/>
      <c r="H1447" s="4">
        <f t="shared" si="30"/>
        <v>0</v>
      </c>
      <c r="I1447" s="2">
        <f t="shared" si="31"/>
        <v>0</v>
      </c>
      <c r="J1447">
        <v>5.5</v>
      </c>
    </row>
    <row r="1448" spans="1:10" x14ac:dyDescent="0.3">
      <c r="A1448" t="s">
        <v>154</v>
      </c>
      <c r="B1448" t="s">
        <v>47</v>
      </c>
      <c r="C1448" s="4">
        <v>0.40238543599999999</v>
      </c>
      <c r="D1448" s="4">
        <v>0.40883333300000002</v>
      </c>
      <c r="E1448" s="18">
        <v>861</v>
      </c>
      <c r="G1448" s="4"/>
      <c r="H1448" s="4">
        <f t="shared" si="30"/>
        <v>0</v>
      </c>
      <c r="I1448" s="2">
        <f t="shared" si="31"/>
        <v>0</v>
      </c>
      <c r="J1448">
        <v>9.5</v>
      </c>
    </row>
    <row r="1449" spans="1:10" x14ac:dyDescent="0.3">
      <c r="A1449" t="s">
        <v>154</v>
      </c>
      <c r="B1449" t="s">
        <v>88</v>
      </c>
      <c r="C1449" s="4">
        <v>0.77</v>
      </c>
      <c r="D1449" s="4">
        <v>0.77</v>
      </c>
      <c r="E1449" s="18">
        <v>862</v>
      </c>
      <c r="G1449" s="4"/>
      <c r="H1449" s="4">
        <f t="shared" si="30"/>
        <v>0</v>
      </c>
      <c r="I1449" s="2">
        <f t="shared" si="31"/>
        <v>0</v>
      </c>
      <c r="J1449">
        <v>5</v>
      </c>
    </row>
    <row r="1450" spans="1:10" x14ac:dyDescent="0.3">
      <c r="A1450" t="s">
        <v>155</v>
      </c>
      <c r="B1450" t="s">
        <v>69</v>
      </c>
      <c r="C1450" s="4">
        <v>0.31264018999999998</v>
      </c>
      <c r="D1450" s="4">
        <v>0.356821212</v>
      </c>
      <c r="E1450" s="18">
        <v>863</v>
      </c>
      <c r="G1450" s="4"/>
      <c r="H1450" s="4">
        <f t="shared" si="30"/>
        <v>0</v>
      </c>
      <c r="I1450" s="2">
        <f t="shared" si="31"/>
        <v>0</v>
      </c>
      <c r="J1450">
        <v>5</v>
      </c>
    </row>
    <row r="1451" spans="1:10" x14ac:dyDescent="0.3">
      <c r="A1451" t="s">
        <v>155</v>
      </c>
      <c r="B1451" t="s">
        <v>85</v>
      </c>
      <c r="C1451" s="4">
        <v>0.6</v>
      </c>
      <c r="D1451" s="4">
        <v>0.66674999999999995</v>
      </c>
      <c r="E1451" s="18">
        <v>864</v>
      </c>
      <c r="G1451" s="4"/>
      <c r="H1451" s="4">
        <f t="shared" si="30"/>
        <v>0</v>
      </c>
      <c r="I1451" s="2">
        <f t="shared" si="31"/>
        <v>0</v>
      </c>
      <c r="J1451">
        <v>5.5</v>
      </c>
    </row>
    <row r="1452" spans="1:10" x14ac:dyDescent="0.3">
      <c r="A1452" t="s">
        <v>155</v>
      </c>
      <c r="B1452" t="s">
        <v>85</v>
      </c>
      <c r="C1452" s="4">
        <v>0.6</v>
      </c>
      <c r="D1452" s="4">
        <v>0.66674999999999995</v>
      </c>
      <c r="E1452" s="18">
        <v>865</v>
      </c>
      <c r="G1452" s="4"/>
      <c r="H1452" s="4">
        <f t="shared" si="30"/>
        <v>0</v>
      </c>
      <c r="I1452" s="2">
        <f t="shared" si="31"/>
        <v>0</v>
      </c>
      <c r="J1452">
        <v>5</v>
      </c>
    </row>
    <row r="1453" spans="1:10" x14ac:dyDescent="0.3">
      <c r="A1453" t="s">
        <v>155</v>
      </c>
      <c r="B1453" t="s">
        <v>44</v>
      </c>
      <c r="C1453" s="4">
        <v>0.54247040000000002</v>
      </c>
      <c r="D1453" s="4">
        <v>0.54247042099999998</v>
      </c>
      <c r="E1453" s="18">
        <v>866</v>
      </c>
      <c r="G1453" s="4"/>
      <c r="H1453" s="4">
        <f t="shared" si="30"/>
        <v>0</v>
      </c>
      <c r="I1453" s="2">
        <f t="shared" si="31"/>
        <v>0</v>
      </c>
      <c r="J1453">
        <v>2.7</v>
      </c>
    </row>
    <row r="1454" spans="1:10" x14ac:dyDescent="0.3">
      <c r="A1454" t="s">
        <v>155</v>
      </c>
      <c r="B1454" t="s">
        <v>126</v>
      </c>
      <c r="C1454" s="4">
        <v>0.490852183</v>
      </c>
      <c r="D1454" s="4">
        <v>0.607288889</v>
      </c>
      <c r="E1454" s="18">
        <v>867</v>
      </c>
      <c r="G1454" s="4"/>
      <c r="H1454" s="4">
        <f t="shared" si="30"/>
        <v>0</v>
      </c>
      <c r="I1454" s="2">
        <f t="shared" si="31"/>
        <v>0</v>
      </c>
      <c r="J1454">
        <v>2.7</v>
      </c>
    </row>
    <row r="1455" spans="1:10" x14ac:dyDescent="0.3">
      <c r="A1455" t="s">
        <v>155</v>
      </c>
      <c r="B1455" t="s">
        <v>122</v>
      </c>
      <c r="C1455" s="4">
        <v>0.85750000000000004</v>
      </c>
      <c r="D1455" s="4">
        <v>0.61247410899999999</v>
      </c>
      <c r="E1455" s="18">
        <v>868</v>
      </c>
      <c r="G1455" s="4"/>
      <c r="H1455" s="4">
        <f t="shared" si="30"/>
        <v>0</v>
      </c>
      <c r="I1455" s="2">
        <f t="shared" si="31"/>
        <v>0</v>
      </c>
      <c r="J1455">
        <v>6</v>
      </c>
    </row>
    <row r="1456" spans="1:10" x14ac:dyDescent="0.3">
      <c r="A1456" t="s">
        <v>155</v>
      </c>
      <c r="B1456" t="s">
        <v>122</v>
      </c>
      <c r="C1456" s="4">
        <v>0.85750000000000004</v>
      </c>
      <c r="D1456" s="4">
        <v>0.61247410899999999</v>
      </c>
      <c r="E1456" s="18">
        <v>869</v>
      </c>
      <c r="G1456" s="4"/>
      <c r="H1456" s="4">
        <f t="shared" si="30"/>
        <v>0</v>
      </c>
      <c r="I1456" s="2">
        <f t="shared" si="31"/>
        <v>0</v>
      </c>
      <c r="J1456">
        <v>5</v>
      </c>
    </row>
    <row r="1457" spans="1:10" x14ac:dyDescent="0.3">
      <c r="A1457" t="s">
        <v>155</v>
      </c>
      <c r="B1457" t="s">
        <v>73</v>
      </c>
      <c r="C1457" s="4">
        <v>0.39</v>
      </c>
      <c r="D1457" s="4">
        <v>0.28861111099999998</v>
      </c>
      <c r="E1457" s="18">
        <v>870</v>
      </c>
      <c r="G1457" s="4"/>
      <c r="H1457" s="4">
        <f t="shared" si="30"/>
        <v>0</v>
      </c>
      <c r="I1457" s="2">
        <f t="shared" si="31"/>
        <v>0</v>
      </c>
      <c r="J1457">
        <v>6</v>
      </c>
    </row>
    <row r="1458" spans="1:10" x14ac:dyDescent="0.3">
      <c r="A1458" t="s">
        <v>155</v>
      </c>
      <c r="B1458" t="s">
        <v>73</v>
      </c>
      <c r="C1458" s="4">
        <v>0.39</v>
      </c>
      <c r="D1458" s="4">
        <v>0.28861111099999998</v>
      </c>
      <c r="E1458" s="18">
        <v>871</v>
      </c>
      <c r="G1458" s="4"/>
      <c r="H1458" s="4">
        <f t="shared" si="30"/>
        <v>0</v>
      </c>
      <c r="I1458" s="2">
        <f t="shared" si="31"/>
        <v>0</v>
      </c>
      <c r="J1458">
        <v>6</v>
      </c>
    </row>
    <row r="1459" spans="1:10" x14ac:dyDescent="0.3">
      <c r="A1459" t="s">
        <v>155</v>
      </c>
      <c r="B1459" t="s">
        <v>73</v>
      </c>
      <c r="C1459" s="4">
        <v>0.39</v>
      </c>
      <c r="D1459" s="4">
        <v>0.28861111099999998</v>
      </c>
      <c r="E1459" s="18">
        <v>872</v>
      </c>
      <c r="G1459" s="4"/>
      <c r="H1459" s="4">
        <f t="shared" si="30"/>
        <v>0</v>
      </c>
      <c r="I1459" s="2">
        <f t="shared" si="31"/>
        <v>0</v>
      </c>
      <c r="J1459">
        <v>5.5</v>
      </c>
    </row>
    <row r="1460" spans="1:10" x14ac:dyDescent="0.3">
      <c r="A1460" t="s">
        <v>155</v>
      </c>
      <c r="B1460" t="s">
        <v>22</v>
      </c>
      <c r="C1460" s="4">
        <v>0.43836446099999998</v>
      </c>
      <c r="D1460" s="4">
        <v>0.58666666700000003</v>
      </c>
      <c r="E1460" s="18">
        <v>873</v>
      </c>
      <c r="G1460" s="4"/>
      <c r="H1460" s="4">
        <f t="shared" si="30"/>
        <v>0</v>
      </c>
      <c r="I1460" s="2">
        <f t="shared" si="31"/>
        <v>0</v>
      </c>
      <c r="J1460">
        <v>5</v>
      </c>
    </row>
    <row r="1461" spans="1:10" x14ac:dyDescent="0.3">
      <c r="A1461" t="s">
        <v>155</v>
      </c>
      <c r="B1461" t="s">
        <v>22</v>
      </c>
      <c r="C1461" s="4">
        <v>0.43836446099999998</v>
      </c>
      <c r="D1461" s="4">
        <v>0.58666666700000003</v>
      </c>
      <c r="E1461" s="18">
        <v>874</v>
      </c>
      <c r="G1461" s="4"/>
      <c r="H1461" s="4">
        <f t="shared" si="30"/>
        <v>0</v>
      </c>
      <c r="I1461" s="2">
        <f t="shared" si="31"/>
        <v>0</v>
      </c>
      <c r="J1461">
        <v>4</v>
      </c>
    </row>
    <row r="1462" spans="1:10" x14ac:dyDescent="0.3">
      <c r="A1462" t="s">
        <v>155</v>
      </c>
      <c r="B1462" t="s">
        <v>22</v>
      </c>
      <c r="C1462" s="4">
        <v>0.43836446099999998</v>
      </c>
      <c r="D1462" s="4">
        <v>0.58666666700000003</v>
      </c>
      <c r="E1462" s="18">
        <v>875</v>
      </c>
      <c r="G1462" s="4"/>
      <c r="H1462" s="4">
        <f t="shared" si="30"/>
        <v>0</v>
      </c>
      <c r="I1462" s="2">
        <f t="shared" si="31"/>
        <v>0</v>
      </c>
      <c r="J1462">
        <v>3.9</v>
      </c>
    </row>
    <row r="1463" spans="1:10" x14ac:dyDescent="0.3">
      <c r="A1463" t="s">
        <v>155</v>
      </c>
      <c r="B1463" t="s">
        <v>22</v>
      </c>
      <c r="C1463" s="4">
        <v>0.43836446099999998</v>
      </c>
      <c r="D1463" s="4">
        <v>0.58666666700000003</v>
      </c>
      <c r="E1463" s="18">
        <v>876</v>
      </c>
      <c r="G1463" s="4"/>
      <c r="H1463" s="4">
        <f t="shared" si="30"/>
        <v>0</v>
      </c>
      <c r="I1463" s="2">
        <f t="shared" si="31"/>
        <v>0</v>
      </c>
      <c r="J1463">
        <v>2.5</v>
      </c>
    </row>
    <row r="1464" spans="1:10" x14ac:dyDescent="0.3">
      <c r="A1464" t="s">
        <v>155</v>
      </c>
      <c r="B1464" t="s">
        <v>49</v>
      </c>
      <c r="C1464" s="4">
        <v>0.57917600000000002</v>
      </c>
      <c r="D1464" s="4">
        <v>0.60285714300000004</v>
      </c>
      <c r="E1464" s="18">
        <v>877</v>
      </c>
      <c r="G1464" s="4"/>
      <c r="H1464" s="4">
        <f t="shared" si="30"/>
        <v>0</v>
      </c>
      <c r="I1464" s="2">
        <f t="shared" si="31"/>
        <v>0</v>
      </c>
      <c r="J1464">
        <v>7</v>
      </c>
    </row>
    <row r="1465" spans="1:10" x14ac:dyDescent="0.3">
      <c r="A1465" t="s">
        <v>155</v>
      </c>
      <c r="B1465" t="s">
        <v>88</v>
      </c>
      <c r="C1465" s="4">
        <v>0.77</v>
      </c>
      <c r="D1465" s="4">
        <v>0.77</v>
      </c>
      <c r="E1465" s="18">
        <v>878</v>
      </c>
      <c r="G1465" s="4"/>
      <c r="H1465" s="4">
        <f t="shared" si="30"/>
        <v>0</v>
      </c>
      <c r="I1465" s="2">
        <f t="shared" si="31"/>
        <v>0</v>
      </c>
      <c r="J1465">
        <v>2</v>
      </c>
    </row>
    <row r="1466" spans="1:10" x14ac:dyDescent="0.3">
      <c r="A1466" t="s">
        <v>156</v>
      </c>
      <c r="B1466" t="s">
        <v>60</v>
      </c>
      <c r="C1466" s="4">
        <v>0.41</v>
      </c>
      <c r="D1466" s="4">
        <v>0.33983503399999998</v>
      </c>
      <c r="E1466" s="18">
        <v>879</v>
      </c>
      <c r="G1466" s="4"/>
      <c r="H1466" s="4">
        <f t="shared" si="30"/>
        <v>0</v>
      </c>
      <c r="I1466" s="2">
        <f t="shared" si="31"/>
        <v>0</v>
      </c>
      <c r="J1466">
        <v>6</v>
      </c>
    </row>
    <row r="1467" spans="1:10" x14ac:dyDescent="0.3">
      <c r="A1467" t="s">
        <v>156</v>
      </c>
      <c r="B1467" t="s">
        <v>37</v>
      </c>
      <c r="C1467" s="4">
        <v>0.39790071399999999</v>
      </c>
      <c r="D1467" s="4">
        <v>0.50565277799999997</v>
      </c>
      <c r="E1467" s="18">
        <v>880</v>
      </c>
      <c r="G1467" s="4"/>
      <c r="H1467" s="4">
        <f t="shared" si="30"/>
        <v>0</v>
      </c>
      <c r="I1467" s="2">
        <f t="shared" si="31"/>
        <v>0</v>
      </c>
      <c r="J1467">
        <v>4.5</v>
      </c>
    </row>
    <row r="1468" spans="1:10" x14ac:dyDescent="0.3">
      <c r="A1468" t="s">
        <v>156</v>
      </c>
      <c r="B1468" t="s">
        <v>37</v>
      </c>
      <c r="C1468" s="4">
        <v>0.39790071399999999</v>
      </c>
      <c r="D1468" s="4">
        <v>0.50565277799999997</v>
      </c>
      <c r="E1468" s="18">
        <v>881</v>
      </c>
      <c r="G1468" s="4"/>
      <c r="H1468" s="4">
        <f t="shared" si="30"/>
        <v>0</v>
      </c>
      <c r="I1468" s="2">
        <f t="shared" si="31"/>
        <v>0</v>
      </c>
      <c r="J1468">
        <v>2.5</v>
      </c>
    </row>
    <row r="1469" spans="1:10" x14ac:dyDescent="0.3">
      <c r="A1469" t="s">
        <v>156</v>
      </c>
      <c r="B1469" t="s">
        <v>15</v>
      </c>
      <c r="C1469" s="4">
        <v>0.47982689899999997</v>
      </c>
      <c r="D1469" s="4">
        <v>0.51</v>
      </c>
      <c r="E1469" s="18">
        <v>882</v>
      </c>
      <c r="G1469" s="4"/>
      <c r="H1469" s="4">
        <f t="shared" si="30"/>
        <v>0</v>
      </c>
      <c r="I1469" s="2">
        <f t="shared" si="31"/>
        <v>0</v>
      </c>
      <c r="J1469">
        <v>1.8</v>
      </c>
    </row>
    <row r="1470" spans="1:10" x14ac:dyDescent="0.3">
      <c r="A1470" t="s">
        <v>156</v>
      </c>
      <c r="B1470" t="s">
        <v>16</v>
      </c>
      <c r="C1470" s="4">
        <v>0.89361000000000002</v>
      </c>
      <c r="D1470" s="4">
        <v>0.61247410899999999</v>
      </c>
      <c r="E1470" s="18">
        <v>883</v>
      </c>
      <c r="G1470" s="4"/>
      <c r="H1470" s="4">
        <f t="shared" si="30"/>
        <v>0</v>
      </c>
      <c r="I1470" s="2">
        <f t="shared" si="31"/>
        <v>0</v>
      </c>
      <c r="J1470">
        <v>2.2000000000000002</v>
      </c>
    </row>
    <row r="1471" spans="1:10" x14ac:dyDescent="0.3">
      <c r="A1471" t="s">
        <v>156</v>
      </c>
      <c r="B1471" t="s">
        <v>18</v>
      </c>
      <c r="C1471" s="4">
        <v>0.45255480399999998</v>
      </c>
      <c r="D1471" s="4">
        <v>0.57808694400000005</v>
      </c>
      <c r="E1471" s="18">
        <v>884</v>
      </c>
      <c r="G1471" s="4"/>
      <c r="H1471" s="4">
        <f t="shared" si="30"/>
        <v>0</v>
      </c>
      <c r="I1471" s="2">
        <f t="shared" si="31"/>
        <v>0</v>
      </c>
      <c r="J1471">
        <v>1.9</v>
      </c>
    </row>
    <row r="1472" spans="1:10" x14ac:dyDescent="0.3">
      <c r="A1472" t="s">
        <v>156</v>
      </c>
      <c r="B1472" t="s">
        <v>66</v>
      </c>
      <c r="C1472" s="4">
        <v>0.62643652800000005</v>
      </c>
      <c r="D1472" s="4">
        <v>0.57808694400000005</v>
      </c>
      <c r="E1472" s="18">
        <v>885</v>
      </c>
      <c r="G1472" s="4"/>
      <c r="H1472" s="4">
        <f t="shared" si="30"/>
        <v>0</v>
      </c>
      <c r="I1472" s="2">
        <f t="shared" si="31"/>
        <v>0</v>
      </c>
      <c r="J1472">
        <v>5.3</v>
      </c>
    </row>
    <row r="1473" spans="1:10" x14ac:dyDescent="0.3">
      <c r="A1473" t="s">
        <v>156</v>
      </c>
      <c r="B1473" t="s">
        <v>66</v>
      </c>
      <c r="C1473" s="4">
        <v>0.62643652800000005</v>
      </c>
      <c r="D1473" s="4">
        <v>0.57808694400000005</v>
      </c>
      <c r="E1473" s="18">
        <v>886</v>
      </c>
      <c r="G1473" s="4"/>
      <c r="H1473" s="4">
        <f t="shared" si="30"/>
        <v>0</v>
      </c>
      <c r="I1473" s="2">
        <f t="shared" si="31"/>
        <v>0</v>
      </c>
      <c r="J1473">
        <v>4.9000000000000004</v>
      </c>
    </row>
    <row r="1474" spans="1:10" x14ac:dyDescent="0.3">
      <c r="A1474" t="s">
        <v>156</v>
      </c>
      <c r="B1474" t="s">
        <v>66</v>
      </c>
      <c r="C1474" s="4">
        <v>0.62643652800000005</v>
      </c>
      <c r="D1474" s="4">
        <v>0.57808694400000005</v>
      </c>
      <c r="E1474" s="18">
        <v>887</v>
      </c>
      <c r="G1474" s="4"/>
      <c r="H1474" s="4">
        <f t="shared" si="30"/>
        <v>0</v>
      </c>
      <c r="I1474" s="2">
        <f t="shared" si="31"/>
        <v>0</v>
      </c>
      <c r="J1474">
        <v>4.7</v>
      </c>
    </row>
    <row r="1475" spans="1:10" x14ac:dyDescent="0.3">
      <c r="A1475" t="s">
        <v>156</v>
      </c>
      <c r="B1475" t="s">
        <v>66</v>
      </c>
      <c r="C1475" s="4">
        <v>0.62643652800000005</v>
      </c>
      <c r="D1475" s="4">
        <v>0.57808694400000005</v>
      </c>
      <c r="E1475" s="18">
        <v>888</v>
      </c>
      <c r="G1475" s="4"/>
      <c r="H1475" s="4">
        <f t="shared" si="30"/>
        <v>0</v>
      </c>
      <c r="I1475" s="2">
        <f t="shared" si="31"/>
        <v>0</v>
      </c>
      <c r="J1475">
        <v>3.9</v>
      </c>
    </row>
    <row r="1476" spans="1:10" x14ac:dyDescent="0.3">
      <c r="A1476" t="s">
        <v>156</v>
      </c>
      <c r="B1476" t="s">
        <v>151</v>
      </c>
      <c r="C1476" s="4">
        <v>0.13069240100000001</v>
      </c>
      <c r="D1476" s="4">
        <v>0.26500000000000001</v>
      </c>
      <c r="E1476" s="18">
        <v>889</v>
      </c>
      <c r="G1476" s="4"/>
      <c r="H1476" s="4">
        <f t="shared" si="30"/>
        <v>0</v>
      </c>
      <c r="I1476" s="2">
        <f t="shared" si="31"/>
        <v>0</v>
      </c>
      <c r="J1476">
        <v>3.5</v>
      </c>
    </row>
    <row r="1477" spans="1:10" x14ac:dyDescent="0.3">
      <c r="A1477" t="s">
        <v>156</v>
      </c>
      <c r="B1477" t="s">
        <v>157</v>
      </c>
      <c r="C1477" s="4">
        <v>0.63</v>
      </c>
      <c r="D1477" s="4">
        <v>0.629222222</v>
      </c>
      <c r="E1477" s="18">
        <v>890</v>
      </c>
      <c r="G1477" s="4"/>
      <c r="H1477" s="4">
        <f t="shared" si="30"/>
        <v>0</v>
      </c>
      <c r="I1477" s="2">
        <f t="shared" si="31"/>
        <v>0</v>
      </c>
      <c r="J1477">
        <v>2.8</v>
      </c>
    </row>
    <row r="1478" spans="1:10" x14ac:dyDescent="0.3">
      <c r="A1478" t="s">
        <v>156</v>
      </c>
      <c r="B1478" t="s">
        <v>122</v>
      </c>
      <c r="C1478" s="4">
        <v>0.85750000000000004</v>
      </c>
      <c r="D1478" s="4">
        <v>0.61247410899999999</v>
      </c>
      <c r="E1478" s="18">
        <v>891</v>
      </c>
      <c r="G1478" s="4"/>
      <c r="H1478" s="4">
        <f t="shared" si="30"/>
        <v>0</v>
      </c>
      <c r="I1478" s="2">
        <f t="shared" si="31"/>
        <v>0</v>
      </c>
      <c r="J1478">
        <v>7</v>
      </c>
    </row>
    <row r="1479" spans="1:10" x14ac:dyDescent="0.3">
      <c r="A1479" t="s">
        <v>156</v>
      </c>
      <c r="B1479" t="s">
        <v>122</v>
      </c>
      <c r="C1479" s="4">
        <v>0.85750000000000004</v>
      </c>
      <c r="D1479" s="4">
        <v>0.61247410899999999</v>
      </c>
      <c r="E1479" s="18">
        <v>892</v>
      </c>
      <c r="G1479" s="4"/>
      <c r="H1479" s="4">
        <f t="shared" si="30"/>
        <v>0</v>
      </c>
      <c r="I1479" s="2">
        <f t="shared" si="31"/>
        <v>0</v>
      </c>
      <c r="J1479">
        <v>5.7</v>
      </c>
    </row>
    <row r="1480" spans="1:10" x14ac:dyDescent="0.3">
      <c r="A1480" t="s">
        <v>156</v>
      </c>
      <c r="B1480" t="s">
        <v>73</v>
      </c>
      <c r="C1480" s="4">
        <v>0.39</v>
      </c>
      <c r="D1480" s="4">
        <v>0.28861111099999998</v>
      </c>
      <c r="E1480" s="18">
        <v>893</v>
      </c>
      <c r="G1480" s="4"/>
      <c r="H1480" s="4">
        <f t="shared" si="30"/>
        <v>0</v>
      </c>
      <c r="I1480" s="2">
        <f t="shared" si="31"/>
        <v>0</v>
      </c>
      <c r="J1480">
        <v>5</v>
      </c>
    </row>
    <row r="1481" spans="1:10" x14ac:dyDescent="0.3">
      <c r="A1481" t="s">
        <v>156</v>
      </c>
      <c r="B1481" t="s">
        <v>22</v>
      </c>
      <c r="C1481" s="4">
        <v>0.43836446099999998</v>
      </c>
      <c r="D1481" s="4">
        <v>0.58666666700000003</v>
      </c>
      <c r="E1481" s="18">
        <v>894</v>
      </c>
      <c r="G1481" s="4"/>
      <c r="H1481" s="4">
        <f t="shared" si="30"/>
        <v>0</v>
      </c>
      <c r="I1481" s="2">
        <f t="shared" si="31"/>
        <v>0</v>
      </c>
      <c r="J1481">
        <v>4</v>
      </c>
    </row>
    <row r="1482" spans="1:10" x14ac:dyDescent="0.3">
      <c r="A1482" t="s">
        <v>156</v>
      </c>
      <c r="B1482" t="s">
        <v>94</v>
      </c>
      <c r="C1482" s="4">
        <v>0.28577490700000002</v>
      </c>
      <c r="D1482" s="4">
        <v>0.3422</v>
      </c>
      <c r="E1482" s="18">
        <v>895</v>
      </c>
      <c r="G1482" s="4"/>
      <c r="H1482" s="4">
        <f t="shared" si="30"/>
        <v>0</v>
      </c>
      <c r="I1482" s="2">
        <f t="shared" si="31"/>
        <v>0</v>
      </c>
      <c r="J1482">
        <v>6.5</v>
      </c>
    </row>
    <row r="1483" spans="1:10" x14ac:dyDescent="0.3">
      <c r="A1483" t="s">
        <v>156</v>
      </c>
      <c r="B1483" t="s">
        <v>94</v>
      </c>
      <c r="C1483" s="4">
        <v>0.28577490700000002</v>
      </c>
      <c r="D1483" s="4">
        <v>0.3422</v>
      </c>
      <c r="E1483" s="18">
        <v>896</v>
      </c>
      <c r="G1483" s="4"/>
      <c r="H1483" s="4">
        <f t="shared" si="30"/>
        <v>0</v>
      </c>
      <c r="I1483" s="2">
        <f t="shared" si="31"/>
        <v>0</v>
      </c>
      <c r="J1483">
        <v>5</v>
      </c>
    </row>
    <row r="1484" spans="1:10" x14ac:dyDescent="0.3">
      <c r="A1484" t="s">
        <v>156</v>
      </c>
      <c r="B1484" t="s">
        <v>94</v>
      </c>
      <c r="C1484" s="4">
        <v>0.28577490700000002</v>
      </c>
      <c r="D1484" s="4">
        <v>0.3422</v>
      </c>
      <c r="E1484" s="18">
        <v>897</v>
      </c>
      <c r="G1484" s="4"/>
      <c r="H1484" s="4">
        <f t="shared" si="30"/>
        <v>0</v>
      </c>
      <c r="I1484" s="2">
        <f t="shared" si="31"/>
        <v>0</v>
      </c>
      <c r="J1484">
        <v>4.5</v>
      </c>
    </row>
    <row r="1485" spans="1:10" x14ac:dyDescent="0.3">
      <c r="A1485" t="s">
        <v>158</v>
      </c>
      <c r="B1485" t="s">
        <v>60</v>
      </c>
      <c r="C1485" s="4">
        <v>0.41</v>
      </c>
      <c r="D1485" s="4">
        <v>0.33983503399999998</v>
      </c>
      <c r="E1485" s="18">
        <v>898</v>
      </c>
      <c r="G1485" s="4"/>
      <c r="H1485" s="4">
        <f t="shared" ref="H1485:H1548" si="32">G1485/PI()</f>
        <v>0</v>
      </c>
      <c r="I1485" s="2">
        <f t="shared" si="31"/>
        <v>0</v>
      </c>
      <c r="J1485">
        <v>8</v>
      </c>
    </row>
    <row r="1486" spans="1:10" x14ac:dyDescent="0.3">
      <c r="A1486" t="s">
        <v>158</v>
      </c>
      <c r="B1486" t="s">
        <v>60</v>
      </c>
      <c r="C1486" s="4">
        <v>0.41</v>
      </c>
      <c r="D1486" s="4">
        <v>0.33983503399999998</v>
      </c>
      <c r="E1486" s="18">
        <v>899</v>
      </c>
      <c r="G1486" s="4"/>
      <c r="H1486" s="4">
        <f t="shared" si="32"/>
        <v>0</v>
      </c>
      <c r="I1486" s="2">
        <f t="shared" si="31"/>
        <v>0</v>
      </c>
      <c r="J1486">
        <v>7</v>
      </c>
    </row>
    <row r="1487" spans="1:10" x14ac:dyDescent="0.3">
      <c r="A1487" t="s">
        <v>158</v>
      </c>
      <c r="B1487" t="s">
        <v>60</v>
      </c>
      <c r="C1487" s="4">
        <v>0.41</v>
      </c>
      <c r="D1487" s="4">
        <v>0.33983503399999998</v>
      </c>
      <c r="E1487" s="18">
        <v>900</v>
      </c>
      <c r="G1487" s="4"/>
      <c r="H1487" s="4">
        <f t="shared" si="32"/>
        <v>0</v>
      </c>
      <c r="I1487" s="2">
        <f t="shared" si="31"/>
        <v>0</v>
      </c>
      <c r="J1487">
        <v>7</v>
      </c>
    </row>
    <row r="1488" spans="1:10" x14ac:dyDescent="0.3">
      <c r="A1488" t="s">
        <v>158</v>
      </c>
      <c r="B1488" t="s">
        <v>126</v>
      </c>
      <c r="C1488" s="4">
        <v>0.490852183</v>
      </c>
      <c r="D1488" s="4">
        <v>0.607288889</v>
      </c>
      <c r="E1488" s="18">
        <v>901</v>
      </c>
      <c r="G1488" s="4"/>
      <c r="H1488" s="4">
        <f t="shared" si="32"/>
        <v>0</v>
      </c>
      <c r="I1488" s="2">
        <f t="shared" si="31"/>
        <v>0</v>
      </c>
      <c r="J1488">
        <v>5.5</v>
      </c>
    </row>
    <row r="1489" spans="1:10" x14ac:dyDescent="0.3">
      <c r="A1489" t="s">
        <v>158</v>
      </c>
      <c r="B1489" t="s">
        <v>66</v>
      </c>
      <c r="C1489" s="4">
        <v>0.62643652800000005</v>
      </c>
      <c r="D1489" s="4">
        <v>0.57808694400000005</v>
      </c>
      <c r="E1489" s="18">
        <v>902</v>
      </c>
      <c r="G1489" s="4"/>
      <c r="H1489" s="4">
        <f t="shared" si="32"/>
        <v>0</v>
      </c>
      <c r="I1489" s="2">
        <f t="shared" si="31"/>
        <v>0</v>
      </c>
      <c r="J1489">
        <v>6</v>
      </c>
    </row>
    <row r="1490" spans="1:10" x14ac:dyDescent="0.3">
      <c r="A1490" t="s">
        <v>158</v>
      </c>
      <c r="B1490" t="s">
        <v>66</v>
      </c>
      <c r="C1490" s="4">
        <v>0.62643652800000005</v>
      </c>
      <c r="D1490" s="4">
        <v>0.57808694400000005</v>
      </c>
      <c r="E1490" s="18">
        <v>903</v>
      </c>
      <c r="G1490" s="4"/>
      <c r="H1490" s="4">
        <f t="shared" si="32"/>
        <v>0</v>
      </c>
      <c r="I1490" s="2">
        <f t="shared" si="31"/>
        <v>0</v>
      </c>
      <c r="J1490">
        <v>5</v>
      </c>
    </row>
    <row r="1491" spans="1:10" x14ac:dyDescent="0.3">
      <c r="A1491" t="s">
        <v>158</v>
      </c>
      <c r="B1491" t="s">
        <v>66</v>
      </c>
      <c r="C1491" s="4">
        <v>0.62643652800000005</v>
      </c>
      <c r="D1491" s="4">
        <v>0.57808694400000005</v>
      </c>
      <c r="E1491" s="18">
        <v>904</v>
      </c>
      <c r="G1491" s="4"/>
      <c r="H1491" s="4">
        <f t="shared" si="32"/>
        <v>0</v>
      </c>
      <c r="I1491" s="2">
        <f t="shared" si="31"/>
        <v>0</v>
      </c>
      <c r="J1491">
        <v>4.5</v>
      </c>
    </row>
    <row r="1492" spans="1:10" x14ac:dyDescent="0.3">
      <c r="A1492" t="s">
        <v>158</v>
      </c>
      <c r="B1492" t="s">
        <v>122</v>
      </c>
      <c r="C1492" s="4">
        <v>0.85750000000000004</v>
      </c>
      <c r="D1492" s="4">
        <v>0.61247410899999999</v>
      </c>
      <c r="E1492" s="18">
        <v>905</v>
      </c>
      <c r="G1492" s="4"/>
      <c r="H1492" s="4">
        <f t="shared" si="32"/>
        <v>0</v>
      </c>
      <c r="I1492" s="2">
        <f t="shared" si="31"/>
        <v>0</v>
      </c>
      <c r="J1492">
        <v>6.5</v>
      </c>
    </row>
    <row r="1493" spans="1:10" x14ac:dyDescent="0.3">
      <c r="A1493" t="s">
        <v>158</v>
      </c>
      <c r="B1493" t="s">
        <v>122</v>
      </c>
      <c r="C1493" s="4">
        <v>0.85750000000000004</v>
      </c>
      <c r="D1493" s="4">
        <v>0.61247410899999999</v>
      </c>
      <c r="E1493" s="18">
        <v>906</v>
      </c>
      <c r="G1493" s="4"/>
      <c r="H1493" s="4">
        <f t="shared" si="32"/>
        <v>0</v>
      </c>
      <c r="I1493" s="2">
        <f t="shared" si="31"/>
        <v>0</v>
      </c>
      <c r="J1493">
        <v>6.5</v>
      </c>
    </row>
    <row r="1494" spans="1:10" x14ac:dyDescent="0.3">
      <c r="A1494" t="s">
        <v>158</v>
      </c>
      <c r="B1494" t="s">
        <v>122</v>
      </c>
      <c r="C1494" s="4">
        <v>0.85750000000000004</v>
      </c>
      <c r="D1494" s="4">
        <v>0.61247410899999999</v>
      </c>
      <c r="E1494" s="18">
        <v>907</v>
      </c>
      <c r="G1494" s="4"/>
      <c r="H1494" s="4">
        <f t="shared" si="32"/>
        <v>0</v>
      </c>
      <c r="I1494" s="2">
        <f t="shared" si="31"/>
        <v>0</v>
      </c>
      <c r="J1494">
        <v>5.7</v>
      </c>
    </row>
    <row r="1495" spans="1:10" x14ac:dyDescent="0.3">
      <c r="A1495" t="s">
        <v>158</v>
      </c>
      <c r="B1495" t="s">
        <v>122</v>
      </c>
      <c r="C1495" s="4">
        <v>0.85750000000000004</v>
      </c>
      <c r="D1495" s="4">
        <v>0.61247410899999999</v>
      </c>
      <c r="E1495" s="18">
        <v>908</v>
      </c>
      <c r="G1495" s="4"/>
      <c r="H1495" s="4">
        <f t="shared" si="32"/>
        <v>0</v>
      </c>
      <c r="I1495" s="2">
        <f t="shared" ref="I1495:I1558" si="33">PI()*(H1495/2)^2</f>
        <v>0</v>
      </c>
      <c r="J1495">
        <v>5.6</v>
      </c>
    </row>
    <row r="1496" spans="1:10" x14ac:dyDescent="0.3">
      <c r="A1496" t="s">
        <v>158</v>
      </c>
      <c r="B1496" t="s">
        <v>122</v>
      </c>
      <c r="C1496" s="4">
        <v>0.85750000000000004</v>
      </c>
      <c r="D1496" s="4">
        <v>0.61247410899999999</v>
      </c>
      <c r="E1496" s="18">
        <v>909</v>
      </c>
      <c r="G1496" s="4"/>
      <c r="H1496" s="4">
        <f t="shared" si="32"/>
        <v>0</v>
      </c>
      <c r="I1496" s="2">
        <f t="shared" si="33"/>
        <v>0</v>
      </c>
      <c r="J1496">
        <v>5.5</v>
      </c>
    </row>
    <row r="1497" spans="1:10" x14ac:dyDescent="0.3">
      <c r="A1497" t="s">
        <v>158</v>
      </c>
      <c r="B1497" t="s">
        <v>122</v>
      </c>
      <c r="C1497" s="4">
        <v>0.85750000000000004</v>
      </c>
      <c r="D1497" s="4">
        <v>0.61247410899999999</v>
      </c>
      <c r="E1497" s="18">
        <v>910</v>
      </c>
      <c r="G1497" s="4"/>
      <c r="H1497" s="4">
        <f t="shared" si="32"/>
        <v>0</v>
      </c>
      <c r="I1497" s="2">
        <f t="shared" si="33"/>
        <v>0</v>
      </c>
      <c r="J1497">
        <v>5.5</v>
      </c>
    </row>
    <row r="1498" spans="1:10" x14ac:dyDescent="0.3">
      <c r="A1498" t="s">
        <v>158</v>
      </c>
      <c r="B1498" t="s">
        <v>122</v>
      </c>
      <c r="C1498" s="4">
        <v>0.85750000000000004</v>
      </c>
      <c r="D1498" s="4">
        <v>0.61247410899999999</v>
      </c>
      <c r="E1498" s="18">
        <v>911</v>
      </c>
      <c r="G1498" s="4"/>
      <c r="H1498" s="4">
        <f t="shared" si="32"/>
        <v>0</v>
      </c>
      <c r="I1498" s="2">
        <f t="shared" si="33"/>
        <v>0</v>
      </c>
      <c r="J1498">
        <v>4.5</v>
      </c>
    </row>
    <row r="1499" spans="1:10" x14ac:dyDescent="0.3">
      <c r="A1499" t="s">
        <v>158</v>
      </c>
      <c r="B1499" t="s">
        <v>122</v>
      </c>
      <c r="C1499" s="4">
        <v>0.85750000000000004</v>
      </c>
      <c r="D1499" s="4">
        <v>0.61247410899999999</v>
      </c>
      <c r="E1499" s="18">
        <v>912</v>
      </c>
      <c r="G1499" s="4"/>
      <c r="H1499" s="4">
        <f t="shared" si="32"/>
        <v>0</v>
      </c>
      <c r="I1499" s="2">
        <f t="shared" si="33"/>
        <v>0</v>
      </c>
      <c r="J1499">
        <v>3</v>
      </c>
    </row>
    <row r="1500" spans="1:10" x14ac:dyDescent="0.3">
      <c r="A1500" t="s">
        <v>158</v>
      </c>
      <c r="B1500" t="s">
        <v>73</v>
      </c>
      <c r="C1500" s="4">
        <v>0.39</v>
      </c>
      <c r="D1500" s="4">
        <v>0.28861111099999998</v>
      </c>
      <c r="E1500" s="18">
        <v>913</v>
      </c>
      <c r="G1500" s="4"/>
      <c r="H1500" s="4">
        <f t="shared" si="32"/>
        <v>0</v>
      </c>
      <c r="I1500" s="2">
        <f t="shared" si="33"/>
        <v>0</v>
      </c>
      <c r="J1500">
        <v>6.5</v>
      </c>
    </row>
    <row r="1501" spans="1:10" x14ac:dyDescent="0.3">
      <c r="A1501" t="s">
        <v>158</v>
      </c>
      <c r="B1501" t="s">
        <v>46</v>
      </c>
      <c r="C1501" s="4">
        <v>1.1200000000000001</v>
      </c>
      <c r="D1501" s="4">
        <v>0.85527777800000004</v>
      </c>
      <c r="E1501" s="18">
        <v>914</v>
      </c>
      <c r="G1501" s="4"/>
      <c r="H1501" s="4">
        <f t="shared" si="32"/>
        <v>0</v>
      </c>
      <c r="I1501" s="2">
        <f t="shared" si="33"/>
        <v>0</v>
      </c>
      <c r="J1501">
        <v>1.8</v>
      </c>
    </row>
    <row r="1502" spans="1:10" x14ac:dyDescent="0.3">
      <c r="A1502" t="s">
        <v>158</v>
      </c>
      <c r="B1502" t="s">
        <v>22</v>
      </c>
      <c r="C1502" s="4">
        <v>0.43836446099999998</v>
      </c>
      <c r="D1502" s="4">
        <v>0.58666666700000003</v>
      </c>
      <c r="E1502" s="18">
        <v>915</v>
      </c>
      <c r="G1502" s="4"/>
      <c r="H1502" s="4">
        <f t="shared" si="32"/>
        <v>0</v>
      </c>
      <c r="I1502" s="2">
        <f t="shared" si="33"/>
        <v>0</v>
      </c>
      <c r="J1502">
        <v>4</v>
      </c>
    </row>
    <row r="1503" spans="1:10" x14ac:dyDescent="0.3">
      <c r="A1503" t="s">
        <v>158</v>
      </c>
      <c r="B1503" t="s">
        <v>22</v>
      </c>
      <c r="C1503" s="4">
        <v>0.43836446099999998</v>
      </c>
      <c r="D1503" s="4">
        <v>0.58666666700000003</v>
      </c>
      <c r="E1503" s="18">
        <v>916</v>
      </c>
      <c r="G1503" s="4"/>
      <c r="H1503" s="4">
        <f t="shared" si="32"/>
        <v>0</v>
      </c>
      <c r="I1503" s="2">
        <f t="shared" si="33"/>
        <v>0</v>
      </c>
      <c r="J1503">
        <v>3.8</v>
      </c>
    </row>
    <row r="1504" spans="1:10" x14ac:dyDescent="0.3">
      <c r="A1504" t="s">
        <v>158</v>
      </c>
      <c r="B1504" t="s">
        <v>22</v>
      </c>
      <c r="C1504" s="4">
        <v>0.43836446099999998</v>
      </c>
      <c r="D1504" s="4">
        <v>0.58666666700000003</v>
      </c>
      <c r="E1504" s="18">
        <v>917</v>
      </c>
      <c r="G1504" s="4"/>
      <c r="H1504" s="4">
        <f t="shared" si="32"/>
        <v>0</v>
      </c>
      <c r="I1504" s="2">
        <f t="shared" si="33"/>
        <v>0</v>
      </c>
      <c r="J1504">
        <v>3</v>
      </c>
    </row>
    <row r="1505" spans="1:10" x14ac:dyDescent="0.3">
      <c r="A1505" t="s">
        <v>158</v>
      </c>
      <c r="B1505" t="s">
        <v>22</v>
      </c>
      <c r="C1505" s="4">
        <v>0.43836446099999998</v>
      </c>
      <c r="D1505" s="4">
        <v>0.58666666700000003</v>
      </c>
      <c r="E1505" s="18">
        <v>918</v>
      </c>
      <c r="G1505" s="4"/>
      <c r="H1505" s="4">
        <f t="shared" si="32"/>
        <v>0</v>
      </c>
      <c r="I1505" s="2">
        <f t="shared" si="33"/>
        <v>0</v>
      </c>
      <c r="J1505">
        <v>2.1</v>
      </c>
    </row>
    <row r="1506" spans="1:10" x14ac:dyDescent="0.3">
      <c r="A1506" t="s">
        <v>159</v>
      </c>
      <c r="B1506" t="s">
        <v>60</v>
      </c>
      <c r="C1506" s="4">
        <v>0.41</v>
      </c>
      <c r="D1506" s="4">
        <v>0.33983503399999998</v>
      </c>
      <c r="E1506" s="18">
        <v>919</v>
      </c>
      <c r="G1506" s="4"/>
      <c r="H1506" s="4">
        <f t="shared" si="32"/>
        <v>0</v>
      </c>
      <c r="I1506" s="2">
        <f t="shared" si="33"/>
        <v>0</v>
      </c>
      <c r="J1506">
        <v>7.5</v>
      </c>
    </row>
    <row r="1507" spans="1:10" x14ac:dyDescent="0.3">
      <c r="A1507" t="s">
        <v>159</v>
      </c>
      <c r="B1507" t="s">
        <v>85</v>
      </c>
      <c r="C1507" s="4">
        <v>0.6</v>
      </c>
      <c r="D1507" s="4">
        <v>0.66674999999999995</v>
      </c>
      <c r="E1507" s="18">
        <v>920</v>
      </c>
      <c r="G1507" s="4"/>
      <c r="H1507" s="4">
        <f t="shared" si="32"/>
        <v>0</v>
      </c>
      <c r="I1507" s="2">
        <f t="shared" si="33"/>
        <v>0</v>
      </c>
      <c r="J1507">
        <v>5.5</v>
      </c>
    </row>
    <row r="1508" spans="1:10" x14ac:dyDescent="0.3">
      <c r="A1508" t="s">
        <v>159</v>
      </c>
      <c r="B1508" t="s">
        <v>122</v>
      </c>
      <c r="C1508" s="4">
        <v>0.85750000000000004</v>
      </c>
      <c r="D1508" s="4">
        <v>0.61247410899999999</v>
      </c>
      <c r="E1508" s="18">
        <v>921</v>
      </c>
      <c r="G1508" s="4"/>
      <c r="H1508" s="4">
        <f t="shared" si="32"/>
        <v>0</v>
      </c>
      <c r="I1508" s="2">
        <f t="shared" si="33"/>
        <v>0</v>
      </c>
      <c r="J1508">
        <v>6</v>
      </c>
    </row>
    <row r="1509" spans="1:10" x14ac:dyDescent="0.3">
      <c r="A1509" t="s">
        <v>159</v>
      </c>
      <c r="B1509" t="s">
        <v>122</v>
      </c>
      <c r="C1509" s="4">
        <v>0.85750000000000004</v>
      </c>
      <c r="D1509" s="4">
        <v>0.61247410899999999</v>
      </c>
      <c r="E1509" s="18">
        <v>922</v>
      </c>
      <c r="G1509" s="4"/>
      <c r="H1509" s="4">
        <f t="shared" si="32"/>
        <v>0</v>
      </c>
      <c r="I1509" s="2">
        <f t="shared" si="33"/>
        <v>0</v>
      </c>
      <c r="J1509">
        <v>6</v>
      </c>
    </row>
    <row r="1510" spans="1:10" x14ac:dyDescent="0.3">
      <c r="A1510" t="s">
        <v>159</v>
      </c>
      <c r="B1510" t="s">
        <v>122</v>
      </c>
      <c r="C1510" s="4">
        <v>0.85750000000000004</v>
      </c>
      <c r="D1510" s="4">
        <v>0.61247410899999999</v>
      </c>
      <c r="E1510" s="18">
        <v>923</v>
      </c>
      <c r="G1510" s="4"/>
      <c r="H1510" s="4">
        <f t="shared" si="32"/>
        <v>0</v>
      </c>
      <c r="I1510" s="2">
        <f t="shared" si="33"/>
        <v>0</v>
      </c>
      <c r="J1510">
        <v>6</v>
      </c>
    </row>
    <row r="1511" spans="1:10" x14ac:dyDescent="0.3">
      <c r="A1511" t="s">
        <v>159</v>
      </c>
      <c r="B1511" t="s">
        <v>122</v>
      </c>
      <c r="C1511" s="4">
        <v>0.85750000000000004</v>
      </c>
      <c r="D1511" s="4">
        <v>0.61247410899999999</v>
      </c>
      <c r="E1511" s="18">
        <v>924</v>
      </c>
      <c r="G1511" s="4"/>
      <c r="H1511" s="4">
        <f t="shared" si="32"/>
        <v>0</v>
      </c>
      <c r="I1511" s="2">
        <f t="shared" si="33"/>
        <v>0</v>
      </c>
      <c r="J1511">
        <v>5.5</v>
      </c>
    </row>
    <row r="1512" spans="1:10" x14ac:dyDescent="0.3">
      <c r="A1512" t="s">
        <v>159</v>
      </c>
      <c r="B1512" t="s">
        <v>122</v>
      </c>
      <c r="C1512" s="4">
        <v>0.85750000000000004</v>
      </c>
      <c r="D1512" s="4">
        <v>0.61247410899999999</v>
      </c>
      <c r="E1512" s="18">
        <v>925</v>
      </c>
      <c r="G1512" s="4"/>
      <c r="H1512" s="4">
        <f t="shared" si="32"/>
        <v>0</v>
      </c>
      <c r="I1512" s="2">
        <f t="shared" si="33"/>
        <v>0</v>
      </c>
      <c r="J1512">
        <v>4.5</v>
      </c>
    </row>
    <row r="1513" spans="1:10" x14ac:dyDescent="0.3">
      <c r="A1513" t="s">
        <v>159</v>
      </c>
      <c r="B1513" t="s">
        <v>118</v>
      </c>
      <c r="C1513" s="4">
        <v>0.56023871300000005</v>
      </c>
      <c r="D1513" s="4">
        <v>0.74103703700000001</v>
      </c>
      <c r="E1513" s="18">
        <v>926</v>
      </c>
      <c r="G1513" s="4"/>
      <c r="H1513" s="4">
        <f t="shared" si="32"/>
        <v>0</v>
      </c>
      <c r="I1513" s="2">
        <f t="shared" si="33"/>
        <v>0</v>
      </c>
      <c r="J1513">
        <v>6</v>
      </c>
    </row>
    <row r="1514" spans="1:10" x14ac:dyDescent="0.3">
      <c r="A1514" t="s">
        <v>159</v>
      </c>
      <c r="B1514" t="s">
        <v>46</v>
      </c>
      <c r="C1514" s="4">
        <v>1.1200000000000001</v>
      </c>
      <c r="D1514" s="4">
        <v>0.85527777800000004</v>
      </c>
      <c r="E1514" s="18">
        <v>927</v>
      </c>
      <c r="G1514" s="4"/>
      <c r="H1514" s="4">
        <f t="shared" si="32"/>
        <v>0</v>
      </c>
      <c r="I1514" s="2">
        <f t="shared" si="33"/>
        <v>0</v>
      </c>
      <c r="J1514">
        <v>5</v>
      </c>
    </row>
    <row r="1515" spans="1:10" x14ac:dyDescent="0.3">
      <c r="A1515" t="s">
        <v>159</v>
      </c>
      <c r="B1515" t="s">
        <v>46</v>
      </c>
      <c r="C1515" s="4">
        <v>1.1200000000000001</v>
      </c>
      <c r="D1515" s="4">
        <v>0.85527777800000004</v>
      </c>
      <c r="E1515" s="18">
        <v>928</v>
      </c>
      <c r="G1515" s="4"/>
      <c r="H1515" s="4">
        <f t="shared" si="32"/>
        <v>0</v>
      </c>
      <c r="I1515" s="2">
        <f t="shared" si="33"/>
        <v>0</v>
      </c>
      <c r="J1515">
        <v>2.5</v>
      </c>
    </row>
    <row r="1516" spans="1:10" x14ac:dyDescent="0.3">
      <c r="A1516" t="s">
        <v>159</v>
      </c>
      <c r="B1516" t="s">
        <v>46</v>
      </c>
      <c r="C1516" s="4">
        <v>1.1200000000000001</v>
      </c>
      <c r="D1516" s="4">
        <v>0.85527777800000004</v>
      </c>
      <c r="E1516" s="18">
        <v>929</v>
      </c>
      <c r="G1516" s="4"/>
      <c r="H1516" s="4">
        <f t="shared" si="32"/>
        <v>0</v>
      </c>
      <c r="I1516" s="2">
        <f t="shared" si="33"/>
        <v>0</v>
      </c>
      <c r="J1516">
        <v>2.2999999999999998</v>
      </c>
    </row>
    <row r="1517" spans="1:10" x14ac:dyDescent="0.3">
      <c r="A1517" t="s">
        <v>159</v>
      </c>
      <c r="B1517" t="s">
        <v>160</v>
      </c>
      <c r="C1517" s="4">
        <v>0.53</v>
      </c>
      <c r="D1517" s="4">
        <v>0.41185714299999998</v>
      </c>
      <c r="E1517" s="18">
        <v>930</v>
      </c>
      <c r="G1517" s="4"/>
      <c r="H1517" s="4">
        <f t="shared" si="32"/>
        <v>0</v>
      </c>
      <c r="I1517" s="2">
        <f t="shared" si="33"/>
        <v>0</v>
      </c>
      <c r="J1517">
        <v>5.5</v>
      </c>
    </row>
    <row r="1518" spans="1:10" x14ac:dyDescent="0.3">
      <c r="A1518" t="s">
        <v>159</v>
      </c>
      <c r="B1518" t="s">
        <v>160</v>
      </c>
      <c r="C1518" s="4">
        <v>0.53</v>
      </c>
      <c r="D1518" s="4">
        <v>0.41185714299999998</v>
      </c>
      <c r="E1518" s="18">
        <v>931</v>
      </c>
      <c r="G1518" s="4"/>
      <c r="H1518" s="4">
        <f t="shared" si="32"/>
        <v>0</v>
      </c>
      <c r="I1518" s="2">
        <f t="shared" si="33"/>
        <v>0</v>
      </c>
      <c r="J1518">
        <v>5</v>
      </c>
    </row>
    <row r="1519" spans="1:10" x14ac:dyDescent="0.3">
      <c r="A1519" t="s">
        <v>159</v>
      </c>
      <c r="B1519" t="s">
        <v>160</v>
      </c>
      <c r="C1519" s="4">
        <v>0.53</v>
      </c>
      <c r="D1519" s="4">
        <v>0.41185714299999998</v>
      </c>
      <c r="E1519" s="18">
        <v>932</v>
      </c>
      <c r="G1519" s="4"/>
      <c r="H1519" s="4">
        <f t="shared" si="32"/>
        <v>0</v>
      </c>
      <c r="I1519" s="2">
        <f t="shared" si="33"/>
        <v>0</v>
      </c>
      <c r="J1519">
        <v>2.5</v>
      </c>
    </row>
    <row r="1520" spans="1:10" x14ac:dyDescent="0.3">
      <c r="A1520" t="s">
        <v>159</v>
      </c>
      <c r="B1520" t="s">
        <v>58</v>
      </c>
      <c r="C1520" s="4">
        <v>0.371297506</v>
      </c>
      <c r="D1520" s="4">
        <v>0.35258402799999999</v>
      </c>
      <c r="E1520" s="18">
        <v>933</v>
      </c>
      <c r="G1520" s="4"/>
      <c r="H1520" s="4">
        <f t="shared" si="32"/>
        <v>0</v>
      </c>
      <c r="I1520" s="2">
        <f t="shared" si="33"/>
        <v>0</v>
      </c>
      <c r="J1520">
        <v>4.5</v>
      </c>
    </row>
    <row r="1521" spans="1:10" x14ac:dyDescent="0.3">
      <c r="A1521" t="s">
        <v>159</v>
      </c>
      <c r="B1521" t="s">
        <v>58</v>
      </c>
      <c r="C1521" s="4">
        <v>0.371297506</v>
      </c>
      <c r="D1521" s="4">
        <v>0.35258402799999999</v>
      </c>
      <c r="E1521" s="18">
        <v>934</v>
      </c>
      <c r="G1521" s="4"/>
      <c r="H1521" s="4">
        <f t="shared" si="32"/>
        <v>0</v>
      </c>
      <c r="I1521" s="2">
        <f t="shared" si="33"/>
        <v>0</v>
      </c>
      <c r="J1521">
        <v>4</v>
      </c>
    </row>
    <row r="1522" spans="1:10" x14ac:dyDescent="0.3">
      <c r="A1522" t="s">
        <v>161</v>
      </c>
      <c r="B1522" t="s">
        <v>75</v>
      </c>
      <c r="C1522" s="4">
        <v>0.86</v>
      </c>
      <c r="D1522" s="4">
        <v>0.65666666699999998</v>
      </c>
      <c r="E1522" s="18">
        <v>935</v>
      </c>
      <c r="G1522" s="4"/>
      <c r="H1522" s="4">
        <f t="shared" si="32"/>
        <v>0</v>
      </c>
      <c r="I1522" s="2">
        <f t="shared" si="33"/>
        <v>0</v>
      </c>
      <c r="J1522">
        <v>9</v>
      </c>
    </row>
    <row r="1523" spans="1:10" x14ac:dyDescent="0.3">
      <c r="A1523" t="s">
        <v>161</v>
      </c>
      <c r="B1523" t="s">
        <v>75</v>
      </c>
      <c r="C1523" s="4">
        <v>0.86</v>
      </c>
      <c r="D1523" s="4">
        <v>0.65666666699999998</v>
      </c>
      <c r="E1523" s="18">
        <v>936</v>
      </c>
      <c r="G1523" s="4"/>
      <c r="H1523" s="4">
        <f t="shared" si="32"/>
        <v>0</v>
      </c>
      <c r="I1523" s="2">
        <f t="shared" si="33"/>
        <v>0</v>
      </c>
      <c r="J1523">
        <v>7</v>
      </c>
    </row>
    <row r="1524" spans="1:10" x14ac:dyDescent="0.3">
      <c r="A1524" t="s">
        <v>161</v>
      </c>
      <c r="B1524" t="s">
        <v>60</v>
      </c>
      <c r="C1524" s="4">
        <v>0.41</v>
      </c>
      <c r="D1524" s="4">
        <v>0.33983503399999998</v>
      </c>
      <c r="E1524" s="18">
        <v>937</v>
      </c>
      <c r="G1524" s="4"/>
      <c r="H1524" s="4">
        <f t="shared" si="32"/>
        <v>0</v>
      </c>
      <c r="I1524" s="2">
        <f t="shared" si="33"/>
        <v>0</v>
      </c>
      <c r="J1524">
        <v>9</v>
      </c>
    </row>
    <row r="1525" spans="1:10" x14ac:dyDescent="0.3">
      <c r="A1525" t="s">
        <v>161</v>
      </c>
      <c r="B1525" t="s">
        <v>60</v>
      </c>
      <c r="C1525" s="4">
        <v>0.41</v>
      </c>
      <c r="D1525" s="4">
        <v>0.33983503399999998</v>
      </c>
      <c r="E1525" s="18">
        <v>938</v>
      </c>
      <c r="G1525" s="4"/>
      <c r="H1525" s="4">
        <f t="shared" si="32"/>
        <v>0</v>
      </c>
      <c r="I1525" s="2">
        <f t="shared" si="33"/>
        <v>0</v>
      </c>
      <c r="J1525">
        <v>6.8</v>
      </c>
    </row>
    <row r="1526" spans="1:10" x14ac:dyDescent="0.3">
      <c r="A1526" t="s">
        <v>161</v>
      </c>
      <c r="B1526" t="s">
        <v>60</v>
      </c>
      <c r="C1526" s="4">
        <v>0.41</v>
      </c>
      <c r="D1526" s="4">
        <v>0.33983503399999998</v>
      </c>
      <c r="E1526" s="18">
        <v>939</v>
      </c>
      <c r="G1526" s="4"/>
      <c r="H1526" s="4">
        <f t="shared" si="32"/>
        <v>0</v>
      </c>
      <c r="I1526" s="2">
        <f t="shared" si="33"/>
        <v>0</v>
      </c>
      <c r="J1526">
        <v>6</v>
      </c>
    </row>
    <row r="1527" spans="1:10" x14ac:dyDescent="0.3">
      <c r="A1527" t="s">
        <v>161</v>
      </c>
      <c r="B1527" t="s">
        <v>69</v>
      </c>
      <c r="C1527" s="4">
        <v>0.31264018999999998</v>
      </c>
      <c r="D1527" s="4">
        <v>0.356821212</v>
      </c>
      <c r="E1527" s="18">
        <v>940</v>
      </c>
      <c r="G1527" s="4"/>
      <c r="H1527" s="4">
        <f t="shared" si="32"/>
        <v>0</v>
      </c>
      <c r="I1527" s="2">
        <f t="shared" si="33"/>
        <v>0</v>
      </c>
      <c r="J1527">
        <v>3</v>
      </c>
    </row>
    <row r="1528" spans="1:10" x14ac:dyDescent="0.3">
      <c r="A1528" t="s">
        <v>161</v>
      </c>
      <c r="B1528" t="s">
        <v>162</v>
      </c>
      <c r="C1528" s="4">
        <v>0.52800000000000002</v>
      </c>
      <c r="D1528" s="4">
        <v>0.51040266700000003</v>
      </c>
      <c r="E1528" s="18">
        <v>941</v>
      </c>
      <c r="G1528" s="4"/>
      <c r="H1528" s="4">
        <f t="shared" si="32"/>
        <v>0</v>
      </c>
      <c r="I1528" s="2">
        <f t="shared" si="33"/>
        <v>0</v>
      </c>
      <c r="J1528">
        <v>5</v>
      </c>
    </row>
    <row r="1529" spans="1:10" x14ac:dyDescent="0.3">
      <c r="A1529" t="s">
        <v>161</v>
      </c>
      <c r="B1529" t="s">
        <v>45</v>
      </c>
      <c r="C1529" s="4">
        <v>0.81991655299999999</v>
      </c>
      <c r="D1529" s="4">
        <v>0.72276027399999998</v>
      </c>
      <c r="E1529" s="18">
        <v>942</v>
      </c>
      <c r="G1529" s="4"/>
      <c r="H1529" s="4">
        <f t="shared" si="32"/>
        <v>0</v>
      </c>
      <c r="I1529" s="2">
        <f t="shared" si="33"/>
        <v>0</v>
      </c>
      <c r="J1529">
        <v>4.5</v>
      </c>
    </row>
    <row r="1530" spans="1:10" x14ac:dyDescent="0.3">
      <c r="A1530" t="s">
        <v>161</v>
      </c>
      <c r="B1530" t="s">
        <v>41</v>
      </c>
      <c r="C1530" s="4">
        <v>0.56193137999999998</v>
      </c>
      <c r="D1530" s="4">
        <v>0.57808694400000005</v>
      </c>
      <c r="E1530" s="18">
        <v>943</v>
      </c>
      <c r="G1530" s="4"/>
      <c r="H1530" s="4">
        <f t="shared" si="32"/>
        <v>0</v>
      </c>
      <c r="I1530" s="2">
        <f t="shared" si="33"/>
        <v>0</v>
      </c>
      <c r="J1530">
        <v>8</v>
      </c>
    </row>
    <row r="1531" spans="1:10" x14ac:dyDescent="0.3">
      <c r="A1531" t="s">
        <v>161</v>
      </c>
      <c r="B1531" t="s">
        <v>41</v>
      </c>
      <c r="C1531" s="4">
        <v>0.56193137999999998</v>
      </c>
      <c r="D1531" s="4">
        <v>0.57808694400000005</v>
      </c>
      <c r="E1531" s="18">
        <v>944</v>
      </c>
      <c r="G1531" s="4"/>
      <c r="H1531" s="4">
        <f t="shared" si="32"/>
        <v>0</v>
      </c>
      <c r="I1531" s="2">
        <f t="shared" si="33"/>
        <v>0</v>
      </c>
      <c r="J1531">
        <v>8</v>
      </c>
    </row>
    <row r="1532" spans="1:10" x14ac:dyDescent="0.3">
      <c r="A1532" t="s">
        <v>161</v>
      </c>
      <c r="B1532" t="s">
        <v>157</v>
      </c>
      <c r="C1532" s="4">
        <v>0.63</v>
      </c>
      <c r="D1532" s="4">
        <v>0.629222222</v>
      </c>
      <c r="E1532" s="18">
        <v>945</v>
      </c>
      <c r="G1532" s="4"/>
      <c r="H1532" s="4">
        <f t="shared" si="32"/>
        <v>0</v>
      </c>
      <c r="I1532" s="2">
        <f t="shared" si="33"/>
        <v>0</v>
      </c>
      <c r="J1532">
        <v>2.5</v>
      </c>
    </row>
    <row r="1533" spans="1:10" x14ac:dyDescent="0.3">
      <c r="A1533" t="s">
        <v>161</v>
      </c>
      <c r="B1533" t="s">
        <v>20</v>
      </c>
      <c r="C1533" s="4">
        <v>0.74387999999999999</v>
      </c>
      <c r="D1533" s="4">
        <v>0.59130000000000005</v>
      </c>
      <c r="E1533" s="18">
        <v>946</v>
      </c>
      <c r="G1533" s="4"/>
      <c r="H1533" s="4">
        <f t="shared" si="32"/>
        <v>0</v>
      </c>
      <c r="I1533" s="2">
        <f t="shared" si="33"/>
        <v>0</v>
      </c>
      <c r="J1533">
        <v>6.5</v>
      </c>
    </row>
    <row r="1534" spans="1:10" x14ac:dyDescent="0.3">
      <c r="A1534" t="s">
        <v>161</v>
      </c>
      <c r="B1534" t="s">
        <v>20</v>
      </c>
      <c r="C1534" s="4">
        <v>0.74387999999999999</v>
      </c>
      <c r="D1534" s="4">
        <v>0.59130000000000005</v>
      </c>
      <c r="E1534" s="18">
        <v>947</v>
      </c>
      <c r="G1534" s="4"/>
      <c r="H1534" s="4">
        <f t="shared" si="32"/>
        <v>0</v>
      </c>
      <c r="I1534" s="2">
        <f t="shared" si="33"/>
        <v>0</v>
      </c>
      <c r="J1534">
        <v>6.5</v>
      </c>
    </row>
    <row r="1535" spans="1:10" x14ac:dyDescent="0.3">
      <c r="A1535" t="s">
        <v>161</v>
      </c>
      <c r="B1535" t="s">
        <v>163</v>
      </c>
      <c r="C1535" s="4">
        <v>0.65</v>
      </c>
      <c r="D1535" s="4">
        <v>0.65</v>
      </c>
      <c r="E1535" s="18">
        <v>948</v>
      </c>
      <c r="G1535" s="4"/>
      <c r="H1535" s="4">
        <f t="shared" si="32"/>
        <v>0</v>
      </c>
      <c r="I1535" s="2">
        <f t="shared" si="33"/>
        <v>0</v>
      </c>
      <c r="J1535">
        <v>8</v>
      </c>
    </row>
    <row r="1536" spans="1:10" x14ac:dyDescent="0.3">
      <c r="A1536" t="s">
        <v>161</v>
      </c>
      <c r="B1536" t="s">
        <v>163</v>
      </c>
      <c r="C1536" s="4">
        <v>0.65</v>
      </c>
      <c r="D1536" s="4">
        <v>0.65</v>
      </c>
      <c r="E1536" s="18">
        <v>949</v>
      </c>
      <c r="G1536" s="4"/>
      <c r="H1536" s="4">
        <f t="shared" si="32"/>
        <v>0</v>
      </c>
      <c r="I1536" s="2">
        <f t="shared" si="33"/>
        <v>0</v>
      </c>
      <c r="J1536">
        <v>7.1</v>
      </c>
    </row>
    <row r="1537" spans="1:10" x14ac:dyDescent="0.3">
      <c r="A1537" t="s">
        <v>161</v>
      </c>
      <c r="B1537" t="s">
        <v>163</v>
      </c>
      <c r="C1537" s="4">
        <v>0.65</v>
      </c>
      <c r="D1537" s="4">
        <v>0.65</v>
      </c>
      <c r="E1537" s="18">
        <v>950</v>
      </c>
      <c r="G1537" s="4"/>
      <c r="H1537" s="4">
        <f t="shared" si="32"/>
        <v>0</v>
      </c>
      <c r="I1537" s="2">
        <f t="shared" si="33"/>
        <v>0</v>
      </c>
      <c r="J1537">
        <v>7</v>
      </c>
    </row>
    <row r="1538" spans="1:10" x14ac:dyDescent="0.3">
      <c r="A1538" t="s">
        <v>161</v>
      </c>
      <c r="B1538" t="s">
        <v>163</v>
      </c>
      <c r="C1538" s="4">
        <v>0.65</v>
      </c>
      <c r="D1538" s="4">
        <v>0.65</v>
      </c>
      <c r="E1538" s="18">
        <v>951</v>
      </c>
      <c r="G1538" s="4"/>
      <c r="H1538" s="4">
        <f t="shared" si="32"/>
        <v>0</v>
      </c>
      <c r="I1538" s="2">
        <f t="shared" si="33"/>
        <v>0</v>
      </c>
      <c r="J1538">
        <v>7</v>
      </c>
    </row>
    <row r="1539" spans="1:10" x14ac:dyDescent="0.3">
      <c r="A1539" t="s">
        <v>161</v>
      </c>
      <c r="B1539" t="s">
        <v>22</v>
      </c>
      <c r="C1539" s="4">
        <v>0.43836446099999998</v>
      </c>
      <c r="D1539" s="4">
        <v>0.58666666700000003</v>
      </c>
      <c r="E1539" s="18">
        <v>952</v>
      </c>
      <c r="G1539" s="4"/>
      <c r="H1539" s="4">
        <f t="shared" si="32"/>
        <v>0</v>
      </c>
      <c r="I1539" s="2">
        <f t="shared" si="33"/>
        <v>0</v>
      </c>
      <c r="J1539">
        <v>4.7</v>
      </c>
    </row>
    <row r="1540" spans="1:10" x14ac:dyDescent="0.3">
      <c r="A1540" t="s">
        <v>161</v>
      </c>
      <c r="B1540" t="s">
        <v>22</v>
      </c>
      <c r="C1540" s="4">
        <v>0.43836446099999998</v>
      </c>
      <c r="D1540" s="4">
        <v>0.58666666700000003</v>
      </c>
      <c r="E1540" s="18">
        <v>953</v>
      </c>
      <c r="G1540" s="4"/>
      <c r="H1540" s="4">
        <f t="shared" si="32"/>
        <v>0</v>
      </c>
      <c r="I1540" s="2">
        <f t="shared" si="33"/>
        <v>0</v>
      </c>
      <c r="J1540">
        <v>2</v>
      </c>
    </row>
    <row r="1541" spans="1:10" x14ac:dyDescent="0.3">
      <c r="A1541" t="s">
        <v>161</v>
      </c>
      <c r="B1541" t="s">
        <v>23</v>
      </c>
      <c r="C1541" s="4">
        <v>0.76500000000000001</v>
      </c>
      <c r="D1541" s="4">
        <v>0.61247410899999999</v>
      </c>
      <c r="E1541" s="18">
        <v>954</v>
      </c>
      <c r="G1541" s="4"/>
      <c r="H1541" s="4">
        <f t="shared" si="32"/>
        <v>0</v>
      </c>
      <c r="I1541" s="2">
        <f t="shared" si="33"/>
        <v>0</v>
      </c>
      <c r="J1541">
        <v>7</v>
      </c>
    </row>
    <row r="1542" spans="1:10" x14ac:dyDescent="0.3">
      <c r="A1542" t="s">
        <v>164</v>
      </c>
      <c r="B1542" t="s">
        <v>75</v>
      </c>
      <c r="C1542" s="4">
        <v>0.86</v>
      </c>
      <c r="D1542" s="4">
        <v>0.65666666699999998</v>
      </c>
      <c r="E1542" s="18">
        <v>955</v>
      </c>
      <c r="G1542" s="4"/>
      <c r="H1542" s="4">
        <f t="shared" si="32"/>
        <v>0</v>
      </c>
      <c r="I1542" s="2">
        <f t="shared" si="33"/>
        <v>0</v>
      </c>
      <c r="J1542">
        <v>5.5</v>
      </c>
    </row>
    <row r="1543" spans="1:10" x14ac:dyDescent="0.3">
      <c r="A1543" t="s">
        <v>164</v>
      </c>
      <c r="B1543" t="s">
        <v>26</v>
      </c>
      <c r="C1543" s="4">
        <v>0.80908761900000004</v>
      </c>
      <c r="D1543" s="4">
        <v>0.87473809499999999</v>
      </c>
      <c r="E1543" s="18">
        <v>956</v>
      </c>
      <c r="G1543" s="4"/>
      <c r="H1543" s="4">
        <f t="shared" si="32"/>
        <v>0</v>
      </c>
      <c r="I1543" s="2">
        <f t="shared" si="33"/>
        <v>0</v>
      </c>
      <c r="J1543">
        <v>5.7</v>
      </c>
    </row>
    <row r="1544" spans="1:10" x14ac:dyDescent="0.3">
      <c r="A1544" t="s">
        <v>164</v>
      </c>
      <c r="B1544" t="s">
        <v>60</v>
      </c>
      <c r="C1544" s="4">
        <v>0.41</v>
      </c>
      <c r="D1544" s="4">
        <v>0.33983503399999998</v>
      </c>
      <c r="E1544" s="18">
        <v>957</v>
      </c>
      <c r="G1544" s="4"/>
      <c r="H1544" s="4">
        <f t="shared" si="32"/>
        <v>0</v>
      </c>
      <c r="I1544" s="2">
        <f t="shared" si="33"/>
        <v>0</v>
      </c>
      <c r="J1544">
        <v>6.5</v>
      </c>
    </row>
    <row r="1545" spans="1:10" x14ac:dyDescent="0.3">
      <c r="A1545" t="s">
        <v>164</v>
      </c>
      <c r="B1545" t="s">
        <v>16</v>
      </c>
      <c r="C1545" s="4">
        <v>0.89361000000000002</v>
      </c>
      <c r="D1545" s="4">
        <v>0.61247410899999999</v>
      </c>
      <c r="E1545" s="18">
        <v>958</v>
      </c>
      <c r="G1545" s="4"/>
      <c r="H1545" s="4">
        <f t="shared" si="32"/>
        <v>0</v>
      </c>
      <c r="I1545" s="2">
        <f t="shared" si="33"/>
        <v>0</v>
      </c>
      <c r="J1545">
        <v>3.5</v>
      </c>
    </row>
    <row r="1546" spans="1:10" x14ac:dyDescent="0.3">
      <c r="A1546" t="s">
        <v>164</v>
      </c>
      <c r="B1546" t="s">
        <v>18</v>
      </c>
      <c r="C1546" s="4">
        <v>0.45255480399999998</v>
      </c>
      <c r="D1546" s="4">
        <v>0.57808694400000005</v>
      </c>
      <c r="E1546" s="18">
        <v>959</v>
      </c>
      <c r="G1546" s="4"/>
      <c r="H1546" s="4">
        <f t="shared" si="32"/>
        <v>0</v>
      </c>
      <c r="I1546" s="2">
        <f t="shared" si="33"/>
        <v>0</v>
      </c>
      <c r="J1546">
        <v>6</v>
      </c>
    </row>
    <row r="1547" spans="1:10" x14ac:dyDescent="0.3">
      <c r="A1547" t="s">
        <v>164</v>
      </c>
      <c r="B1547" t="s">
        <v>31</v>
      </c>
      <c r="C1547" s="4">
        <v>0.63400000000000001</v>
      </c>
      <c r="D1547" s="4">
        <v>0.73247777800000002</v>
      </c>
      <c r="E1547" s="18">
        <v>960</v>
      </c>
      <c r="G1547" s="4"/>
      <c r="H1547" s="4">
        <f t="shared" si="32"/>
        <v>0</v>
      </c>
      <c r="I1547" s="2">
        <f t="shared" si="33"/>
        <v>0</v>
      </c>
      <c r="J1547">
        <v>3.7</v>
      </c>
    </row>
    <row r="1548" spans="1:10" x14ac:dyDescent="0.3">
      <c r="A1548" t="s">
        <v>164</v>
      </c>
      <c r="B1548" t="s">
        <v>19</v>
      </c>
      <c r="C1548" s="4">
        <v>0.374</v>
      </c>
      <c r="D1548" s="4">
        <v>0.47945833300000001</v>
      </c>
      <c r="E1548" s="18">
        <v>961</v>
      </c>
      <c r="G1548" s="4"/>
      <c r="H1548" s="4">
        <f t="shared" si="32"/>
        <v>0</v>
      </c>
      <c r="I1548" s="2">
        <f t="shared" si="33"/>
        <v>0</v>
      </c>
      <c r="J1548">
        <v>4</v>
      </c>
    </row>
    <row r="1549" spans="1:10" x14ac:dyDescent="0.3">
      <c r="A1549" t="s">
        <v>164</v>
      </c>
      <c r="B1549" t="s">
        <v>20</v>
      </c>
      <c r="C1549" s="4">
        <v>0.74387999999999999</v>
      </c>
      <c r="D1549" s="4">
        <v>0.59130000000000005</v>
      </c>
      <c r="E1549" s="18">
        <v>962</v>
      </c>
      <c r="G1549" s="4"/>
      <c r="H1549" s="4">
        <f t="shared" ref="H1549:H1612" si="34">G1549/PI()</f>
        <v>0</v>
      </c>
      <c r="I1549" s="2">
        <f t="shared" si="33"/>
        <v>0</v>
      </c>
      <c r="J1549">
        <v>6</v>
      </c>
    </row>
    <row r="1550" spans="1:10" x14ac:dyDescent="0.3">
      <c r="A1550" t="s">
        <v>164</v>
      </c>
      <c r="B1550" t="s">
        <v>163</v>
      </c>
      <c r="C1550" s="4">
        <v>0.65</v>
      </c>
      <c r="D1550" s="4">
        <v>0.65</v>
      </c>
      <c r="E1550" s="18">
        <v>963</v>
      </c>
      <c r="G1550" s="4"/>
      <c r="H1550" s="4">
        <f t="shared" si="34"/>
        <v>0</v>
      </c>
      <c r="I1550" s="2">
        <f t="shared" si="33"/>
        <v>0</v>
      </c>
      <c r="J1550">
        <v>8.5</v>
      </c>
    </row>
    <row r="1551" spans="1:10" x14ac:dyDescent="0.3">
      <c r="A1551" t="s">
        <v>164</v>
      </c>
      <c r="B1551" t="s">
        <v>163</v>
      </c>
      <c r="C1551" s="4">
        <v>0.65</v>
      </c>
      <c r="D1551" s="4">
        <v>0.65</v>
      </c>
      <c r="E1551" s="18">
        <v>964</v>
      </c>
      <c r="G1551" s="4"/>
      <c r="H1551" s="4">
        <f t="shared" si="34"/>
        <v>0</v>
      </c>
      <c r="I1551" s="2">
        <f t="shared" si="33"/>
        <v>0</v>
      </c>
      <c r="J1551">
        <v>8</v>
      </c>
    </row>
    <row r="1552" spans="1:10" x14ac:dyDescent="0.3">
      <c r="A1552" t="s">
        <v>164</v>
      </c>
      <c r="B1552" t="s">
        <v>23</v>
      </c>
      <c r="C1552" s="4">
        <v>0.76500000000000001</v>
      </c>
      <c r="D1552" s="4">
        <v>0.61247410899999999</v>
      </c>
      <c r="E1552" s="18">
        <v>965</v>
      </c>
      <c r="G1552" s="4"/>
      <c r="H1552" s="4">
        <f t="shared" si="34"/>
        <v>0</v>
      </c>
      <c r="I1552" s="2">
        <f t="shared" si="33"/>
        <v>0</v>
      </c>
      <c r="J1552">
        <v>8</v>
      </c>
    </row>
    <row r="1553" spans="1:10" x14ac:dyDescent="0.3">
      <c r="A1553" t="s">
        <v>164</v>
      </c>
      <c r="B1553" t="s">
        <v>23</v>
      </c>
      <c r="C1553" s="4">
        <v>0.76500000000000001</v>
      </c>
      <c r="D1553" s="4">
        <v>0.61247410899999999</v>
      </c>
      <c r="E1553" s="18">
        <v>966</v>
      </c>
      <c r="G1553" s="4"/>
      <c r="H1553" s="4">
        <f t="shared" si="34"/>
        <v>0</v>
      </c>
      <c r="I1553" s="2">
        <f t="shared" si="33"/>
        <v>0</v>
      </c>
      <c r="J1553">
        <v>7</v>
      </c>
    </row>
    <row r="1554" spans="1:10" x14ac:dyDescent="0.3">
      <c r="A1554" t="s">
        <v>165</v>
      </c>
      <c r="B1554" t="s">
        <v>75</v>
      </c>
      <c r="C1554" s="4">
        <v>0.86</v>
      </c>
      <c r="D1554" s="4">
        <v>0.65666666699999998</v>
      </c>
      <c r="E1554" s="18">
        <v>967</v>
      </c>
      <c r="G1554" s="4"/>
      <c r="H1554" s="4">
        <f t="shared" si="34"/>
        <v>0</v>
      </c>
      <c r="I1554" s="2">
        <f t="shared" si="33"/>
        <v>0</v>
      </c>
      <c r="J1554">
        <v>7</v>
      </c>
    </row>
    <row r="1555" spans="1:10" x14ac:dyDescent="0.3">
      <c r="A1555" t="s">
        <v>165</v>
      </c>
      <c r="B1555" t="s">
        <v>51</v>
      </c>
      <c r="C1555" s="4">
        <v>0.40257753800000001</v>
      </c>
      <c r="D1555" s="4">
        <v>0.40843333300000001</v>
      </c>
      <c r="E1555" s="18">
        <v>968</v>
      </c>
      <c r="G1555" s="4"/>
      <c r="H1555" s="4">
        <f t="shared" si="34"/>
        <v>0</v>
      </c>
      <c r="I1555" s="2">
        <f t="shared" si="33"/>
        <v>0</v>
      </c>
      <c r="J1555">
        <v>7</v>
      </c>
    </row>
    <row r="1556" spans="1:10" x14ac:dyDescent="0.3">
      <c r="A1556" t="s">
        <v>165</v>
      </c>
      <c r="B1556" t="s">
        <v>60</v>
      </c>
      <c r="C1556" s="4">
        <v>0.41</v>
      </c>
      <c r="D1556" s="4">
        <v>0.33983503399999998</v>
      </c>
      <c r="E1556" s="18">
        <v>969</v>
      </c>
      <c r="G1556" s="4"/>
      <c r="H1556" s="4">
        <f t="shared" si="34"/>
        <v>0</v>
      </c>
      <c r="I1556" s="2">
        <f t="shared" si="33"/>
        <v>0</v>
      </c>
      <c r="J1556">
        <v>6</v>
      </c>
    </row>
    <row r="1557" spans="1:10" x14ac:dyDescent="0.3">
      <c r="A1557" t="s">
        <v>165</v>
      </c>
      <c r="B1557" t="s">
        <v>162</v>
      </c>
      <c r="C1557" s="4">
        <v>0.52800000000000002</v>
      </c>
      <c r="D1557" s="4">
        <v>0.51040266700000003</v>
      </c>
      <c r="E1557" s="18">
        <v>970</v>
      </c>
      <c r="G1557" s="4"/>
      <c r="H1557" s="4">
        <f t="shared" si="34"/>
        <v>0</v>
      </c>
      <c r="I1557" s="2">
        <f t="shared" si="33"/>
        <v>0</v>
      </c>
      <c r="J1557">
        <v>8</v>
      </c>
    </row>
    <row r="1558" spans="1:10" x14ac:dyDescent="0.3">
      <c r="A1558" t="s">
        <v>165</v>
      </c>
      <c r="B1558" t="s">
        <v>166</v>
      </c>
      <c r="C1558" s="4">
        <v>0.28905069999999999</v>
      </c>
      <c r="D1558" s="4">
        <v>0.28905072500000001</v>
      </c>
      <c r="E1558" s="18">
        <v>971</v>
      </c>
      <c r="G1558" s="4"/>
      <c r="H1558" s="4">
        <f t="shared" si="34"/>
        <v>0</v>
      </c>
      <c r="I1558" s="2">
        <f t="shared" si="33"/>
        <v>0</v>
      </c>
      <c r="J1558">
        <v>4</v>
      </c>
    </row>
    <row r="1559" spans="1:10" x14ac:dyDescent="0.3">
      <c r="A1559" t="s">
        <v>165</v>
      </c>
      <c r="B1559" t="s">
        <v>70</v>
      </c>
      <c r="C1559" s="4">
        <v>0.55560299999999996</v>
      </c>
      <c r="D1559" s="4">
        <v>0.55961111100000005</v>
      </c>
      <c r="E1559" s="18">
        <v>972</v>
      </c>
      <c r="G1559" s="4"/>
      <c r="H1559" s="4">
        <f t="shared" si="34"/>
        <v>0</v>
      </c>
      <c r="I1559" s="2">
        <f t="shared" ref="I1559:I1622" si="35">PI()*(H1559/2)^2</f>
        <v>0</v>
      </c>
      <c r="J1559">
        <v>2.7</v>
      </c>
    </row>
    <row r="1560" spans="1:10" x14ac:dyDescent="0.3">
      <c r="A1560" t="s">
        <v>165</v>
      </c>
      <c r="B1560" t="s">
        <v>41</v>
      </c>
      <c r="C1560" s="4">
        <v>0.56193137999999998</v>
      </c>
      <c r="D1560" s="4">
        <v>0.57808694400000005</v>
      </c>
      <c r="E1560" s="18">
        <v>973</v>
      </c>
      <c r="G1560" s="4"/>
      <c r="H1560" s="4">
        <f t="shared" si="34"/>
        <v>0</v>
      </c>
      <c r="I1560" s="2">
        <f t="shared" si="35"/>
        <v>0</v>
      </c>
      <c r="J1560">
        <v>6.5</v>
      </c>
    </row>
    <row r="1561" spans="1:10" x14ac:dyDescent="0.3">
      <c r="A1561" t="s">
        <v>165</v>
      </c>
      <c r="B1561" t="s">
        <v>57</v>
      </c>
      <c r="C1561" s="4">
        <v>0.61</v>
      </c>
      <c r="D1561" s="4">
        <v>0.84088888900000003</v>
      </c>
      <c r="E1561" s="18">
        <v>974</v>
      </c>
      <c r="G1561" s="4"/>
      <c r="H1561" s="4">
        <f t="shared" si="34"/>
        <v>0</v>
      </c>
      <c r="I1561" s="2">
        <f t="shared" si="35"/>
        <v>0</v>
      </c>
      <c r="J1561">
        <v>6.5</v>
      </c>
    </row>
    <row r="1562" spans="1:10" x14ac:dyDescent="0.3">
      <c r="A1562" t="s">
        <v>165</v>
      </c>
      <c r="B1562" t="s">
        <v>135</v>
      </c>
      <c r="C1562" s="4">
        <v>0.84088890000000005</v>
      </c>
      <c r="D1562" s="4">
        <v>0.84088888900000003</v>
      </c>
      <c r="E1562" s="18">
        <v>975</v>
      </c>
      <c r="G1562" s="4"/>
      <c r="H1562" s="4">
        <f t="shared" si="34"/>
        <v>0</v>
      </c>
      <c r="I1562" s="2">
        <f t="shared" si="35"/>
        <v>0</v>
      </c>
      <c r="J1562">
        <v>6.5</v>
      </c>
    </row>
    <row r="1563" spans="1:10" x14ac:dyDescent="0.3">
      <c r="A1563" t="s">
        <v>165</v>
      </c>
      <c r="B1563" t="s">
        <v>32</v>
      </c>
      <c r="C1563" s="4">
        <v>0.65716857299999998</v>
      </c>
      <c r="D1563" s="4">
        <v>0.85527777800000004</v>
      </c>
      <c r="E1563" s="18">
        <v>976</v>
      </c>
      <c r="G1563" s="4"/>
      <c r="H1563" s="4">
        <f t="shared" si="34"/>
        <v>0</v>
      </c>
      <c r="I1563" s="2">
        <f t="shared" si="35"/>
        <v>0</v>
      </c>
      <c r="J1563">
        <v>4.5</v>
      </c>
    </row>
    <row r="1564" spans="1:10" x14ac:dyDescent="0.3">
      <c r="A1564" t="s">
        <v>165</v>
      </c>
      <c r="B1564" t="s">
        <v>22</v>
      </c>
      <c r="C1564" s="4">
        <v>0.43836446099999998</v>
      </c>
      <c r="D1564" s="4">
        <v>0.58666666700000003</v>
      </c>
      <c r="E1564" s="18">
        <v>977</v>
      </c>
      <c r="G1564" s="4"/>
      <c r="H1564" s="4">
        <f t="shared" si="34"/>
        <v>0</v>
      </c>
      <c r="I1564" s="2">
        <f t="shared" si="35"/>
        <v>0</v>
      </c>
      <c r="J1564">
        <v>5</v>
      </c>
    </row>
    <row r="1565" spans="1:10" x14ac:dyDescent="0.3">
      <c r="A1565" t="s">
        <v>165</v>
      </c>
      <c r="B1565" t="s">
        <v>22</v>
      </c>
      <c r="C1565" s="4">
        <v>0.43836446099999998</v>
      </c>
      <c r="D1565" s="4">
        <v>0.58666666700000003</v>
      </c>
      <c r="E1565" s="18">
        <v>978</v>
      </c>
      <c r="G1565" s="4"/>
      <c r="H1565" s="4">
        <f t="shared" si="34"/>
        <v>0</v>
      </c>
      <c r="I1565" s="2">
        <f t="shared" si="35"/>
        <v>0</v>
      </c>
      <c r="J1565">
        <v>4.5</v>
      </c>
    </row>
    <row r="1566" spans="1:10" x14ac:dyDescent="0.3">
      <c r="A1566" t="s">
        <v>165</v>
      </c>
      <c r="B1566" t="s">
        <v>167</v>
      </c>
      <c r="C1566" s="4">
        <v>0.52607139999999997</v>
      </c>
      <c r="D1566" s="4">
        <v>0.52607142900000003</v>
      </c>
      <c r="E1566" s="18">
        <v>979</v>
      </c>
      <c r="G1566" s="4"/>
      <c r="H1566" s="4">
        <f t="shared" si="34"/>
        <v>0</v>
      </c>
      <c r="I1566" s="2">
        <f t="shared" si="35"/>
        <v>0</v>
      </c>
      <c r="J1566">
        <v>4.5999999999999996</v>
      </c>
    </row>
    <row r="1567" spans="1:10" x14ac:dyDescent="0.3">
      <c r="A1567" t="s">
        <v>165</v>
      </c>
      <c r="B1567" t="s">
        <v>167</v>
      </c>
      <c r="C1567" s="4">
        <v>0.52607139999999997</v>
      </c>
      <c r="D1567" s="4">
        <v>0.52607142900000003</v>
      </c>
      <c r="E1567" s="18">
        <v>980</v>
      </c>
      <c r="G1567" s="4"/>
      <c r="H1567" s="4">
        <f t="shared" si="34"/>
        <v>0</v>
      </c>
      <c r="I1567" s="2">
        <f t="shared" si="35"/>
        <v>0</v>
      </c>
      <c r="J1567">
        <v>4.5999999999999996</v>
      </c>
    </row>
    <row r="1568" spans="1:10" x14ac:dyDescent="0.3">
      <c r="A1568" t="s">
        <v>165</v>
      </c>
      <c r="B1568" t="s">
        <v>167</v>
      </c>
      <c r="C1568" s="4">
        <v>0.52607139999999997</v>
      </c>
      <c r="D1568" s="4">
        <v>0.52607142900000003</v>
      </c>
      <c r="E1568" s="18">
        <v>981</v>
      </c>
      <c r="G1568" s="4"/>
      <c r="H1568" s="4">
        <f t="shared" si="34"/>
        <v>0</v>
      </c>
      <c r="I1568" s="2">
        <f t="shared" si="35"/>
        <v>0</v>
      </c>
      <c r="J1568">
        <v>2.2000000000000002</v>
      </c>
    </row>
    <row r="1569" spans="1:10" x14ac:dyDescent="0.3">
      <c r="A1569" t="s">
        <v>165</v>
      </c>
      <c r="B1569" t="s">
        <v>132</v>
      </c>
      <c r="C1569" s="4">
        <v>0.68500000000000005</v>
      </c>
      <c r="D1569" s="4">
        <v>0.54</v>
      </c>
      <c r="E1569" s="18">
        <v>982</v>
      </c>
      <c r="G1569" s="4"/>
      <c r="H1569" s="4">
        <f t="shared" si="34"/>
        <v>0</v>
      </c>
      <c r="I1569" s="2">
        <f t="shared" si="35"/>
        <v>0</v>
      </c>
      <c r="J1569">
        <v>4</v>
      </c>
    </row>
    <row r="1570" spans="1:10" x14ac:dyDescent="0.3">
      <c r="A1570" t="s">
        <v>165</v>
      </c>
      <c r="B1570" t="s">
        <v>132</v>
      </c>
      <c r="C1570" s="4">
        <v>0.68500000000000005</v>
      </c>
      <c r="D1570" s="4">
        <v>0.54</v>
      </c>
      <c r="E1570" s="18">
        <v>983</v>
      </c>
      <c r="G1570" s="4"/>
      <c r="H1570" s="4">
        <f t="shared" si="34"/>
        <v>0</v>
      </c>
      <c r="I1570" s="2">
        <f t="shared" si="35"/>
        <v>0</v>
      </c>
      <c r="J1570">
        <v>4</v>
      </c>
    </row>
    <row r="1571" spans="1:10" x14ac:dyDescent="0.3">
      <c r="A1571" t="s">
        <v>165</v>
      </c>
      <c r="B1571" t="s">
        <v>132</v>
      </c>
      <c r="C1571" s="4">
        <v>0.68500000000000005</v>
      </c>
      <c r="D1571" s="4">
        <v>0.54</v>
      </c>
      <c r="E1571" s="18">
        <v>984</v>
      </c>
      <c r="G1571" s="4"/>
      <c r="H1571" s="4">
        <f t="shared" si="34"/>
        <v>0</v>
      </c>
      <c r="I1571" s="2">
        <f t="shared" si="35"/>
        <v>0</v>
      </c>
      <c r="J1571">
        <v>3</v>
      </c>
    </row>
    <row r="1572" spans="1:10" x14ac:dyDescent="0.3">
      <c r="A1572" t="s">
        <v>168</v>
      </c>
      <c r="B1572" t="s">
        <v>75</v>
      </c>
      <c r="C1572" s="4">
        <v>0.86</v>
      </c>
      <c r="D1572" s="4">
        <v>0.65666666699999998</v>
      </c>
      <c r="E1572" s="18">
        <v>985</v>
      </c>
      <c r="G1572" s="4"/>
      <c r="H1572" s="4">
        <f t="shared" si="34"/>
        <v>0</v>
      </c>
      <c r="I1572" s="2">
        <f t="shared" si="35"/>
        <v>0</v>
      </c>
      <c r="J1572">
        <v>6</v>
      </c>
    </row>
    <row r="1573" spans="1:10" x14ac:dyDescent="0.3">
      <c r="A1573" t="s">
        <v>168</v>
      </c>
      <c r="B1573" t="s">
        <v>75</v>
      </c>
      <c r="C1573" s="4">
        <v>0.86</v>
      </c>
      <c r="D1573" s="4">
        <v>0.65666666699999998</v>
      </c>
      <c r="E1573" s="18">
        <v>986</v>
      </c>
      <c r="G1573" s="4"/>
      <c r="H1573" s="4">
        <f t="shared" si="34"/>
        <v>0</v>
      </c>
      <c r="I1573" s="2">
        <f t="shared" si="35"/>
        <v>0</v>
      </c>
      <c r="J1573">
        <v>4.5</v>
      </c>
    </row>
    <row r="1574" spans="1:10" x14ac:dyDescent="0.3">
      <c r="A1574" t="s">
        <v>168</v>
      </c>
      <c r="B1574" t="s">
        <v>75</v>
      </c>
      <c r="C1574" s="4">
        <v>0.86</v>
      </c>
      <c r="D1574" s="4">
        <v>0.65666666699999998</v>
      </c>
      <c r="E1574" s="18">
        <v>987</v>
      </c>
      <c r="G1574" s="4"/>
      <c r="H1574" s="4">
        <f t="shared" si="34"/>
        <v>0</v>
      </c>
      <c r="I1574" s="2">
        <f t="shared" si="35"/>
        <v>0</v>
      </c>
      <c r="J1574">
        <v>3</v>
      </c>
    </row>
    <row r="1575" spans="1:10" x14ac:dyDescent="0.3">
      <c r="A1575" t="s">
        <v>168</v>
      </c>
      <c r="B1575" t="s">
        <v>57</v>
      </c>
      <c r="C1575" s="4">
        <v>0.61</v>
      </c>
      <c r="D1575" s="4">
        <v>0.84088888900000003</v>
      </c>
      <c r="E1575" s="18">
        <v>988</v>
      </c>
      <c r="G1575" s="4"/>
      <c r="H1575" s="4">
        <f t="shared" si="34"/>
        <v>0</v>
      </c>
      <c r="I1575" s="2">
        <f t="shared" si="35"/>
        <v>0</v>
      </c>
      <c r="J1575">
        <v>5</v>
      </c>
    </row>
    <row r="1576" spans="1:10" x14ac:dyDescent="0.3">
      <c r="A1576" t="s">
        <v>168</v>
      </c>
      <c r="B1576" t="s">
        <v>135</v>
      </c>
      <c r="C1576" s="4">
        <v>0.84088890000000005</v>
      </c>
      <c r="D1576" s="4">
        <v>0.84088888900000003</v>
      </c>
      <c r="E1576" s="18">
        <v>989</v>
      </c>
      <c r="G1576" s="4"/>
      <c r="H1576" s="4">
        <f t="shared" si="34"/>
        <v>0</v>
      </c>
      <c r="I1576" s="2">
        <f t="shared" si="35"/>
        <v>0</v>
      </c>
      <c r="J1576">
        <v>8</v>
      </c>
    </row>
    <row r="1577" spans="1:10" x14ac:dyDescent="0.3">
      <c r="A1577" t="s">
        <v>168</v>
      </c>
      <c r="B1577" t="s">
        <v>23</v>
      </c>
      <c r="C1577" s="4">
        <v>0.76500000000000001</v>
      </c>
      <c r="D1577" s="4">
        <v>0.61247410899999999</v>
      </c>
      <c r="E1577" s="18">
        <v>990</v>
      </c>
      <c r="G1577" s="4"/>
      <c r="H1577" s="4">
        <f t="shared" si="34"/>
        <v>0</v>
      </c>
      <c r="I1577" s="2">
        <f t="shared" si="35"/>
        <v>0</v>
      </c>
      <c r="J1577">
        <v>8.5</v>
      </c>
    </row>
    <row r="1578" spans="1:10" x14ac:dyDescent="0.3">
      <c r="A1578" t="s">
        <v>168</v>
      </c>
      <c r="B1578" t="s">
        <v>23</v>
      </c>
      <c r="C1578" s="4">
        <v>0.76500000000000001</v>
      </c>
      <c r="D1578" s="4">
        <v>0.61247410899999999</v>
      </c>
      <c r="E1578" s="18">
        <v>991</v>
      </c>
      <c r="G1578" s="4"/>
      <c r="H1578" s="4">
        <f t="shared" si="34"/>
        <v>0</v>
      </c>
      <c r="I1578" s="2">
        <f t="shared" si="35"/>
        <v>0</v>
      </c>
      <c r="J1578">
        <v>7</v>
      </c>
    </row>
    <row r="1579" spans="1:10" x14ac:dyDescent="0.3">
      <c r="A1579" t="s">
        <v>168</v>
      </c>
      <c r="B1579" t="s">
        <v>23</v>
      </c>
      <c r="C1579" s="4">
        <v>0.76500000000000001</v>
      </c>
      <c r="D1579" s="4">
        <v>0.61247410899999999</v>
      </c>
      <c r="E1579" s="18">
        <v>992</v>
      </c>
      <c r="G1579" s="4"/>
      <c r="H1579" s="4">
        <f t="shared" si="34"/>
        <v>0</v>
      </c>
      <c r="I1579" s="2">
        <f t="shared" si="35"/>
        <v>0</v>
      </c>
      <c r="J1579">
        <v>6</v>
      </c>
    </row>
    <row r="1580" spans="1:10" x14ac:dyDescent="0.3">
      <c r="A1580" t="s">
        <v>169</v>
      </c>
      <c r="B1580" t="s">
        <v>75</v>
      </c>
      <c r="C1580" s="4">
        <v>0.86</v>
      </c>
      <c r="D1580" s="4">
        <v>0.65666666699999998</v>
      </c>
      <c r="E1580" s="18">
        <v>993</v>
      </c>
      <c r="G1580" s="4"/>
      <c r="H1580" s="4">
        <f t="shared" si="34"/>
        <v>0</v>
      </c>
      <c r="I1580" s="2">
        <f t="shared" si="35"/>
        <v>0</v>
      </c>
      <c r="J1580">
        <v>3.5</v>
      </c>
    </row>
    <row r="1581" spans="1:10" x14ac:dyDescent="0.3">
      <c r="A1581" t="s">
        <v>169</v>
      </c>
      <c r="B1581" t="s">
        <v>51</v>
      </c>
      <c r="C1581" s="4">
        <v>0.40257753800000001</v>
      </c>
      <c r="D1581" s="4">
        <v>0.40843333300000001</v>
      </c>
      <c r="E1581" s="18">
        <v>994</v>
      </c>
      <c r="G1581" s="4"/>
      <c r="H1581" s="4">
        <f t="shared" si="34"/>
        <v>0</v>
      </c>
      <c r="I1581" s="2">
        <f t="shared" si="35"/>
        <v>0</v>
      </c>
      <c r="J1581">
        <v>12</v>
      </c>
    </row>
    <row r="1582" spans="1:10" x14ac:dyDescent="0.3">
      <c r="A1582" t="s">
        <v>169</v>
      </c>
      <c r="B1582" t="s">
        <v>60</v>
      </c>
      <c r="C1582" s="4">
        <v>0.41</v>
      </c>
      <c r="D1582" s="4">
        <v>0.33983503399999998</v>
      </c>
      <c r="E1582" s="18">
        <v>995</v>
      </c>
      <c r="G1582" s="4"/>
      <c r="H1582" s="4">
        <f t="shared" si="34"/>
        <v>0</v>
      </c>
      <c r="I1582" s="2">
        <f t="shared" si="35"/>
        <v>0</v>
      </c>
      <c r="J1582">
        <v>6.5</v>
      </c>
    </row>
    <row r="1583" spans="1:10" x14ac:dyDescent="0.3">
      <c r="A1583" t="s">
        <v>169</v>
      </c>
      <c r="B1583" t="s">
        <v>60</v>
      </c>
      <c r="C1583" s="4">
        <v>0.41</v>
      </c>
      <c r="D1583" s="4">
        <v>0.33983503399999998</v>
      </c>
      <c r="E1583" s="18">
        <v>996</v>
      </c>
      <c r="G1583" s="4"/>
      <c r="H1583" s="4">
        <f t="shared" si="34"/>
        <v>0</v>
      </c>
      <c r="I1583" s="2">
        <f t="shared" si="35"/>
        <v>0</v>
      </c>
      <c r="J1583">
        <v>12</v>
      </c>
    </row>
    <row r="1584" spans="1:10" x14ac:dyDescent="0.3">
      <c r="A1584" t="s">
        <v>169</v>
      </c>
      <c r="B1584" t="s">
        <v>41</v>
      </c>
      <c r="C1584" s="4">
        <v>0.56193137999999998</v>
      </c>
      <c r="D1584" s="4">
        <v>0.57808694400000005</v>
      </c>
      <c r="E1584" s="18">
        <v>997</v>
      </c>
      <c r="G1584" s="4"/>
      <c r="H1584" s="4">
        <f t="shared" si="34"/>
        <v>0</v>
      </c>
      <c r="I1584" s="2">
        <f t="shared" si="35"/>
        <v>0</v>
      </c>
      <c r="J1584">
        <v>4.5</v>
      </c>
    </row>
    <row r="1585" spans="1:10" x14ac:dyDescent="0.3">
      <c r="A1585" t="s">
        <v>169</v>
      </c>
      <c r="B1585" t="s">
        <v>163</v>
      </c>
      <c r="C1585" s="4">
        <v>0.65</v>
      </c>
      <c r="D1585" s="4">
        <v>0.65</v>
      </c>
      <c r="E1585" s="18">
        <v>998</v>
      </c>
      <c r="G1585" s="4"/>
      <c r="H1585" s="4">
        <f t="shared" si="34"/>
        <v>0</v>
      </c>
      <c r="I1585" s="2">
        <f t="shared" si="35"/>
        <v>0</v>
      </c>
      <c r="J1585">
        <v>7</v>
      </c>
    </row>
    <row r="1586" spans="1:10" x14ac:dyDescent="0.3">
      <c r="A1586" t="s">
        <v>169</v>
      </c>
      <c r="B1586" t="s">
        <v>32</v>
      </c>
      <c r="C1586" s="4">
        <v>0.65716857299999998</v>
      </c>
      <c r="D1586" s="4">
        <v>0.85527777800000004</v>
      </c>
      <c r="E1586" s="18">
        <v>999</v>
      </c>
      <c r="G1586" s="4"/>
      <c r="H1586" s="4">
        <f t="shared" si="34"/>
        <v>0</v>
      </c>
      <c r="I1586" s="2">
        <f t="shared" si="35"/>
        <v>0</v>
      </c>
      <c r="J1586">
        <v>3.5</v>
      </c>
    </row>
    <row r="1587" spans="1:10" x14ac:dyDescent="0.3">
      <c r="A1587" t="s">
        <v>169</v>
      </c>
      <c r="B1587" t="s">
        <v>47</v>
      </c>
      <c r="C1587" s="4">
        <v>0.40238543599999999</v>
      </c>
      <c r="D1587" s="4">
        <v>0.40883333300000002</v>
      </c>
      <c r="E1587" s="18">
        <v>1000</v>
      </c>
      <c r="G1587" s="4"/>
      <c r="H1587" s="4">
        <f t="shared" si="34"/>
        <v>0</v>
      </c>
      <c r="I1587" s="2">
        <f t="shared" si="35"/>
        <v>0</v>
      </c>
      <c r="J1587">
        <v>16</v>
      </c>
    </row>
    <row r="1588" spans="1:10" x14ac:dyDescent="0.3">
      <c r="A1588" t="s">
        <v>169</v>
      </c>
      <c r="B1588" t="s">
        <v>49</v>
      </c>
      <c r="C1588" s="4">
        <v>0.57917600000000002</v>
      </c>
      <c r="D1588" s="4">
        <v>0.60285714300000004</v>
      </c>
      <c r="E1588" s="18">
        <v>1001</v>
      </c>
      <c r="G1588" s="4"/>
      <c r="H1588" s="4">
        <f t="shared" si="34"/>
        <v>0</v>
      </c>
      <c r="I1588" s="2">
        <f t="shared" si="35"/>
        <v>0</v>
      </c>
      <c r="J1588">
        <v>6</v>
      </c>
    </row>
    <row r="1589" spans="1:10" x14ac:dyDescent="0.3">
      <c r="A1589" t="s">
        <v>169</v>
      </c>
      <c r="B1589" t="s">
        <v>167</v>
      </c>
      <c r="C1589" s="4">
        <v>0.52607139999999997</v>
      </c>
      <c r="D1589" s="4">
        <v>0.52607142900000003</v>
      </c>
      <c r="E1589" s="18">
        <v>1002</v>
      </c>
      <c r="G1589" s="4"/>
      <c r="H1589" s="4">
        <f t="shared" si="34"/>
        <v>0</v>
      </c>
      <c r="I1589" s="2">
        <f t="shared" si="35"/>
        <v>0</v>
      </c>
      <c r="J1589">
        <v>5</v>
      </c>
    </row>
    <row r="1590" spans="1:10" x14ac:dyDescent="0.3">
      <c r="A1590" t="s">
        <v>170</v>
      </c>
      <c r="B1590" t="s">
        <v>60</v>
      </c>
      <c r="C1590" s="4">
        <v>0.41</v>
      </c>
      <c r="D1590" s="4">
        <v>0.33983503399999998</v>
      </c>
      <c r="E1590" s="18">
        <v>1003</v>
      </c>
      <c r="G1590" s="4"/>
      <c r="H1590" s="4">
        <f t="shared" si="34"/>
        <v>0</v>
      </c>
      <c r="I1590" s="2">
        <f t="shared" si="35"/>
        <v>0</v>
      </c>
      <c r="J1590">
        <v>8</v>
      </c>
    </row>
    <row r="1591" spans="1:10" x14ac:dyDescent="0.3">
      <c r="A1591" t="s">
        <v>170</v>
      </c>
      <c r="B1591" t="s">
        <v>60</v>
      </c>
      <c r="C1591" s="4">
        <v>0.41</v>
      </c>
      <c r="D1591" s="4">
        <v>0.33983503399999998</v>
      </c>
      <c r="E1591" s="18">
        <v>1004</v>
      </c>
      <c r="G1591" s="4"/>
      <c r="H1591" s="4">
        <f t="shared" si="34"/>
        <v>0</v>
      </c>
      <c r="I1591" s="2">
        <f t="shared" si="35"/>
        <v>0</v>
      </c>
      <c r="J1591">
        <v>7</v>
      </c>
    </row>
    <row r="1592" spans="1:10" x14ac:dyDescent="0.3">
      <c r="A1592" t="s">
        <v>170</v>
      </c>
      <c r="B1592" t="s">
        <v>60</v>
      </c>
      <c r="C1592" s="4">
        <v>0.41</v>
      </c>
      <c r="D1592" s="4">
        <v>0.33983503399999998</v>
      </c>
      <c r="E1592" s="18">
        <v>1005</v>
      </c>
      <c r="G1592" s="4"/>
      <c r="H1592" s="4">
        <f t="shared" si="34"/>
        <v>0</v>
      </c>
      <c r="I1592" s="2">
        <f t="shared" si="35"/>
        <v>0</v>
      </c>
      <c r="J1592">
        <v>7</v>
      </c>
    </row>
    <row r="1593" spans="1:10" x14ac:dyDescent="0.3">
      <c r="A1593" t="s">
        <v>170</v>
      </c>
      <c r="B1593" t="s">
        <v>60</v>
      </c>
      <c r="C1593" s="4">
        <v>0.41</v>
      </c>
      <c r="D1593" s="4">
        <v>0.33983503399999998</v>
      </c>
      <c r="E1593" s="18">
        <v>1006</v>
      </c>
      <c r="G1593" s="4"/>
      <c r="H1593" s="4">
        <f t="shared" si="34"/>
        <v>0</v>
      </c>
      <c r="I1593" s="2">
        <f t="shared" si="35"/>
        <v>0</v>
      </c>
      <c r="J1593">
        <v>7</v>
      </c>
    </row>
    <row r="1594" spans="1:10" x14ac:dyDescent="0.3">
      <c r="A1594" t="s">
        <v>170</v>
      </c>
      <c r="B1594" t="s">
        <v>60</v>
      </c>
      <c r="C1594" s="4">
        <v>0.41</v>
      </c>
      <c r="D1594" s="4">
        <v>0.33983503399999998</v>
      </c>
      <c r="E1594" s="18">
        <v>1007</v>
      </c>
      <c r="G1594" s="4"/>
      <c r="H1594" s="4">
        <f t="shared" si="34"/>
        <v>0</v>
      </c>
      <c r="I1594" s="2">
        <f t="shared" si="35"/>
        <v>0</v>
      </c>
      <c r="J1594">
        <v>5</v>
      </c>
    </row>
    <row r="1595" spans="1:10" x14ac:dyDescent="0.3">
      <c r="A1595" t="s">
        <v>170</v>
      </c>
      <c r="B1595" t="s">
        <v>60</v>
      </c>
      <c r="C1595" s="4">
        <v>0.41</v>
      </c>
      <c r="D1595" s="4">
        <v>0.33983503399999998</v>
      </c>
      <c r="E1595" s="18">
        <v>1008</v>
      </c>
      <c r="G1595" s="4"/>
      <c r="H1595" s="4">
        <f t="shared" si="34"/>
        <v>0</v>
      </c>
      <c r="I1595" s="2">
        <f t="shared" si="35"/>
        <v>0</v>
      </c>
      <c r="J1595">
        <v>5</v>
      </c>
    </row>
    <row r="1596" spans="1:10" x14ac:dyDescent="0.3">
      <c r="A1596" t="s">
        <v>170</v>
      </c>
      <c r="B1596" t="s">
        <v>60</v>
      </c>
      <c r="C1596" s="4">
        <v>0.41</v>
      </c>
      <c r="D1596" s="4">
        <v>0.33983503399999998</v>
      </c>
      <c r="E1596" s="18">
        <v>1009</v>
      </c>
      <c r="G1596" s="4"/>
      <c r="H1596" s="4">
        <f t="shared" si="34"/>
        <v>0</v>
      </c>
      <c r="I1596" s="2">
        <f t="shared" si="35"/>
        <v>0</v>
      </c>
      <c r="J1596">
        <v>4.5</v>
      </c>
    </row>
    <row r="1597" spans="1:10" x14ac:dyDescent="0.3">
      <c r="A1597" t="s">
        <v>170</v>
      </c>
      <c r="B1597" t="s">
        <v>60</v>
      </c>
      <c r="C1597" s="4">
        <v>0.41</v>
      </c>
      <c r="D1597" s="4">
        <v>0.33983503399999998</v>
      </c>
      <c r="E1597" s="18">
        <v>1010</v>
      </c>
      <c r="G1597" s="4"/>
      <c r="H1597" s="4">
        <f t="shared" si="34"/>
        <v>0</v>
      </c>
      <c r="I1597" s="2">
        <f t="shared" si="35"/>
        <v>0</v>
      </c>
      <c r="J1597">
        <v>4</v>
      </c>
    </row>
    <row r="1598" spans="1:10" x14ac:dyDescent="0.3">
      <c r="A1598" t="s">
        <v>170</v>
      </c>
      <c r="B1598" t="s">
        <v>171</v>
      </c>
      <c r="C1598" s="4">
        <v>0.6671667</v>
      </c>
      <c r="D1598" s="4">
        <v>0.66716666700000005</v>
      </c>
      <c r="E1598" s="18">
        <v>1011</v>
      </c>
      <c r="G1598" s="4"/>
      <c r="H1598" s="4">
        <f t="shared" si="34"/>
        <v>0</v>
      </c>
      <c r="I1598" s="2">
        <f t="shared" si="35"/>
        <v>0</v>
      </c>
      <c r="J1598">
        <v>3.5</v>
      </c>
    </row>
    <row r="1599" spans="1:10" x14ac:dyDescent="0.3">
      <c r="A1599" t="s">
        <v>170</v>
      </c>
      <c r="B1599" t="s">
        <v>141</v>
      </c>
      <c r="C1599" s="4">
        <v>0.83069230800000005</v>
      </c>
      <c r="D1599" s="4">
        <v>0.78683697699999999</v>
      </c>
      <c r="E1599" s="18">
        <v>1012</v>
      </c>
      <c r="G1599" s="4"/>
      <c r="H1599" s="4">
        <f t="shared" si="34"/>
        <v>0</v>
      </c>
      <c r="I1599" s="2">
        <f t="shared" si="35"/>
        <v>0</v>
      </c>
      <c r="J1599">
        <v>6</v>
      </c>
    </row>
    <row r="1600" spans="1:10" x14ac:dyDescent="0.3">
      <c r="A1600" t="s">
        <v>170</v>
      </c>
      <c r="B1600" t="s">
        <v>56</v>
      </c>
      <c r="C1600" s="4">
        <v>0.39984676499999999</v>
      </c>
      <c r="D1600" s="4">
        <v>0.450333333</v>
      </c>
      <c r="E1600" s="18">
        <v>1013</v>
      </c>
      <c r="G1600" s="4"/>
      <c r="H1600" s="4">
        <f t="shared" si="34"/>
        <v>0</v>
      </c>
      <c r="I1600" s="2">
        <f t="shared" si="35"/>
        <v>0</v>
      </c>
      <c r="J1600">
        <v>7</v>
      </c>
    </row>
    <row r="1601" spans="1:10" x14ac:dyDescent="0.3">
      <c r="A1601" t="s">
        <v>170</v>
      </c>
      <c r="B1601" t="s">
        <v>157</v>
      </c>
      <c r="C1601" s="4">
        <v>0.63</v>
      </c>
      <c r="D1601" s="4">
        <v>0.629222222</v>
      </c>
      <c r="E1601" s="18">
        <v>1014</v>
      </c>
      <c r="G1601" s="4"/>
      <c r="H1601" s="4">
        <f t="shared" si="34"/>
        <v>0</v>
      </c>
      <c r="I1601" s="2">
        <f t="shared" si="35"/>
        <v>0</v>
      </c>
      <c r="J1601">
        <v>4.5</v>
      </c>
    </row>
    <row r="1602" spans="1:10" x14ac:dyDescent="0.3">
      <c r="A1602" t="s">
        <v>170</v>
      </c>
      <c r="B1602" t="s">
        <v>157</v>
      </c>
      <c r="C1602" s="4">
        <v>0.63</v>
      </c>
      <c r="D1602" s="4">
        <v>0.629222222</v>
      </c>
      <c r="E1602" s="18">
        <v>1015</v>
      </c>
      <c r="G1602" s="4"/>
      <c r="H1602" s="4">
        <f t="shared" si="34"/>
        <v>0</v>
      </c>
      <c r="I1602" s="2">
        <f t="shared" si="35"/>
        <v>0</v>
      </c>
      <c r="J1602">
        <v>4.5</v>
      </c>
    </row>
    <row r="1603" spans="1:10" x14ac:dyDescent="0.3">
      <c r="A1603" t="s">
        <v>170</v>
      </c>
      <c r="B1603" t="s">
        <v>157</v>
      </c>
      <c r="C1603" s="4">
        <v>0.63</v>
      </c>
      <c r="D1603" s="4">
        <v>0.629222222</v>
      </c>
      <c r="E1603" s="18">
        <v>1016</v>
      </c>
      <c r="G1603" s="4"/>
      <c r="H1603" s="4">
        <f t="shared" si="34"/>
        <v>0</v>
      </c>
      <c r="I1603" s="2">
        <f t="shared" si="35"/>
        <v>0</v>
      </c>
      <c r="J1603">
        <v>3</v>
      </c>
    </row>
    <row r="1604" spans="1:10" x14ac:dyDescent="0.3">
      <c r="A1604" t="s">
        <v>170</v>
      </c>
      <c r="B1604" t="s">
        <v>157</v>
      </c>
      <c r="C1604" s="4">
        <v>0.63</v>
      </c>
      <c r="D1604" s="4">
        <v>0.629222222</v>
      </c>
      <c r="E1604" s="18">
        <v>1017</v>
      </c>
      <c r="G1604" s="4"/>
      <c r="H1604" s="4">
        <f t="shared" si="34"/>
        <v>0</v>
      </c>
      <c r="I1604" s="2">
        <f t="shared" si="35"/>
        <v>0</v>
      </c>
      <c r="J1604">
        <v>2.2000000000000002</v>
      </c>
    </row>
    <row r="1605" spans="1:10" x14ac:dyDescent="0.3">
      <c r="A1605" t="s">
        <v>170</v>
      </c>
      <c r="B1605" t="s">
        <v>172</v>
      </c>
      <c r="C1605" s="4">
        <v>0.62922219999999995</v>
      </c>
      <c r="D1605" s="4">
        <v>0.629222222</v>
      </c>
      <c r="E1605" s="18">
        <v>1018</v>
      </c>
      <c r="G1605" s="4"/>
      <c r="H1605" s="4">
        <f t="shared" si="34"/>
        <v>0</v>
      </c>
      <c r="I1605" s="2">
        <f t="shared" si="35"/>
        <v>0</v>
      </c>
      <c r="J1605">
        <v>1.6</v>
      </c>
    </row>
    <row r="1606" spans="1:10" x14ac:dyDescent="0.3">
      <c r="A1606" t="s">
        <v>170</v>
      </c>
      <c r="B1606" t="s">
        <v>172</v>
      </c>
      <c r="C1606" s="4">
        <v>0.62922219999999995</v>
      </c>
      <c r="D1606" s="4">
        <v>0.629222222</v>
      </c>
      <c r="E1606" s="18">
        <v>1019</v>
      </c>
      <c r="G1606" s="4"/>
      <c r="H1606" s="4">
        <f t="shared" si="34"/>
        <v>0</v>
      </c>
      <c r="I1606" s="2">
        <f t="shared" si="35"/>
        <v>0</v>
      </c>
      <c r="J1606">
        <v>1.5</v>
      </c>
    </row>
    <row r="1607" spans="1:10" x14ac:dyDescent="0.3">
      <c r="A1607" t="s">
        <v>170</v>
      </c>
      <c r="B1607" t="s">
        <v>135</v>
      </c>
      <c r="C1607" s="4">
        <v>0.84088890000000005</v>
      </c>
      <c r="D1607" s="4">
        <v>0.84088888900000003</v>
      </c>
      <c r="E1607" s="18">
        <v>1020</v>
      </c>
      <c r="G1607" s="4"/>
      <c r="H1607" s="4">
        <f t="shared" si="34"/>
        <v>0</v>
      </c>
      <c r="I1607" s="2">
        <f t="shared" si="35"/>
        <v>0</v>
      </c>
      <c r="J1607">
        <v>10</v>
      </c>
    </row>
    <row r="1608" spans="1:10" x14ac:dyDescent="0.3">
      <c r="A1608" t="s">
        <v>170</v>
      </c>
      <c r="B1608" t="s">
        <v>135</v>
      </c>
      <c r="C1608" s="4">
        <v>0.84088890000000005</v>
      </c>
      <c r="D1608" s="4">
        <v>0.84088888900000003</v>
      </c>
      <c r="E1608" s="18">
        <v>1021</v>
      </c>
      <c r="G1608" s="4"/>
      <c r="H1608" s="4">
        <f t="shared" si="34"/>
        <v>0</v>
      </c>
      <c r="I1608" s="2">
        <f t="shared" si="35"/>
        <v>0</v>
      </c>
      <c r="J1608">
        <v>10</v>
      </c>
    </row>
    <row r="1609" spans="1:10" x14ac:dyDescent="0.3">
      <c r="A1609" t="s">
        <v>170</v>
      </c>
      <c r="B1609" t="s">
        <v>163</v>
      </c>
      <c r="C1609" s="4">
        <v>0.65</v>
      </c>
      <c r="D1609" s="4">
        <v>0.65</v>
      </c>
      <c r="E1609" s="18">
        <v>1022</v>
      </c>
      <c r="G1609" s="4"/>
      <c r="H1609" s="4">
        <f t="shared" si="34"/>
        <v>0</v>
      </c>
      <c r="I1609" s="2">
        <f t="shared" si="35"/>
        <v>0</v>
      </c>
      <c r="J1609">
        <v>10</v>
      </c>
    </row>
    <row r="1610" spans="1:10" x14ac:dyDescent="0.3">
      <c r="A1610" t="s">
        <v>170</v>
      </c>
      <c r="B1610" t="s">
        <v>163</v>
      </c>
      <c r="C1610" s="4">
        <v>0.65</v>
      </c>
      <c r="D1610" s="4">
        <v>0.65</v>
      </c>
      <c r="E1610" s="18">
        <v>1023</v>
      </c>
      <c r="G1610" s="4"/>
      <c r="H1610" s="4">
        <f t="shared" si="34"/>
        <v>0</v>
      </c>
      <c r="I1610" s="2">
        <f t="shared" si="35"/>
        <v>0</v>
      </c>
      <c r="J1610">
        <v>9</v>
      </c>
    </row>
    <row r="1611" spans="1:10" x14ac:dyDescent="0.3">
      <c r="A1611" t="s">
        <v>170</v>
      </c>
      <c r="B1611" t="s">
        <v>163</v>
      </c>
      <c r="C1611" s="4">
        <v>0.65</v>
      </c>
      <c r="D1611" s="4">
        <v>0.65</v>
      </c>
      <c r="E1611" s="18">
        <v>1024</v>
      </c>
      <c r="G1611" s="4"/>
      <c r="H1611" s="4">
        <f t="shared" si="34"/>
        <v>0</v>
      </c>
      <c r="I1611" s="2">
        <f t="shared" si="35"/>
        <v>0</v>
      </c>
      <c r="J1611">
        <v>8</v>
      </c>
    </row>
    <row r="1612" spans="1:10" x14ac:dyDescent="0.3">
      <c r="A1612" t="s">
        <v>170</v>
      </c>
      <c r="B1612" t="s">
        <v>163</v>
      </c>
      <c r="C1612" s="4">
        <v>0.65</v>
      </c>
      <c r="D1612" s="4">
        <v>0.65</v>
      </c>
      <c r="E1612" s="18">
        <v>1025</v>
      </c>
      <c r="G1612" s="4"/>
      <c r="H1612" s="4">
        <f t="shared" si="34"/>
        <v>0</v>
      </c>
      <c r="I1612" s="2">
        <f t="shared" si="35"/>
        <v>0</v>
      </c>
      <c r="J1612">
        <v>8</v>
      </c>
    </row>
    <row r="1613" spans="1:10" x14ac:dyDescent="0.3">
      <c r="A1613" t="s">
        <v>170</v>
      </c>
      <c r="B1613" t="s">
        <v>163</v>
      </c>
      <c r="C1613" s="4">
        <v>0.65</v>
      </c>
      <c r="D1613" s="4">
        <v>0.65</v>
      </c>
      <c r="E1613" s="18">
        <v>1026</v>
      </c>
      <c r="G1613" s="4"/>
      <c r="H1613" s="4">
        <f t="shared" ref="H1613:H1676" si="36">G1613/PI()</f>
        <v>0</v>
      </c>
      <c r="I1613" s="2">
        <f t="shared" si="35"/>
        <v>0</v>
      </c>
      <c r="J1613">
        <v>7.5</v>
      </c>
    </row>
    <row r="1614" spans="1:10" x14ac:dyDescent="0.3">
      <c r="A1614" t="s">
        <v>170</v>
      </c>
      <c r="B1614" t="s">
        <v>163</v>
      </c>
      <c r="C1614" s="4">
        <v>0.65</v>
      </c>
      <c r="D1614" s="4">
        <v>0.65</v>
      </c>
      <c r="E1614" s="18">
        <v>1027</v>
      </c>
      <c r="G1614" s="4"/>
      <c r="H1614" s="4">
        <f t="shared" si="36"/>
        <v>0</v>
      </c>
      <c r="I1614" s="2">
        <f t="shared" si="35"/>
        <v>0</v>
      </c>
      <c r="J1614">
        <v>7</v>
      </c>
    </row>
    <row r="1615" spans="1:10" x14ac:dyDescent="0.3">
      <c r="A1615" t="s">
        <v>170</v>
      </c>
      <c r="B1615" t="s">
        <v>163</v>
      </c>
      <c r="C1615" s="4">
        <v>0.65</v>
      </c>
      <c r="D1615" s="4">
        <v>0.65</v>
      </c>
      <c r="E1615" s="18">
        <v>1028</v>
      </c>
      <c r="G1615" s="4"/>
      <c r="H1615" s="4">
        <f t="shared" si="36"/>
        <v>0</v>
      </c>
      <c r="I1615" s="2">
        <f t="shared" si="35"/>
        <v>0</v>
      </c>
      <c r="J1615">
        <v>7</v>
      </c>
    </row>
    <row r="1616" spans="1:10" x14ac:dyDescent="0.3">
      <c r="A1616" t="s">
        <v>170</v>
      </c>
      <c r="B1616" t="s">
        <v>163</v>
      </c>
      <c r="C1616" s="4">
        <v>0.65</v>
      </c>
      <c r="D1616" s="4">
        <v>0.65</v>
      </c>
      <c r="E1616" s="18">
        <v>1029</v>
      </c>
      <c r="G1616" s="4"/>
      <c r="H1616" s="4">
        <f t="shared" si="36"/>
        <v>0</v>
      </c>
      <c r="I1616" s="2">
        <f t="shared" si="35"/>
        <v>0</v>
      </c>
      <c r="J1616">
        <v>7</v>
      </c>
    </row>
    <row r="1617" spans="1:10" x14ac:dyDescent="0.3">
      <c r="A1617" t="s">
        <v>170</v>
      </c>
      <c r="B1617" t="s">
        <v>163</v>
      </c>
      <c r="C1617" s="4">
        <v>0.65</v>
      </c>
      <c r="D1617" s="4">
        <v>0.65</v>
      </c>
      <c r="E1617" s="18">
        <v>1030</v>
      </c>
      <c r="G1617" s="4"/>
      <c r="H1617" s="4">
        <f t="shared" si="36"/>
        <v>0</v>
      </c>
      <c r="I1617" s="2">
        <f t="shared" si="35"/>
        <v>0</v>
      </c>
      <c r="J1617">
        <v>7</v>
      </c>
    </row>
    <row r="1618" spans="1:10" x14ac:dyDescent="0.3">
      <c r="A1618" t="s">
        <v>170</v>
      </c>
      <c r="B1618" t="s">
        <v>163</v>
      </c>
      <c r="C1618" s="4">
        <v>0.65</v>
      </c>
      <c r="D1618" s="4">
        <v>0.65</v>
      </c>
      <c r="E1618" s="18">
        <v>1031</v>
      </c>
      <c r="G1618" s="4"/>
      <c r="H1618" s="4">
        <f t="shared" si="36"/>
        <v>0</v>
      </c>
      <c r="I1618" s="2">
        <f t="shared" si="35"/>
        <v>0</v>
      </c>
      <c r="J1618">
        <v>5.5</v>
      </c>
    </row>
    <row r="1619" spans="1:10" x14ac:dyDescent="0.3">
      <c r="A1619" t="s">
        <v>170</v>
      </c>
      <c r="B1619" t="s">
        <v>163</v>
      </c>
      <c r="C1619" s="4">
        <v>0.65</v>
      </c>
      <c r="D1619" s="4">
        <v>0.65</v>
      </c>
      <c r="E1619" s="18">
        <v>1032</v>
      </c>
      <c r="G1619" s="4"/>
      <c r="H1619" s="4">
        <f t="shared" si="36"/>
        <v>0</v>
      </c>
      <c r="I1619" s="2">
        <f t="shared" si="35"/>
        <v>0</v>
      </c>
      <c r="J1619">
        <v>5</v>
      </c>
    </row>
    <row r="1620" spans="1:10" x14ac:dyDescent="0.3">
      <c r="A1620" t="s">
        <v>170</v>
      </c>
      <c r="B1620" t="s">
        <v>163</v>
      </c>
      <c r="C1620" s="4">
        <v>0.65</v>
      </c>
      <c r="D1620" s="4">
        <v>0.65</v>
      </c>
      <c r="E1620" s="18">
        <v>1033</v>
      </c>
      <c r="G1620" s="4"/>
      <c r="H1620" s="4">
        <f t="shared" si="36"/>
        <v>0</v>
      </c>
      <c r="I1620" s="2">
        <f t="shared" si="35"/>
        <v>0</v>
      </c>
      <c r="J1620">
        <v>4</v>
      </c>
    </row>
    <row r="1621" spans="1:10" x14ac:dyDescent="0.3">
      <c r="A1621" t="s">
        <v>170</v>
      </c>
      <c r="B1621" t="s">
        <v>173</v>
      </c>
      <c r="C1621" s="4">
        <v>0.56572270000000002</v>
      </c>
      <c r="D1621" s="4">
        <v>0.61247410899999999</v>
      </c>
      <c r="E1621" s="18">
        <v>1034</v>
      </c>
      <c r="G1621" s="4"/>
      <c r="H1621" s="4">
        <f t="shared" si="36"/>
        <v>0</v>
      </c>
      <c r="I1621" s="2">
        <f t="shared" si="35"/>
        <v>0</v>
      </c>
      <c r="J1621">
        <v>3</v>
      </c>
    </row>
    <row r="1622" spans="1:10" x14ac:dyDescent="0.3">
      <c r="A1622" t="s">
        <v>170</v>
      </c>
      <c r="B1622" t="s">
        <v>22</v>
      </c>
      <c r="C1622" s="4">
        <v>0.43836446099999998</v>
      </c>
      <c r="D1622" s="4">
        <v>0.58666666700000003</v>
      </c>
      <c r="E1622" s="18">
        <v>1035</v>
      </c>
      <c r="G1622" s="4"/>
      <c r="H1622" s="4">
        <f t="shared" si="36"/>
        <v>0</v>
      </c>
      <c r="I1622" s="2">
        <f t="shared" si="35"/>
        <v>0</v>
      </c>
      <c r="J1622">
        <v>4.5</v>
      </c>
    </row>
    <row r="1623" spans="1:10" x14ac:dyDescent="0.3">
      <c r="A1623" t="s">
        <v>170</v>
      </c>
      <c r="B1623" t="s">
        <v>22</v>
      </c>
      <c r="C1623" s="4">
        <v>0.43836446099999998</v>
      </c>
      <c r="D1623" s="4">
        <v>0.58666666700000003</v>
      </c>
      <c r="E1623" s="18">
        <v>1036</v>
      </c>
      <c r="G1623" s="4"/>
      <c r="H1623" s="4">
        <f t="shared" si="36"/>
        <v>0</v>
      </c>
      <c r="I1623" s="2">
        <f t="shared" ref="I1623:I1686" si="37">PI()*(H1623/2)^2</f>
        <v>0</v>
      </c>
      <c r="J1623">
        <v>4.5</v>
      </c>
    </row>
    <row r="1624" spans="1:10" x14ac:dyDescent="0.3">
      <c r="A1624" t="s">
        <v>170</v>
      </c>
      <c r="B1624" t="s">
        <v>22</v>
      </c>
      <c r="C1624" s="4">
        <v>0.43836446099999998</v>
      </c>
      <c r="D1624" s="4">
        <v>0.58666666700000003</v>
      </c>
      <c r="E1624" s="18">
        <v>1037</v>
      </c>
      <c r="G1624" s="4"/>
      <c r="H1624" s="4">
        <f t="shared" si="36"/>
        <v>0</v>
      </c>
      <c r="I1624" s="2">
        <f t="shared" si="37"/>
        <v>0</v>
      </c>
      <c r="J1624">
        <v>3.6</v>
      </c>
    </row>
    <row r="1625" spans="1:10" x14ac:dyDescent="0.3">
      <c r="A1625" t="s">
        <v>170</v>
      </c>
      <c r="B1625" t="s">
        <v>22</v>
      </c>
      <c r="C1625" s="4">
        <v>0.43836446099999998</v>
      </c>
      <c r="D1625" s="4">
        <v>0.58666666700000003</v>
      </c>
      <c r="E1625" s="18">
        <v>1038</v>
      </c>
      <c r="G1625" s="4"/>
      <c r="H1625" s="4">
        <f t="shared" si="36"/>
        <v>0</v>
      </c>
      <c r="I1625" s="2">
        <f t="shared" si="37"/>
        <v>0</v>
      </c>
      <c r="J1625">
        <v>3.4</v>
      </c>
    </row>
    <row r="1626" spans="1:10" x14ac:dyDescent="0.3">
      <c r="A1626" t="s">
        <v>174</v>
      </c>
      <c r="B1626" t="s">
        <v>60</v>
      </c>
      <c r="C1626" s="4">
        <v>0.41</v>
      </c>
      <c r="D1626" s="4">
        <v>0.33983503399999998</v>
      </c>
      <c r="E1626" s="18">
        <v>1039</v>
      </c>
      <c r="G1626" s="4"/>
      <c r="H1626" s="4">
        <f t="shared" si="36"/>
        <v>0</v>
      </c>
      <c r="I1626" s="2">
        <f t="shared" si="37"/>
        <v>0</v>
      </c>
      <c r="J1626">
        <v>8</v>
      </c>
    </row>
    <row r="1627" spans="1:10" x14ac:dyDescent="0.3">
      <c r="A1627" t="s">
        <v>174</v>
      </c>
      <c r="B1627" t="s">
        <v>113</v>
      </c>
      <c r="C1627" s="4">
        <v>0.6</v>
      </c>
      <c r="D1627" s="4">
        <v>0.51040266700000003</v>
      </c>
      <c r="E1627" s="18">
        <v>1040</v>
      </c>
      <c r="G1627" s="4"/>
      <c r="H1627" s="4">
        <f t="shared" si="36"/>
        <v>0</v>
      </c>
      <c r="I1627" s="2">
        <f t="shared" si="37"/>
        <v>0</v>
      </c>
      <c r="J1627">
        <v>7.5</v>
      </c>
    </row>
    <row r="1628" spans="1:10" x14ac:dyDescent="0.3">
      <c r="A1628" t="s">
        <v>174</v>
      </c>
      <c r="B1628" t="s">
        <v>37</v>
      </c>
      <c r="C1628" s="4">
        <v>0.39790071399999999</v>
      </c>
      <c r="D1628" s="4">
        <v>0.50565277799999997</v>
      </c>
      <c r="E1628" s="18">
        <v>1041</v>
      </c>
      <c r="G1628" s="4"/>
      <c r="H1628" s="4">
        <f t="shared" si="36"/>
        <v>0</v>
      </c>
      <c r="I1628" s="2">
        <f t="shared" si="37"/>
        <v>0</v>
      </c>
      <c r="J1628">
        <v>6.3</v>
      </c>
    </row>
    <row r="1629" spans="1:10" x14ac:dyDescent="0.3">
      <c r="A1629" t="s">
        <v>174</v>
      </c>
      <c r="B1629" t="s">
        <v>37</v>
      </c>
      <c r="C1629" s="4">
        <v>0.39790071399999999</v>
      </c>
      <c r="D1629" s="4">
        <v>0.50565277799999997</v>
      </c>
      <c r="E1629" s="18">
        <v>1042</v>
      </c>
      <c r="G1629" s="4"/>
      <c r="H1629" s="4">
        <f t="shared" si="36"/>
        <v>0</v>
      </c>
      <c r="I1629" s="2">
        <f t="shared" si="37"/>
        <v>0</v>
      </c>
      <c r="J1629">
        <v>5.5</v>
      </c>
    </row>
    <row r="1630" spans="1:10" x14ac:dyDescent="0.3">
      <c r="A1630" t="s">
        <v>174</v>
      </c>
      <c r="B1630" t="s">
        <v>70</v>
      </c>
      <c r="C1630" s="4">
        <v>0.55560299999999996</v>
      </c>
      <c r="D1630" s="4">
        <v>0.55961111100000005</v>
      </c>
      <c r="E1630" s="18">
        <v>1043</v>
      </c>
      <c r="G1630" s="4"/>
      <c r="H1630" s="4">
        <f t="shared" si="36"/>
        <v>0</v>
      </c>
      <c r="I1630" s="2">
        <f t="shared" si="37"/>
        <v>0</v>
      </c>
      <c r="J1630">
        <v>6.5</v>
      </c>
    </row>
    <row r="1631" spans="1:10" x14ac:dyDescent="0.3">
      <c r="A1631" t="s">
        <v>174</v>
      </c>
      <c r="B1631" t="s">
        <v>70</v>
      </c>
      <c r="C1631" s="4">
        <v>0.55560299999999996</v>
      </c>
      <c r="D1631" s="4">
        <v>0.55961111100000005</v>
      </c>
      <c r="E1631" s="18">
        <v>1044</v>
      </c>
      <c r="G1631" s="4"/>
      <c r="H1631" s="4">
        <f t="shared" si="36"/>
        <v>0</v>
      </c>
      <c r="I1631" s="2">
        <f t="shared" si="37"/>
        <v>0</v>
      </c>
      <c r="J1631">
        <v>3.5</v>
      </c>
    </row>
    <row r="1632" spans="1:10" x14ac:dyDescent="0.3">
      <c r="A1632" t="s">
        <v>174</v>
      </c>
      <c r="B1632" t="s">
        <v>41</v>
      </c>
      <c r="C1632" s="4">
        <v>0.56193137999999998</v>
      </c>
      <c r="D1632" s="4">
        <v>0.57808694400000005</v>
      </c>
      <c r="E1632" s="18">
        <v>1045</v>
      </c>
      <c r="G1632" s="4"/>
      <c r="H1632" s="4">
        <f t="shared" si="36"/>
        <v>0</v>
      </c>
      <c r="I1632" s="2">
        <f t="shared" si="37"/>
        <v>0</v>
      </c>
      <c r="J1632">
        <v>6</v>
      </c>
    </row>
    <row r="1633" spans="1:10" x14ac:dyDescent="0.3">
      <c r="A1633" t="s">
        <v>174</v>
      </c>
      <c r="B1633" t="s">
        <v>41</v>
      </c>
      <c r="C1633" s="4">
        <v>0.56193137999999998</v>
      </c>
      <c r="D1633" s="4">
        <v>0.57808694400000005</v>
      </c>
      <c r="E1633" s="18">
        <v>1046</v>
      </c>
      <c r="G1633" s="4"/>
      <c r="H1633" s="4">
        <f t="shared" si="36"/>
        <v>0</v>
      </c>
      <c r="I1633" s="2">
        <f t="shared" si="37"/>
        <v>0</v>
      </c>
      <c r="J1633">
        <v>5.5</v>
      </c>
    </row>
    <row r="1634" spans="1:10" x14ac:dyDescent="0.3">
      <c r="A1634" t="s">
        <v>174</v>
      </c>
      <c r="B1634" t="s">
        <v>157</v>
      </c>
      <c r="C1634" s="4">
        <v>0.63</v>
      </c>
      <c r="D1634" s="4">
        <v>0.629222222</v>
      </c>
      <c r="E1634" s="18">
        <v>1047</v>
      </c>
      <c r="G1634" s="4"/>
      <c r="H1634" s="4">
        <f t="shared" si="36"/>
        <v>0</v>
      </c>
      <c r="I1634" s="2">
        <f t="shared" si="37"/>
        <v>0</v>
      </c>
      <c r="J1634">
        <v>2.2000000000000002</v>
      </c>
    </row>
    <row r="1635" spans="1:10" x14ac:dyDescent="0.3">
      <c r="A1635" t="s">
        <v>174</v>
      </c>
      <c r="B1635" t="s">
        <v>157</v>
      </c>
      <c r="C1635" s="4">
        <v>0.63</v>
      </c>
      <c r="D1635" s="4">
        <v>0.629222222</v>
      </c>
      <c r="E1635" s="18">
        <v>1048</v>
      </c>
      <c r="G1635" s="4"/>
      <c r="H1635" s="4">
        <f t="shared" si="36"/>
        <v>0</v>
      </c>
      <c r="I1635" s="2">
        <f t="shared" si="37"/>
        <v>0</v>
      </c>
      <c r="J1635">
        <v>1.3</v>
      </c>
    </row>
    <row r="1636" spans="1:10" x14ac:dyDescent="0.3">
      <c r="A1636" t="s">
        <v>174</v>
      </c>
      <c r="B1636" t="s">
        <v>57</v>
      </c>
      <c r="C1636" s="4">
        <v>0.61</v>
      </c>
      <c r="D1636" s="4">
        <v>0.84088888900000003</v>
      </c>
      <c r="E1636" s="18">
        <v>1049</v>
      </c>
      <c r="G1636" s="4"/>
      <c r="H1636" s="4">
        <f t="shared" si="36"/>
        <v>0</v>
      </c>
      <c r="I1636" s="2">
        <f t="shared" si="37"/>
        <v>0</v>
      </c>
      <c r="J1636">
        <v>6.5</v>
      </c>
    </row>
    <row r="1637" spans="1:10" x14ac:dyDescent="0.3">
      <c r="A1637" t="s">
        <v>174</v>
      </c>
      <c r="B1637" t="s">
        <v>135</v>
      </c>
      <c r="C1637" s="4">
        <v>0.84088890000000005</v>
      </c>
      <c r="D1637" s="4">
        <v>0.84088888900000003</v>
      </c>
      <c r="E1637" s="18">
        <v>1050</v>
      </c>
      <c r="G1637" s="4"/>
      <c r="H1637" s="4">
        <f t="shared" si="36"/>
        <v>0</v>
      </c>
      <c r="I1637" s="2">
        <f t="shared" si="37"/>
        <v>0</v>
      </c>
      <c r="J1637">
        <v>10</v>
      </c>
    </row>
    <row r="1638" spans="1:10" x14ac:dyDescent="0.3">
      <c r="A1638" t="s">
        <v>174</v>
      </c>
      <c r="B1638" t="s">
        <v>135</v>
      </c>
      <c r="C1638" s="4">
        <v>0.84088890000000005</v>
      </c>
      <c r="D1638" s="4">
        <v>0.84088888900000003</v>
      </c>
      <c r="E1638" s="18">
        <v>1051</v>
      </c>
      <c r="G1638" s="4"/>
      <c r="H1638" s="4">
        <f t="shared" si="36"/>
        <v>0</v>
      </c>
      <c r="I1638" s="2">
        <f t="shared" si="37"/>
        <v>0</v>
      </c>
      <c r="J1638">
        <v>9</v>
      </c>
    </row>
    <row r="1639" spans="1:10" x14ac:dyDescent="0.3">
      <c r="A1639" t="s">
        <v>174</v>
      </c>
      <c r="B1639" t="s">
        <v>135</v>
      </c>
      <c r="C1639" s="4">
        <v>0.84088890000000005</v>
      </c>
      <c r="D1639" s="4">
        <v>0.84088888900000003</v>
      </c>
      <c r="E1639" s="18">
        <v>1052</v>
      </c>
      <c r="G1639" s="4"/>
      <c r="H1639" s="4">
        <f t="shared" si="36"/>
        <v>0</v>
      </c>
      <c r="I1639" s="2">
        <f t="shared" si="37"/>
        <v>0</v>
      </c>
      <c r="J1639">
        <v>9</v>
      </c>
    </row>
    <row r="1640" spans="1:10" x14ac:dyDescent="0.3">
      <c r="A1640" t="s">
        <v>174</v>
      </c>
      <c r="B1640" t="s">
        <v>175</v>
      </c>
      <c r="C1640" s="4">
        <v>0.78713326400000005</v>
      </c>
      <c r="D1640" s="4">
        <v>0.8155</v>
      </c>
      <c r="E1640" s="18">
        <v>1053</v>
      </c>
      <c r="G1640" s="4"/>
      <c r="H1640" s="4">
        <f t="shared" si="36"/>
        <v>0</v>
      </c>
      <c r="I1640" s="2">
        <f t="shared" si="37"/>
        <v>0</v>
      </c>
      <c r="J1640">
        <v>3.5</v>
      </c>
    </row>
    <row r="1641" spans="1:10" x14ac:dyDescent="0.3">
      <c r="A1641" t="s">
        <v>174</v>
      </c>
      <c r="B1641" t="s">
        <v>118</v>
      </c>
      <c r="C1641" s="4">
        <v>0.56023871300000005</v>
      </c>
      <c r="D1641" s="4">
        <v>0.74103703700000001</v>
      </c>
      <c r="E1641" s="18">
        <v>1054</v>
      </c>
      <c r="G1641" s="4"/>
      <c r="H1641" s="4">
        <f t="shared" si="36"/>
        <v>0</v>
      </c>
      <c r="I1641" s="2">
        <f t="shared" si="37"/>
        <v>0</v>
      </c>
      <c r="J1641">
        <v>7</v>
      </c>
    </row>
    <row r="1642" spans="1:10" x14ac:dyDescent="0.3">
      <c r="A1642" t="s">
        <v>176</v>
      </c>
      <c r="B1642" t="s">
        <v>75</v>
      </c>
      <c r="C1642" s="4">
        <v>0.86</v>
      </c>
      <c r="D1642" s="4">
        <v>0.65666666699999998</v>
      </c>
      <c r="E1642" s="18">
        <v>1055</v>
      </c>
      <c r="G1642" s="4"/>
      <c r="H1642" s="4">
        <f t="shared" si="36"/>
        <v>0</v>
      </c>
      <c r="I1642" s="2">
        <f t="shared" si="37"/>
        <v>0</v>
      </c>
      <c r="J1642">
        <v>7</v>
      </c>
    </row>
    <row r="1643" spans="1:10" x14ac:dyDescent="0.3">
      <c r="A1643" t="s">
        <v>176</v>
      </c>
      <c r="B1643" t="s">
        <v>75</v>
      </c>
      <c r="C1643" s="4">
        <v>0.86</v>
      </c>
      <c r="D1643" s="4">
        <v>0.65666666699999998</v>
      </c>
      <c r="E1643" s="18">
        <v>1056</v>
      </c>
      <c r="G1643" s="4"/>
      <c r="H1643" s="4">
        <f t="shared" si="36"/>
        <v>0</v>
      </c>
      <c r="I1643" s="2">
        <f t="shared" si="37"/>
        <v>0</v>
      </c>
      <c r="J1643">
        <v>6</v>
      </c>
    </row>
    <row r="1644" spans="1:10" x14ac:dyDescent="0.3">
      <c r="A1644" t="s">
        <v>176</v>
      </c>
      <c r="B1644" t="s">
        <v>75</v>
      </c>
      <c r="C1644" s="4">
        <v>0.86</v>
      </c>
      <c r="D1644" s="4">
        <v>0.65666666699999998</v>
      </c>
      <c r="E1644" s="18">
        <v>1057</v>
      </c>
      <c r="G1644" s="4"/>
      <c r="H1644" s="4">
        <f t="shared" si="36"/>
        <v>0</v>
      </c>
      <c r="I1644" s="2">
        <f t="shared" si="37"/>
        <v>0</v>
      </c>
      <c r="J1644">
        <v>5</v>
      </c>
    </row>
    <row r="1645" spans="1:10" x14ac:dyDescent="0.3">
      <c r="A1645" t="s">
        <v>176</v>
      </c>
      <c r="B1645" t="s">
        <v>75</v>
      </c>
      <c r="C1645" s="4">
        <v>0.86</v>
      </c>
      <c r="D1645" s="4">
        <v>0.65666666699999998</v>
      </c>
      <c r="E1645" s="18">
        <v>1058</v>
      </c>
      <c r="G1645" s="4"/>
      <c r="H1645" s="4">
        <f t="shared" si="36"/>
        <v>0</v>
      </c>
      <c r="I1645" s="2">
        <f t="shared" si="37"/>
        <v>0</v>
      </c>
      <c r="J1645">
        <v>4.5</v>
      </c>
    </row>
    <row r="1646" spans="1:10" x14ac:dyDescent="0.3">
      <c r="A1646" t="s">
        <v>176</v>
      </c>
      <c r="B1646" t="s">
        <v>26</v>
      </c>
      <c r="C1646" s="4">
        <v>0.80908761900000004</v>
      </c>
      <c r="D1646" s="4">
        <v>0.87473809499999999</v>
      </c>
      <c r="E1646" s="18">
        <v>1059</v>
      </c>
      <c r="G1646" s="4"/>
      <c r="H1646" s="4">
        <f t="shared" si="36"/>
        <v>0</v>
      </c>
      <c r="I1646" s="2">
        <f t="shared" si="37"/>
        <v>0</v>
      </c>
      <c r="J1646">
        <v>8</v>
      </c>
    </row>
    <row r="1647" spans="1:10" x14ac:dyDescent="0.3">
      <c r="A1647" t="s">
        <v>176</v>
      </c>
      <c r="B1647" t="s">
        <v>60</v>
      </c>
      <c r="C1647" s="4">
        <v>0.41</v>
      </c>
      <c r="D1647" s="4">
        <v>0.33983503399999998</v>
      </c>
      <c r="E1647" s="18">
        <v>1060</v>
      </c>
      <c r="G1647" s="4"/>
      <c r="H1647" s="4">
        <f t="shared" si="36"/>
        <v>0</v>
      </c>
      <c r="I1647" s="2">
        <f t="shared" si="37"/>
        <v>0</v>
      </c>
      <c r="J1647">
        <v>8</v>
      </c>
    </row>
    <row r="1648" spans="1:10" x14ac:dyDescent="0.3">
      <c r="A1648" t="s">
        <v>176</v>
      </c>
      <c r="B1648" t="s">
        <v>17</v>
      </c>
      <c r="C1648" s="4">
        <v>0.708787469</v>
      </c>
      <c r="D1648" s="4">
        <v>0.80167708299999996</v>
      </c>
      <c r="E1648" s="18">
        <v>1061</v>
      </c>
      <c r="G1648" s="4"/>
      <c r="H1648" s="4">
        <f t="shared" si="36"/>
        <v>0</v>
      </c>
      <c r="I1648" s="2">
        <f t="shared" si="37"/>
        <v>0</v>
      </c>
      <c r="J1648">
        <v>2</v>
      </c>
    </row>
    <row r="1649" spans="1:10" x14ac:dyDescent="0.3">
      <c r="A1649" t="s">
        <v>176</v>
      </c>
      <c r="B1649" t="s">
        <v>157</v>
      </c>
      <c r="C1649" s="4">
        <v>0.63</v>
      </c>
      <c r="D1649" s="4">
        <v>0.629222222</v>
      </c>
      <c r="E1649" s="18">
        <v>1062</v>
      </c>
      <c r="G1649" s="4"/>
      <c r="H1649" s="4">
        <f t="shared" si="36"/>
        <v>0</v>
      </c>
      <c r="I1649" s="2">
        <f t="shared" si="37"/>
        <v>0</v>
      </c>
      <c r="J1649">
        <v>2.6</v>
      </c>
    </row>
    <row r="1650" spans="1:10" x14ac:dyDescent="0.3">
      <c r="A1650" t="s">
        <v>176</v>
      </c>
      <c r="B1650" t="s">
        <v>157</v>
      </c>
      <c r="C1650" s="4">
        <v>0.63</v>
      </c>
      <c r="D1650" s="4">
        <v>0.629222222</v>
      </c>
      <c r="E1650" s="18">
        <v>1063</v>
      </c>
      <c r="G1650" s="4"/>
      <c r="H1650" s="4">
        <f t="shared" si="36"/>
        <v>0</v>
      </c>
      <c r="I1650" s="2">
        <f t="shared" si="37"/>
        <v>0</v>
      </c>
      <c r="J1650">
        <v>2.2000000000000002</v>
      </c>
    </row>
    <row r="1651" spans="1:10" x14ac:dyDescent="0.3">
      <c r="A1651" t="s">
        <v>176</v>
      </c>
      <c r="B1651" t="s">
        <v>157</v>
      </c>
      <c r="C1651" s="4">
        <v>0.63</v>
      </c>
      <c r="D1651" s="4">
        <v>0.629222222</v>
      </c>
      <c r="E1651" s="18">
        <v>1064</v>
      </c>
      <c r="G1651" s="4"/>
      <c r="H1651" s="4">
        <f t="shared" si="36"/>
        <v>0</v>
      </c>
      <c r="I1651" s="2">
        <f t="shared" si="37"/>
        <v>0</v>
      </c>
      <c r="J1651">
        <v>1.45</v>
      </c>
    </row>
    <row r="1652" spans="1:10" x14ac:dyDescent="0.3">
      <c r="A1652" t="s">
        <v>176</v>
      </c>
      <c r="B1652" t="s">
        <v>157</v>
      </c>
      <c r="C1652" s="4">
        <v>0.63</v>
      </c>
      <c r="D1652" s="4">
        <v>0.629222222</v>
      </c>
      <c r="E1652" s="18">
        <v>1065</v>
      </c>
      <c r="G1652" s="4"/>
      <c r="H1652" s="4">
        <f t="shared" si="36"/>
        <v>0</v>
      </c>
      <c r="I1652" s="2">
        <f t="shared" si="37"/>
        <v>0</v>
      </c>
      <c r="J1652">
        <v>2.2000000000000002</v>
      </c>
    </row>
    <row r="1653" spans="1:10" x14ac:dyDescent="0.3">
      <c r="A1653" t="s">
        <v>176</v>
      </c>
      <c r="B1653" t="s">
        <v>39</v>
      </c>
      <c r="C1653" s="4">
        <v>0.590536375</v>
      </c>
      <c r="D1653" s="4">
        <v>0.61247410899999999</v>
      </c>
      <c r="E1653" s="18">
        <v>1066</v>
      </c>
      <c r="G1653" s="4"/>
      <c r="H1653" s="4">
        <f t="shared" si="36"/>
        <v>0</v>
      </c>
      <c r="I1653" s="2">
        <f t="shared" si="37"/>
        <v>0</v>
      </c>
      <c r="J1653">
        <v>9</v>
      </c>
    </row>
    <row r="1654" spans="1:10" x14ac:dyDescent="0.3">
      <c r="A1654" t="s">
        <v>176</v>
      </c>
      <c r="B1654" t="s">
        <v>22</v>
      </c>
      <c r="C1654" s="4">
        <v>0.43836446099999998</v>
      </c>
      <c r="D1654" s="4">
        <v>0.58666666700000003</v>
      </c>
      <c r="E1654" s="18">
        <v>1067</v>
      </c>
      <c r="G1654" s="4"/>
      <c r="H1654" s="4">
        <f t="shared" si="36"/>
        <v>0</v>
      </c>
      <c r="I1654" s="2">
        <f t="shared" si="37"/>
        <v>0</v>
      </c>
      <c r="J1654">
        <v>4.5</v>
      </c>
    </row>
    <row r="1655" spans="1:10" x14ac:dyDescent="0.3">
      <c r="A1655" t="s">
        <v>176</v>
      </c>
      <c r="B1655" t="s">
        <v>22</v>
      </c>
      <c r="C1655" s="4">
        <v>0.43836446099999998</v>
      </c>
      <c r="D1655" s="4">
        <v>0.58666666700000003</v>
      </c>
      <c r="E1655" s="18">
        <v>1068</v>
      </c>
      <c r="G1655" s="4"/>
      <c r="H1655" s="4">
        <f t="shared" si="36"/>
        <v>0</v>
      </c>
      <c r="I1655" s="2">
        <f t="shared" si="37"/>
        <v>0</v>
      </c>
      <c r="J1655">
        <v>1.8</v>
      </c>
    </row>
    <row r="1656" spans="1:10" x14ac:dyDescent="0.3">
      <c r="A1656" t="s">
        <v>176</v>
      </c>
      <c r="B1656" t="s">
        <v>149</v>
      </c>
      <c r="C1656" s="4">
        <v>0.41185709999999998</v>
      </c>
      <c r="D1656" s="4">
        <v>0.41185714299999998</v>
      </c>
      <c r="E1656" s="18">
        <v>1069</v>
      </c>
      <c r="G1656" s="4"/>
      <c r="H1656" s="4">
        <f t="shared" si="36"/>
        <v>0</v>
      </c>
      <c r="I1656" s="2">
        <f t="shared" si="37"/>
        <v>0</v>
      </c>
      <c r="J1656">
        <v>6</v>
      </c>
    </row>
    <row r="1657" spans="1:10" x14ac:dyDescent="0.3">
      <c r="A1657" t="s">
        <v>177</v>
      </c>
      <c r="B1657" t="s">
        <v>75</v>
      </c>
      <c r="C1657" s="4">
        <v>0.86</v>
      </c>
      <c r="D1657" s="4">
        <v>0.65666666699999998</v>
      </c>
      <c r="E1657" s="18">
        <v>1070</v>
      </c>
      <c r="G1657" s="4"/>
      <c r="H1657" s="4">
        <f t="shared" si="36"/>
        <v>0</v>
      </c>
      <c r="I1657" s="2">
        <f t="shared" si="37"/>
        <v>0</v>
      </c>
      <c r="J1657">
        <v>7</v>
      </c>
    </row>
    <row r="1658" spans="1:10" x14ac:dyDescent="0.3">
      <c r="A1658" t="s">
        <v>177</v>
      </c>
      <c r="B1658" t="s">
        <v>153</v>
      </c>
      <c r="C1658" s="4">
        <v>0.57550000000000001</v>
      </c>
      <c r="D1658" s="4">
        <v>0.57550000000000001</v>
      </c>
      <c r="E1658" s="18">
        <v>1071</v>
      </c>
      <c r="G1658" s="4"/>
      <c r="H1658" s="4">
        <f t="shared" si="36"/>
        <v>0</v>
      </c>
      <c r="I1658" s="2">
        <f t="shared" si="37"/>
        <v>0</v>
      </c>
      <c r="J1658">
        <v>1.9</v>
      </c>
    </row>
    <row r="1659" spans="1:10" x14ac:dyDescent="0.3">
      <c r="A1659" t="s">
        <v>177</v>
      </c>
      <c r="B1659" t="s">
        <v>153</v>
      </c>
      <c r="C1659" s="4">
        <v>0.57550000000000001</v>
      </c>
      <c r="D1659" s="4">
        <v>0.57550000000000001</v>
      </c>
      <c r="E1659" s="18">
        <v>1072</v>
      </c>
      <c r="G1659" s="4"/>
      <c r="H1659" s="4">
        <f t="shared" si="36"/>
        <v>0</v>
      </c>
      <c r="I1659" s="2">
        <f t="shared" si="37"/>
        <v>0</v>
      </c>
      <c r="J1659">
        <v>1.8</v>
      </c>
    </row>
    <row r="1660" spans="1:10" x14ac:dyDescent="0.3">
      <c r="A1660" t="s">
        <v>177</v>
      </c>
      <c r="B1660" t="s">
        <v>153</v>
      </c>
      <c r="C1660" s="4">
        <v>0.57550000000000001</v>
      </c>
      <c r="D1660" s="4">
        <v>0.57550000000000001</v>
      </c>
      <c r="E1660" s="18">
        <v>1073</v>
      </c>
      <c r="G1660" s="4"/>
      <c r="H1660" s="4">
        <f t="shared" si="36"/>
        <v>0</v>
      </c>
      <c r="I1660" s="2">
        <f t="shared" si="37"/>
        <v>0</v>
      </c>
      <c r="J1660">
        <v>2.5</v>
      </c>
    </row>
    <row r="1661" spans="1:10" x14ac:dyDescent="0.3">
      <c r="A1661" t="s">
        <v>177</v>
      </c>
      <c r="B1661" t="s">
        <v>60</v>
      </c>
      <c r="C1661" s="4">
        <v>0.41</v>
      </c>
      <c r="D1661" s="4">
        <v>0.33983503399999998</v>
      </c>
      <c r="E1661" s="18">
        <v>1074</v>
      </c>
      <c r="G1661" s="4"/>
      <c r="H1661" s="4">
        <f t="shared" si="36"/>
        <v>0</v>
      </c>
      <c r="I1661" s="2">
        <f t="shared" si="37"/>
        <v>0</v>
      </c>
      <c r="J1661">
        <v>7</v>
      </c>
    </row>
    <row r="1662" spans="1:10" x14ac:dyDescent="0.3">
      <c r="A1662" t="s">
        <v>177</v>
      </c>
      <c r="B1662" t="s">
        <v>60</v>
      </c>
      <c r="C1662" s="4">
        <v>0.41</v>
      </c>
      <c r="D1662" s="4">
        <v>0.33983503399999998</v>
      </c>
      <c r="E1662" s="18">
        <v>1075</v>
      </c>
      <c r="G1662" s="4"/>
      <c r="H1662" s="4">
        <f t="shared" si="36"/>
        <v>0</v>
      </c>
      <c r="I1662" s="2">
        <f t="shared" si="37"/>
        <v>0</v>
      </c>
      <c r="J1662">
        <v>2</v>
      </c>
    </row>
    <row r="1663" spans="1:10" x14ac:dyDescent="0.3">
      <c r="A1663" t="s">
        <v>177</v>
      </c>
      <c r="B1663" t="s">
        <v>60</v>
      </c>
      <c r="C1663" s="4">
        <v>0.41</v>
      </c>
      <c r="D1663" s="4">
        <v>0.33983503399999998</v>
      </c>
      <c r="E1663" s="18">
        <v>1076</v>
      </c>
      <c r="G1663" s="4"/>
      <c r="H1663" s="4">
        <f t="shared" si="36"/>
        <v>0</v>
      </c>
      <c r="I1663" s="2">
        <f t="shared" si="37"/>
        <v>0</v>
      </c>
      <c r="J1663">
        <v>7</v>
      </c>
    </row>
    <row r="1664" spans="1:10" x14ac:dyDescent="0.3">
      <c r="A1664" t="s">
        <v>177</v>
      </c>
      <c r="B1664" t="s">
        <v>60</v>
      </c>
      <c r="C1664" s="4">
        <v>0.41</v>
      </c>
      <c r="D1664" s="4">
        <v>0.33983503399999998</v>
      </c>
      <c r="E1664" s="18">
        <v>1077</v>
      </c>
      <c r="G1664" s="4"/>
      <c r="H1664" s="4">
        <f t="shared" si="36"/>
        <v>0</v>
      </c>
      <c r="I1664" s="2">
        <f t="shared" si="37"/>
        <v>0</v>
      </c>
      <c r="J1664">
        <v>5.5</v>
      </c>
    </row>
    <row r="1665" spans="1:10" x14ac:dyDescent="0.3">
      <c r="A1665" t="s">
        <v>177</v>
      </c>
      <c r="B1665" t="s">
        <v>14</v>
      </c>
      <c r="C1665" s="4">
        <v>0.766138345</v>
      </c>
      <c r="D1665" s="4">
        <v>0.90500000000000003</v>
      </c>
      <c r="E1665" s="18">
        <v>1078</v>
      </c>
      <c r="G1665" s="4"/>
      <c r="H1665" s="4">
        <f t="shared" si="36"/>
        <v>0</v>
      </c>
      <c r="I1665" s="2">
        <f t="shared" si="37"/>
        <v>0</v>
      </c>
      <c r="J1665">
        <v>2.7</v>
      </c>
    </row>
    <row r="1666" spans="1:10" x14ac:dyDescent="0.3">
      <c r="A1666" t="s">
        <v>177</v>
      </c>
      <c r="B1666" t="s">
        <v>171</v>
      </c>
      <c r="C1666" s="4">
        <v>0.6671667</v>
      </c>
      <c r="D1666" s="4">
        <v>0.66716666700000005</v>
      </c>
      <c r="E1666" s="18">
        <v>1079</v>
      </c>
      <c r="G1666" s="4"/>
      <c r="H1666" s="4">
        <f t="shared" si="36"/>
        <v>0</v>
      </c>
      <c r="I1666" s="2">
        <f t="shared" si="37"/>
        <v>0</v>
      </c>
      <c r="J1666">
        <v>1.75</v>
      </c>
    </row>
    <row r="1667" spans="1:10" x14ac:dyDescent="0.3">
      <c r="A1667" t="s">
        <v>177</v>
      </c>
      <c r="B1667" t="s">
        <v>141</v>
      </c>
      <c r="C1667" s="4">
        <v>0.83069230800000005</v>
      </c>
      <c r="D1667" s="4">
        <v>0.78683697699999999</v>
      </c>
      <c r="E1667" s="18">
        <v>1080</v>
      </c>
      <c r="G1667" s="4"/>
      <c r="H1667" s="4">
        <f t="shared" si="36"/>
        <v>0</v>
      </c>
      <c r="I1667" s="2">
        <f t="shared" si="37"/>
        <v>0</v>
      </c>
      <c r="J1667">
        <v>4.7</v>
      </c>
    </row>
    <row r="1668" spans="1:10" x14ac:dyDescent="0.3">
      <c r="A1668" t="s">
        <v>177</v>
      </c>
      <c r="B1668" t="s">
        <v>70</v>
      </c>
      <c r="C1668" s="4">
        <v>0.55560299999999996</v>
      </c>
      <c r="D1668" s="4">
        <v>0.55961111100000005</v>
      </c>
      <c r="E1668" s="18">
        <v>1081</v>
      </c>
      <c r="G1668" s="4"/>
      <c r="H1668" s="4">
        <f t="shared" si="36"/>
        <v>0</v>
      </c>
      <c r="I1668" s="2">
        <f t="shared" si="37"/>
        <v>0</v>
      </c>
      <c r="J1668">
        <v>2</v>
      </c>
    </row>
    <row r="1669" spans="1:10" x14ac:dyDescent="0.3">
      <c r="A1669" t="s">
        <v>177</v>
      </c>
      <c r="B1669" t="s">
        <v>41</v>
      </c>
      <c r="C1669" s="4">
        <v>0.56193137999999998</v>
      </c>
      <c r="D1669" s="4">
        <v>0.57808694400000005</v>
      </c>
      <c r="E1669" s="18">
        <v>1082</v>
      </c>
      <c r="G1669" s="4"/>
      <c r="H1669" s="4">
        <f t="shared" si="36"/>
        <v>0</v>
      </c>
      <c r="I1669" s="2">
        <f t="shared" si="37"/>
        <v>0</v>
      </c>
      <c r="J1669">
        <v>7.5</v>
      </c>
    </row>
    <row r="1670" spans="1:10" x14ac:dyDescent="0.3">
      <c r="A1670" t="s">
        <v>177</v>
      </c>
      <c r="B1670" t="s">
        <v>41</v>
      </c>
      <c r="C1670" s="4">
        <v>0.56193137999999998</v>
      </c>
      <c r="D1670" s="4">
        <v>0.57808694400000005</v>
      </c>
      <c r="E1670" s="18">
        <v>1083</v>
      </c>
      <c r="G1670" s="4"/>
      <c r="H1670" s="4">
        <f t="shared" si="36"/>
        <v>0</v>
      </c>
      <c r="I1670" s="2">
        <f t="shared" si="37"/>
        <v>0</v>
      </c>
      <c r="J1670">
        <v>6.8</v>
      </c>
    </row>
    <row r="1671" spans="1:10" x14ac:dyDescent="0.3">
      <c r="A1671" t="s">
        <v>177</v>
      </c>
      <c r="B1671" t="s">
        <v>41</v>
      </c>
      <c r="C1671" s="4">
        <v>0.56193137999999998</v>
      </c>
      <c r="D1671" s="4">
        <v>0.57808694400000005</v>
      </c>
      <c r="E1671" s="18">
        <v>1084</v>
      </c>
      <c r="G1671" s="4"/>
      <c r="H1671" s="4">
        <f t="shared" si="36"/>
        <v>0</v>
      </c>
      <c r="I1671" s="2">
        <f t="shared" si="37"/>
        <v>0</v>
      </c>
      <c r="J1671">
        <v>2.8</v>
      </c>
    </row>
    <row r="1672" spans="1:10" x14ac:dyDescent="0.3">
      <c r="A1672" t="s">
        <v>177</v>
      </c>
      <c r="B1672" t="s">
        <v>41</v>
      </c>
      <c r="C1672" s="4">
        <v>0.56193137999999998</v>
      </c>
      <c r="D1672" s="4">
        <v>0.57808694400000005</v>
      </c>
      <c r="E1672" s="18">
        <v>1085</v>
      </c>
      <c r="G1672" s="4"/>
      <c r="H1672" s="4">
        <f t="shared" si="36"/>
        <v>0</v>
      </c>
      <c r="I1672" s="2">
        <f t="shared" si="37"/>
        <v>0</v>
      </c>
      <c r="J1672">
        <v>2.5</v>
      </c>
    </row>
    <row r="1673" spans="1:10" x14ac:dyDescent="0.3">
      <c r="A1673" t="s">
        <v>177</v>
      </c>
      <c r="B1673" t="s">
        <v>157</v>
      </c>
      <c r="C1673" s="4">
        <v>0.63</v>
      </c>
      <c r="D1673" s="4">
        <v>0.629222222</v>
      </c>
      <c r="E1673" s="18">
        <v>1086</v>
      </c>
      <c r="G1673" s="4"/>
      <c r="H1673" s="4">
        <f t="shared" si="36"/>
        <v>0</v>
      </c>
      <c r="I1673" s="2">
        <f t="shared" si="37"/>
        <v>0</v>
      </c>
      <c r="J1673">
        <v>1.8</v>
      </c>
    </row>
    <row r="1674" spans="1:10" x14ac:dyDescent="0.3">
      <c r="A1674" t="s">
        <v>177</v>
      </c>
      <c r="B1674" t="s">
        <v>157</v>
      </c>
      <c r="C1674" s="4">
        <v>0.63</v>
      </c>
      <c r="D1674" s="4">
        <v>0.629222222</v>
      </c>
      <c r="E1674" s="18">
        <v>1087</v>
      </c>
      <c r="G1674" s="4"/>
      <c r="H1674" s="4">
        <f t="shared" si="36"/>
        <v>0</v>
      </c>
      <c r="I1674" s="2">
        <f t="shared" si="37"/>
        <v>0</v>
      </c>
      <c r="J1674">
        <v>1.6</v>
      </c>
    </row>
    <row r="1675" spans="1:10" x14ac:dyDescent="0.3">
      <c r="A1675" t="s">
        <v>177</v>
      </c>
      <c r="B1675" t="s">
        <v>172</v>
      </c>
      <c r="C1675" s="4">
        <v>0.62922219999999995</v>
      </c>
      <c r="D1675" s="4">
        <v>0.629222222</v>
      </c>
      <c r="E1675" s="18">
        <v>1088</v>
      </c>
      <c r="G1675" s="4"/>
      <c r="H1675" s="4">
        <f t="shared" si="36"/>
        <v>0</v>
      </c>
      <c r="I1675" s="2">
        <f t="shared" si="37"/>
        <v>0</v>
      </c>
      <c r="J1675">
        <v>1.5</v>
      </c>
    </row>
    <row r="1676" spans="1:10" x14ac:dyDescent="0.3">
      <c r="A1676" t="s">
        <v>177</v>
      </c>
      <c r="B1676" t="s">
        <v>172</v>
      </c>
      <c r="C1676" s="4">
        <v>0.62922219999999995</v>
      </c>
      <c r="D1676" s="4">
        <v>0.629222222</v>
      </c>
      <c r="E1676" s="18">
        <v>1089</v>
      </c>
      <c r="G1676" s="4"/>
      <c r="H1676" s="4">
        <f t="shared" si="36"/>
        <v>0</v>
      </c>
      <c r="I1676" s="2">
        <f t="shared" si="37"/>
        <v>0</v>
      </c>
      <c r="J1676">
        <v>1.4</v>
      </c>
    </row>
    <row r="1677" spans="1:10" x14ac:dyDescent="0.3">
      <c r="A1677" t="s">
        <v>177</v>
      </c>
      <c r="B1677" t="s">
        <v>172</v>
      </c>
      <c r="C1677" s="4">
        <v>0.62922219999999995</v>
      </c>
      <c r="D1677" s="4">
        <v>0.629222222</v>
      </c>
      <c r="E1677" s="18">
        <v>1090</v>
      </c>
      <c r="G1677" s="4"/>
      <c r="H1677" s="4">
        <f t="shared" ref="H1677:H1718" si="38">G1677/PI()</f>
        <v>0</v>
      </c>
      <c r="I1677" s="2">
        <f t="shared" si="37"/>
        <v>0</v>
      </c>
      <c r="J1677">
        <v>1.4</v>
      </c>
    </row>
    <row r="1678" spans="1:10" x14ac:dyDescent="0.3">
      <c r="A1678" t="s">
        <v>177</v>
      </c>
      <c r="B1678" t="s">
        <v>172</v>
      </c>
      <c r="C1678" s="4">
        <v>0.62922219999999995</v>
      </c>
      <c r="D1678" s="4">
        <v>0.629222222</v>
      </c>
      <c r="E1678" s="18">
        <v>1091</v>
      </c>
      <c r="G1678" s="4"/>
      <c r="H1678" s="4">
        <f t="shared" si="38"/>
        <v>0</v>
      </c>
      <c r="I1678" s="2">
        <f t="shared" si="37"/>
        <v>0</v>
      </c>
      <c r="J1678">
        <v>1.6</v>
      </c>
    </row>
    <row r="1679" spans="1:10" x14ac:dyDescent="0.3">
      <c r="A1679" t="s">
        <v>177</v>
      </c>
      <c r="B1679" t="s">
        <v>172</v>
      </c>
      <c r="C1679" s="4">
        <v>0.62922219999999995</v>
      </c>
      <c r="D1679" s="4">
        <v>0.629222222</v>
      </c>
      <c r="E1679" s="18">
        <v>1092</v>
      </c>
      <c r="G1679" s="4"/>
      <c r="H1679" s="4">
        <f t="shared" si="38"/>
        <v>0</v>
      </c>
      <c r="I1679" s="2">
        <f t="shared" si="37"/>
        <v>0</v>
      </c>
      <c r="J1679">
        <v>1.5</v>
      </c>
    </row>
    <row r="1680" spans="1:10" x14ac:dyDescent="0.3">
      <c r="A1680" t="s">
        <v>177</v>
      </c>
      <c r="B1680" t="s">
        <v>135</v>
      </c>
      <c r="C1680" s="4">
        <v>0.84088890000000005</v>
      </c>
      <c r="D1680" s="4">
        <v>0.84088888900000003</v>
      </c>
      <c r="E1680" s="18">
        <v>1093</v>
      </c>
      <c r="G1680" s="4"/>
      <c r="H1680" s="4">
        <f t="shared" si="38"/>
        <v>0</v>
      </c>
      <c r="I1680" s="2">
        <f t="shared" si="37"/>
        <v>0</v>
      </c>
      <c r="J1680">
        <v>9.5</v>
      </c>
    </row>
    <row r="1681" spans="1:10" x14ac:dyDescent="0.3">
      <c r="A1681" t="s">
        <v>177</v>
      </c>
      <c r="B1681" t="s">
        <v>135</v>
      </c>
      <c r="C1681" s="4">
        <v>0.84088890000000005</v>
      </c>
      <c r="D1681" s="4">
        <v>0.84088888900000003</v>
      </c>
      <c r="E1681" s="18">
        <v>1094</v>
      </c>
      <c r="G1681" s="4"/>
      <c r="H1681" s="4">
        <f t="shared" si="38"/>
        <v>0</v>
      </c>
      <c r="I1681" s="2">
        <f t="shared" si="37"/>
        <v>0</v>
      </c>
      <c r="J1681">
        <v>9</v>
      </c>
    </row>
    <row r="1682" spans="1:10" x14ac:dyDescent="0.3">
      <c r="A1682" t="s">
        <v>177</v>
      </c>
      <c r="B1682" t="s">
        <v>178</v>
      </c>
      <c r="C1682" s="4">
        <v>0.685322871</v>
      </c>
      <c r="D1682" s="4">
        <v>0.8155</v>
      </c>
      <c r="E1682" s="18">
        <v>1095</v>
      </c>
      <c r="G1682" s="4"/>
      <c r="H1682" s="4">
        <f t="shared" si="38"/>
        <v>0</v>
      </c>
      <c r="I1682" s="2">
        <f t="shared" si="37"/>
        <v>0</v>
      </c>
      <c r="J1682">
        <v>6.5</v>
      </c>
    </row>
    <row r="1683" spans="1:10" x14ac:dyDescent="0.3">
      <c r="A1683" t="s">
        <v>177</v>
      </c>
      <c r="B1683" t="s">
        <v>178</v>
      </c>
      <c r="C1683" s="4">
        <v>0.685322871</v>
      </c>
      <c r="D1683" s="4">
        <v>0.8155</v>
      </c>
      <c r="E1683" s="18">
        <v>1096</v>
      </c>
      <c r="G1683" s="4"/>
      <c r="H1683" s="4">
        <f t="shared" si="38"/>
        <v>0</v>
      </c>
      <c r="I1683" s="2">
        <f t="shared" si="37"/>
        <v>0</v>
      </c>
      <c r="J1683">
        <v>1.5</v>
      </c>
    </row>
    <row r="1684" spans="1:10" x14ac:dyDescent="0.3">
      <c r="A1684" t="s">
        <v>177</v>
      </c>
      <c r="B1684" t="s">
        <v>178</v>
      </c>
      <c r="C1684" s="4">
        <v>0.685322871</v>
      </c>
      <c r="D1684" s="4">
        <v>0.8155</v>
      </c>
      <c r="E1684" s="18">
        <v>1097</v>
      </c>
      <c r="G1684" s="4"/>
      <c r="H1684" s="4">
        <f t="shared" si="38"/>
        <v>0</v>
      </c>
      <c r="I1684" s="2">
        <f t="shared" si="37"/>
        <v>0</v>
      </c>
      <c r="J1684">
        <v>4</v>
      </c>
    </row>
    <row r="1685" spans="1:10" x14ac:dyDescent="0.3">
      <c r="A1685" t="s">
        <v>177</v>
      </c>
      <c r="B1685" t="s">
        <v>118</v>
      </c>
      <c r="C1685" s="4">
        <v>0.56023871300000005</v>
      </c>
      <c r="D1685" s="4">
        <v>0.74103703700000001</v>
      </c>
      <c r="E1685" s="18">
        <v>1098</v>
      </c>
      <c r="G1685" s="4"/>
      <c r="H1685" s="4">
        <f t="shared" si="38"/>
        <v>0</v>
      </c>
      <c r="I1685" s="2">
        <f t="shared" si="37"/>
        <v>0</v>
      </c>
      <c r="J1685">
        <v>6.5</v>
      </c>
    </row>
    <row r="1686" spans="1:10" x14ac:dyDescent="0.3">
      <c r="A1686" t="s">
        <v>177</v>
      </c>
      <c r="B1686" t="s">
        <v>118</v>
      </c>
      <c r="C1686" s="4">
        <v>0.56023871300000005</v>
      </c>
      <c r="D1686" s="4">
        <v>0.74103703700000001</v>
      </c>
      <c r="E1686" s="18">
        <v>1099</v>
      </c>
      <c r="G1686" s="4"/>
      <c r="H1686" s="4">
        <f t="shared" si="38"/>
        <v>0</v>
      </c>
      <c r="I1686" s="2">
        <f t="shared" si="37"/>
        <v>0</v>
      </c>
      <c r="J1686">
        <v>3</v>
      </c>
    </row>
    <row r="1687" spans="1:10" x14ac:dyDescent="0.3">
      <c r="A1687" t="s">
        <v>177</v>
      </c>
      <c r="B1687" t="s">
        <v>179</v>
      </c>
      <c r="C1687" s="4">
        <v>0.56572270000000002</v>
      </c>
      <c r="D1687" s="4">
        <v>0.61247410899999999</v>
      </c>
      <c r="E1687" s="18">
        <v>1100</v>
      </c>
      <c r="G1687" s="4"/>
      <c r="H1687" s="4">
        <f t="shared" si="38"/>
        <v>0</v>
      </c>
      <c r="I1687" s="2">
        <f t="shared" ref="I1687:I1718" si="39">PI()*(H1687/2)^2</f>
        <v>0</v>
      </c>
      <c r="J1687">
        <v>0.77</v>
      </c>
    </row>
    <row r="1688" spans="1:10" x14ac:dyDescent="0.3">
      <c r="A1688" t="s">
        <v>177</v>
      </c>
      <c r="B1688" t="s">
        <v>119</v>
      </c>
      <c r="C1688" s="4">
        <v>0.432770245</v>
      </c>
      <c r="D1688" s="4">
        <v>0.61247410899999999</v>
      </c>
      <c r="E1688" s="18">
        <v>1101</v>
      </c>
      <c r="G1688" s="4"/>
      <c r="H1688" s="4">
        <f t="shared" si="38"/>
        <v>0</v>
      </c>
      <c r="I1688" s="2">
        <f t="shared" si="39"/>
        <v>0</v>
      </c>
      <c r="J1688">
        <v>7</v>
      </c>
    </row>
    <row r="1689" spans="1:10" x14ac:dyDescent="0.3">
      <c r="A1689" t="s">
        <v>177</v>
      </c>
      <c r="B1689" t="s">
        <v>46</v>
      </c>
      <c r="C1689" s="4">
        <v>1.1200000000000001</v>
      </c>
      <c r="D1689" s="4">
        <v>0.85527777800000004</v>
      </c>
      <c r="E1689" s="18">
        <v>1102</v>
      </c>
      <c r="G1689" s="4"/>
      <c r="H1689" s="4">
        <f t="shared" si="38"/>
        <v>0</v>
      </c>
      <c r="I1689" s="2">
        <f t="shared" si="39"/>
        <v>0</v>
      </c>
      <c r="J1689">
        <v>2.9</v>
      </c>
    </row>
    <row r="1690" spans="1:10" x14ac:dyDescent="0.3">
      <c r="A1690" t="s">
        <v>177</v>
      </c>
      <c r="B1690" t="s">
        <v>47</v>
      </c>
      <c r="C1690" s="4">
        <v>0.40238543599999999</v>
      </c>
      <c r="D1690" s="4">
        <v>0.40883333300000002</v>
      </c>
      <c r="E1690" s="18">
        <v>1103</v>
      </c>
      <c r="G1690" s="4"/>
      <c r="H1690" s="4">
        <f t="shared" si="38"/>
        <v>0</v>
      </c>
      <c r="I1690" s="2">
        <f t="shared" si="39"/>
        <v>0</v>
      </c>
      <c r="J1690">
        <v>11</v>
      </c>
    </row>
    <row r="1691" spans="1:10" x14ac:dyDescent="0.3">
      <c r="A1691" t="s">
        <v>177</v>
      </c>
      <c r="B1691" t="s">
        <v>23</v>
      </c>
      <c r="C1691" s="4">
        <v>0.76500000000000001</v>
      </c>
      <c r="D1691" s="4">
        <v>0.61247410899999999</v>
      </c>
      <c r="E1691" s="18">
        <v>1104</v>
      </c>
      <c r="G1691" s="4"/>
      <c r="H1691" s="4">
        <f t="shared" si="38"/>
        <v>0</v>
      </c>
      <c r="I1691" s="2">
        <f t="shared" si="39"/>
        <v>0</v>
      </c>
      <c r="J1691">
        <v>8</v>
      </c>
    </row>
    <row r="1692" spans="1:10" x14ac:dyDescent="0.3">
      <c r="A1692" t="s">
        <v>180</v>
      </c>
      <c r="B1692" t="s">
        <v>75</v>
      </c>
      <c r="C1692" s="4">
        <v>0.86</v>
      </c>
      <c r="D1692" s="4">
        <v>0.65666666699999998</v>
      </c>
      <c r="E1692" s="18">
        <v>1105</v>
      </c>
      <c r="G1692" s="4"/>
      <c r="H1692" s="4">
        <f t="shared" si="38"/>
        <v>0</v>
      </c>
      <c r="I1692" s="2">
        <f t="shared" si="39"/>
        <v>0</v>
      </c>
      <c r="J1692">
        <v>6</v>
      </c>
    </row>
    <row r="1693" spans="1:10" x14ac:dyDescent="0.3">
      <c r="A1693" t="s">
        <v>180</v>
      </c>
      <c r="B1693" t="s">
        <v>153</v>
      </c>
      <c r="C1693" s="4">
        <v>0.57550000000000001</v>
      </c>
      <c r="D1693" s="4">
        <v>0.57550000000000001</v>
      </c>
      <c r="E1693" s="18">
        <v>1106</v>
      </c>
      <c r="G1693" s="4"/>
      <c r="H1693" s="4">
        <f t="shared" si="38"/>
        <v>0</v>
      </c>
      <c r="I1693" s="2">
        <f t="shared" si="39"/>
        <v>0</v>
      </c>
      <c r="J1693">
        <v>4</v>
      </c>
    </row>
    <row r="1694" spans="1:10" x14ac:dyDescent="0.3">
      <c r="A1694" t="s">
        <v>180</v>
      </c>
      <c r="B1694" t="s">
        <v>60</v>
      </c>
      <c r="C1694" s="4">
        <v>0.41</v>
      </c>
      <c r="D1694" s="4">
        <v>0.33983503399999998</v>
      </c>
      <c r="E1694" s="18">
        <v>1107</v>
      </c>
      <c r="G1694" s="4"/>
      <c r="H1694" s="4">
        <f t="shared" si="38"/>
        <v>0</v>
      </c>
      <c r="I1694" s="2">
        <f t="shared" si="39"/>
        <v>0</v>
      </c>
      <c r="J1694">
        <v>7</v>
      </c>
    </row>
    <row r="1695" spans="1:10" x14ac:dyDescent="0.3">
      <c r="A1695" t="s">
        <v>180</v>
      </c>
      <c r="B1695" t="s">
        <v>60</v>
      </c>
      <c r="C1695" s="4">
        <v>0.41</v>
      </c>
      <c r="D1695" s="4">
        <v>0.33983503399999998</v>
      </c>
      <c r="E1695" s="18">
        <v>1108</v>
      </c>
      <c r="G1695" s="4"/>
      <c r="H1695" s="4">
        <f t="shared" si="38"/>
        <v>0</v>
      </c>
      <c r="I1695" s="2">
        <f t="shared" si="39"/>
        <v>0</v>
      </c>
      <c r="J1695">
        <v>6</v>
      </c>
    </row>
    <row r="1696" spans="1:10" x14ac:dyDescent="0.3">
      <c r="A1696" t="s">
        <v>180</v>
      </c>
      <c r="B1696" t="s">
        <v>69</v>
      </c>
      <c r="C1696" s="4">
        <v>0.31264018999999998</v>
      </c>
      <c r="D1696" s="4">
        <v>0.356821212</v>
      </c>
      <c r="E1696" s="18">
        <v>1109</v>
      </c>
      <c r="G1696" s="4"/>
      <c r="H1696" s="4">
        <f t="shared" si="38"/>
        <v>0</v>
      </c>
      <c r="I1696" s="2">
        <f t="shared" si="39"/>
        <v>0</v>
      </c>
      <c r="J1696">
        <v>4.5</v>
      </c>
    </row>
    <row r="1697" spans="1:10" x14ac:dyDescent="0.3">
      <c r="A1697" t="s">
        <v>180</v>
      </c>
      <c r="B1697" t="s">
        <v>70</v>
      </c>
      <c r="C1697" s="4">
        <v>0.55560299999999996</v>
      </c>
      <c r="D1697" s="4">
        <v>0.55961111100000005</v>
      </c>
      <c r="E1697" s="18">
        <v>1110</v>
      </c>
      <c r="G1697" s="4"/>
      <c r="H1697" s="4">
        <f t="shared" si="38"/>
        <v>0</v>
      </c>
      <c r="I1697" s="2">
        <f t="shared" si="39"/>
        <v>0</v>
      </c>
      <c r="J1697">
        <v>4</v>
      </c>
    </row>
    <row r="1698" spans="1:10" x14ac:dyDescent="0.3">
      <c r="A1698" t="s">
        <v>180</v>
      </c>
      <c r="B1698" t="s">
        <v>57</v>
      </c>
      <c r="C1698" s="4">
        <v>0.61</v>
      </c>
      <c r="D1698" s="4">
        <v>0.84088888900000003</v>
      </c>
      <c r="E1698" s="18">
        <v>1111</v>
      </c>
      <c r="G1698" s="4"/>
      <c r="H1698" s="4">
        <f t="shared" si="38"/>
        <v>0</v>
      </c>
      <c r="I1698" s="2">
        <f t="shared" si="39"/>
        <v>0</v>
      </c>
      <c r="J1698">
        <v>7</v>
      </c>
    </row>
    <row r="1699" spans="1:10" x14ac:dyDescent="0.3">
      <c r="A1699" t="s">
        <v>180</v>
      </c>
      <c r="B1699" t="s">
        <v>135</v>
      </c>
      <c r="C1699" s="4">
        <v>0.84088890000000005</v>
      </c>
      <c r="D1699" s="4">
        <v>0.84088888900000003</v>
      </c>
      <c r="E1699" s="18">
        <v>1112</v>
      </c>
      <c r="G1699" s="4"/>
      <c r="H1699" s="4">
        <f t="shared" si="38"/>
        <v>0</v>
      </c>
      <c r="I1699" s="2">
        <f t="shared" si="39"/>
        <v>0</v>
      </c>
      <c r="J1699">
        <v>10</v>
      </c>
    </row>
    <row r="1700" spans="1:10" x14ac:dyDescent="0.3">
      <c r="A1700" t="s">
        <v>180</v>
      </c>
      <c r="B1700" t="s">
        <v>135</v>
      </c>
      <c r="C1700" s="4">
        <v>0.84088890000000005</v>
      </c>
      <c r="D1700" s="4">
        <v>0.84088888900000003</v>
      </c>
      <c r="E1700" s="18">
        <v>1113</v>
      </c>
      <c r="G1700" s="4"/>
      <c r="H1700" s="4">
        <f t="shared" si="38"/>
        <v>0</v>
      </c>
      <c r="I1700" s="2">
        <f t="shared" si="39"/>
        <v>0</v>
      </c>
      <c r="J1700">
        <v>9</v>
      </c>
    </row>
    <row r="1701" spans="1:10" x14ac:dyDescent="0.3">
      <c r="A1701" t="s">
        <v>180</v>
      </c>
      <c r="B1701" t="s">
        <v>47</v>
      </c>
      <c r="C1701" s="4">
        <v>0.40238543599999999</v>
      </c>
      <c r="D1701" s="4">
        <v>0.40883333300000002</v>
      </c>
      <c r="E1701" s="18">
        <v>1114</v>
      </c>
      <c r="G1701" s="4"/>
      <c r="H1701" s="4">
        <f t="shared" si="38"/>
        <v>0</v>
      </c>
      <c r="I1701" s="2">
        <f t="shared" si="39"/>
        <v>0</v>
      </c>
      <c r="J1701">
        <v>8</v>
      </c>
    </row>
    <row r="1702" spans="1:10" x14ac:dyDescent="0.3">
      <c r="A1702" t="s">
        <v>180</v>
      </c>
      <c r="B1702" t="s">
        <v>49</v>
      </c>
      <c r="C1702" s="4">
        <v>0.57917600000000002</v>
      </c>
      <c r="D1702" s="4">
        <v>0.60285714300000004</v>
      </c>
      <c r="E1702" s="18">
        <v>1115</v>
      </c>
      <c r="G1702" s="4"/>
      <c r="H1702" s="4">
        <f t="shared" si="38"/>
        <v>0</v>
      </c>
      <c r="I1702" s="2">
        <f t="shared" si="39"/>
        <v>0</v>
      </c>
      <c r="J1702">
        <v>10</v>
      </c>
    </row>
    <row r="1703" spans="1:10" x14ac:dyDescent="0.3">
      <c r="A1703" t="s">
        <v>180</v>
      </c>
      <c r="B1703" t="s">
        <v>149</v>
      </c>
      <c r="C1703" s="4">
        <v>0.41185709999999998</v>
      </c>
      <c r="D1703" s="4">
        <v>0.41185714299999998</v>
      </c>
      <c r="E1703" s="18">
        <v>1116</v>
      </c>
      <c r="G1703" s="4"/>
      <c r="H1703" s="4">
        <f t="shared" si="38"/>
        <v>0</v>
      </c>
      <c r="I1703" s="2">
        <f t="shared" si="39"/>
        <v>0</v>
      </c>
      <c r="J1703">
        <v>3.5</v>
      </c>
    </row>
    <row r="1704" spans="1:10" x14ac:dyDescent="0.3">
      <c r="A1704" t="s">
        <v>181</v>
      </c>
      <c r="B1704" t="s">
        <v>153</v>
      </c>
      <c r="C1704" s="4">
        <v>0.57550000000000001</v>
      </c>
      <c r="D1704" s="4">
        <v>0.57550000000000001</v>
      </c>
      <c r="E1704" s="18">
        <v>1117</v>
      </c>
      <c r="G1704" s="4"/>
      <c r="H1704" s="4">
        <f t="shared" si="38"/>
        <v>0</v>
      </c>
      <c r="I1704" s="2">
        <f t="shared" si="39"/>
        <v>0</v>
      </c>
      <c r="J1704">
        <v>2.6</v>
      </c>
    </row>
    <row r="1705" spans="1:10" x14ac:dyDescent="0.3">
      <c r="A1705" t="s">
        <v>181</v>
      </c>
      <c r="B1705" t="s">
        <v>60</v>
      </c>
      <c r="C1705" s="4">
        <v>0.41</v>
      </c>
      <c r="D1705" s="4">
        <v>0.33983503399999998</v>
      </c>
      <c r="E1705" s="18">
        <v>1118</v>
      </c>
      <c r="G1705" s="4"/>
      <c r="H1705" s="4">
        <f t="shared" si="38"/>
        <v>0</v>
      </c>
      <c r="I1705" s="2">
        <f t="shared" si="39"/>
        <v>0</v>
      </c>
      <c r="J1705">
        <v>9.5</v>
      </c>
    </row>
    <row r="1706" spans="1:10" x14ac:dyDescent="0.3">
      <c r="A1706" t="s">
        <v>181</v>
      </c>
      <c r="B1706" t="s">
        <v>162</v>
      </c>
      <c r="C1706" s="4">
        <v>0.52800000000000002</v>
      </c>
      <c r="D1706" s="4">
        <v>0.51040266700000003</v>
      </c>
      <c r="E1706" s="18">
        <v>1119</v>
      </c>
      <c r="G1706" s="4"/>
      <c r="H1706" s="4">
        <f t="shared" si="38"/>
        <v>0</v>
      </c>
      <c r="I1706" s="2">
        <f t="shared" si="39"/>
        <v>0</v>
      </c>
      <c r="J1706">
        <v>10</v>
      </c>
    </row>
    <row r="1707" spans="1:10" x14ac:dyDescent="0.3">
      <c r="A1707" t="s">
        <v>181</v>
      </c>
      <c r="B1707" t="s">
        <v>70</v>
      </c>
      <c r="C1707" s="4">
        <v>0.55560299999999996</v>
      </c>
      <c r="D1707" s="4">
        <v>0.55961111100000005</v>
      </c>
      <c r="E1707" s="18">
        <v>1120</v>
      </c>
      <c r="G1707" s="4"/>
      <c r="H1707" s="4">
        <f t="shared" si="38"/>
        <v>0</v>
      </c>
      <c r="I1707" s="2">
        <f t="shared" si="39"/>
        <v>0</v>
      </c>
      <c r="J1707">
        <v>7</v>
      </c>
    </row>
    <row r="1708" spans="1:10" x14ac:dyDescent="0.3">
      <c r="A1708" t="s">
        <v>181</v>
      </c>
      <c r="B1708" t="s">
        <v>70</v>
      </c>
      <c r="C1708" s="4">
        <v>0.55560299999999996</v>
      </c>
      <c r="D1708" s="4">
        <v>0.55961111100000005</v>
      </c>
      <c r="E1708" s="18">
        <v>1121</v>
      </c>
      <c r="G1708" s="4"/>
      <c r="H1708" s="4">
        <f t="shared" si="38"/>
        <v>0</v>
      </c>
      <c r="I1708" s="2">
        <f t="shared" si="39"/>
        <v>0</v>
      </c>
      <c r="J1708">
        <v>7.5</v>
      </c>
    </row>
    <row r="1709" spans="1:10" x14ac:dyDescent="0.3">
      <c r="A1709" t="s">
        <v>181</v>
      </c>
      <c r="B1709" t="s">
        <v>56</v>
      </c>
      <c r="C1709" s="4">
        <v>0.39984676499999999</v>
      </c>
      <c r="D1709" s="4">
        <v>0.450333333</v>
      </c>
      <c r="E1709" s="18">
        <v>1122</v>
      </c>
      <c r="G1709" s="4"/>
      <c r="H1709" s="4">
        <f t="shared" si="38"/>
        <v>0</v>
      </c>
      <c r="I1709" s="2">
        <f t="shared" si="39"/>
        <v>0</v>
      </c>
      <c r="J1709">
        <v>4.5</v>
      </c>
    </row>
    <row r="1710" spans="1:10" x14ac:dyDescent="0.3">
      <c r="A1710" t="s">
        <v>181</v>
      </c>
      <c r="B1710" t="s">
        <v>78</v>
      </c>
      <c r="C1710" s="4">
        <v>0.43538739399999998</v>
      </c>
      <c r="D1710" s="4">
        <v>0.568333333</v>
      </c>
      <c r="E1710" s="18">
        <v>1123</v>
      </c>
      <c r="G1710" s="4"/>
      <c r="H1710" s="4">
        <f t="shared" si="38"/>
        <v>0</v>
      </c>
      <c r="I1710" s="2">
        <f t="shared" si="39"/>
        <v>0</v>
      </c>
      <c r="J1710">
        <v>6.5</v>
      </c>
    </row>
    <row r="1711" spans="1:10" x14ac:dyDescent="0.3">
      <c r="A1711" t="s">
        <v>181</v>
      </c>
      <c r="B1711" t="s">
        <v>31</v>
      </c>
      <c r="C1711" s="4">
        <v>0.63400000000000001</v>
      </c>
      <c r="D1711" s="4">
        <v>0.73247777800000002</v>
      </c>
      <c r="E1711" s="18">
        <v>1124</v>
      </c>
      <c r="G1711" s="4"/>
      <c r="H1711" s="4">
        <f t="shared" si="38"/>
        <v>0</v>
      </c>
      <c r="I1711" s="2">
        <f t="shared" si="39"/>
        <v>0</v>
      </c>
      <c r="J1711">
        <v>8</v>
      </c>
    </row>
    <row r="1712" spans="1:10" x14ac:dyDescent="0.3">
      <c r="A1712" t="s">
        <v>181</v>
      </c>
      <c r="B1712" t="s">
        <v>57</v>
      </c>
      <c r="C1712" s="4">
        <v>0.61</v>
      </c>
      <c r="D1712" s="4">
        <v>0.84088888900000003</v>
      </c>
      <c r="E1712" s="18">
        <v>1125</v>
      </c>
      <c r="G1712" s="4"/>
      <c r="H1712" s="4">
        <f t="shared" si="38"/>
        <v>0</v>
      </c>
      <c r="I1712" s="2">
        <f t="shared" si="39"/>
        <v>0</v>
      </c>
      <c r="J1712">
        <v>5</v>
      </c>
    </row>
    <row r="1713" spans="1:10" x14ac:dyDescent="0.3">
      <c r="A1713" t="s">
        <v>181</v>
      </c>
      <c r="B1713" t="s">
        <v>175</v>
      </c>
      <c r="C1713" s="4">
        <v>0.78713326400000005</v>
      </c>
      <c r="D1713" s="4">
        <v>0.8155</v>
      </c>
      <c r="E1713" s="18">
        <v>1126</v>
      </c>
      <c r="G1713" s="4"/>
      <c r="H1713" s="4">
        <f t="shared" si="38"/>
        <v>0</v>
      </c>
      <c r="I1713" s="2">
        <f t="shared" si="39"/>
        <v>0</v>
      </c>
      <c r="J1713">
        <v>4.5</v>
      </c>
    </row>
    <row r="1714" spans="1:10" x14ac:dyDescent="0.3">
      <c r="A1714" t="s">
        <v>181</v>
      </c>
      <c r="B1714" t="s">
        <v>175</v>
      </c>
      <c r="C1714" s="4">
        <v>0.78713326400000005</v>
      </c>
      <c r="D1714" s="4">
        <v>0.8155</v>
      </c>
      <c r="E1714" s="18">
        <v>1127</v>
      </c>
      <c r="G1714" s="4"/>
      <c r="H1714" s="4">
        <f t="shared" si="38"/>
        <v>0</v>
      </c>
      <c r="I1714" s="2">
        <f t="shared" si="39"/>
        <v>0</v>
      </c>
      <c r="J1714">
        <v>3.5</v>
      </c>
    </row>
    <row r="1715" spans="1:10" x14ac:dyDescent="0.3">
      <c r="A1715" t="s">
        <v>181</v>
      </c>
      <c r="B1715" t="s">
        <v>118</v>
      </c>
      <c r="C1715" s="4">
        <v>0.56023871300000005</v>
      </c>
      <c r="D1715" s="4">
        <v>0.74103703700000001</v>
      </c>
      <c r="E1715" s="18">
        <v>1128</v>
      </c>
      <c r="G1715" s="4"/>
      <c r="H1715" s="4">
        <f t="shared" si="38"/>
        <v>0</v>
      </c>
      <c r="I1715" s="2">
        <f t="shared" si="39"/>
        <v>0</v>
      </c>
      <c r="J1715">
        <v>2.7</v>
      </c>
    </row>
    <row r="1716" spans="1:10" x14ac:dyDescent="0.3">
      <c r="A1716" t="s">
        <v>181</v>
      </c>
      <c r="B1716" t="s">
        <v>46</v>
      </c>
      <c r="C1716" s="4">
        <v>1.1200000000000001</v>
      </c>
      <c r="D1716" s="4">
        <v>0.85527777800000004</v>
      </c>
      <c r="E1716" s="18">
        <v>1129</v>
      </c>
      <c r="G1716" s="4"/>
      <c r="H1716" s="4">
        <f t="shared" si="38"/>
        <v>0</v>
      </c>
      <c r="I1716" s="2">
        <f t="shared" si="39"/>
        <v>0</v>
      </c>
      <c r="J1716">
        <v>2.2000000000000002</v>
      </c>
    </row>
    <row r="1717" spans="1:10" x14ac:dyDescent="0.3">
      <c r="A1717" t="s">
        <v>181</v>
      </c>
      <c r="B1717" t="s">
        <v>22</v>
      </c>
      <c r="C1717" s="4">
        <v>0.43836446099999998</v>
      </c>
      <c r="D1717" s="4">
        <v>0.58666666700000003</v>
      </c>
      <c r="E1717" s="18">
        <v>1130</v>
      </c>
      <c r="G1717" s="4"/>
      <c r="H1717" s="4">
        <f t="shared" si="38"/>
        <v>0</v>
      </c>
      <c r="I1717" s="2">
        <f t="shared" si="39"/>
        <v>0</v>
      </c>
      <c r="J1717">
        <v>5.5</v>
      </c>
    </row>
    <row r="1718" spans="1:10" x14ac:dyDescent="0.3">
      <c r="A1718" t="s">
        <v>181</v>
      </c>
      <c r="B1718" t="s">
        <v>47</v>
      </c>
      <c r="C1718" s="4">
        <v>0.40238543599999999</v>
      </c>
      <c r="D1718" s="4">
        <v>0.40883333300000002</v>
      </c>
      <c r="E1718" s="18">
        <v>1131</v>
      </c>
      <c r="G1718" s="4"/>
      <c r="H1718" s="4">
        <f t="shared" si="38"/>
        <v>0</v>
      </c>
      <c r="I1718" s="2">
        <f t="shared" si="39"/>
        <v>0</v>
      </c>
      <c r="J1718">
        <v>7</v>
      </c>
    </row>
  </sheetData>
  <autoFilter ref="A1:J1718"/>
  <phoneticPr fontId="19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765"/>
  <sheetViews>
    <sheetView workbookViewId="0">
      <selection activeCell="E14" sqref="E14"/>
    </sheetView>
  </sheetViews>
  <sheetFormatPr defaultRowHeight="14.4" x14ac:dyDescent="0.3"/>
  <cols>
    <col min="1" max="1" width="30.21875" bestFit="1" customWidth="1"/>
    <col min="2" max="2" width="22.77734375" bestFit="1" customWidth="1"/>
  </cols>
  <sheetData>
    <row r="3" spans="1:3" x14ac:dyDescent="0.3">
      <c r="A3" s="8" t="s">
        <v>183</v>
      </c>
      <c r="B3" t="s">
        <v>184</v>
      </c>
    </row>
    <row r="4" spans="1:3" x14ac:dyDescent="0.3">
      <c r="A4" s="7" t="s">
        <v>12</v>
      </c>
      <c r="B4" s="9"/>
    </row>
    <row r="5" spans="1:3" x14ac:dyDescent="0.3">
      <c r="A5" s="14" t="s">
        <v>18</v>
      </c>
      <c r="B5" s="15">
        <v>0.61390260329411805</v>
      </c>
      <c r="C5" t="s">
        <v>187</v>
      </c>
    </row>
    <row r="6" spans="1:3" x14ac:dyDescent="0.3">
      <c r="A6" s="14" t="s">
        <v>23</v>
      </c>
      <c r="B6" s="15">
        <v>0.8043655469472164</v>
      </c>
    </row>
    <row r="7" spans="1:3" x14ac:dyDescent="0.3">
      <c r="A7" s="14" t="s">
        <v>22</v>
      </c>
      <c r="B7" s="9">
        <v>0.86745503817597003</v>
      </c>
    </row>
    <row r="8" spans="1:3" x14ac:dyDescent="0.3">
      <c r="A8" s="14" t="s">
        <v>20</v>
      </c>
      <c r="B8" s="9">
        <v>0.9071661578818887</v>
      </c>
    </row>
    <row r="9" spans="1:3" x14ac:dyDescent="0.3">
      <c r="A9" s="13" t="s">
        <v>17</v>
      </c>
      <c r="B9" s="9">
        <v>0.94074839671152255</v>
      </c>
    </row>
    <row r="10" spans="1:3" x14ac:dyDescent="0.3">
      <c r="A10" s="13" t="s">
        <v>14</v>
      </c>
      <c r="B10" s="9">
        <v>0.96045864741694542</v>
      </c>
    </row>
    <row r="11" spans="1:3" x14ac:dyDescent="0.3">
      <c r="A11" s="13" t="s">
        <v>24</v>
      </c>
      <c r="B11" s="9">
        <v>0.97914166315859674</v>
      </c>
    </row>
    <row r="12" spans="1:3" x14ac:dyDescent="0.3">
      <c r="A12" s="13" t="s">
        <v>21</v>
      </c>
      <c r="B12" s="9">
        <v>0.98701137639645542</v>
      </c>
    </row>
    <row r="13" spans="1:3" x14ac:dyDescent="0.3">
      <c r="A13" s="13" t="s">
        <v>13</v>
      </c>
      <c r="B13" s="9">
        <v>0.99269425889911389</v>
      </c>
    </row>
    <row r="14" spans="1:3" x14ac:dyDescent="0.3">
      <c r="A14" s="13" t="s">
        <v>19</v>
      </c>
      <c r="B14" s="9">
        <v>0.99698159810365117</v>
      </c>
    </row>
    <row r="15" spans="1:3" x14ac:dyDescent="0.3">
      <c r="A15" s="13" t="s">
        <v>16</v>
      </c>
      <c r="B15" s="9">
        <v>0.99923748665154188</v>
      </c>
    </row>
    <row r="16" spans="1:3" x14ac:dyDescent="0.3">
      <c r="A16" s="13" t="s">
        <v>15</v>
      </c>
      <c r="B16" s="9">
        <v>0.99999999999999989</v>
      </c>
    </row>
    <row r="17" spans="1:3" x14ac:dyDescent="0.3">
      <c r="A17" s="7" t="s">
        <v>25</v>
      </c>
      <c r="B17" s="9"/>
    </row>
    <row r="18" spans="1:3" x14ac:dyDescent="0.3">
      <c r="A18" s="14" t="s">
        <v>18</v>
      </c>
      <c r="B18" s="15">
        <v>0.80368946661301166</v>
      </c>
      <c r="C18" t="s">
        <v>187</v>
      </c>
    </row>
    <row r="19" spans="1:3" x14ac:dyDescent="0.3">
      <c r="A19" s="14" t="s">
        <v>22</v>
      </c>
      <c r="B19" s="9">
        <v>0.88097762777283517</v>
      </c>
    </row>
    <row r="20" spans="1:3" x14ac:dyDescent="0.3">
      <c r="A20" s="14" t="s">
        <v>14</v>
      </c>
      <c r="B20" s="9">
        <v>0.91089398766759577</v>
      </c>
    </row>
    <row r="21" spans="1:3" x14ac:dyDescent="0.3">
      <c r="A21" s="13" t="s">
        <v>27</v>
      </c>
      <c r="B21" s="9">
        <v>0.93918531239461056</v>
      </c>
    </row>
    <row r="22" spans="1:3" x14ac:dyDescent="0.3">
      <c r="A22" s="13" t="s">
        <v>23</v>
      </c>
      <c r="B22" s="9">
        <v>0.95612206569508595</v>
      </c>
    </row>
    <row r="23" spans="1:3" x14ac:dyDescent="0.3">
      <c r="A23" s="13" t="s">
        <v>20</v>
      </c>
      <c r="B23" s="9">
        <v>0.97121231593065405</v>
      </c>
    </row>
    <row r="24" spans="1:3" x14ac:dyDescent="0.3">
      <c r="A24" s="13" t="s">
        <v>24</v>
      </c>
      <c r="B24" s="9">
        <v>0.9807934902000871</v>
      </c>
    </row>
    <row r="25" spans="1:3" x14ac:dyDescent="0.3">
      <c r="A25" s="13" t="s">
        <v>13</v>
      </c>
      <c r="B25" s="9">
        <v>0.98898548682332188</v>
      </c>
    </row>
    <row r="26" spans="1:3" x14ac:dyDescent="0.3">
      <c r="A26" s="13" t="s">
        <v>26</v>
      </c>
      <c r="B26" s="9">
        <v>0.99464623273844666</v>
      </c>
    </row>
    <row r="27" spans="1:3" x14ac:dyDescent="0.3">
      <c r="A27" s="13" t="s">
        <v>21</v>
      </c>
      <c r="B27" s="9">
        <v>0.9989414529187205</v>
      </c>
    </row>
    <row r="28" spans="1:3" x14ac:dyDescent="0.3">
      <c r="A28" s="13" t="s">
        <v>28</v>
      </c>
      <c r="B28" s="9">
        <v>1.0000000000000002</v>
      </c>
    </row>
    <row r="29" spans="1:3" x14ac:dyDescent="0.3">
      <c r="A29" s="7" t="s">
        <v>29</v>
      </c>
      <c r="B29" s="9"/>
    </row>
    <row r="30" spans="1:3" x14ac:dyDescent="0.3">
      <c r="A30" s="14" t="s">
        <v>22</v>
      </c>
      <c r="B30" s="15">
        <v>0.35900963142126674</v>
      </c>
      <c r="C30" t="s">
        <v>187</v>
      </c>
    </row>
    <row r="31" spans="1:3" x14ac:dyDescent="0.3">
      <c r="A31" s="14" t="s">
        <v>18</v>
      </c>
      <c r="B31" s="15">
        <v>0.63316416835448541</v>
      </c>
    </row>
    <row r="32" spans="1:3" x14ac:dyDescent="0.3">
      <c r="A32" s="14" t="s">
        <v>23</v>
      </c>
      <c r="B32" s="15">
        <v>0.84191136844847536</v>
      </c>
    </row>
    <row r="33" spans="1:3" x14ac:dyDescent="0.3">
      <c r="A33" s="16" t="s">
        <v>34</v>
      </c>
      <c r="B33" s="9">
        <v>0.88416004522417557</v>
      </c>
    </row>
    <row r="34" spans="1:3" x14ac:dyDescent="0.3">
      <c r="A34" s="16" t="s">
        <v>20</v>
      </c>
      <c r="B34" s="9">
        <v>0.92136442154857046</v>
      </c>
    </row>
    <row r="35" spans="1:3" x14ac:dyDescent="0.3">
      <c r="A35" s="13" t="s">
        <v>32</v>
      </c>
      <c r="B35" s="9">
        <v>0.94956976586783681</v>
      </c>
    </row>
    <row r="36" spans="1:3" x14ac:dyDescent="0.3">
      <c r="A36" s="13" t="s">
        <v>17</v>
      </c>
      <c r="B36" s="9">
        <v>0.96291907069086902</v>
      </c>
    </row>
    <row r="37" spans="1:3" x14ac:dyDescent="0.3">
      <c r="A37" s="13" t="s">
        <v>33</v>
      </c>
      <c r="B37" s="9">
        <v>0.97487640399695896</v>
      </c>
    </row>
    <row r="38" spans="1:3" x14ac:dyDescent="0.3">
      <c r="A38" s="13" t="s">
        <v>31</v>
      </c>
      <c r="B38" s="9">
        <v>0.98382128958711657</v>
      </c>
    </row>
    <row r="39" spans="1:3" x14ac:dyDescent="0.3">
      <c r="A39" s="13" t="s">
        <v>14</v>
      </c>
      <c r="B39" s="9">
        <v>0.99147398290301414</v>
      </c>
    </row>
    <row r="40" spans="1:3" x14ac:dyDescent="0.3">
      <c r="A40" s="13" t="s">
        <v>24</v>
      </c>
      <c r="B40" s="9">
        <v>0.99471663801844545</v>
      </c>
    </row>
    <row r="41" spans="1:3" x14ac:dyDescent="0.3">
      <c r="A41" s="13" t="s">
        <v>30</v>
      </c>
      <c r="B41" s="9">
        <v>0.99746295099664306</v>
      </c>
    </row>
    <row r="42" spans="1:3" x14ac:dyDescent="0.3">
      <c r="A42" s="13" t="s">
        <v>13</v>
      </c>
      <c r="B42" s="9">
        <v>0.99916566844856047</v>
      </c>
    </row>
    <row r="43" spans="1:3" x14ac:dyDescent="0.3">
      <c r="A43" s="13" t="s">
        <v>28</v>
      </c>
      <c r="B43" s="9">
        <v>1</v>
      </c>
    </row>
    <row r="44" spans="1:3" x14ac:dyDescent="0.3">
      <c r="A44" s="7" t="s">
        <v>35</v>
      </c>
      <c r="B44" s="9"/>
    </row>
    <row r="45" spans="1:3" x14ac:dyDescent="0.3">
      <c r="A45" s="14" t="s">
        <v>39</v>
      </c>
      <c r="B45" s="15">
        <v>0.37985109091933456</v>
      </c>
      <c r="C45" t="s">
        <v>187</v>
      </c>
    </row>
    <row r="46" spans="1:3" x14ac:dyDescent="0.3">
      <c r="A46" s="14" t="s">
        <v>18</v>
      </c>
      <c r="B46" s="15">
        <v>0.73580373254967102</v>
      </c>
    </row>
    <row r="47" spans="1:3" x14ac:dyDescent="0.3">
      <c r="A47" s="14" t="s">
        <v>22</v>
      </c>
      <c r="B47" s="15">
        <v>0.8190259014251895</v>
      </c>
    </row>
    <row r="48" spans="1:3" x14ac:dyDescent="0.3">
      <c r="A48" s="16" t="s">
        <v>20</v>
      </c>
      <c r="B48" s="9">
        <v>0.86365890237785914</v>
      </c>
    </row>
    <row r="49" spans="1:3" x14ac:dyDescent="0.3">
      <c r="A49" s="16" t="s">
        <v>13</v>
      </c>
      <c r="B49" s="9">
        <v>0.8947088143426879</v>
      </c>
    </row>
    <row r="50" spans="1:3" x14ac:dyDescent="0.3">
      <c r="A50" s="16" t="s">
        <v>36</v>
      </c>
      <c r="B50" s="9">
        <v>0.92285184988899616</v>
      </c>
    </row>
    <row r="51" spans="1:3" x14ac:dyDescent="0.3">
      <c r="A51" s="13" t="s">
        <v>38</v>
      </c>
      <c r="B51" s="9">
        <v>0.94694390084448277</v>
      </c>
    </row>
    <row r="52" spans="1:3" x14ac:dyDescent="0.3">
      <c r="A52" s="13" t="s">
        <v>30</v>
      </c>
      <c r="B52" s="9">
        <v>0.96653513093480303</v>
      </c>
    </row>
    <row r="53" spans="1:3" x14ac:dyDescent="0.3">
      <c r="A53" s="13" t="s">
        <v>24</v>
      </c>
      <c r="B53" s="9">
        <v>0.98594691813972879</v>
      </c>
    </row>
    <row r="54" spans="1:3" x14ac:dyDescent="0.3">
      <c r="A54" s="13" t="s">
        <v>37</v>
      </c>
      <c r="B54" s="9">
        <v>0.99833830971881343</v>
      </c>
    </row>
    <row r="55" spans="1:3" x14ac:dyDescent="0.3">
      <c r="A55" s="13" t="s">
        <v>19</v>
      </c>
      <c r="B55" s="9">
        <v>1</v>
      </c>
    </row>
    <row r="56" spans="1:3" x14ac:dyDescent="0.3">
      <c r="A56" s="7" t="s">
        <v>40</v>
      </c>
      <c r="B56" s="9"/>
    </row>
    <row r="57" spans="1:3" x14ac:dyDescent="0.3">
      <c r="A57" s="14" t="s">
        <v>26</v>
      </c>
      <c r="B57" s="15">
        <v>0.37694583989694003</v>
      </c>
      <c r="C57" t="s">
        <v>187</v>
      </c>
    </row>
    <row r="58" spans="1:3" x14ac:dyDescent="0.3">
      <c r="A58" s="14" t="s">
        <v>23</v>
      </c>
      <c r="B58" s="15">
        <v>0.61063589234617244</v>
      </c>
    </row>
    <row r="59" spans="1:3" x14ac:dyDescent="0.3">
      <c r="A59" s="14" t="s">
        <v>39</v>
      </c>
      <c r="B59" s="15">
        <v>0.72147020077461299</v>
      </c>
    </row>
    <row r="60" spans="1:3" x14ac:dyDescent="0.3">
      <c r="A60" s="14" t="s">
        <v>13</v>
      </c>
      <c r="B60" s="15">
        <v>0.79584586606124108</v>
      </c>
    </row>
    <row r="61" spans="1:3" x14ac:dyDescent="0.3">
      <c r="A61" s="14" t="s">
        <v>41</v>
      </c>
      <c r="B61" s="15">
        <v>0.83890361179664719</v>
      </c>
    </row>
    <row r="62" spans="1:3" x14ac:dyDescent="0.3">
      <c r="A62" s="16" t="s">
        <v>37</v>
      </c>
      <c r="B62" s="9">
        <v>0.88013110436228359</v>
      </c>
    </row>
    <row r="63" spans="1:3" x14ac:dyDescent="0.3">
      <c r="A63" s="16" t="s">
        <v>30</v>
      </c>
      <c r="B63" s="9">
        <v>0.91475283886825454</v>
      </c>
    </row>
    <row r="64" spans="1:3" x14ac:dyDescent="0.3">
      <c r="A64" s="13" t="s">
        <v>21</v>
      </c>
      <c r="B64" s="9">
        <v>0.94170747645940844</v>
      </c>
    </row>
    <row r="65" spans="1:3" x14ac:dyDescent="0.3">
      <c r="A65" s="13" t="s">
        <v>14</v>
      </c>
      <c r="B65" s="9">
        <v>0.95686946010443252</v>
      </c>
    </row>
    <row r="66" spans="1:3" x14ac:dyDescent="0.3">
      <c r="A66" s="13" t="s">
        <v>17</v>
      </c>
      <c r="B66" s="9">
        <v>0.9720314437494566</v>
      </c>
    </row>
    <row r="67" spans="1:3" x14ac:dyDescent="0.3">
      <c r="A67" s="13" t="s">
        <v>16</v>
      </c>
      <c r="B67" s="9">
        <v>0.9867618620163815</v>
      </c>
    </row>
    <row r="68" spans="1:3" x14ac:dyDescent="0.3">
      <c r="A68" s="13" t="s">
        <v>20</v>
      </c>
      <c r="B68" s="9">
        <v>0.99350052141417</v>
      </c>
    </row>
    <row r="69" spans="1:3" x14ac:dyDescent="0.3">
      <c r="A69" s="13" t="s">
        <v>42</v>
      </c>
      <c r="B69" s="9">
        <v>0.99675026070708506</v>
      </c>
    </row>
    <row r="70" spans="1:3" x14ac:dyDescent="0.3">
      <c r="A70" s="13" t="s">
        <v>28</v>
      </c>
      <c r="B70" s="9">
        <v>1</v>
      </c>
    </row>
    <row r="71" spans="1:3" x14ac:dyDescent="0.3">
      <c r="A71" s="7" t="s">
        <v>43</v>
      </c>
      <c r="B71" s="9"/>
    </row>
    <row r="72" spans="1:3" x14ac:dyDescent="0.3">
      <c r="A72" s="14" t="s">
        <v>22</v>
      </c>
      <c r="B72" s="15">
        <v>0.55098927904810324</v>
      </c>
      <c r="C72" t="s">
        <v>187</v>
      </c>
    </row>
    <row r="73" spans="1:3" x14ac:dyDescent="0.3">
      <c r="A73" s="14" t="s">
        <v>18</v>
      </c>
      <c r="B73" s="15">
        <v>0.84776037659319736</v>
      </c>
    </row>
    <row r="74" spans="1:3" x14ac:dyDescent="0.3">
      <c r="A74" s="14" t="s">
        <v>23</v>
      </c>
      <c r="B74" s="9">
        <v>0.88403392340497078</v>
      </c>
    </row>
    <row r="75" spans="1:3" x14ac:dyDescent="0.3">
      <c r="A75" s="14" t="s">
        <v>47</v>
      </c>
      <c r="B75" s="9">
        <v>0.91257002783065611</v>
      </c>
    </row>
    <row r="76" spans="1:3" x14ac:dyDescent="0.3">
      <c r="A76" s="13" t="s">
        <v>24</v>
      </c>
      <c r="B76" s="9">
        <v>0.93944673748725838</v>
      </c>
    </row>
    <row r="77" spans="1:3" x14ac:dyDescent="0.3">
      <c r="A77" s="13" t="s">
        <v>21</v>
      </c>
      <c r="B77" s="9">
        <v>0.96369310072476877</v>
      </c>
    </row>
    <row r="78" spans="1:3" x14ac:dyDescent="0.3">
      <c r="A78" s="13" t="s">
        <v>20</v>
      </c>
      <c r="B78" s="9">
        <v>0.9761618753036968</v>
      </c>
    </row>
    <row r="79" spans="1:3" x14ac:dyDescent="0.3">
      <c r="A79" s="13" t="s">
        <v>16</v>
      </c>
      <c r="B79" s="9">
        <v>0.98660964419394515</v>
      </c>
    </row>
    <row r="80" spans="1:3" x14ac:dyDescent="0.3">
      <c r="A80" s="13" t="s">
        <v>46</v>
      </c>
      <c r="B80" s="9">
        <v>0.99615733541903273</v>
      </c>
    </row>
    <row r="81" spans="1:3" x14ac:dyDescent="0.3">
      <c r="A81" s="13" t="s">
        <v>45</v>
      </c>
      <c r="B81" s="9">
        <v>0.99830769161566268</v>
      </c>
    </row>
    <row r="82" spans="1:3" x14ac:dyDescent="0.3">
      <c r="A82" s="13" t="s">
        <v>33</v>
      </c>
      <c r="B82" s="9">
        <v>0.99929784287457013</v>
      </c>
    </row>
    <row r="83" spans="1:3" x14ac:dyDescent="0.3">
      <c r="A83" s="13" t="s">
        <v>44</v>
      </c>
      <c r="B83" s="9">
        <v>1.0000000000000002</v>
      </c>
    </row>
    <row r="84" spans="1:3" x14ac:dyDescent="0.3">
      <c r="A84" s="7" t="s">
        <v>48</v>
      </c>
      <c r="B84" s="9"/>
    </row>
    <row r="85" spans="1:3" x14ac:dyDescent="0.3">
      <c r="A85" s="14" t="s">
        <v>18</v>
      </c>
      <c r="B85" s="15">
        <v>0.8081706202079364</v>
      </c>
      <c r="C85" t="s">
        <v>187</v>
      </c>
    </row>
    <row r="86" spans="1:3" x14ac:dyDescent="0.3">
      <c r="A86" s="16" t="s">
        <v>22</v>
      </c>
      <c r="B86" s="9">
        <v>0.86479348816278889</v>
      </c>
    </row>
    <row r="87" spans="1:3" x14ac:dyDescent="0.3">
      <c r="A87" s="16" t="s">
        <v>23</v>
      </c>
      <c r="B87" s="9">
        <v>0.8963384603841329</v>
      </c>
    </row>
    <row r="88" spans="1:3" x14ac:dyDescent="0.3">
      <c r="A88" s="16" t="s">
        <v>27</v>
      </c>
      <c r="B88" s="9">
        <v>0.92294279264327639</v>
      </c>
    </row>
    <row r="89" spans="1:3" x14ac:dyDescent="0.3">
      <c r="A89" s="13" t="s">
        <v>30</v>
      </c>
      <c r="B89" s="9">
        <v>0.9412236213840115</v>
      </c>
    </row>
    <row r="90" spans="1:3" x14ac:dyDescent="0.3">
      <c r="A90" s="13" t="s">
        <v>47</v>
      </c>
      <c r="B90" s="9">
        <v>0.95826698573122904</v>
      </c>
    </row>
    <row r="91" spans="1:3" x14ac:dyDescent="0.3">
      <c r="A91" s="13" t="s">
        <v>24</v>
      </c>
      <c r="B91" s="9">
        <v>0.97025172468431298</v>
      </c>
    </row>
    <row r="92" spans="1:3" x14ac:dyDescent="0.3">
      <c r="A92" s="13" t="s">
        <v>20</v>
      </c>
      <c r="B92" s="9">
        <v>0.98016701759651326</v>
      </c>
    </row>
    <row r="93" spans="1:3" x14ac:dyDescent="0.3">
      <c r="A93" s="13" t="s">
        <v>49</v>
      </c>
      <c r="B93" s="9">
        <v>0.98990312013396509</v>
      </c>
    </row>
    <row r="94" spans="1:3" x14ac:dyDescent="0.3">
      <c r="A94" s="13" t="s">
        <v>14</v>
      </c>
      <c r="B94" s="9">
        <v>0.99358915094457023</v>
      </c>
    </row>
    <row r="95" spans="1:3" x14ac:dyDescent="0.3">
      <c r="A95" s="13" t="s">
        <v>44</v>
      </c>
      <c r="B95" s="9">
        <v>0.99710336546992251</v>
      </c>
    </row>
    <row r="96" spans="1:3" x14ac:dyDescent="0.3">
      <c r="A96" s="13" t="s">
        <v>17</v>
      </c>
      <c r="B96" s="9">
        <v>0.99933402754240863</v>
      </c>
    </row>
    <row r="97" spans="1:3" x14ac:dyDescent="0.3">
      <c r="A97" s="13" t="s">
        <v>16</v>
      </c>
      <c r="B97" s="9">
        <v>1</v>
      </c>
    </row>
    <row r="98" spans="1:3" x14ac:dyDescent="0.3">
      <c r="A98" s="7" t="s">
        <v>50</v>
      </c>
      <c r="B98" s="9"/>
    </row>
    <row r="99" spans="1:3" x14ac:dyDescent="0.3">
      <c r="A99" s="14" t="s">
        <v>57</v>
      </c>
      <c r="B99" s="9">
        <v>0.45498545806090956</v>
      </c>
      <c r="C99" t="s">
        <v>187</v>
      </c>
    </row>
    <row r="100" spans="1:3" x14ac:dyDescent="0.3">
      <c r="A100" s="14" t="s">
        <v>55</v>
      </c>
      <c r="B100" s="9">
        <v>0.70222419109423506</v>
      </c>
      <c r="C100" t="s">
        <v>188</v>
      </c>
    </row>
    <row r="101" spans="1:3" x14ac:dyDescent="0.3">
      <c r="A101" s="14" t="s">
        <v>58</v>
      </c>
      <c r="B101" s="9">
        <v>0.77996034610665765</v>
      </c>
    </row>
    <row r="102" spans="1:3" x14ac:dyDescent="0.3">
      <c r="A102" s="14" t="s">
        <v>54</v>
      </c>
      <c r="B102" s="9">
        <v>0.85192670058819975</v>
      </c>
    </row>
    <row r="103" spans="1:3" x14ac:dyDescent="0.3">
      <c r="A103" s="14" t="s">
        <v>26</v>
      </c>
      <c r="B103" s="9">
        <v>0.91425452788847883</v>
      </c>
    </row>
    <row r="104" spans="1:3" x14ac:dyDescent="0.3">
      <c r="A104" s="13" t="s">
        <v>56</v>
      </c>
      <c r="B104" s="9">
        <v>0.94967646975055964</v>
      </c>
    </row>
    <row r="105" spans="1:3" x14ac:dyDescent="0.3">
      <c r="A105" s="13" t="s">
        <v>51</v>
      </c>
      <c r="B105" s="9">
        <v>0.98459352170145054</v>
      </c>
    </row>
    <row r="106" spans="1:3" x14ac:dyDescent="0.3">
      <c r="A106" s="13" t="s">
        <v>20</v>
      </c>
      <c r="B106" s="9">
        <v>0.99659547616173694</v>
      </c>
    </row>
    <row r="107" spans="1:3" x14ac:dyDescent="0.3">
      <c r="A107" s="13" t="s">
        <v>52</v>
      </c>
      <c r="B107" s="9">
        <v>0.99831222515402218</v>
      </c>
    </row>
    <row r="108" spans="1:3" x14ac:dyDescent="0.3">
      <c r="A108" s="13" t="s">
        <v>53</v>
      </c>
      <c r="B108" s="9">
        <v>1</v>
      </c>
    </row>
    <row r="109" spans="1:3" x14ac:dyDescent="0.3">
      <c r="A109" s="7" t="s">
        <v>59</v>
      </c>
      <c r="B109" s="9"/>
    </row>
    <row r="110" spans="1:3" x14ac:dyDescent="0.3">
      <c r="A110" s="14" t="s">
        <v>22</v>
      </c>
      <c r="B110" s="15">
        <v>0.5396322268403595</v>
      </c>
      <c r="C110" t="s">
        <v>187</v>
      </c>
    </row>
    <row r="111" spans="1:3" x14ac:dyDescent="0.3">
      <c r="A111" s="14" t="s">
        <v>57</v>
      </c>
      <c r="B111" s="15">
        <v>0.79834522324005575</v>
      </c>
    </row>
    <row r="112" spans="1:3" x14ac:dyDescent="0.3">
      <c r="A112" s="14" t="s">
        <v>58</v>
      </c>
      <c r="B112" s="15">
        <v>0.84701433883082056</v>
      </c>
    </row>
    <row r="113" spans="1:3" x14ac:dyDescent="0.3">
      <c r="A113" s="16" t="s">
        <v>38</v>
      </c>
      <c r="B113" s="9">
        <v>0.89330818898293585</v>
      </c>
    </row>
    <row r="114" spans="1:3" x14ac:dyDescent="0.3">
      <c r="A114" s="16" t="s">
        <v>41</v>
      </c>
      <c r="B114" s="9">
        <v>0.92628496502489321</v>
      </c>
    </row>
    <row r="115" spans="1:3" x14ac:dyDescent="0.3">
      <c r="A115" s="13" t="s">
        <v>60</v>
      </c>
      <c r="B115" s="9">
        <v>0.94966554030642969</v>
      </c>
    </row>
    <row r="116" spans="1:3" x14ac:dyDescent="0.3">
      <c r="A116" s="13" t="s">
        <v>62</v>
      </c>
      <c r="B116" s="9">
        <v>0.96580773262844866</v>
      </c>
    </row>
    <row r="117" spans="1:3" x14ac:dyDescent="0.3">
      <c r="A117" s="13" t="s">
        <v>56</v>
      </c>
      <c r="B117" s="9">
        <v>0.9804640775359853</v>
      </c>
    </row>
    <row r="118" spans="1:3" x14ac:dyDescent="0.3">
      <c r="A118" s="13" t="s">
        <v>61</v>
      </c>
      <c r="B118" s="9">
        <v>0.9913070436936583</v>
      </c>
    </row>
    <row r="119" spans="1:3" x14ac:dyDescent="0.3">
      <c r="A119" s="13" t="s">
        <v>26</v>
      </c>
      <c r="B119" s="9">
        <v>1</v>
      </c>
    </row>
    <row r="120" spans="1:3" x14ac:dyDescent="0.3">
      <c r="A120" s="7" t="s">
        <v>63</v>
      </c>
      <c r="B120" s="9"/>
    </row>
    <row r="121" spans="1:3" x14ac:dyDescent="0.3">
      <c r="A121" s="14" t="s">
        <v>57</v>
      </c>
      <c r="B121" s="9">
        <v>0.40785086357895523</v>
      </c>
      <c r="C121" t="s">
        <v>187</v>
      </c>
    </row>
    <row r="122" spans="1:3" x14ac:dyDescent="0.3">
      <c r="A122" s="14" t="s">
        <v>56</v>
      </c>
      <c r="B122" s="9">
        <v>0.5886166374303301</v>
      </c>
    </row>
    <row r="123" spans="1:3" x14ac:dyDescent="0.3">
      <c r="A123" s="14" t="s">
        <v>22</v>
      </c>
      <c r="B123" s="9">
        <v>0.75540866825517061</v>
      </c>
    </row>
    <row r="124" spans="1:3" x14ac:dyDescent="0.3">
      <c r="A124" s="14" t="s">
        <v>41</v>
      </c>
      <c r="B124" s="9">
        <v>0.92079750073063849</v>
      </c>
    </row>
    <row r="125" spans="1:3" x14ac:dyDescent="0.3">
      <c r="A125" s="13" t="s">
        <v>44</v>
      </c>
      <c r="B125" s="9">
        <v>0.94129174602166577</v>
      </c>
    </row>
    <row r="126" spans="1:3" x14ac:dyDescent="0.3">
      <c r="A126" s="13" t="s">
        <v>58</v>
      </c>
      <c r="B126" s="9">
        <v>0.96003245913771063</v>
      </c>
    </row>
    <row r="127" spans="1:3" x14ac:dyDescent="0.3">
      <c r="A127" s="13" t="s">
        <v>38</v>
      </c>
      <c r="B127" s="9">
        <v>0.97345036616162439</v>
      </c>
    </row>
    <row r="128" spans="1:3" x14ac:dyDescent="0.3">
      <c r="A128" s="13" t="s">
        <v>62</v>
      </c>
      <c r="B128" s="9">
        <v>0.98059547516121037</v>
      </c>
    </row>
    <row r="129" spans="1:3" x14ac:dyDescent="0.3">
      <c r="A129" s="13" t="s">
        <v>26</v>
      </c>
      <c r="B129" s="9">
        <v>0.986721254481843</v>
      </c>
    </row>
    <row r="130" spans="1:3" x14ac:dyDescent="0.3">
      <c r="A130" s="13" t="s">
        <v>64</v>
      </c>
      <c r="B130" s="9">
        <v>0.9915043439774337</v>
      </c>
    </row>
    <row r="131" spans="1:3" x14ac:dyDescent="0.3">
      <c r="A131" s="13" t="s">
        <v>55</v>
      </c>
      <c r="B131" s="9">
        <v>0.99575217198871679</v>
      </c>
    </row>
    <row r="132" spans="1:3" x14ac:dyDescent="0.3">
      <c r="A132" s="13" t="s">
        <v>52</v>
      </c>
      <c r="B132" s="9">
        <v>1</v>
      </c>
    </row>
    <row r="133" spans="1:3" x14ac:dyDescent="0.3">
      <c r="A133" s="7" t="s">
        <v>65</v>
      </c>
      <c r="B133" s="9"/>
    </row>
    <row r="134" spans="1:3" x14ac:dyDescent="0.3">
      <c r="A134" s="14" t="s">
        <v>57</v>
      </c>
      <c r="B134" s="9">
        <v>0.3437153947055076</v>
      </c>
      <c r="C134" t="s">
        <v>187</v>
      </c>
    </row>
    <row r="135" spans="1:3" x14ac:dyDescent="0.3">
      <c r="A135" s="14" t="s">
        <v>56</v>
      </c>
      <c r="B135" s="9">
        <v>0.56724541019161789</v>
      </c>
    </row>
    <row r="136" spans="1:3" x14ac:dyDescent="0.3">
      <c r="A136" s="14" t="s">
        <v>58</v>
      </c>
      <c r="B136" s="9">
        <v>0.71026136740141965</v>
      </c>
    </row>
    <row r="137" spans="1:3" x14ac:dyDescent="0.3">
      <c r="A137" s="14" t="s">
        <v>41</v>
      </c>
      <c r="B137" s="9">
        <v>0.80750211778250236</v>
      </c>
    </row>
    <row r="138" spans="1:3" x14ac:dyDescent="0.3">
      <c r="A138" s="14" t="s">
        <v>66</v>
      </c>
      <c r="B138" s="9">
        <v>0.88532449730185747</v>
      </c>
    </row>
    <row r="139" spans="1:3" x14ac:dyDescent="0.3">
      <c r="A139" s="13" t="s">
        <v>22</v>
      </c>
      <c r="B139" s="9">
        <v>0.94770630817339685</v>
      </c>
    </row>
    <row r="140" spans="1:3" x14ac:dyDescent="0.3">
      <c r="A140" s="13" t="s">
        <v>55</v>
      </c>
      <c r="B140" s="9">
        <v>0.96261488014456742</v>
      </c>
    </row>
    <row r="141" spans="1:3" x14ac:dyDescent="0.3">
      <c r="A141" s="13" t="s">
        <v>38</v>
      </c>
      <c r="B141" s="9">
        <v>0.97731943365420015</v>
      </c>
    </row>
    <row r="142" spans="1:3" x14ac:dyDescent="0.3">
      <c r="A142" s="13" t="s">
        <v>60</v>
      </c>
      <c r="B142" s="9">
        <v>0.98776650444716263</v>
      </c>
    </row>
    <row r="143" spans="1:3" x14ac:dyDescent="0.3">
      <c r="A143" s="13" t="s">
        <v>44</v>
      </c>
      <c r="B143" s="9">
        <v>0.99440245263132943</v>
      </c>
    </row>
    <row r="144" spans="1:3" x14ac:dyDescent="0.3">
      <c r="A144" s="13" t="s">
        <v>61</v>
      </c>
      <c r="B144" s="9">
        <v>0.99962096795308963</v>
      </c>
    </row>
    <row r="145" spans="1:3" x14ac:dyDescent="0.3">
      <c r="A145" s="13" t="s">
        <v>53</v>
      </c>
      <c r="B145" s="9">
        <v>0.99999999999999989</v>
      </c>
    </row>
    <row r="146" spans="1:3" x14ac:dyDescent="0.3">
      <c r="A146" s="7" t="s">
        <v>67</v>
      </c>
      <c r="B146" s="9"/>
    </row>
    <row r="147" spans="1:3" x14ac:dyDescent="0.3">
      <c r="A147" s="14" t="s">
        <v>56</v>
      </c>
      <c r="B147" s="9">
        <v>0.53009017047070428</v>
      </c>
      <c r="C147" t="s">
        <v>187</v>
      </c>
    </row>
    <row r="148" spans="1:3" x14ac:dyDescent="0.3">
      <c r="A148" s="14" t="s">
        <v>22</v>
      </c>
      <c r="B148" s="9">
        <v>0.69983995717320868</v>
      </c>
    </row>
    <row r="149" spans="1:3" x14ac:dyDescent="0.3">
      <c r="A149" s="14" t="s">
        <v>57</v>
      </c>
      <c r="B149" s="9">
        <v>0.8321034757733079</v>
      </c>
    </row>
    <row r="150" spans="1:3" x14ac:dyDescent="0.3">
      <c r="A150" s="14" t="s">
        <v>38</v>
      </c>
      <c r="B150" s="9">
        <v>0.92952126562090476</v>
      </c>
    </row>
    <row r="151" spans="1:3" x14ac:dyDescent="0.3">
      <c r="A151" s="13" t="s">
        <v>70</v>
      </c>
      <c r="B151" s="9">
        <v>0.96437167855370343</v>
      </c>
    </row>
    <row r="152" spans="1:3" x14ac:dyDescent="0.3">
      <c r="A152" s="13" t="s">
        <v>60</v>
      </c>
      <c r="B152" s="9">
        <v>0.97644359187406238</v>
      </c>
    </row>
    <row r="153" spans="1:3" x14ac:dyDescent="0.3">
      <c r="A153" s="13" t="s">
        <v>66</v>
      </c>
      <c r="B153" s="9">
        <v>0.98500103163494612</v>
      </c>
    </row>
    <row r="154" spans="1:3" x14ac:dyDescent="0.3">
      <c r="A154" s="13" t="s">
        <v>26</v>
      </c>
      <c r="B154" s="9">
        <v>0.99158665454727934</v>
      </c>
    </row>
    <row r="155" spans="1:3" x14ac:dyDescent="0.3">
      <c r="A155" s="13" t="s">
        <v>69</v>
      </c>
      <c r="B155" s="9">
        <v>0.99622800805232881</v>
      </c>
    </row>
    <row r="156" spans="1:3" x14ac:dyDescent="0.3">
      <c r="A156" s="13" t="s">
        <v>61</v>
      </c>
      <c r="B156" s="9">
        <v>0.99855058078259262</v>
      </c>
    </row>
    <row r="157" spans="1:3" x14ac:dyDescent="0.3">
      <c r="A157" s="13" t="s">
        <v>68</v>
      </c>
      <c r="B157" s="9">
        <v>0.99999999999999989</v>
      </c>
    </row>
    <row r="158" spans="1:3" x14ac:dyDescent="0.3">
      <c r="A158" s="7" t="s">
        <v>71</v>
      </c>
      <c r="B158" s="9"/>
    </row>
    <row r="159" spans="1:3" x14ac:dyDescent="0.3">
      <c r="A159" s="14" t="s">
        <v>66</v>
      </c>
      <c r="B159" s="9">
        <v>0.87258287467300455</v>
      </c>
      <c r="C159" t="s">
        <v>187</v>
      </c>
    </row>
    <row r="160" spans="1:3" x14ac:dyDescent="0.3">
      <c r="A160" s="14" t="s">
        <v>22</v>
      </c>
      <c r="B160" s="9">
        <v>0.91615617113900782</v>
      </c>
    </row>
    <row r="161" spans="1:3" x14ac:dyDescent="0.3">
      <c r="A161" s="13" t="s">
        <v>47</v>
      </c>
      <c r="B161" s="9">
        <v>0.95176317444463976</v>
      </c>
    </row>
    <row r="162" spans="1:3" x14ac:dyDescent="0.3">
      <c r="A162" s="13" t="s">
        <v>53</v>
      </c>
      <c r="B162" s="9">
        <v>0.97076717839510096</v>
      </c>
    </row>
    <row r="163" spans="1:3" x14ac:dyDescent="0.3">
      <c r="A163" s="13" t="s">
        <v>55</v>
      </c>
      <c r="B163" s="9">
        <v>0.98550565835975701</v>
      </c>
    </row>
    <row r="164" spans="1:3" x14ac:dyDescent="0.3">
      <c r="A164" s="13" t="s">
        <v>62</v>
      </c>
      <c r="B164" s="9">
        <v>0.99005137466082704</v>
      </c>
    </row>
    <row r="165" spans="1:3" x14ac:dyDescent="0.3">
      <c r="A165" s="13" t="s">
        <v>72</v>
      </c>
      <c r="B165" s="9">
        <v>0.99453973234008808</v>
      </c>
    </row>
    <row r="166" spans="1:3" x14ac:dyDescent="0.3">
      <c r="A166" s="13" t="s">
        <v>60</v>
      </c>
      <c r="B166" s="9">
        <v>0.99747667586756594</v>
      </c>
    </row>
    <row r="167" spans="1:3" x14ac:dyDescent="0.3">
      <c r="A167" s="13" t="s">
        <v>73</v>
      </c>
      <c r="B167" s="9">
        <v>0.99871603180307933</v>
      </c>
    </row>
    <row r="168" spans="1:3" x14ac:dyDescent="0.3">
      <c r="A168" s="13" t="s">
        <v>38</v>
      </c>
      <c r="B168" s="9">
        <v>0.99968639401139547</v>
      </c>
    </row>
    <row r="169" spans="1:3" x14ac:dyDescent="0.3">
      <c r="A169" s="13" t="s">
        <v>61</v>
      </c>
      <c r="B169" s="9">
        <v>0.99999999999999978</v>
      </c>
    </row>
    <row r="170" spans="1:3" x14ac:dyDescent="0.3">
      <c r="A170" s="7" t="s">
        <v>74</v>
      </c>
      <c r="B170" s="9"/>
    </row>
    <row r="171" spans="1:3" x14ac:dyDescent="0.3">
      <c r="A171" s="14" t="s">
        <v>66</v>
      </c>
      <c r="B171" s="9">
        <v>0.29106323862045302</v>
      </c>
      <c r="C171" t="s">
        <v>187</v>
      </c>
    </row>
    <row r="172" spans="1:3" x14ac:dyDescent="0.3">
      <c r="A172" s="14" t="s">
        <v>49</v>
      </c>
      <c r="B172" s="9">
        <v>0.57223994747625406</v>
      </c>
    </row>
    <row r="173" spans="1:3" x14ac:dyDescent="0.3">
      <c r="A173" s="14" t="s">
        <v>75</v>
      </c>
      <c r="B173" s="9">
        <v>0.73243044989370898</v>
      </c>
    </row>
    <row r="174" spans="1:3" x14ac:dyDescent="0.3">
      <c r="A174" s="14" t="s">
        <v>57</v>
      </c>
      <c r="B174" s="9">
        <v>0.82027830595217066</v>
      </c>
    </row>
    <row r="175" spans="1:3" x14ac:dyDescent="0.3">
      <c r="A175" s="14" t="s">
        <v>47</v>
      </c>
      <c r="B175" s="9">
        <v>0.88896406163824016</v>
      </c>
    </row>
    <row r="176" spans="1:3" x14ac:dyDescent="0.3">
      <c r="A176" s="13" t="s">
        <v>56</v>
      </c>
      <c r="B176" s="9">
        <v>0.94881594055503338</v>
      </c>
    </row>
    <row r="177" spans="1:4" x14ac:dyDescent="0.3">
      <c r="A177" s="13" t="s">
        <v>22</v>
      </c>
      <c r="B177" s="9">
        <v>0.97973459366910576</v>
      </c>
    </row>
    <row r="178" spans="1:4" x14ac:dyDescent="0.3">
      <c r="A178" s="13" t="s">
        <v>60</v>
      </c>
      <c r="B178" s="9">
        <v>0.98995838774657563</v>
      </c>
    </row>
    <row r="179" spans="1:4" x14ac:dyDescent="0.3">
      <c r="A179" s="13" t="s">
        <v>53</v>
      </c>
      <c r="B179" s="9">
        <v>0.99781170757132642</v>
      </c>
    </row>
    <row r="180" spans="1:4" x14ac:dyDescent="0.3">
      <c r="A180" s="13" t="s">
        <v>38</v>
      </c>
      <c r="B180" s="9">
        <v>1.0000000000000002</v>
      </c>
    </row>
    <row r="181" spans="1:4" x14ac:dyDescent="0.3">
      <c r="A181" s="7" t="s">
        <v>76</v>
      </c>
      <c r="B181" s="9"/>
    </row>
    <row r="182" spans="1:4" x14ac:dyDescent="0.3">
      <c r="A182" s="14" t="s">
        <v>55</v>
      </c>
      <c r="B182" s="9">
        <v>0.42591022584148869</v>
      </c>
      <c r="C182" t="s">
        <v>188</v>
      </c>
      <c r="D182" t="s">
        <v>187</v>
      </c>
    </row>
    <row r="183" spans="1:4" x14ac:dyDescent="0.3">
      <c r="A183" s="14" t="s">
        <v>26</v>
      </c>
      <c r="B183" s="9">
        <v>0.73907696719240679</v>
      </c>
    </row>
    <row r="184" spans="1:4" x14ac:dyDescent="0.3">
      <c r="A184" s="14" t="s">
        <v>56</v>
      </c>
      <c r="B184" s="9">
        <v>0.87600962043803687</v>
      </c>
    </row>
    <row r="185" spans="1:4" x14ac:dyDescent="0.3">
      <c r="A185" s="14" t="s">
        <v>69</v>
      </c>
      <c r="B185" s="9">
        <v>0.94524514875074439</v>
      </c>
    </row>
    <row r="186" spans="1:4" x14ac:dyDescent="0.3">
      <c r="A186" s="13" t="s">
        <v>22</v>
      </c>
      <c r="B186" s="9">
        <v>0.99999999999999989</v>
      </c>
    </row>
    <row r="187" spans="1:4" x14ac:dyDescent="0.3">
      <c r="A187" s="7" t="s">
        <v>77</v>
      </c>
      <c r="B187" s="9"/>
    </row>
    <row r="188" spans="1:4" x14ac:dyDescent="0.3">
      <c r="A188" s="14" t="s">
        <v>55</v>
      </c>
      <c r="B188" s="9">
        <v>0.27355864802888519</v>
      </c>
      <c r="C188" t="s">
        <v>188</v>
      </c>
      <c r="D188" t="s">
        <v>187</v>
      </c>
    </row>
    <row r="189" spans="1:4" x14ac:dyDescent="0.3">
      <c r="A189" s="14" t="s">
        <v>22</v>
      </c>
      <c r="B189" s="9">
        <v>0.52632801242961125</v>
      </c>
    </row>
    <row r="190" spans="1:4" x14ac:dyDescent="0.3">
      <c r="A190" s="14" t="s">
        <v>47</v>
      </c>
      <c r="B190" s="9">
        <v>0.70588803687246748</v>
      </c>
    </row>
    <row r="191" spans="1:4" x14ac:dyDescent="0.3">
      <c r="A191" s="14" t="s">
        <v>69</v>
      </c>
      <c r="B191" s="9">
        <v>0.83671247317620501</v>
      </c>
    </row>
    <row r="192" spans="1:4" x14ac:dyDescent="0.3">
      <c r="A192" s="14" t="s">
        <v>56</v>
      </c>
      <c r="B192" s="9">
        <v>0.93189384236182538</v>
      </c>
    </row>
    <row r="193" spans="1:3" x14ac:dyDescent="0.3">
      <c r="A193" s="13" t="s">
        <v>32</v>
      </c>
      <c r="B193" s="9">
        <v>0.97916323237073544</v>
      </c>
    </row>
    <row r="194" spans="1:3" x14ac:dyDescent="0.3">
      <c r="A194" s="13" t="s">
        <v>78</v>
      </c>
      <c r="B194" s="9">
        <v>1.0000000000000002</v>
      </c>
    </row>
    <row r="195" spans="1:3" x14ac:dyDescent="0.3">
      <c r="A195" s="7" t="s">
        <v>79</v>
      </c>
      <c r="B195" s="9"/>
    </row>
    <row r="196" spans="1:3" x14ac:dyDescent="0.3">
      <c r="A196" s="14" t="s">
        <v>26</v>
      </c>
      <c r="B196" s="9">
        <v>0.39599386689653815</v>
      </c>
      <c r="C196" t="s">
        <v>187</v>
      </c>
    </row>
    <row r="197" spans="1:3" x14ac:dyDescent="0.3">
      <c r="A197" s="14" t="s">
        <v>56</v>
      </c>
      <c r="B197" s="9">
        <v>0.76214818187435196</v>
      </c>
    </row>
    <row r="198" spans="1:3" x14ac:dyDescent="0.3">
      <c r="A198" s="14" t="s">
        <v>55</v>
      </c>
      <c r="B198" s="9">
        <v>0.9106718639679573</v>
      </c>
    </row>
    <row r="199" spans="1:3" x14ac:dyDescent="0.3">
      <c r="A199" s="13" t="s">
        <v>47</v>
      </c>
      <c r="B199" s="9">
        <v>0.95440321915946991</v>
      </c>
    </row>
    <row r="200" spans="1:3" x14ac:dyDescent="0.3">
      <c r="A200" s="13" t="s">
        <v>62</v>
      </c>
      <c r="B200" s="9">
        <v>0.97351787832052317</v>
      </c>
    </row>
    <row r="201" spans="1:3" x14ac:dyDescent="0.3">
      <c r="A201" s="13" t="s">
        <v>22</v>
      </c>
      <c r="B201" s="9">
        <v>0.99113999300547884</v>
      </c>
    </row>
    <row r="202" spans="1:3" x14ac:dyDescent="0.3">
      <c r="A202" s="13" t="s">
        <v>69</v>
      </c>
      <c r="B202" s="9">
        <v>0.99701689062932108</v>
      </c>
    </row>
    <row r="203" spans="1:3" x14ac:dyDescent="0.3">
      <c r="A203" s="13" t="s">
        <v>80</v>
      </c>
      <c r="B203" s="9">
        <v>1.0000000000000002</v>
      </c>
    </row>
    <row r="204" spans="1:3" x14ac:dyDescent="0.3">
      <c r="A204" s="7" t="s">
        <v>81</v>
      </c>
      <c r="B204" s="9"/>
    </row>
    <row r="205" spans="1:3" x14ac:dyDescent="0.3">
      <c r="A205" s="14" t="s">
        <v>66</v>
      </c>
      <c r="B205" s="15">
        <v>0.58455673407787112</v>
      </c>
      <c r="C205" t="s">
        <v>187</v>
      </c>
    </row>
    <row r="206" spans="1:3" x14ac:dyDescent="0.3">
      <c r="A206" s="14" t="s">
        <v>47</v>
      </c>
      <c r="B206" s="15">
        <v>0.76471122766517263</v>
      </c>
    </row>
    <row r="207" spans="1:3" x14ac:dyDescent="0.3">
      <c r="A207" s="14" t="s">
        <v>56</v>
      </c>
      <c r="B207" s="15">
        <v>0.9282609538072053</v>
      </c>
    </row>
    <row r="208" spans="1:3" x14ac:dyDescent="0.3">
      <c r="A208" s="13" t="s">
        <v>82</v>
      </c>
      <c r="B208" s="9">
        <v>0.98569430991453921</v>
      </c>
    </row>
    <row r="209" spans="1:3" x14ac:dyDescent="0.3">
      <c r="A209" s="13" t="s">
        <v>15</v>
      </c>
      <c r="B209" s="9">
        <v>0.99937783554142978</v>
      </c>
    </row>
    <row r="210" spans="1:3" x14ac:dyDescent="0.3">
      <c r="A210" s="13" t="s">
        <v>69</v>
      </c>
      <c r="B210" s="9">
        <v>1</v>
      </c>
    </row>
    <row r="211" spans="1:3" x14ac:dyDescent="0.3">
      <c r="A211" s="7" t="s">
        <v>83</v>
      </c>
      <c r="B211" s="9"/>
    </row>
    <row r="212" spans="1:3" x14ac:dyDescent="0.3">
      <c r="A212" s="14" t="s">
        <v>66</v>
      </c>
      <c r="B212" s="15">
        <v>0.98491208340406677</v>
      </c>
      <c r="C212" t="s">
        <v>187</v>
      </c>
    </row>
    <row r="213" spans="1:3" x14ac:dyDescent="0.3">
      <c r="A213" s="13" t="s">
        <v>15</v>
      </c>
      <c r="B213" s="9">
        <v>1</v>
      </c>
    </row>
    <row r="214" spans="1:3" x14ac:dyDescent="0.3">
      <c r="A214" s="7" t="s">
        <v>84</v>
      </c>
      <c r="B214" s="9"/>
    </row>
    <row r="215" spans="1:3" x14ac:dyDescent="0.3">
      <c r="A215" s="14" t="s">
        <v>66</v>
      </c>
      <c r="B215" s="15">
        <v>0.83694101384428532</v>
      </c>
      <c r="C215" t="s">
        <v>187</v>
      </c>
    </row>
    <row r="216" spans="1:3" x14ac:dyDescent="0.3">
      <c r="A216" s="13" t="s">
        <v>56</v>
      </c>
      <c r="B216" s="9">
        <v>0.95674790732611947</v>
      </c>
    </row>
    <row r="217" spans="1:3" x14ac:dyDescent="0.3">
      <c r="A217" s="13" t="s">
        <v>47</v>
      </c>
      <c r="B217" s="9">
        <v>0.97947126710566323</v>
      </c>
    </row>
    <row r="218" spans="1:3" x14ac:dyDescent="0.3">
      <c r="A218" s="13" t="s">
        <v>78</v>
      </c>
      <c r="B218" s="9">
        <v>0.9873808405016915</v>
      </c>
    </row>
    <row r="219" spans="1:3" x14ac:dyDescent="0.3">
      <c r="A219" s="13" t="s">
        <v>22</v>
      </c>
      <c r="B219" s="9">
        <v>0.99216232651870473</v>
      </c>
    </row>
    <row r="220" spans="1:3" x14ac:dyDescent="0.3">
      <c r="A220" s="13" t="s">
        <v>85</v>
      </c>
      <c r="B220" s="9">
        <v>0.99577644457310288</v>
      </c>
    </row>
    <row r="221" spans="1:3" x14ac:dyDescent="0.3">
      <c r="A221" s="13" t="s">
        <v>69</v>
      </c>
      <c r="B221" s="9">
        <v>0.99916473716076126</v>
      </c>
    </row>
    <row r="222" spans="1:3" x14ac:dyDescent="0.3">
      <c r="A222" s="13" t="s">
        <v>15</v>
      </c>
      <c r="B222" s="9">
        <v>1</v>
      </c>
    </row>
    <row r="223" spans="1:3" x14ac:dyDescent="0.3">
      <c r="A223" s="7" t="s">
        <v>86</v>
      </c>
      <c r="B223" s="9"/>
    </row>
    <row r="224" spans="1:3" x14ac:dyDescent="0.3">
      <c r="A224" s="14" t="s">
        <v>78</v>
      </c>
      <c r="B224" s="15">
        <v>0.26287315634549302</v>
      </c>
      <c r="C224" t="s">
        <v>187</v>
      </c>
    </row>
    <row r="225" spans="1:3" x14ac:dyDescent="0.3">
      <c r="A225" s="14" t="s">
        <v>62</v>
      </c>
      <c r="B225" s="15">
        <v>0.4683018507286717</v>
      </c>
    </row>
    <row r="226" spans="1:3" x14ac:dyDescent="0.3">
      <c r="A226" s="14" t="s">
        <v>85</v>
      </c>
      <c r="B226" s="15">
        <v>0.58917477927951434</v>
      </c>
    </row>
    <row r="227" spans="1:3" x14ac:dyDescent="0.3">
      <c r="A227" s="14" t="s">
        <v>55</v>
      </c>
      <c r="B227" s="15">
        <v>0.69873184960091972</v>
      </c>
    </row>
    <row r="228" spans="1:3" x14ac:dyDescent="0.3">
      <c r="A228" s="14" t="s">
        <v>38</v>
      </c>
      <c r="B228" s="15">
        <v>0.77823629711379672</v>
      </c>
    </row>
    <row r="229" spans="1:3" x14ac:dyDescent="0.3">
      <c r="A229" s="14" t="s">
        <v>69</v>
      </c>
      <c r="B229" s="15">
        <v>0.8505407130571031</v>
      </c>
    </row>
    <row r="230" spans="1:3" x14ac:dyDescent="0.3">
      <c r="A230" s="13" t="s">
        <v>15</v>
      </c>
      <c r="B230" s="9">
        <v>0.91715419023396805</v>
      </c>
    </row>
    <row r="231" spans="1:3" x14ac:dyDescent="0.3">
      <c r="A231" s="13" t="s">
        <v>73</v>
      </c>
      <c r="B231" s="9">
        <v>0.96424465594311159</v>
      </c>
    </row>
    <row r="232" spans="1:3" x14ac:dyDescent="0.3">
      <c r="A232" s="13" t="s">
        <v>87</v>
      </c>
      <c r="B232" s="9">
        <v>0.9941684195446312</v>
      </c>
    </row>
    <row r="233" spans="1:3" x14ac:dyDescent="0.3">
      <c r="A233" s="13" t="s">
        <v>88</v>
      </c>
      <c r="B233" s="9">
        <v>0.99999999999999978</v>
      </c>
    </row>
    <row r="234" spans="1:3" x14ac:dyDescent="0.3">
      <c r="A234" s="7" t="s">
        <v>89</v>
      </c>
      <c r="B234" s="9"/>
    </row>
    <row r="235" spans="1:3" x14ac:dyDescent="0.3">
      <c r="A235" s="14" t="s">
        <v>66</v>
      </c>
      <c r="B235" s="15">
        <v>0.65241338595280052</v>
      </c>
      <c r="C235" t="s">
        <v>187</v>
      </c>
    </row>
    <row r="236" spans="1:3" x14ac:dyDescent="0.3">
      <c r="A236" s="14" t="s">
        <v>62</v>
      </c>
      <c r="B236" s="15">
        <v>0.87241254175992689</v>
      </c>
    </row>
    <row r="237" spans="1:3" x14ac:dyDescent="0.3">
      <c r="A237" s="13" t="s">
        <v>26</v>
      </c>
      <c r="B237" s="9">
        <v>0.98441087377078573</v>
      </c>
    </row>
    <row r="238" spans="1:3" x14ac:dyDescent="0.3">
      <c r="A238" s="13" t="s">
        <v>73</v>
      </c>
      <c r="B238" s="9">
        <v>0.99541625932471933</v>
      </c>
    </row>
    <row r="239" spans="1:3" x14ac:dyDescent="0.3">
      <c r="A239" s="13" t="s">
        <v>85</v>
      </c>
      <c r="B239" s="9">
        <v>0.99876186933764</v>
      </c>
    </row>
    <row r="240" spans="1:3" x14ac:dyDescent="0.3">
      <c r="A240" s="13" t="s">
        <v>90</v>
      </c>
      <c r="B240" s="9">
        <v>0.99961903671927388</v>
      </c>
    </row>
    <row r="241" spans="1:4" x14ac:dyDescent="0.3">
      <c r="A241" s="13" t="s">
        <v>61</v>
      </c>
      <c r="B241" s="9">
        <v>1</v>
      </c>
    </row>
    <row r="242" spans="1:4" x14ac:dyDescent="0.3">
      <c r="A242" s="7" t="s">
        <v>91</v>
      </c>
      <c r="B242" s="9"/>
    </row>
    <row r="243" spans="1:4" x14ac:dyDescent="0.3">
      <c r="A243" s="14" t="s">
        <v>94</v>
      </c>
      <c r="B243" s="15">
        <v>0.24866714451401545</v>
      </c>
      <c r="C243" t="s">
        <v>188</v>
      </c>
      <c r="D243" t="s">
        <v>187</v>
      </c>
    </row>
    <row r="244" spans="1:4" x14ac:dyDescent="0.3">
      <c r="A244" s="14" t="s">
        <v>47</v>
      </c>
      <c r="B244" s="15">
        <v>0.48388892073276735</v>
      </c>
    </row>
    <row r="245" spans="1:4" x14ac:dyDescent="0.3">
      <c r="A245" s="14" t="s">
        <v>92</v>
      </c>
      <c r="B245" s="15">
        <v>0.67475696657357531</v>
      </c>
    </row>
    <row r="246" spans="1:4" x14ac:dyDescent="0.3">
      <c r="A246" s="14" t="s">
        <v>60</v>
      </c>
      <c r="B246" s="15">
        <v>0.77290843888633187</v>
      </c>
    </row>
    <row r="247" spans="1:4" x14ac:dyDescent="0.3">
      <c r="A247" s="14" t="s">
        <v>78</v>
      </c>
      <c r="B247" s="15">
        <v>0.84990958545512874</v>
      </c>
    </row>
    <row r="248" spans="1:4" x14ac:dyDescent="0.3">
      <c r="A248" s="13" t="s">
        <v>55</v>
      </c>
      <c r="B248" s="9">
        <v>0.9255163484895691</v>
      </c>
    </row>
    <row r="249" spans="1:4" x14ac:dyDescent="0.3">
      <c r="A249" s="13" t="s">
        <v>90</v>
      </c>
      <c r="B249" s="9">
        <v>0.95874735892862295</v>
      </c>
    </row>
    <row r="250" spans="1:4" x14ac:dyDescent="0.3">
      <c r="A250" s="13" t="s">
        <v>51</v>
      </c>
      <c r="B250" s="9">
        <v>0.97922347724937742</v>
      </c>
    </row>
    <row r="251" spans="1:4" x14ac:dyDescent="0.3">
      <c r="A251" s="13" t="s">
        <v>93</v>
      </c>
      <c r="B251" s="9">
        <v>0.99602266804913242</v>
      </c>
    </row>
    <row r="252" spans="1:4" x14ac:dyDescent="0.3">
      <c r="A252" s="13" t="s">
        <v>75</v>
      </c>
      <c r="B252" s="9">
        <v>1</v>
      </c>
    </row>
    <row r="253" spans="1:4" x14ac:dyDescent="0.3">
      <c r="A253" s="7" t="s">
        <v>95</v>
      </c>
      <c r="B253" s="9"/>
    </row>
    <row r="254" spans="1:4" x14ac:dyDescent="0.3">
      <c r="A254" s="14" t="s">
        <v>49</v>
      </c>
      <c r="B254" s="15">
        <v>0.58859587604988683</v>
      </c>
      <c r="C254" t="s">
        <v>187</v>
      </c>
    </row>
    <row r="255" spans="1:4" x14ac:dyDescent="0.3">
      <c r="A255" s="14" t="s">
        <v>92</v>
      </c>
      <c r="B255" s="15">
        <v>0.72798803684754532</v>
      </c>
    </row>
    <row r="256" spans="1:4" x14ac:dyDescent="0.3">
      <c r="A256" s="14" t="s">
        <v>56</v>
      </c>
      <c r="B256" s="15">
        <v>0.83939093801271547</v>
      </c>
    </row>
    <row r="257" spans="1:3" x14ac:dyDescent="0.3">
      <c r="A257" s="13" t="s">
        <v>47</v>
      </c>
      <c r="B257" s="9">
        <v>0.89540542154072333</v>
      </c>
    </row>
    <row r="258" spans="1:3" x14ac:dyDescent="0.3">
      <c r="A258" s="13" t="s">
        <v>51</v>
      </c>
      <c r="B258" s="9">
        <v>0.93808061605343995</v>
      </c>
    </row>
    <row r="259" spans="1:3" x14ac:dyDescent="0.3">
      <c r="A259" s="13" t="s">
        <v>96</v>
      </c>
      <c r="B259" s="9">
        <v>0.96492779454911237</v>
      </c>
    </row>
    <row r="260" spans="1:3" x14ac:dyDescent="0.3">
      <c r="A260" s="13" t="s">
        <v>94</v>
      </c>
      <c r="B260" s="9">
        <v>0.9780481331310702</v>
      </c>
    </row>
    <row r="261" spans="1:3" x14ac:dyDescent="0.3">
      <c r="A261" s="13" t="s">
        <v>60</v>
      </c>
      <c r="B261" s="9">
        <v>0.98996309347327738</v>
      </c>
    </row>
    <row r="262" spans="1:3" x14ac:dyDescent="0.3">
      <c r="A262" s="13" t="s">
        <v>69</v>
      </c>
      <c r="B262" s="9">
        <v>0.99488660108223648</v>
      </c>
    </row>
    <row r="263" spans="1:3" x14ac:dyDescent="0.3">
      <c r="A263" s="13" t="s">
        <v>85</v>
      </c>
      <c r="B263" s="9">
        <v>0.99875578035617563</v>
      </c>
    </row>
    <row r="264" spans="1:3" x14ac:dyDescent="0.3">
      <c r="A264" s="13" t="s">
        <v>55</v>
      </c>
      <c r="B264" s="9">
        <v>0.99999999999999989</v>
      </c>
    </row>
    <row r="265" spans="1:3" x14ac:dyDescent="0.3">
      <c r="A265" s="7" t="s">
        <v>97</v>
      </c>
      <c r="B265" s="9"/>
    </row>
    <row r="266" spans="1:3" x14ac:dyDescent="0.3">
      <c r="A266" s="14" t="s">
        <v>49</v>
      </c>
      <c r="B266" s="15">
        <v>0.51849062082254693</v>
      </c>
      <c r="C266" t="s">
        <v>187</v>
      </c>
    </row>
    <row r="267" spans="1:3" x14ac:dyDescent="0.3">
      <c r="A267" s="14" t="s">
        <v>88</v>
      </c>
      <c r="B267" s="15">
        <v>0.78474368232408265</v>
      </c>
    </row>
    <row r="268" spans="1:3" x14ac:dyDescent="0.3">
      <c r="A268" s="13" t="s">
        <v>15</v>
      </c>
      <c r="B268" s="9">
        <v>0.89483329782400056</v>
      </c>
    </row>
    <row r="269" spans="1:3" x14ac:dyDescent="0.3">
      <c r="A269" s="13" t="s">
        <v>55</v>
      </c>
      <c r="B269" s="9">
        <v>0.99999999999999989</v>
      </c>
      <c r="C269" t="s">
        <v>188</v>
      </c>
    </row>
    <row r="270" spans="1:3" x14ac:dyDescent="0.3">
      <c r="A270" s="7" t="s">
        <v>98</v>
      </c>
      <c r="B270" s="9"/>
    </row>
    <row r="271" spans="1:3" x14ac:dyDescent="0.3">
      <c r="A271" s="14" t="s">
        <v>41</v>
      </c>
      <c r="B271" s="15">
        <v>0.42090517394978005</v>
      </c>
      <c r="C271" t="s">
        <v>187</v>
      </c>
    </row>
    <row r="272" spans="1:3" x14ac:dyDescent="0.3">
      <c r="A272" s="14" t="s">
        <v>56</v>
      </c>
      <c r="B272" s="15">
        <v>0.78445452604132426</v>
      </c>
    </row>
    <row r="273" spans="1:3" x14ac:dyDescent="0.3">
      <c r="A273" s="13" t="s">
        <v>49</v>
      </c>
      <c r="B273" s="9">
        <v>0.91801887910556934</v>
      </c>
    </row>
    <row r="274" spans="1:3" x14ac:dyDescent="0.3">
      <c r="A274" s="13" t="s">
        <v>55</v>
      </c>
      <c r="B274" s="9">
        <v>0.961270143946515</v>
      </c>
    </row>
    <row r="275" spans="1:3" x14ac:dyDescent="0.3">
      <c r="A275" s="13" t="s">
        <v>92</v>
      </c>
      <c r="B275" s="9">
        <v>0.9966294664716514</v>
      </c>
    </row>
    <row r="276" spans="1:3" x14ac:dyDescent="0.3">
      <c r="A276" s="13" t="s">
        <v>99</v>
      </c>
      <c r="B276" s="9">
        <v>1</v>
      </c>
    </row>
    <row r="277" spans="1:3" x14ac:dyDescent="0.3">
      <c r="A277" s="7" t="s">
        <v>100</v>
      </c>
      <c r="B277" s="9"/>
    </row>
    <row r="278" spans="1:3" x14ac:dyDescent="0.3">
      <c r="A278" s="14" t="s">
        <v>56</v>
      </c>
      <c r="B278" s="15">
        <v>0.44592981224376183</v>
      </c>
      <c r="C278" t="s">
        <v>187</v>
      </c>
    </row>
    <row r="279" spans="1:3" x14ac:dyDescent="0.3">
      <c r="A279" s="14" t="s">
        <v>49</v>
      </c>
      <c r="B279" s="15">
        <v>0.83268750890244425</v>
      </c>
    </row>
    <row r="280" spans="1:3" x14ac:dyDescent="0.3">
      <c r="A280" s="13" t="s">
        <v>55</v>
      </c>
      <c r="B280" s="9">
        <v>0.92312651620012276</v>
      </c>
    </row>
    <row r="281" spans="1:3" x14ac:dyDescent="0.3">
      <c r="A281" s="13" t="s">
        <v>85</v>
      </c>
      <c r="B281" s="9">
        <v>0.95575529353922661</v>
      </c>
    </row>
    <row r="282" spans="1:3" x14ac:dyDescent="0.3">
      <c r="A282" s="13" t="s">
        <v>41</v>
      </c>
      <c r="B282" s="9">
        <v>0.98607372685053229</v>
      </c>
    </row>
    <row r="283" spans="1:3" x14ac:dyDescent="0.3">
      <c r="A283" s="13" t="s">
        <v>78</v>
      </c>
      <c r="B283" s="9">
        <v>1</v>
      </c>
    </row>
    <row r="284" spans="1:3" x14ac:dyDescent="0.3">
      <c r="A284" s="7" t="s">
        <v>101</v>
      </c>
      <c r="B284" s="9"/>
    </row>
    <row r="285" spans="1:3" x14ac:dyDescent="0.3">
      <c r="A285" s="14" t="s">
        <v>56</v>
      </c>
      <c r="B285" s="15">
        <v>0.32774352962690123</v>
      </c>
      <c r="C285" t="s">
        <v>187</v>
      </c>
    </row>
    <row r="286" spans="1:3" x14ac:dyDescent="0.3">
      <c r="A286" s="14" t="s">
        <v>41</v>
      </c>
      <c r="B286" s="15">
        <v>0.60298833597101498</v>
      </c>
    </row>
    <row r="287" spans="1:3" x14ac:dyDescent="0.3">
      <c r="A287" s="14" t="s">
        <v>80</v>
      </c>
      <c r="B287" s="15">
        <v>0.76913793526393304</v>
      </c>
      <c r="C287" t="s">
        <v>188</v>
      </c>
    </row>
    <row r="288" spans="1:3" x14ac:dyDescent="0.3">
      <c r="A288" s="14" t="s">
        <v>92</v>
      </c>
      <c r="B288" s="15">
        <v>0.86898744245480564</v>
      </c>
    </row>
    <row r="289" spans="1:3" x14ac:dyDescent="0.3">
      <c r="A289" s="13" t="s">
        <v>82</v>
      </c>
      <c r="B289" s="9">
        <v>0.94019388261040537</v>
      </c>
    </row>
    <row r="290" spans="1:3" x14ac:dyDescent="0.3">
      <c r="A290" s="13" t="s">
        <v>55</v>
      </c>
      <c r="B290" s="9">
        <v>0.97067620295752377</v>
      </c>
    </row>
    <row r="291" spans="1:3" x14ac:dyDescent="0.3">
      <c r="A291" s="13" t="s">
        <v>22</v>
      </c>
      <c r="B291" s="9">
        <v>0.98120289433836327</v>
      </c>
    </row>
    <row r="292" spans="1:3" x14ac:dyDescent="0.3">
      <c r="A292" s="13" t="s">
        <v>51</v>
      </c>
      <c r="B292" s="9">
        <v>0.98676488406961715</v>
      </c>
    </row>
    <row r="293" spans="1:3" x14ac:dyDescent="0.3">
      <c r="A293" s="13" t="s">
        <v>54</v>
      </c>
      <c r="B293" s="9">
        <v>0.99226275918102791</v>
      </c>
    </row>
    <row r="294" spans="1:3" x14ac:dyDescent="0.3">
      <c r="A294" s="13" t="s">
        <v>88</v>
      </c>
      <c r="B294" s="9">
        <v>0.99661307551698697</v>
      </c>
    </row>
    <row r="295" spans="1:3" x14ac:dyDescent="0.3">
      <c r="A295" s="13" t="s">
        <v>85</v>
      </c>
      <c r="B295" s="9">
        <v>1.0000000000000002</v>
      </c>
    </row>
    <row r="296" spans="1:3" x14ac:dyDescent="0.3">
      <c r="A296" s="7" t="s">
        <v>102</v>
      </c>
      <c r="B296" s="9"/>
    </row>
    <row r="297" spans="1:3" x14ac:dyDescent="0.3">
      <c r="A297" s="14" t="s">
        <v>41</v>
      </c>
      <c r="B297" s="15">
        <v>0.66936279491403061</v>
      </c>
      <c r="C297" t="s">
        <v>187</v>
      </c>
    </row>
    <row r="298" spans="1:3" x14ac:dyDescent="0.3">
      <c r="A298" s="14" t="s">
        <v>49</v>
      </c>
      <c r="B298" s="15">
        <v>0.78366343670781113</v>
      </c>
    </row>
    <row r="299" spans="1:3" x14ac:dyDescent="0.3">
      <c r="A299" s="14" t="s">
        <v>92</v>
      </c>
      <c r="B299" s="15">
        <v>0.86783131809005554</v>
      </c>
    </row>
    <row r="300" spans="1:3" x14ac:dyDescent="0.3">
      <c r="A300" s="13" t="s">
        <v>56</v>
      </c>
      <c r="B300" s="9">
        <v>0.95134637037997627</v>
      </c>
    </row>
    <row r="301" spans="1:3" x14ac:dyDescent="0.3">
      <c r="A301" s="13" t="s">
        <v>55</v>
      </c>
      <c r="B301" s="9">
        <v>0.9794172731931704</v>
      </c>
    </row>
    <row r="302" spans="1:3" x14ac:dyDescent="0.3">
      <c r="A302" s="13" t="s">
        <v>88</v>
      </c>
      <c r="B302" s="9">
        <v>0.98967518775616581</v>
      </c>
    </row>
    <row r="303" spans="1:3" x14ac:dyDescent="0.3">
      <c r="A303" s="13" t="s">
        <v>22</v>
      </c>
      <c r="B303" s="9">
        <v>0.99594592572549379</v>
      </c>
    </row>
    <row r="304" spans="1:3" x14ac:dyDescent="0.3">
      <c r="A304" s="13" t="s">
        <v>60</v>
      </c>
      <c r="B304" s="9">
        <v>1</v>
      </c>
    </row>
    <row r="305" spans="1:3" x14ac:dyDescent="0.3">
      <c r="A305" s="7" t="s">
        <v>103</v>
      </c>
      <c r="B305" s="9"/>
    </row>
    <row r="306" spans="1:3" x14ac:dyDescent="0.3">
      <c r="A306" s="14" t="s">
        <v>56</v>
      </c>
      <c r="B306" s="15">
        <v>0.3918807011263345</v>
      </c>
      <c r="C306" t="s">
        <v>187</v>
      </c>
    </row>
    <row r="307" spans="1:3" x14ac:dyDescent="0.3">
      <c r="A307" s="14" t="s">
        <v>26</v>
      </c>
      <c r="B307" s="15">
        <v>0.76695361747669744</v>
      </c>
    </row>
    <row r="308" spans="1:3" x14ac:dyDescent="0.3">
      <c r="A308" s="14" t="s">
        <v>39</v>
      </c>
      <c r="B308" s="15">
        <v>0.85672276764096233</v>
      </c>
    </row>
    <row r="309" spans="1:3" x14ac:dyDescent="0.3">
      <c r="A309" s="13" t="s">
        <v>55</v>
      </c>
      <c r="B309" s="9">
        <v>0.93527585154310966</v>
      </c>
    </row>
    <row r="310" spans="1:3" x14ac:dyDescent="0.3">
      <c r="A310" s="13" t="s">
        <v>75</v>
      </c>
      <c r="B310" s="9">
        <v>0.95595026718681653</v>
      </c>
    </row>
    <row r="311" spans="1:3" x14ac:dyDescent="0.3">
      <c r="A311" s="13" t="s">
        <v>68</v>
      </c>
      <c r="B311" s="9">
        <v>0.96616907750095748</v>
      </c>
    </row>
    <row r="312" spans="1:3" x14ac:dyDescent="0.3">
      <c r="A312" s="13" t="s">
        <v>92</v>
      </c>
      <c r="B312" s="9">
        <v>0.975592400398263</v>
      </c>
    </row>
    <row r="313" spans="1:3" x14ac:dyDescent="0.3">
      <c r="A313" s="13" t="s">
        <v>54</v>
      </c>
      <c r="B313" s="9">
        <v>0.98411715413411061</v>
      </c>
    </row>
    <row r="314" spans="1:3" x14ac:dyDescent="0.3">
      <c r="A314" s="13" t="s">
        <v>60</v>
      </c>
      <c r="B314" s="9">
        <v>0.99198133234886254</v>
      </c>
    </row>
    <row r="315" spans="1:3" x14ac:dyDescent="0.3">
      <c r="A315" s="13" t="s">
        <v>49</v>
      </c>
      <c r="B315" s="9">
        <v>0.99605998664998163</v>
      </c>
    </row>
    <row r="316" spans="1:3" x14ac:dyDescent="0.3">
      <c r="A316" s="13" t="s">
        <v>88</v>
      </c>
      <c r="B316" s="9">
        <v>0.99999999999999989</v>
      </c>
    </row>
    <row r="317" spans="1:3" x14ac:dyDescent="0.3">
      <c r="A317" s="7" t="s">
        <v>104</v>
      </c>
      <c r="B317" s="9"/>
    </row>
    <row r="318" spans="1:3" x14ac:dyDescent="0.3">
      <c r="A318" s="14" t="s">
        <v>26</v>
      </c>
      <c r="B318" s="15">
        <v>0.36354087572363841</v>
      </c>
      <c r="C318" t="s">
        <v>187</v>
      </c>
    </row>
    <row r="319" spans="1:3" x14ac:dyDescent="0.3">
      <c r="A319" s="14" t="s">
        <v>75</v>
      </c>
      <c r="B319" s="15">
        <v>0.59303271374826128</v>
      </c>
    </row>
    <row r="320" spans="1:3" x14ac:dyDescent="0.3">
      <c r="A320" s="14" t="s">
        <v>49</v>
      </c>
      <c r="B320" s="15">
        <v>0.74680905682320275</v>
      </c>
    </row>
    <row r="321" spans="1:3" x14ac:dyDescent="0.3">
      <c r="A321" s="14" t="s">
        <v>92</v>
      </c>
      <c r="B321" s="15">
        <v>0.8219430645078688</v>
      </c>
    </row>
    <row r="322" spans="1:3" x14ac:dyDescent="0.3">
      <c r="A322" s="13" t="s">
        <v>56</v>
      </c>
      <c r="B322" s="9">
        <v>0.89013389794007824</v>
      </c>
    </row>
    <row r="323" spans="1:3" x14ac:dyDescent="0.3">
      <c r="A323" s="13" t="s">
        <v>22</v>
      </c>
      <c r="B323" s="9">
        <v>0.9243563957078097</v>
      </c>
    </row>
    <row r="324" spans="1:3" x14ac:dyDescent="0.3">
      <c r="A324" s="13" t="s">
        <v>54</v>
      </c>
      <c r="B324" s="9">
        <v>0.95737933741625614</v>
      </c>
    </row>
    <row r="325" spans="1:3" x14ac:dyDescent="0.3">
      <c r="A325" s="13" t="s">
        <v>15</v>
      </c>
      <c r="B325" s="9">
        <v>0.99036919669824663</v>
      </c>
    </row>
    <row r="326" spans="1:3" x14ac:dyDescent="0.3">
      <c r="A326" s="13" t="s">
        <v>85</v>
      </c>
      <c r="B326" s="9">
        <v>1</v>
      </c>
    </row>
    <row r="327" spans="1:3" x14ac:dyDescent="0.3">
      <c r="A327" s="7" t="s">
        <v>105</v>
      </c>
      <c r="B327" s="9"/>
    </row>
    <row r="328" spans="1:3" x14ac:dyDescent="0.3">
      <c r="A328" s="14" t="s">
        <v>56</v>
      </c>
      <c r="B328" s="15">
        <v>0.85351405143274051</v>
      </c>
      <c r="C328" t="s">
        <v>187</v>
      </c>
    </row>
    <row r="329" spans="1:3" x14ac:dyDescent="0.3">
      <c r="A329" s="13" t="s">
        <v>96</v>
      </c>
      <c r="B329" s="9">
        <v>0.93262654794720135</v>
      </c>
    </row>
    <row r="330" spans="1:3" x14ac:dyDescent="0.3">
      <c r="A330" s="13" t="s">
        <v>75</v>
      </c>
      <c r="B330" s="9">
        <v>0.95412187203146004</v>
      </c>
    </row>
    <row r="331" spans="1:3" x14ac:dyDescent="0.3">
      <c r="A331" s="13" t="s">
        <v>70</v>
      </c>
      <c r="B331" s="9">
        <v>0.97254292371864037</v>
      </c>
    </row>
    <row r="332" spans="1:3" x14ac:dyDescent="0.3">
      <c r="A332" s="13" t="s">
        <v>88</v>
      </c>
      <c r="B332" s="9">
        <v>0.98402842549092717</v>
      </c>
    </row>
    <row r="333" spans="1:3" x14ac:dyDescent="0.3">
      <c r="A333" s="13" t="s">
        <v>62</v>
      </c>
      <c r="B333" s="9">
        <v>0.99240017900508626</v>
      </c>
    </row>
    <row r="334" spans="1:3" x14ac:dyDescent="0.3">
      <c r="A334" s="13" t="s">
        <v>60</v>
      </c>
      <c r="B334" s="9">
        <v>0.99728531680993415</v>
      </c>
    </row>
    <row r="335" spans="1:3" x14ac:dyDescent="0.3">
      <c r="A335" s="13" t="s">
        <v>22</v>
      </c>
      <c r="B335" s="9">
        <v>1</v>
      </c>
    </row>
    <row r="336" spans="1:3" x14ac:dyDescent="0.3">
      <c r="A336" s="7" t="s">
        <v>106</v>
      </c>
      <c r="B336" s="9"/>
    </row>
    <row r="337" spans="1:3" x14ac:dyDescent="0.3">
      <c r="A337" s="14" t="s">
        <v>39</v>
      </c>
      <c r="B337" s="15">
        <v>0.46047720998651359</v>
      </c>
      <c r="C337" t="s">
        <v>187</v>
      </c>
    </row>
    <row r="338" spans="1:3" x14ac:dyDescent="0.3">
      <c r="A338" s="14" t="s">
        <v>26</v>
      </c>
      <c r="B338" s="15">
        <v>0.9120535225881895</v>
      </c>
    </row>
    <row r="339" spans="1:3" x14ac:dyDescent="0.3">
      <c r="A339" s="13" t="s">
        <v>107</v>
      </c>
      <c r="B339" s="9">
        <v>1</v>
      </c>
    </row>
    <row r="340" spans="1:3" x14ac:dyDescent="0.3">
      <c r="A340" s="7" t="s">
        <v>108</v>
      </c>
      <c r="B340" s="9"/>
    </row>
    <row r="341" spans="1:3" x14ac:dyDescent="0.3">
      <c r="A341" s="14" t="s">
        <v>39</v>
      </c>
      <c r="B341" s="15">
        <v>0.56150614562875301</v>
      </c>
      <c r="C341" t="s">
        <v>187</v>
      </c>
    </row>
    <row r="342" spans="1:3" x14ac:dyDescent="0.3">
      <c r="A342" s="14" t="s">
        <v>73</v>
      </c>
      <c r="B342" s="15">
        <v>0.82427488836717822</v>
      </c>
    </row>
    <row r="343" spans="1:3" x14ac:dyDescent="0.3">
      <c r="A343" s="13" t="s">
        <v>66</v>
      </c>
      <c r="B343" s="9">
        <v>0.94564068058512862</v>
      </c>
    </row>
    <row r="344" spans="1:3" x14ac:dyDescent="0.3">
      <c r="A344" s="13" t="s">
        <v>26</v>
      </c>
      <c r="B344" s="9">
        <v>0.99498505600360054</v>
      </c>
    </row>
    <row r="345" spans="1:3" x14ac:dyDescent="0.3">
      <c r="A345" s="13" t="s">
        <v>109</v>
      </c>
      <c r="B345" s="9">
        <v>1.0000000000000002</v>
      </c>
    </row>
    <row r="346" spans="1:3" x14ac:dyDescent="0.3">
      <c r="A346" s="7" t="s">
        <v>110</v>
      </c>
      <c r="B346" s="9"/>
    </row>
    <row r="347" spans="1:3" x14ac:dyDescent="0.3">
      <c r="A347" s="14" t="s">
        <v>26</v>
      </c>
      <c r="B347" s="15">
        <v>0.45719622146093342</v>
      </c>
      <c r="C347" t="s">
        <v>187</v>
      </c>
    </row>
    <row r="348" spans="1:3" x14ac:dyDescent="0.3">
      <c r="A348" s="14" t="s">
        <v>56</v>
      </c>
      <c r="B348" s="15">
        <v>0.7735977164907426</v>
      </c>
    </row>
    <row r="349" spans="1:3" x14ac:dyDescent="0.3">
      <c r="A349" s="13" t="s">
        <v>39</v>
      </c>
      <c r="B349" s="9">
        <v>0.98315730320301375</v>
      </c>
    </row>
    <row r="350" spans="1:3" x14ac:dyDescent="0.3">
      <c r="A350" s="13" t="s">
        <v>73</v>
      </c>
      <c r="B350" s="9">
        <v>0.99326201749910137</v>
      </c>
    </row>
    <row r="351" spans="1:3" x14ac:dyDescent="0.3">
      <c r="A351" s="13" t="s">
        <v>107</v>
      </c>
      <c r="B351" s="9">
        <v>0.99748142467225054</v>
      </c>
    </row>
    <row r="352" spans="1:3" x14ac:dyDescent="0.3">
      <c r="A352" s="13" t="s">
        <v>85</v>
      </c>
      <c r="B352" s="9">
        <v>1</v>
      </c>
    </row>
    <row r="353" spans="1:3" x14ac:dyDescent="0.3">
      <c r="A353" s="7" t="s">
        <v>111</v>
      </c>
      <c r="B353" s="9"/>
    </row>
    <row r="354" spans="1:3" x14ac:dyDescent="0.3">
      <c r="A354" s="14" t="s">
        <v>39</v>
      </c>
      <c r="B354" s="15">
        <v>0.79908963523647902</v>
      </c>
      <c r="C354" t="s">
        <v>187</v>
      </c>
    </row>
    <row r="355" spans="1:3" x14ac:dyDescent="0.3">
      <c r="A355" s="14" t="s">
        <v>56</v>
      </c>
      <c r="B355" s="15">
        <v>0.95747855954480898</v>
      </c>
    </row>
    <row r="356" spans="1:3" x14ac:dyDescent="0.3">
      <c r="A356" s="13" t="s">
        <v>66</v>
      </c>
      <c r="B356" s="9">
        <v>0.98963903663054364</v>
      </c>
    </row>
    <row r="357" spans="1:3" x14ac:dyDescent="0.3">
      <c r="A357" s="13" t="s">
        <v>47</v>
      </c>
      <c r="B357" s="9">
        <v>0.99641391210103447</v>
      </c>
    </row>
    <row r="358" spans="1:3" x14ac:dyDescent="0.3">
      <c r="A358" s="13" t="s">
        <v>90</v>
      </c>
      <c r="B358" s="9">
        <v>1.0000000000000002</v>
      </c>
    </row>
    <row r="359" spans="1:3" x14ac:dyDescent="0.3">
      <c r="A359" s="7" t="s">
        <v>112</v>
      </c>
      <c r="B359" s="9"/>
    </row>
    <row r="360" spans="1:3" x14ac:dyDescent="0.3">
      <c r="A360" s="14" t="s">
        <v>39</v>
      </c>
      <c r="B360" s="15">
        <v>0.63273005380080216</v>
      </c>
      <c r="C360" t="s">
        <v>187</v>
      </c>
    </row>
    <row r="361" spans="1:3" x14ac:dyDescent="0.3">
      <c r="A361" s="14" t="s">
        <v>113</v>
      </c>
      <c r="B361" s="15">
        <v>0.86678549194386534</v>
      </c>
    </row>
    <row r="362" spans="1:3" x14ac:dyDescent="0.3">
      <c r="A362" s="13" t="s">
        <v>66</v>
      </c>
      <c r="B362" s="9">
        <v>0.90893899514948773</v>
      </c>
    </row>
    <row r="363" spans="1:3" x14ac:dyDescent="0.3">
      <c r="A363" s="13" t="s">
        <v>69</v>
      </c>
      <c r="B363" s="9">
        <v>0.94546272652407248</v>
      </c>
    </row>
    <row r="364" spans="1:3" x14ac:dyDescent="0.3">
      <c r="A364" s="13" t="s">
        <v>73</v>
      </c>
      <c r="B364" s="9">
        <v>0.97832611253295509</v>
      </c>
    </row>
    <row r="365" spans="1:3" x14ac:dyDescent="0.3">
      <c r="A365" s="13" t="s">
        <v>56</v>
      </c>
      <c r="B365" s="9">
        <v>0.98968568783464084</v>
      </c>
    </row>
    <row r="366" spans="1:3" x14ac:dyDescent="0.3">
      <c r="A366" s="13" t="s">
        <v>85</v>
      </c>
      <c r="B366" s="9">
        <v>0.99999999999999978</v>
      </c>
    </row>
    <row r="367" spans="1:3" x14ac:dyDescent="0.3">
      <c r="A367" s="7" t="s">
        <v>114</v>
      </c>
      <c r="B367" s="9"/>
    </row>
    <row r="368" spans="1:3" x14ac:dyDescent="0.3">
      <c r="A368" s="14" t="s">
        <v>120</v>
      </c>
      <c r="B368" s="15">
        <v>0.41313607182437206</v>
      </c>
      <c r="C368" t="s">
        <v>187</v>
      </c>
    </row>
    <row r="369" spans="1:3" x14ac:dyDescent="0.3">
      <c r="A369" s="14" t="s">
        <v>56</v>
      </c>
      <c r="B369" s="15">
        <v>0.57831610866240157</v>
      </c>
    </row>
    <row r="370" spans="1:3" x14ac:dyDescent="0.3">
      <c r="A370" s="14" t="s">
        <v>119</v>
      </c>
      <c r="B370" s="15">
        <v>0.73777569459397785</v>
      </c>
      <c r="C370" t="s">
        <v>188</v>
      </c>
    </row>
    <row r="371" spans="1:3" x14ac:dyDescent="0.3">
      <c r="A371" s="14" t="s">
        <v>18</v>
      </c>
      <c r="B371" s="15">
        <v>0.82448819234928472</v>
      </c>
    </row>
    <row r="372" spans="1:3" x14ac:dyDescent="0.3">
      <c r="A372" s="13" t="s">
        <v>107</v>
      </c>
      <c r="B372" s="9">
        <v>0.883670682890077</v>
      </c>
    </row>
    <row r="373" spans="1:3" x14ac:dyDescent="0.3">
      <c r="A373" s="13" t="s">
        <v>115</v>
      </c>
      <c r="B373" s="9">
        <v>0.91809677741880813</v>
      </c>
    </row>
    <row r="374" spans="1:3" x14ac:dyDescent="0.3">
      <c r="A374" s="13" t="s">
        <v>117</v>
      </c>
      <c r="B374" s="9">
        <v>0.94991173624626402</v>
      </c>
    </row>
    <row r="375" spans="1:3" x14ac:dyDescent="0.3">
      <c r="A375" s="13" t="s">
        <v>62</v>
      </c>
      <c r="B375" s="9">
        <v>0.97124449860395656</v>
      </c>
    </row>
    <row r="376" spans="1:3" x14ac:dyDescent="0.3">
      <c r="A376" s="13" t="s">
        <v>116</v>
      </c>
      <c r="B376" s="9">
        <v>0.99189958554956714</v>
      </c>
    </row>
    <row r="377" spans="1:3" x14ac:dyDescent="0.3">
      <c r="A377" s="13" t="s">
        <v>118</v>
      </c>
      <c r="B377" s="9">
        <v>0.99882640395052169</v>
      </c>
    </row>
    <row r="378" spans="1:3" x14ac:dyDescent="0.3">
      <c r="A378" s="13" t="s">
        <v>72</v>
      </c>
      <c r="B378" s="9">
        <v>0.99999999999999978</v>
      </c>
    </row>
    <row r="379" spans="1:3" x14ac:dyDescent="0.3">
      <c r="A379" s="7" t="s">
        <v>121</v>
      </c>
      <c r="B379" s="9"/>
    </row>
    <row r="380" spans="1:3" x14ac:dyDescent="0.3">
      <c r="A380" s="14" t="s">
        <v>122</v>
      </c>
      <c r="B380" s="15">
        <v>0.25740109667001726</v>
      </c>
      <c r="C380" t="s">
        <v>187</v>
      </c>
    </row>
    <row r="381" spans="1:3" x14ac:dyDescent="0.3">
      <c r="A381" s="14" t="s">
        <v>56</v>
      </c>
      <c r="B381" s="15">
        <v>0.45989295348855491</v>
      </c>
    </row>
    <row r="382" spans="1:3" x14ac:dyDescent="0.3">
      <c r="A382" s="14" t="s">
        <v>28</v>
      </c>
      <c r="B382" s="15">
        <v>0.64988629082115368</v>
      </c>
    </row>
    <row r="383" spans="1:3" x14ac:dyDescent="0.3">
      <c r="A383" s="14" t="s">
        <v>109</v>
      </c>
      <c r="B383" s="15">
        <v>0.80651943318495833</v>
      </c>
    </row>
    <row r="384" spans="1:3" x14ac:dyDescent="0.3">
      <c r="A384" s="13" t="s">
        <v>18</v>
      </c>
      <c r="B384" s="9">
        <v>0.92946613534880385</v>
      </c>
    </row>
    <row r="385" spans="1:3" x14ac:dyDescent="0.3">
      <c r="A385" s="13" t="s">
        <v>51</v>
      </c>
      <c r="B385" s="9">
        <v>0.95215583466639486</v>
      </c>
    </row>
    <row r="386" spans="1:3" x14ac:dyDescent="0.3">
      <c r="A386" s="13" t="s">
        <v>26</v>
      </c>
      <c r="B386" s="9">
        <v>0.97367980683798405</v>
      </c>
    </row>
    <row r="387" spans="1:3" x14ac:dyDescent="0.3">
      <c r="A387" s="13" t="s">
        <v>73</v>
      </c>
      <c r="B387" s="9">
        <v>0.98832110577124133</v>
      </c>
    </row>
    <row r="388" spans="1:3" x14ac:dyDescent="0.3">
      <c r="A388" s="13" t="s">
        <v>119</v>
      </c>
      <c r="B388" s="9">
        <v>0.99224869153351114</v>
      </c>
    </row>
    <row r="389" spans="1:3" x14ac:dyDescent="0.3">
      <c r="A389" s="13" t="s">
        <v>75</v>
      </c>
      <c r="B389" s="9">
        <v>0.99521364407482138</v>
      </c>
    </row>
    <row r="390" spans="1:3" x14ac:dyDescent="0.3">
      <c r="A390" s="13" t="s">
        <v>94</v>
      </c>
      <c r="B390" s="9">
        <v>0.99716529848880597</v>
      </c>
    </row>
    <row r="391" spans="1:3" x14ac:dyDescent="0.3">
      <c r="A391" s="13" t="s">
        <v>85</v>
      </c>
      <c r="B391" s="9">
        <v>0.99872172441237839</v>
      </c>
    </row>
    <row r="392" spans="1:3" x14ac:dyDescent="0.3">
      <c r="A392" s="13" t="s">
        <v>120</v>
      </c>
      <c r="B392" s="9">
        <v>0.99999999999999978</v>
      </c>
    </row>
    <row r="393" spans="1:3" x14ac:dyDescent="0.3">
      <c r="A393" s="7" t="s">
        <v>123</v>
      </c>
      <c r="B393" s="9"/>
    </row>
    <row r="394" spans="1:3" x14ac:dyDescent="0.3">
      <c r="A394" s="14" t="s">
        <v>18</v>
      </c>
      <c r="B394" s="15">
        <v>0.81241164764445517</v>
      </c>
      <c r="C394" t="s">
        <v>187</v>
      </c>
    </row>
    <row r="395" spans="1:3" x14ac:dyDescent="0.3">
      <c r="A395" s="13" t="s">
        <v>39</v>
      </c>
      <c r="B395" s="9">
        <v>0.9078144608420442</v>
      </c>
    </row>
    <row r="396" spans="1:3" x14ac:dyDescent="0.3">
      <c r="A396" s="13" t="s">
        <v>113</v>
      </c>
      <c r="B396" s="9">
        <v>0.9546983551088104</v>
      </c>
    </row>
    <row r="397" spans="1:3" x14ac:dyDescent="0.3">
      <c r="A397" s="13" t="s">
        <v>56</v>
      </c>
      <c r="B397" s="9">
        <v>0.96899250688162253</v>
      </c>
    </row>
    <row r="398" spans="1:3" x14ac:dyDescent="0.3">
      <c r="A398" s="13" t="s">
        <v>47</v>
      </c>
      <c r="B398" s="9">
        <v>0.98271532817359386</v>
      </c>
    </row>
    <row r="399" spans="1:3" x14ac:dyDescent="0.3">
      <c r="A399" s="13" t="s">
        <v>75</v>
      </c>
      <c r="B399" s="9">
        <v>0.98897953650805337</v>
      </c>
    </row>
    <row r="400" spans="1:3" x14ac:dyDescent="0.3">
      <c r="A400" s="13" t="s">
        <v>28</v>
      </c>
      <c r="B400" s="9">
        <v>0.99239891857002915</v>
      </c>
    </row>
    <row r="401" spans="1:3" x14ac:dyDescent="0.3">
      <c r="A401" s="13" t="s">
        <v>124</v>
      </c>
      <c r="B401" s="9">
        <v>0.99498363930613398</v>
      </c>
    </row>
    <row r="402" spans="1:3" x14ac:dyDescent="0.3">
      <c r="A402" s="13" t="s">
        <v>85</v>
      </c>
      <c r="B402" s="9">
        <v>0.99727426738243974</v>
      </c>
    </row>
    <row r="403" spans="1:3" x14ac:dyDescent="0.3">
      <c r="A403" s="13" t="s">
        <v>126</v>
      </c>
      <c r="B403" s="9">
        <v>0.99853668093307058</v>
      </c>
    </row>
    <row r="404" spans="1:3" x14ac:dyDescent="0.3">
      <c r="A404" s="13" t="s">
        <v>60</v>
      </c>
      <c r="B404" s="9">
        <v>0.99945811346587743</v>
      </c>
    </row>
    <row r="405" spans="1:3" x14ac:dyDescent="0.3">
      <c r="A405" s="13" t="s">
        <v>125</v>
      </c>
      <c r="B405" s="9">
        <v>1.0000000000000002</v>
      </c>
    </row>
    <row r="406" spans="1:3" x14ac:dyDescent="0.3">
      <c r="A406" s="7" t="s">
        <v>127</v>
      </c>
      <c r="B406" s="9"/>
    </row>
    <row r="407" spans="1:3" x14ac:dyDescent="0.3">
      <c r="A407" s="14" t="s">
        <v>113</v>
      </c>
      <c r="B407" s="15">
        <v>0.39709990022981312</v>
      </c>
      <c r="C407" t="s">
        <v>187</v>
      </c>
    </row>
    <row r="408" spans="1:3" x14ac:dyDescent="0.3">
      <c r="A408" s="14" t="s">
        <v>27</v>
      </c>
      <c r="B408" s="15">
        <v>0.626399946829859</v>
      </c>
    </row>
    <row r="409" spans="1:3" x14ac:dyDescent="0.3">
      <c r="A409" s="14" t="s">
        <v>120</v>
      </c>
      <c r="B409" s="15">
        <v>0.74568517828123393</v>
      </c>
    </row>
    <row r="410" spans="1:3" x14ac:dyDescent="0.3">
      <c r="A410" s="14" t="s">
        <v>18</v>
      </c>
      <c r="B410" s="15">
        <v>0.82327135072054924</v>
      </c>
    </row>
    <row r="411" spans="1:3" x14ac:dyDescent="0.3">
      <c r="A411" s="13" t="s">
        <v>115</v>
      </c>
      <c r="B411" s="9">
        <v>0.88384338488972414</v>
      </c>
      <c r="C411" t="s">
        <v>188</v>
      </c>
    </row>
    <row r="412" spans="1:3" x14ac:dyDescent="0.3">
      <c r="A412" s="13" t="s">
        <v>47</v>
      </c>
      <c r="B412" s="9">
        <v>0.91839905363287311</v>
      </c>
    </row>
    <row r="413" spans="1:3" x14ac:dyDescent="0.3">
      <c r="A413" s="13" t="s">
        <v>56</v>
      </c>
      <c r="B413" s="9">
        <v>0.94262931812609341</v>
      </c>
    </row>
    <row r="414" spans="1:3" x14ac:dyDescent="0.3">
      <c r="A414" s="13" t="s">
        <v>128</v>
      </c>
      <c r="B414" s="9">
        <v>0.95618601529711056</v>
      </c>
    </row>
    <row r="415" spans="1:3" x14ac:dyDescent="0.3">
      <c r="A415" s="13" t="s">
        <v>69</v>
      </c>
      <c r="B415" s="9">
        <v>0.96632494597757868</v>
      </c>
    </row>
    <row r="416" spans="1:3" x14ac:dyDescent="0.3">
      <c r="A416" s="13" t="s">
        <v>73</v>
      </c>
      <c r="B416" s="9">
        <v>0.97641362181257774</v>
      </c>
    </row>
    <row r="417" spans="1:3" x14ac:dyDescent="0.3">
      <c r="A417" s="13" t="s">
        <v>51</v>
      </c>
      <c r="B417" s="9">
        <v>0.98519261267478875</v>
      </c>
    </row>
    <row r="418" spans="1:3" x14ac:dyDescent="0.3">
      <c r="A418" s="13" t="s">
        <v>124</v>
      </c>
      <c r="B418" s="9">
        <v>0.99029900440147622</v>
      </c>
    </row>
    <row r="419" spans="1:3" x14ac:dyDescent="0.3">
      <c r="A419" s="13" t="s">
        <v>32</v>
      </c>
      <c r="B419" s="9">
        <v>0.99374661165740941</v>
      </c>
    </row>
    <row r="420" spans="1:3" x14ac:dyDescent="0.3">
      <c r="A420" s="13" t="s">
        <v>118</v>
      </c>
      <c r="B420" s="9">
        <v>0.99719421891334259</v>
      </c>
    </row>
    <row r="421" spans="1:3" x14ac:dyDescent="0.3">
      <c r="A421" s="13" t="s">
        <v>126</v>
      </c>
      <c r="B421" s="9">
        <v>1</v>
      </c>
    </row>
    <row r="422" spans="1:3" x14ac:dyDescent="0.3">
      <c r="A422" s="7" t="s">
        <v>129</v>
      </c>
      <c r="B422" s="9"/>
    </row>
    <row r="423" spans="1:3" x14ac:dyDescent="0.3">
      <c r="A423" s="14" t="s">
        <v>120</v>
      </c>
      <c r="B423" s="15">
        <v>0.91490593232366002</v>
      </c>
      <c r="C423" t="s">
        <v>187</v>
      </c>
    </row>
    <row r="424" spans="1:3" x14ac:dyDescent="0.3">
      <c r="A424" s="13" t="s">
        <v>26</v>
      </c>
      <c r="B424" s="9">
        <v>0.97547156667084978</v>
      </c>
    </row>
    <row r="425" spans="1:3" x14ac:dyDescent="0.3">
      <c r="A425" s="13" t="s">
        <v>47</v>
      </c>
      <c r="B425" s="9">
        <v>0.98894415986440665</v>
      </c>
    </row>
    <row r="426" spans="1:3" x14ac:dyDescent="0.3">
      <c r="A426" s="13" t="s">
        <v>117</v>
      </c>
      <c r="B426" s="9">
        <v>0.99195669031769806</v>
      </c>
    </row>
    <row r="427" spans="1:3" x14ac:dyDescent="0.3">
      <c r="A427" s="13" t="s">
        <v>122</v>
      </c>
      <c r="B427" s="9">
        <v>0.99471158730273956</v>
      </c>
    </row>
    <row r="428" spans="1:3" x14ac:dyDescent="0.3">
      <c r="A428" s="13" t="s">
        <v>85</v>
      </c>
      <c r="B428" s="9">
        <v>0.99681736309124036</v>
      </c>
    </row>
    <row r="429" spans="1:3" x14ac:dyDescent="0.3">
      <c r="A429" s="13" t="s">
        <v>18</v>
      </c>
      <c r="B429" s="9">
        <v>0.99843260979371884</v>
      </c>
    </row>
    <row r="430" spans="1:3" x14ac:dyDescent="0.3">
      <c r="A430" s="13" t="s">
        <v>78</v>
      </c>
      <c r="B430" s="9">
        <v>1</v>
      </c>
    </row>
    <row r="431" spans="1:3" x14ac:dyDescent="0.3">
      <c r="A431" s="7" t="s">
        <v>130</v>
      </c>
      <c r="B431" s="9"/>
    </row>
    <row r="432" spans="1:3" x14ac:dyDescent="0.3">
      <c r="A432" s="14" t="s">
        <v>122</v>
      </c>
      <c r="B432" s="15">
        <v>0.49690980267220702</v>
      </c>
      <c r="C432" t="s">
        <v>187</v>
      </c>
    </row>
    <row r="433" spans="1:3" x14ac:dyDescent="0.3">
      <c r="A433" s="14" t="s">
        <v>41</v>
      </c>
      <c r="B433" s="15">
        <v>0.89455779286830617</v>
      </c>
    </row>
    <row r="434" spans="1:3" x14ac:dyDescent="0.3">
      <c r="A434" s="13" t="s">
        <v>23</v>
      </c>
      <c r="B434" s="9">
        <v>0.97293717236600308</v>
      </c>
    </row>
    <row r="435" spans="1:3" x14ac:dyDescent="0.3">
      <c r="A435" s="13" t="s">
        <v>37</v>
      </c>
      <c r="B435" s="9">
        <v>0.97977211127450003</v>
      </c>
    </row>
    <row r="436" spans="1:3" x14ac:dyDescent="0.3">
      <c r="A436" s="13" t="s">
        <v>32</v>
      </c>
      <c r="B436" s="9">
        <v>0.98593273544564008</v>
      </c>
    </row>
    <row r="437" spans="1:3" x14ac:dyDescent="0.3">
      <c r="A437" s="13" t="s">
        <v>132</v>
      </c>
      <c r="B437" s="9">
        <v>0.99141198399212105</v>
      </c>
      <c r="C437" t="s">
        <v>188</v>
      </c>
    </row>
    <row r="438" spans="1:3" x14ac:dyDescent="0.3">
      <c r="A438" s="13" t="s">
        <v>131</v>
      </c>
      <c r="B438" s="9">
        <v>0.99438108710268203</v>
      </c>
    </row>
    <row r="439" spans="1:3" x14ac:dyDescent="0.3">
      <c r="A439" s="13" t="s">
        <v>85</v>
      </c>
      <c r="B439" s="9">
        <v>0.99714895492513123</v>
      </c>
    </row>
    <row r="440" spans="1:3" x14ac:dyDescent="0.3">
      <c r="A440" s="13" t="s">
        <v>66</v>
      </c>
      <c r="B440" s="9">
        <v>0.99964695563489159</v>
      </c>
    </row>
    <row r="441" spans="1:3" x14ac:dyDescent="0.3">
      <c r="A441" s="13" t="s">
        <v>133</v>
      </c>
      <c r="B441" s="9">
        <v>1</v>
      </c>
    </row>
    <row r="442" spans="1:3" x14ac:dyDescent="0.3">
      <c r="A442" s="7" t="s">
        <v>134</v>
      </c>
      <c r="B442" s="9"/>
    </row>
    <row r="443" spans="1:3" x14ac:dyDescent="0.3">
      <c r="A443" s="14" t="s">
        <v>41</v>
      </c>
      <c r="B443" s="15">
        <v>0.33515270794655017</v>
      </c>
      <c r="C443" t="s">
        <v>187</v>
      </c>
    </row>
    <row r="444" spans="1:3" x14ac:dyDescent="0.3">
      <c r="A444" s="14" t="s">
        <v>23</v>
      </c>
      <c r="B444" s="15">
        <v>0.66303057346156602</v>
      </c>
    </row>
    <row r="445" spans="1:3" x14ac:dyDescent="0.3">
      <c r="A445" s="14" t="s">
        <v>135</v>
      </c>
      <c r="B445" s="15">
        <v>0.86701301184851109</v>
      </c>
      <c r="C445" t="s">
        <v>188</v>
      </c>
    </row>
    <row r="446" spans="1:3" x14ac:dyDescent="0.3">
      <c r="A446" s="13" t="s">
        <v>122</v>
      </c>
      <c r="B446" s="9">
        <v>0.94063792320379902</v>
      </c>
    </row>
    <row r="447" spans="1:3" x14ac:dyDescent="0.3">
      <c r="A447" s="13" t="s">
        <v>131</v>
      </c>
      <c r="B447" s="9">
        <v>0.98545828320093043</v>
      </c>
    </row>
    <row r="448" spans="1:3" x14ac:dyDescent="0.3">
      <c r="A448" s="13" t="s">
        <v>20</v>
      </c>
      <c r="B448" s="9">
        <v>0.99361758073640838</v>
      </c>
    </row>
    <row r="449" spans="1:4" x14ac:dyDescent="0.3">
      <c r="A449" s="13" t="s">
        <v>32</v>
      </c>
      <c r="B449" s="9">
        <v>0.99796017561613037</v>
      </c>
    </row>
    <row r="450" spans="1:4" x14ac:dyDescent="0.3">
      <c r="A450" s="13" t="s">
        <v>61</v>
      </c>
      <c r="B450" s="9">
        <v>0.99999999999999978</v>
      </c>
    </row>
    <row r="451" spans="1:4" x14ac:dyDescent="0.3">
      <c r="A451" s="7" t="s">
        <v>136</v>
      </c>
      <c r="B451" s="9"/>
    </row>
    <row r="452" spans="1:4" x14ac:dyDescent="0.3">
      <c r="A452" s="14" t="s">
        <v>122</v>
      </c>
      <c r="B452" s="15">
        <v>0.43490340454776044</v>
      </c>
      <c r="C452" t="s">
        <v>187</v>
      </c>
    </row>
    <row r="453" spans="1:4" x14ac:dyDescent="0.3">
      <c r="A453" s="14" t="s">
        <v>131</v>
      </c>
      <c r="B453" s="15">
        <v>0.59908716167726384</v>
      </c>
    </row>
    <row r="454" spans="1:4" x14ac:dyDescent="0.3">
      <c r="A454" s="14" t="s">
        <v>26</v>
      </c>
      <c r="B454" s="15">
        <v>0.75894263492676295</v>
      </c>
    </row>
    <row r="455" spans="1:4" x14ac:dyDescent="0.3">
      <c r="A455" s="14" t="s">
        <v>70</v>
      </c>
      <c r="B455" s="15">
        <v>0.85516954733170825</v>
      </c>
    </row>
    <row r="456" spans="1:4" x14ac:dyDescent="0.3">
      <c r="A456" s="13" t="s">
        <v>20</v>
      </c>
      <c r="B456" s="9">
        <v>0.91744095231538048</v>
      </c>
    </row>
    <row r="457" spans="1:4" x14ac:dyDescent="0.3">
      <c r="A457" s="13" t="s">
        <v>37</v>
      </c>
      <c r="B457" s="9">
        <v>0.96449240132108327</v>
      </c>
    </row>
    <row r="458" spans="1:4" x14ac:dyDescent="0.3">
      <c r="A458" s="13" t="s">
        <v>87</v>
      </c>
      <c r="B458" s="9">
        <v>0.99744450888318281</v>
      </c>
    </row>
    <row r="459" spans="1:4" x14ac:dyDescent="0.3">
      <c r="A459" s="13" t="s">
        <v>85</v>
      </c>
      <c r="B459" s="9">
        <v>1</v>
      </c>
    </row>
    <row r="460" spans="1:4" x14ac:dyDescent="0.3">
      <c r="A460" s="7" t="s">
        <v>137</v>
      </c>
      <c r="B460" s="9"/>
    </row>
    <row r="461" spans="1:4" x14ac:dyDescent="0.3">
      <c r="A461" s="14" t="s">
        <v>135</v>
      </c>
      <c r="B461" s="15">
        <v>0.58626310246251068</v>
      </c>
      <c r="C461" t="s">
        <v>188</v>
      </c>
      <c r="D461" t="s">
        <v>187</v>
      </c>
    </row>
    <row r="462" spans="1:4" x14ac:dyDescent="0.3">
      <c r="A462" s="14" t="s">
        <v>41</v>
      </c>
      <c r="B462" s="15">
        <v>0.89120149790193426</v>
      </c>
    </row>
    <row r="463" spans="1:4" x14ac:dyDescent="0.3">
      <c r="A463" s="13" t="s">
        <v>122</v>
      </c>
      <c r="B463" s="9">
        <v>0.95593226005984921</v>
      </c>
    </row>
    <row r="464" spans="1:4" x14ac:dyDescent="0.3">
      <c r="A464" s="13" t="s">
        <v>37</v>
      </c>
      <c r="B464" s="9">
        <v>0.99458347961281901</v>
      </c>
    </row>
    <row r="465" spans="1:3" x14ac:dyDescent="0.3">
      <c r="A465" s="13" t="s">
        <v>119</v>
      </c>
      <c r="B465" s="9">
        <v>0.99729173980640939</v>
      </c>
    </row>
    <row r="466" spans="1:3" x14ac:dyDescent="0.3">
      <c r="A466" s="13" t="s">
        <v>45</v>
      </c>
      <c r="B466" s="9">
        <v>0.99999999999999978</v>
      </c>
    </row>
    <row r="467" spans="1:3" x14ac:dyDescent="0.3">
      <c r="A467" s="7" t="s">
        <v>138</v>
      </c>
      <c r="B467" s="9"/>
    </row>
    <row r="468" spans="1:3" x14ac:dyDescent="0.3">
      <c r="A468" s="14" t="s">
        <v>23</v>
      </c>
      <c r="B468" s="15">
        <v>0.46901595585506867</v>
      </c>
      <c r="C468" t="s">
        <v>187</v>
      </c>
    </row>
    <row r="469" spans="1:3" x14ac:dyDescent="0.3">
      <c r="A469" s="14" t="s">
        <v>122</v>
      </c>
      <c r="B469" s="15">
        <v>0.68727481656153122</v>
      </c>
    </row>
    <row r="470" spans="1:3" x14ac:dyDescent="0.3">
      <c r="A470" s="14" t="s">
        <v>41</v>
      </c>
      <c r="B470" s="15">
        <v>0.80223358031193515</v>
      </c>
    </row>
    <row r="471" spans="1:3" x14ac:dyDescent="0.3">
      <c r="A471" s="13" t="s">
        <v>18</v>
      </c>
      <c r="B471" s="9">
        <v>0.87937948122523735</v>
      </c>
    </row>
    <row r="472" spans="1:3" x14ac:dyDescent="0.3">
      <c r="A472" s="13" t="s">
        <v>66</v>
      </c>
      <c r="B472" s="9">
        <v>0.92441018397711361</v>
      </c>
    </row>
    <row r="473" spans="1:3" x14ac:dyDescent="0.3">
      <c r="A473" s="13" t="s">
        <v>26</v>
      </c>
      <c r="B473" s="9">
        <v>0.9441485223178484</v>
      </c>
    </row>
    <row r="474" spans="1:3" x14ac:dyDescent="0.3">
      <c r="A474" s="13" t="s">
        <v>85</v>
      </c>
      <c r="B474" s="9">
        <v>0.96358761356427236</v>
      </c>
    </row>
    <row r="475" spans="1:3" x14ac:dyDescent="0.3">
      <c r="A475" s="13" t="s">
        <v>20</v>
      </c>
      <c r="B475" s="9">
        <v>0.97910058293333979</v>
      </c>
    </row>
    <row r="476" spans="1:3" x14ac:dyDescent="0.3">
      <c r="A476" s="13" t="s">
        <v>133</v>
      </c>
      <c r="B476" s="9">
        <v>0.99366793148438537</v>
      </c>
    </row>
    <row r="477" spans="1:3" x14ac:dyDescent="0.3">
      <c r="A477" s="13" t="s">
        <v>37</v>
      </c>
      <c r="B477" s="9">
        <v>1.0000000000000002</v>
      </c>
    </row>
    <row r="478" spans="1:3" x14ac:dyDescent="0.3">
      <c r="A478" s="7" t="s">
        <v>139</v>
      </c>
      <c r="B478" s="9"/>
    </row>
    <row r="479" spans="1:3" x14ac:dyDescent="0.3">
      <c r="A479" s="14" t="s">
        <v>122</v>
      </c>
      <c r="B479" s="15">
        <v>0.86291358971899856</v>
      </c>
      <c r="C479" t="s">
        <v>187</v>
      </c>
    </row>
    <row r="480" spans="1:3" x14ac:dyDescent="0.3">
      <c r="A480" s="13" t="s">
        <v>26</v>
      </c>
      <c r="B480" s="9">
        <v>0.94241872062913579</v>
      </c>
    </row>
    <row r="481" spans="1:3" x14ac:dyDescent="0.3">
      <c r="A481" s="13" t="s">
        <v>18</v>
      </c>
      <c r="B481" s="9">
        <v>0.97686774719478253</v>
      </c>
    </row>
    <row r="482" spans="1:3" x14ac:dyDescent="0.3">
      <c r="A482" s="13" t="s">
        <v>85</v>
      </c>
      <c r="B482" s="9">
        <v>0.99675841565167345</v>
      </c>
    </row>
    <row r="483" spans="1:3" x14ac:dyDescent="0.3">
      <c r="A483" s="13" t="s">
        <v>20</v>
      </c>
      <c r="B483" s="9">
        <v>1</v>
      </c>
    </row>
    <row r="484" spans="1:3" x14ac:dyDescent="0.3">
      <c r="A484" s="7" t="s">
        <v>140</v>
      </c>
      <c r="B484" s="9"/>
    </row>
    <row r="485" spans="1:3" x14ac:dyDescent="0.3">
      <c r="A485" s="14" t="s">
        <v>22</v>
      </c>
      <c r="B485" s="15">
        <v>0.25311526479750784</v>
      </c>
      <c r="C485" t="s">
        <v>187</v>
      </c>
    </row>
    <row r="486" spans="1:3" x14ac:dyDescent="0.3">
      <c r="A486" s="14" t="s">
        <v>37</v>
      </c>
      <c r="B486" s="15">
        <v>0.40143302180685364</v>
      </c>
    </row>
    <row r="487" spans="1:3" x14ac:dyDescent="0.3">
      <c r="A487" s="14" t="s">
        <v>119</v>
      </c>
      <c r="B487" s="15">
        <v>0.53713395638629291</v>
      </c>
    </row>
    <row r="488" spans="1:3" x14ac:dyDescent="0.3">
      <c r="A488" s="14" t="s">
        <v>141</v>
      </c>
      <c r="B488" s="15">
        <v>0.63024922118380067</v>
      </c>
    </row>
    <row r="489" spans="1:3" x14ac:dyDescent="0.3">
      <c r="A489" s="14" t="s">
        <v>85</v>
      </c>
      <c r="B489" s="15">
        <v>0.71778816199376949</v>
      </c>
    </row>
    <row r="490" spans="1:3" x14ac:dyDescent="0.3">
      <c r="A490" s="14" t="s">
        <v>16</v>
      </c>
      <c r="B490" s="15">
        <v>0.80236760124610584</v>
      </c>
    </row>
    <row r="491" spans="1:3" x14ac:dyDescent="0.3">
      <c r="A491" s="13" t="s">
        <v>39</v>
      </c>
      <c r="B491" s="9">
        <v>0.87414330218068537</v>
      </c>
    </row>
    <row r="492" spans="1:3" x14ac:dyDescent="0.3">
      <c r="A492" s="13" t="s">
        <v>18</v>
      </c>
      <c r="B492" s="9">
        <v>0.93722741433021806</v>
      </c>
    </row>
    <row r="493" spans="1:3" x14ac:dyDescent="0.3">
      <c r="A493" s="13" t="s">
        <v>66</v>
      </c>
      <c r="B493" s="9">
        <v>0.98461059190031164</v>
      </c>
    </row>
    <row r="494" spans="1:3" x14ac:dyDescent="0.3">
      <c r="A494" s="13" t="s">
        <v>124</v>
      </c>
      <c r="B494" s="9">
        <v>0.99161993769470413</v>
      </c>
    </row>
    <row r="495" spans="1:3" x14ac:dyDescent="0.3">
      <c r="A495" s="13" t="s">
        <v>52</v>
      </c>
      <c r="B495" s="9">
        <v>0.99688473520249232</v>
      </c>
    </row>
    <row r="496" spans="1:3" x14ac:dyDescent="0.3">
      <c r="A496" s="13" t="s">
        <v>61</v>
      </c>
      <c r="B496" s="9">
        <v>1</v>
      </c>
      <c r="C496" t="s">
        <v>188</v>
      </c>
    </row>
    <row r="497" spans="1:3" x14ac:dyDescent="0.3">
      <c r="A497" s="7" t="s">
        <v>142</v>
      </c>
      <c r="B497" s="9"/>
    </row>
    <row r="498" spans="1:3" x14ac:dyDescent="0.3">
      <c r="A498" s="14" t="s">
        <v>26</v>
      </c>
      <c r="B498" s="15">
        <v>0.27467811158798289</v>
      </c>
      <c r="C498" t="s">
        <v>187</v>
      </c>
    </row>
    <row r="499" spans="1:3" x14ac:dyDescent="0.3">
      <c r="A499" s="14" t="s">
        <v>14</v>
      </c>
      <c r="B499" s="15">
        <v>0.42539312480498309</v>
      </c>
    </row>
    <row r="500" spans="1:3" x14ac:dyDescent="0.3">
      <c r="A500" s="14" t="s">
        <v>60</v>
      </c>
      <c r="B500" s="15">
        <v>0.56683563232601553</v>
      </c>
    </row>
    <row r="501" spans="1:3" x14ac:dyDescent="0.3">
      <c r="A501" s="14" t="s">
        <v>47</v>
      </c>
      <c r="B501" s="15">
        <v>0.65897195876531445</v>
      </c>
    </row>
    <row r="502" spans="1:3" x14ac:dyDescent="0.3">
      <c r="A502" s="14" t="s">
        <v>66</v>
      </c>
      <c r="B502" s="15">
        <v>0.73473568943287604</v>
      </c>
    </row>
    <row r="503" spans="1:3" x14ac:dyDescent="0.3">
      <c r="A503" s="14" t="s">
        <v>16</v>
      </c>
      <c r="B503" s="15">
        <v>0.80117392865763559</v>
      </c>
    </row>
    <row r="504" spans="1:3" x14ac:dyDescent="0.3">
      <c r="A504" s="13" t="s">
        <v>73</v>
      </c>
      <c r="B504" s="9">
        <v>0.86004698069552632</v>
      </c>
    </row>
    <row r="505" spans="1:3" x14ac:dyDescent="0.3">
      <c r="A505" s="13" t="s">
        <v>85</v>
      </c>
      <c r="B505" s="9">
        <v>0.89940950328806013</v>
      </c>
    </row>
    <row r="506" spans="1:3" x14ac:dyDescent="0.3">
      <c r="A506" s="13" t="s">
        <v>31</v>
      </c>
      <c r="B506" s="9">
        <v>0.92825729878662655</v>
      </c>
    </row>
    <row r="507" spans="1:3" x14ac:dyDescent="0.3">
      <c r="A507" s="13" t="s">
        <v>143</v>
      </c>
      <c r="B507" s="9">
        <v>0.95162401314046541</v>
      </c>
    </row>
    <row r="508" spans="1:3" x14ac:dyDescent="0.3">
      <c r="A508" s="13" t="s">
        <v>17</v>
      </c>
      <c r="B508" s="9">
        <v>0.9728418610949211</v>
      </c>
    </row>
    <row r="509" spans="1:3" x14ac:dyDescent="0.3">
      <c r="A509" s="13" t="s">
        <v>53</v>
      </c>
      <c r="B509" s="9">
        <v>0.98961479362051619</v>
      </c>
    </row>
    <row r="510" spans="1:3" x14ac:dyDescent="0.3">
      <c r="A510" s="13" t="s">
        <v>69</v>
      </c>
      <c r="B510" s="9">
        <v>1.0000000000000002</v>
      </c>
    </row>
    <row r="511" spans="1:3" x14ac:dyDescent="0.3">
      <c r="A511" s="7" t="s">
        <v>144</v>
      </c>
      <c r="B511" s="9"/>
    </row>
    <row r="512" spans="1:3" x14ac:dyDescent="0.3">
      <c r="A512" s="14" t="s">
        <v>69</v>
      </c>
      <c r="B512" s="15">
        <v>0.29693897672044817</v>
      </c>
      <c r="C512" t="s">
        <v>187</v>
      </c>
    </row>
    <row r="513" spans="1:3" x14ac:dyDescent="0.3">
      <c r="A513" s="14" t="s">
        <v>66</v>
      </c>
      <c r="B513" s="15">
        <v>0.49296509807105654</v>
      </c>
    </row>
    <row r="514" spans="1:3" x14ac:dyDescent="0.3">
      <c r="A514" s="14" t="s">
        <v>119</v>
      </c>
      <c r="B514" s="15">
        <v>0.65722106874833253</v>
      </c>
    </row>
    <row r="515" spans="1:3" x14ac:dyDescent="0.3">
      <c r="A515" s="14" t="s">
        <v>85</v>
      </c>
      <c r="B515" s="15">
        <v>0.76050015658891357</v>
      </c>
    </row>
    <row r="516" spans="1:3" x14ac:dyDescent="0.3">
      <c r="A516" s="14" t="s">
        <v>20</v>
      </c>
      <c r="B516" s="15">
        <v>0.85032419704684903</v>
      </c>
    </row>
    <row r="517" spans="1:3" x14ac:dyDescent="0.3">
      <c r="A517" s="13" t="s">
        <v>14</v>
      </c>
      <c r="B517" s="9">
        <v>0.93388468096458765</v>
      </c>
    </row>
    <row r="518" spans="1:3" x14ac:dyDescent="0.3">
      <c r="A518" s="13" t="s">
        <v>16</v>
      </c>
      <c r="B518" s="9">
        <v>0.95634069107907149</v>
      </c>
    </row>
    <row r="519" spans="1:3" x14ac:dyDescent="0.3">
      <c r="A519" s="13" t="s">
        <v>17</v>
      </c>
      <c r="B519" s="9">
        <v>0.97308990523470928</v>
      </c>
    </row>
    <row r="520" spans="1:3" x14ac:dyDescent="0.3">
      <c r="A520" s="13" t="s">
        <v>143</v>
      </c>
      <c r="B520" s="9">
        <v>0.98812244093118196</v>
      </c>
    </row>
    <row r="521" spans="1:3" x14ac:dyDescent="0.3">
      <c r="A521" s="13" t="s">
        <v>22</v>
      </c>
      <c r="B521" s="9">
        <v>0.99999999999999989</v>
      </c>
    </row>
    <row r="522" spans="1:3" x14ac:dyDescent="0.3">
      <c r="A522" s="7" t="s">
        <v>145</v>
      </c>
      <c r="B522" s="9"/>
    </row>
    <row r="523" spans="1:3" x14ac:dyDescent="0.3">
      <c r="A523" s="14" t="s">
        <v>69</v>
      </c>
      <c r="B523" s="15">
        <v>0.43588481212293162</v>
      </c>
      <c r="C523" t="s">
        <v>187</v>
      </c>
    </row>
    <row r="524" spans="1:3" x14ac:dyDescent="0.3">
      <c r="A524" s="14" t="s">
        <v>75</v>
      </c>
      <c r="B524" s="15">
        <v>0.65575063209806495</v>
      </c>
    </row>
    <row r="525" spans="1:3" x14ac:dyDescent="0.3">
      <c r="A525" s="14" t="s">
        <v>14</v>
      </c>
      <c r="B525" s="15">
        <v>0.82599571091214052</v>
      </c>
    </row>
    <row r="526" spans="1:3" x14ac:dyDescent="0.3">
      <c r="A526" s="13" t="s">
        <v>119</v>
      </c>
      <c r="B526" s="9">
        <v>0.90091289146271258</v>
      </c>
    </row>
    <row r="527" spans="1:3" x14ac:dyDescent="0.3">
      <c r="A527" s="13" t="s">
        <v>66</v>
      </c>
      <c r="B527" s="9">
        <v>0.94804279074424869</v>
      </c>
    </row>
    <row r="528" spans="1:3" x14ac:dyDescent="0.3">
      <c r="A528" s="13" t="s">
        <v>22</v>
      </c>
      <c r="B528" s="9">
        <v>0.96207828837023024</v>
      </c>
    </row>
    <row r="529" spans="1:3" x14ac:dyDescent="0.3">
      <c r="A529" s="13" t="s">
        <v>118</v>
      </c>
      <c r="B529" s="9">
        <v>0.97563397558390852</v>
      </c>
    </row>
    <row r="530" spans="1:3" x14ac:dyDescent="0.3">
      <c r="A530" s="13" t="s">
        <v>85</v>
      </c>
      <c r="B530" s="9">
        <v>0.98871819691419327</v>
      </c>
    </row>
    <row r="531" spans="1:3" x14ac:dyDescent="0.3">
      <c r="A531" s="13" t="s">
        <v>141</v>
      </c>
      <c r="B531" s="9">
        <v>0.99833109421807587</v>
      </c>
    </row>
    <row r="532" spans="1:3" x14ac:dyDescent="0.3">
      <c r="A532" s="13" t="s">
        <v>16</v>
      </c>
      <c r="B532" s="9">
        <v>1</v>
      </c>
    </row>
    <row r="533" spans="1:3" x14ac:dyDescent="0.3">
      <c r="A533" s="7" t="s">
        <v>146</v>
      </c>
      <c r="B533" s="9"/>
    </row>
    <row r="534" spans="1:3" x14ac:dyDescent="0.3">
      <c r="A534" s="14" t="s">
        <v>119</v>
      </c>
      <c r="B534" s="15">
        <v>0.35246084409143685</v>
      </c>
      <c r="C534" t="s">
        <v>187</v>
      </c>
    </row>
    <row r="535" spans="1:3" x14ac:dyDescent="0.3">
      <c r="A535" s="14" t="s">
        <v>69</v>
      </c>
      <c r="B535" s="15">
        <v>0.64865405168503043</v>
      </c>
    </row>
    <row r="536" spans="1:3" x14ac:dyDescent="0.3">
      <c r="A536" s="14" t="s">
        <v>66</v>
      </c>
      <c r="B536" s="15">
        <v>0.80806108091067752</v>
      </c>
    </row>
    <row r="537" spans="1:3" x14ac:dyDescent="0.3">
      <c r="A537" s="13" t="s">
        <v>14</v>
      </c>
      <c r="B537" s="9">
        <v>0.93086877292264147</v>
      </c>
    </row>
    <row r="538" spans="1:3" x14ac:dyDescent="0.3">
      <c r="A538" s="13" t="s">
        <v>31</v>
      </c>
      <c r="B538" s="9">
        <v>0.9641195783387283</v>
      </c>
    </row>
    <row r="539" spans="1:3" x14ac:dyDescent="0.3">
      <c r="A539" s="13" t="s">
        <v>22</v>
      </c>
      <c r="B539" s="9">
        <v>0.98750932283537207</v>
      </c>
    </row>
    <row r="540" spans="1:3" x14ac:dyDescent="0.3">
      <c r="A540" s="13" t="s">
        <v>37</v>
      </c>
      <c r="B540" s="9">
        <v>0.99999999999999978</v>
      </c>
    </row>
    <row r="541" spans="1:3" x14ac:dyDescent="0.3">
      <c r="A541" s="7" t="s">
        <v>147</v>
      </c>
      <c r="B541" s="9"/>
    </row>
    <row r="542" spans="1:3" x14ac:dyDescent="0.3">
      <c r="A542" s="14" t="s">
        <v>27</v>
      </c>
      <c r="B542" s="15">
        <v>0.36317089529044183</v>
      </c>
      <c r="C542" t="s">
        <v>187</v>
      </c>
    </row>
    <row r="543" spans="1:3" x14ac:dyDescent="0.3">
      <c r="A543" s="14" t="s">
        <v>49</v>
      </c>
      <c r="B543" s="15">
        <v>0.56110647625590948</v>
      </c>
    </row>
    <row r="544" spans="1:3" x14ac:dyDescent="0.3">
      <c r="A544" s="14" t="s">
        <v>85</v>
      </c>
      <c r="B544" s="15">
        <v>0.66289198606271793</v>
      </c>
    </row>
    <row r="545" spans="1:4" x14ac:dyDescent="0.3">
      <c r="A545" s="14" t="s">
        <v>122</v>
      </c>
      <c r="B545" s="15">
        <v>0.73459455922527039</v>
      </c>
    </row>
    <row r="546" spans="1:4" x14ac:dyDescent="0.3">
      <c r="A546" s="14" t="s">
        <v>73</v>
      </c>
      <c r="B546" s="15">
        <v>0.80477580932750992</v>
      </c>
    </row>
    <row r="547" spans="1:4" x14ac:dyDescent="0.3">
      <c r="A547" s="13" t="s">
        <v>126</v>
      </c>
      <c r="B547" s="9">
        <v>0.87283047880780629</v>
      </c>
    </row>
    <row r="548" spans="1:4" x14ac:dyDescent="0.3">
      <c r="A548" s="13" t="s">
        <v>39</v>
      </c>
      <c r="B548" s="9">
        <v>0.9297737645384504</v>
      </c>
    </row>
    <row r="549" spans="1:4" x14ac:dyDescent="0.3">
      <c r="A549" s="13" t="s">
        <v>26</v>
      </c>
      <c r="B549" s="9">
        <v>0.96746331648427175</v>
      </c>
    </row>
    <row r="550" spans="1:4" x14ac:dyDescent="0.3">
      <c r="A550" s="13" t="s">
        <v>60</v>
      </c>
      <c r="B550" s="9">
        <v>0.98318365477417369</v>
      </c>
    </row>
    <row r="551" spans="1:4" x14ac:dyDescent="0.3">
      <c r="A551" s="13" t="s">
        <v>14</v>
      </c>
      <c r="B551" s="9">
        <v>0.98878228721925066</v>
      </c>
    </row>
    <row r="552" spans="1:4" x14ac:dyDescent="0.3">
      <c r="A552" s="13" t="s">
        <v>21</v>
      </c>
      <c r="B552" s="9">
        <v>0.99198851646464181</v>
      </c>
    </row>
    <row r="553" spans="1:4" x14ac:dyDescent="0.3">
      <c r="A553" s="13" t="s">
        <v>16</v>
      </c>
      <c r="B553" s="9">
        <v>0.99496981891348124</v>
      </c>
    </row>
    <row r="554" spans="1:4" x14ac:dyDescent="0.3">
      <c r="A554" s="13" t="s">
        <v>148</v>
      </c>
      <c r="B554" s="9">
        <v>0.99694917472313604</v>
      </c>
      <c r="C554" t="s">
        <v>188</v>
      </c>
    </row>
    <row r="555" spans="1:4" x14ac:dyDescent="0.3">
      <c r="A555" s="13" t="s">
        <v>149</v>
      </c>
      <c r="B555" s="9">
        <v>0.99813106279956199</v>
      </c>
    </row>
    <row r="556" spans="1:4" x14ac:dyDescent="0.3">
      <c r="A556" s="13" t="s">
        <v>15</v>
      </c>
      <c r="B556" s="9">
        <v>0.99882220150169354</v>
      </c>
    </row>
    <row r="557" spans="1:4" x14ac:dyDescent="0.3">
      <c r="A557" s="13" t="s">
        <v>38</v>
      </c>
      <c r="B557" s="9">
        <v>0.99941110075084705</v>
      </c>
    </row>
    <row r="558" spans="1:4" x14ac:dyDescent="0.3">
      <c r="A558" s="13" t="s">
        <v>46</v>
      </c>
      <c r="B558" s="9">
        <v>1.0000000000000007</v>
      </c>
    </row>
    <row r="559" spans="1:4" x14ac:dyDescent="0.3">
      <c r="A559" s="7" t="s">
        <v>150</v>
      </c>
      <c r="B559" s="9"/>
    </row>
    <row r="560" spans="1:4" x14ac:dyDescent="0.3">
      <c r="A560" s="14" t="s">
        <v>94</v>
      </c>
      <c r="B560" s="15">
        <v>0.32905993776443759</v>
      </c>
      <c r="C560" t="s">
        <v>188</v>
      </c>
      <c r="D560" t="s">
        <v>187</v>
      </c>
    </row>
    <row r="561" spans="1:3" x14ac:dyDescent="0.3">
      <c r="A561" s="14" t="s">
        <v>49</v>
      </c>
      <c r="B561" s="15">
        <v>0.63515037434606025</v>
      </c>
    </row>
    <row r="562" spans="1:3" x14ac:dyDescent="0.3">
      <c r="A562" s="14" t="s">
        <v>151</v>
      </c>
      <c r="B562" s="15">
        <v>0.76891443882006805</v>
      </c>
    </row>
    <row r="563" spans="1:3" x14ac:dyDescent="0.3">
      <c r="A563" s="14" t="s">
        <v>17</v>
      </c>
      <c r="B563" s="15">
        <v>0.8215263822823663</v>
      </c>
    </row>
    <row r="564" spans="1:3" x14ac:dyDescent="0.3">
      <c r="A564" s="13" t="s">
        <v>22</v>
      </c>
      <c r="B564" s="9">
        <v>0.87315476644706158</v>
      </c>
    </row>
    <row r="565" spans="1:3" x14ac:dyDescent="0.3">
      <c r="A565" s="13" t="s">
        <v>118</v>
      </c>
      <c r="B565" s="9">
        <v>0.91308218655406603</v>
      </c>
    </row>
    <row r="566" spans="1:3" x14ac:dyDescent="0.3">
      <c r="A566" s="13" t="s">
        <v>122</v>
      </c>
      <c r="B566" s="9">
        <v>0.94463239471252092</v>
      </c>
    </row>
    <row r="567" spans="1:3" x14ac:dyDescent="0.3">
      <c r="A567" s="13" t="s">
        <v>33</v>
      </c>
      <c r="B567" s="9">
        <v>0.97231619735626051</v>
      </c>
    </row>
    <row r="568" spans="1:3" x14ac:dyDescent="0.3">
      <c r="A568" s="13" t="s">
        <v>85</v>
      </c>
      <c r="B568" s="9">
        <v>0.98588253249561209</v>
      </c>
    </row>
    <row r="569" spans="1:3" x14ac:dyDescent="0.3">
      <c r="A569" s="13" t="s">
        <v>126</v>
      </c>
      <c r="B569" s="9">
        <v>0.99511611934983335</v>
      </c>
    </row>
    <row r="570" spans="1:3" x14ac:dyDescent="0.3">
      <c r="A570" s="13" t="s">
        <v>16</v>
      </c>
      <c r="B570" s="9">
        <v>1</v>
      </c>
    </row>
    <row r="571" spans="1:3" x14ac:dyDescent="0.3">
      <c r="A571" s="7" t="s">
        <v>152</v>
      </c>
      <c r="B571" s="9"/>
    </row>
    <row r="572" spans="1:3" x14ac:dyDescent="0.3">
      <c r="A572" s="14" t="s">
        <v>39</v>
      </c>
      <c r="B572" s="15">
        <v>0.37383887333257565</v>
      </c>
      <c r="C572" t="s">
        <v>187</v>
      </c>
    </row>
    <row r="573" spans="1:3" x14ac:dyDescent="0.3">
      <c r="A573" s="14" t="s">
        <v>94</v>
      </c>
      <c r="B573" s="15">
        <v>0.53025387214432584</v>
      </c>
    </row>
    <row r="574" spans="1:3" x14ac:dyDescent="0.3">
      <c r="A574" s="14" t="s">
        <v>151</v>
      </c>
      <c r="B574" s="15">
        <v>0.68487616370981907</v>
      </c>
    </row>
    <row r="575" spans="1:3" x14ac:dyDescent="0.3">
      <c r="A575" s="14" t="s">
        <v>73</v>
      </c>
      <c r="B575" s="15">
        <v>0.73968547545489294</v>
      </c>
    </row>
    <row r="576" spans="1:3" x14ac:dyDescent="0.3">
      <c r="A576" s="14" t="s">
        <v>47</v>
      </c>
      <c r="B576" s="15">
        <v>0.79238693545220651</v>
      </c>
    </row>
    <row r="577" spans="1:3" x14ac:dyDescent="0.3">
      <c r="A577" s="14" t="s">
        <v>85</v>
      </c>
      <c r="B577" s="15">
        <v>0.84099668323327914</v>
      </c>
    </row>
    <row r="578" spans="1:3" x14ac:dyDescent="0.3">
      <c r="A578" s="13" t="s">
        <v>26</v>
      </c>
      <c r="B578" s="9">
        <v>0.87658734668994931</v>
      </c>
    </row>
    <row r="579" spans="1:3" x14ac:dyDescent="0.3">
      <c r="A579" s="13" t="s">
        <v>18</v>
      </c>
      <c r="B579" s="9">
        <v>0.90801913598743544</v>
      </c>
    </row>
    <row r="580" spans="1:3" x14ac:dyDescent="0.3">
      <c r="A580" s="13" t="s">
        <v>15</v>
      </c>
      <c r="B580" s="9">
        <v>0.93617032268730427</v>
      </c>
    </row>
    <row r="581" spans="1:3" x14ac:dyDescent="0.3">
      <c r="A581" s="13" t="s">
        <v>126</v>
      </c>
      <c r="B581" s="9">
        <v>0.96237381304181591</v>
      </c>
    </row>
    <row r="582" spans="1:3" x14ac:dyDescent="0.3">
      <c r="A582" s="13" t="s">
        <v>122</v>
      </c>
      <c r="B582" s="9">
        <v>0.98500738781372366</v>
      </c>
    </row>
    <row r="583" spans="1:3" x14ac:dyDescent="0.3">
      <c r="A583" s="13" t="s">
        <v>45</v>
      </c>
      <c r="B583" s="9">
        <v>0.99286533513809505</v>
      </c>
    </row>
    <row r="584" spans="1:3" x14ac:dyDescent="0.3">
      <c r="A584" s="13" t="s">
        <v>38</v>
      </c>
      <c r="B584" s="9">
        <v>0.99883758175674964</v>
      </c>
    </row>
    <row r="585" spans="1:3" x14ac:dyDescent="0.3">
      <c r="A585" s="13" t="s">
        <v>153</v>
      </c>
      <c r="B585" s="9">
        <v>0.99999999999999978</v>
      </c>
      <c r="C585" t="s">
        <v>188</v>
      </c>
    </row>
    <row r="586" spans="1:3" x14ac:dyDescent="0.3">
      <c r="A586" s="7" t="s">
        <v>154</v>
      </c>
      <c r="B586" s="9"/>
    </row>
    <row r="587" spans="1:3" x14ac:dyDescent="0.3">
      <c r="A587" s="14" t="s">
        <v>69</v>
      </c>
      <c r="B587" s="15">
        <v>0.55588930639469158</v>
      </c>
      <c r="C587" t="s">
        <v>187</v>
      </c>
    </row>
    <row r="588" spans="1:3" x14ac:dyDescent="0.3">
      <c r="A588" s="14" t="s">
        <v>122</v>
      </c>
      <c r="B588" s="15">
        <v>0.65939330950123931</v>
      </c>
    </row>
    <row r="589" spans="1:3" x14ac:dyDescent="0.3">
      <c r="A589" s="14" t="s">
        <v>119</v>
      </c>
      <c r="B589" s="15">
        <v>0.73890722614982252</v>
      </c>
    </row>
    <row r="590" spans="1:3" x14ac:dyDescent="0.3">
      <c r="A590" s="14" t="s">
        <v>141</v>
      </c>
      <c r="B590" s="15">
        <v>0.81054056214808645</v>
      </c>
    </row>
    <row r="591" spans="1:3" x14ac:dyDescent="0.3">
      <c r="A591" s="13" t="s">
        <v>85</v>
      </c>
      <c r="B591" s="9">
        <v>0.86650981646241876</v>
      </c>
    </row>
    <row r="592" spans="1:3" x14ac:dyDescent="0.3">
      <c r="A592" s="13" t="s">
        <v>47</v>
      </c>
      <c r="B592" s="9">
        <v>0.92024052902680531</v>
      </c>
    </row>
    <row r="593" spans="1:3" x14ac:dyDescent="0.3">
      <c r="A593" s="13" t="s">
        <v>26</v>
      </c>
      <c r="B593" s="9">
        <v>0.96503420628847492</v>
      </c>
    </row>
    <row r="594" spans="1:3" x14ac:dyDescent="0.3">
      <c r="A594" s="13" t="s">
        <v>118</v>
      </c>
      <c r="B594" s="9">
        <v>0.98107518530785665</v>
      </c>
    </row>
    <row r="595" spans="1:3" x14ac:dyDescent="0.3">
      <c r="A595" s="13" t="s">
        <v>45</v>
      </c>
      <c r="B595" s="9">
        <v>0.98861313201685763</v>
      </c>
    </row>
    <row r="596" spans="1:3" x14ac:dyDescent="0.3">
      <c r="A596" s="13" t="s">
        <v>88</v>
      </c>
      <c r="B596" s="9">
        <v>0.99560857498543809</v>
      </c>
    </row>
    <row r="597" spans="1:3" x14ac:dyDescent="0.3">
      <c r="A597" s="13" t="s">
        <v>16</v>
      </c>
      <c r="B597" s="9">
        <v>0.99917767854083628</v>
      </c>
    </row>
    <row r="598" spans="1:3" x14ac:dyDescent="0.3">
      <c r="A598" s="13" t="s">
        <v>93</v>
      </c>
      <c r="B598" s="9">
        <v>1</v>
      </c>
    </row>
    <row r="599" spans="1:3" x14ac:dyDescent="0.3">
      <c r="A599" s="7" t="s">
        <v>155</v>
      </c>
      <c r="B599" s="9"/>
    </row>
    <row r="600" spans="1:3" x14ac:dyDescent="0.3">
      <c r="A600" s="14" t="s">
        <v>122</v>
      </c>
      <c r="B600" s="15">
        <v>0.24794225422137112</v>
      </c>
      <c r="C600" t="s">
        <v>187</v>
      </c>
    </row>
    <row r="601" spans="1:3" x14ac:dyDescent="0.3">
      <c r="A601" s="14" t="s">
        <v>22</v>
      </c>
      <c r="B601" s="15">
        <v>0.43499917137753891</v>
      </c>
    </row>
    <row r="602" spans="1:3" x14ac:dyDescent="0.3">
      <c r="A602" s="14" t="s">
        <v>73</v>
      </c>
      <c r="B602" s="15">
        <v>0.61121954812455126</v>
      </c>
    </row>
    <row r="603" spans="1:3" x14ac:dyDescent="0.3">
      <c r="A603" s="14" t="s">
        <v>69</v>
      </c>
      <c r="B603" s="15">
        <v>0.72671110538236339</v>
      </c>
    </row>
    <row r="604" spans="1:3" x14ac:dyDescent="0.3">
      <c r="A604" s="14" t="s">
        <v>85</v>
      </c>
      <c r="B604" s="15">
        <v>0.80715193253171802</v>
      </c>
    </row>
    <row r="605" spans="1:3" x14ac:dyDescent="0.3">
      <c r="A605" s="13" t="s">
        <v>49</v>
      </c>
      <c r="B605" s="9">
        <v>0.88339440587769558</v>
      </c>
    </row>
    <row r="606" spans="1:3" x14ac:dyDescent="0.3">
      <c r="A606" s="13" t="s">
        <v>88</v>
      </c>
      <c r="B606" s="9">
        <v>0.94530171064503676</v>
      </c>
    </row>
    <row r="607" spans="1:3" x14ac:dyDescent="0.3">
      <c r="A607" s="13" t="s">
        <v>44</v>
      </c>
      <c r="B607" s="9">
        <v>0.99171377538807171</v>
      </c>
      <c r="C607" t="s">
        <v>188</v>
      </c>
    </row>
    <row r="608" spans="1:3" x14ac:dyDescent="0.3">
      <c r="A608" s="13" t="s">
        <v>126</v>
      </c>
      <c r="B608" s="9">
        <v>1.0000000000000002</v>
      </c>
    </row>
    <row r="609" spans="1:3" x14ac:dyDescent="0.3">
      <c r="A609" s="7" t="s">
        <v>156</v>
      </c>
      <c r="B609" s="9"/>
    </row>
    <row r="610" spans="1:3" x14ac:dyDescent="0.3">
      <c r="A610" s="14" t="s">
        <v>66</v>
      </c>
      <c r="B610" s="15">
        <v>0.44802690775097476</v>
      </c>
      <c r="C610" t="s">
        <v>187</v>
      </c>
    </row>
    <row r="611" spans="1:3" x14ac:dyDescent="0.3">
      <c r="A611" s="14" t="s">
        <v>122</v>
      </c>
      <c r="B611" s="15">
        <v>0.5853507005441535</v>
      </c>
    </row>
    <row r="612" spans="1:3" x14ac:dyDescent="0.3">
      <c r="A612" s="14" t="s">
        <v>94</v>
      </c>
      <c r="B612" s="15">
        <v>0.71625819443849348</v>
      </c>
    </row>
    <row r="613" spans="1:3" x14ac:dyDescent="0.3">
      <c r="A613" s="14" t="s">
        <v>22</v>
      </c>
      <c r="B613" s="15">
        <v>0.83211577188397101</v>
      </c>
    </row>
    <row r="614" spans="1:3" x14ac:dyDescent="0.3">
      <c r="A614" s="13" t="s">
        <v>73</v>
      </c>
      <c r="B614" s="9">
        <v>0.88764514332233591</v>
      </c>
    </row>
    <row r="615" spans="1:3" x14ac:dyDescent="0.3">
      <c r="A615" s="13" t="s">
        <v>151</v>
      </c>
      <c r="B615" s="9">
        <v>0.92004798834568746</v>
      </c>
    </row>
    <row r="616" spans="1:3" x14ac:dyDescent="0.3">
      <c r="A616" s="13" t="s">
        <v>37</v>
      </c>
      <c r="B616" s="9">
        <v>0.95049059514117995</v>
      </c>
    </row>
    <row r="617" spans="1:3" x14ac:dyDescent="0.3">
      <c r="A617" s="13" t="s">
        <v>157</v>
      </c>
      <c r="B617" s="9">
        <v>0.97029649942156904</v>
      </c>
    </row>
    <row r="618" spans="1:3" x14ac:dyDescent="0.3">
      <c r="A618" s="13" t="s">
        <v>60</v>
      </c>
      <c r="B618" s="9">
        <v>0.98417884228116026</v>
      </c>
    </row>
    <row r="619" spans="1:3" x14ac:dyDescent="0.3">
      <c r="A619" s="13" t="s">
        <v>18</v>
      </c>
      <c r="B619" s="9">
        <v>0.99141994087150254</v>
      </c>
    </row>
    <row r="620" spans="1:3" x14ac:dyDescent="0.3">
      <c r="A620" s="13" t="s">
        <v>15</v>
      </c>
      <c r="B620" s="9">
        <v>0.9975898710313208</v>
      </c>
    </row>
    <row r="621" spans="1:3" x14ac:dyDescent="0.3">
      <c r="A621" s="13" t="s">
        <v>16</v>
      </c>
      <c r="B621" s="9">
        <v>0.99999999999999989</v>
      </c>
    </row>
    <row r="622" spans="1:3" x14ac:dyDescent="0.3">
      <c r="A622" s="7" t="s">
        <v>158</v>
      </c>
      <c r="B622" s="9"/>
    </row>
    <row r="623" spans="1:3" x14ac:dyDescent="0.3">
      <c r="A623" s="14" t="s">
        <v>122</v>
      </c>
      <c r="B623" s="15">
        <v>0.38359965553535552</v>
      </c>
      <c r="C623" t="s">
        <v>187</v>
      </c>
    </row>
    <row r="624" spans="1:3" x14ac:dyDescent="0.3">
      <c r="A624" s="14" t="s">
        <v>66</v>
      </c>
      <c r="B624" s="15">
        <v>0.64863649411539581</v>
      </c>
    </row>
    <row r="625" spans="1:3" x14ac:dyDescent="0.3">
      <c r="A625" s="14" t="s">
        <v>22</v>
      </c>
      <c r="B625" s="15">
        <v>0.85501865850157899</v>
      </c>
    </row>
    <row r="626" spans="1:3" x14ac:dyDescent="0.3">
      <c r="A626" s="13" t="s">
        <v>60</v>
      </c>
      <c r="B626" s="9">
        <v>0.94712467706439585</v>
      </c>
    </row>
    <row r="627" spans="1:3" x14ac:dyDescent="0.3">
      <c r="A627" s="13" t="s">
        <v>73</v>
      </c>
      <c r="B627" s="9">
        <v>0.98755143048512128</v>
      </c>
    </row>
    <row r="628" spans="1:3" x14ac:dyDescent="0.3">
      <c r="A628" s="13" t="s">
        <v>126</v>
      </c>
      <c r="B628" s="9">
        <v>0.99401971103243725</v>
      </c>
    </row>
    <row r="629" spans="1:3" x14ac:dyDescent="0.3">
      <c r="A629" s="13" t="s">
        <v>46</v>
      </c>
      <c r="B629" s="9">
        <v>1.0000000000000002</v>
      </c>
    </row>
    <row r="630" spans="1:3" x14ac:dyDescent="0.3">
      <c r="A630" s="7" t="s">
        <v>159</v>
      </c>
      <c r="B630" s="9"/>
    </row>
    <row r="631" spans="1:3" x14ac:dyDescent="0.3">
      <c r="A631" s="14" t="s">
        <v>122</v>
      </c>
      <c r="B631" s="15">
        <v>0.73322251362295554</v>
      </c>
      <c r="C631" t="s">
        <v>187</v>
      </c>
    </row>
    <row r="632" spans="1:3" x14ac:dyDescent="0.3">
      <c r="A632" s="14" t="s">
        <v>46</v>
      </c>
      <c r="B632" s="15">
        <v>0.85156595394856049</v>
      </c>
    </row>
    <row r="633" spans="1:3" x14ac:dyDescent="0.3">
      <c r="A633" s="13" t="s">
        <v>160</v>
      </c>
      <c r="B633" s="9">
        <v>0.89232092918755113</v>
      </c>
    </row>
    <row r="634" spans="1:3" x14ac:dyDescent="0.3">
      <c r="A634" s="13" t="s">
        <v>85</v>
      </c>
      <c r="B634" s="9">
        <v>0.93006037275595266</v>
      </c>
    </row>
    <row r="635" spans="1:3" x14ac:dyDescent="0.3">
      <c r="A635" s="13" t="s">
        <v>118</v>
      </c>
      <c r="B635" s="9">
        <v>0.95864968374449833</v>
      </c>
    </row>
    <row r="636" spans="1:3" x14ac:dyDescent="0.3">
      <c r="A636" s="13" t="s">
        <v>60</v>
      </c>
      <c r="B636" s="9">
        <v>0.98485763066699938</v>
      </c>
    </row>
    <row r="637" spans="1:3" x14ac:dyDescent="0.3">
      <c r="A637" s="13" t="s">
        <v>58</v>
      </c>
      <c r="B637" s="9">
        <v>1</v>
      </c>
    </row>
    <row r="638" spans="1:3" x14ac:dyDescent="0.3">
      <c r="A638" s="7" t="s">
        <v>161</v>
      </c>
      <c r="B638" s="9"/>
    </row>
    <row r="639" spans="1:3" x14ac:dyDescent="0.3">
      <c r="A639" s="14" t="s">
        <v>41</v>
      </c>
      <c r="B639" s="15">
        <v>0.3286231173971309</v>
      </c>
      <c r="C639" t="s">
        <v>187</v>
      </c>
    </row>
    <row r="640" spans="1:3" x14ac:dyDescent="0.3">
      <c r="A640" s="14" t="s">
        <v>163</v>
      </c>
      <c r="B640" s="15">
        <v>0.61138599781262604</v>
      </c>
    </row>
    <row r="641" spans="1:3" x14ac:dyDescent="0.3">
      <c r="A641" s="14" t="s">
        <v>75</v>
      </c>
      <c r="B641" s="15">
        <v>0.70253625299474254</v>
      </c>
    </row>
    <row r="642" spans="1:3" x14ac:dyDescent="0.3">
      <c r="A642" s="14" t="s">
        <v>60</v>
      </c>
      <c r="B642" s="15">
        <v>0.77540196854446586</v>
      </c>
    </row>
    <row r="643" spans="1:3" x14ac:dyDescent="0.3">
      <c r="A643" s="14" t="s">
        <v>69</v>
      </c>
      <c r="B643" s="15">
        <v>0.84506722755068686</v>
      </c>
    </row>
    <row r="644" spans="1:3" x14ac:dyDescent="0.3">
      <c r="A644" s="13" t="s">
        <v>23</v>
      </c>
      <c r="B644" s="9">
        <v>0.89857106766097217</v>
      </c>
    </row>
    <row r="645" spans="1:3" x14ac:dyDescent="0.3">
      <c r="A645" s="13" t="s">
        <v>22</v>
      </c>
      <c r="B645" s="9">
        <v>0.94203412883766335</v>
      </c>
    </row>
    <row r="646" spans="1:3" x14ac:dyDescent="0.3">
      <c r="A646" s="13" t="s">
        <v>45</v>
      </c>
      <c r="B646" s="9">
        <v>0.97024568000547184</v>
      </c>
    </row>
    <row r="647" spans="1:3" x14ac:dyDescent="0.3">
      <c r="A647" s="13" t="s">
        <v>20</v>
      </c>
      <c r="B647" s="9">
        <v>0.99197778633975953</v>
      </c>
    </row>
    <row r="648" spans="1:3" x14ac:dyDescent="0.3">
      <c r="A648" s="13" t="s">
        <v>157</v>
      </c>
      <c r="B648" s="9">
        <v>0.99695430396576101</v>
      </c>
    </row>
    <row r="649" spans="1:3" x14ac:dyDescent="0.3">
      <c r="A649" s="13" t="s">
        <v>162</v>
      </c>
      <c r="B649" s="9">
        <v>1</v>
      </c>
    </row>
    <row r="650" spans="1:3" x14ac:dyDescent="0.3">
      <c r="A650" s="7" t="s">
        <v>164</v>
      </c>
      <c r="B650" s="9"/>
    </row>
    <row r="651" spans="1:3" x14ac:dyDescent="0.3">
      <c r="A651" s="14" t="s">
        <v>23</v>
      </c>
      <c r="B651" s="15">
        <v>0.54149098359403192</v>
      </c>
      <c r="C651" t="s">
        <v>187</v>
      </c>
    </row>
    <row r="652" spans="1:3" x14ac:dyDescent="0.3">
      <c r="A652" s="14" t="s">
        <v>163</v>
      </c>
      <c r="B652" s="15">
        <v>0.70994925516646357</v>
      </c>
    </row>
    <row r="653" spans="1:3" x14ac:dyDescent="0.3">
      <c r="A653" s="14" t="s">
        <v>31</v>
      </c>
      <c r="B653" s="15">
        <v>0.82477104876182383</v>
      </c>
    </row>
    <row r="654" spans="1:3" x14ac:dyDescent="0.3">
      <c r="A654" s="13" t="s">
        <v>26</v>
      </c>
      <c r="B654" s="9">
        <v>0.87084928537591977</v>
      </c>
    </row>
    <row r="655" spans="1:3" x14ac:dyDescent="0.3">
      <c r="A655" s="13" t="s">
        <v>20</v>
      </c>
      <c r="B655" s="9">
        <v>0.90997111881955095</v>
      </c>
    </row>
    <row r="656" spans="1:3" x14ac:dyDescent="0.3">
      <c r="A656" s="13" t="s">
        <v>16</v>
      </c>
      <c r="B656" s="9">
        <v>0.93467058174949214</v>
      </c>
    </row>
    <row r="657" spans="1:3" x14ac:dyDescent="0.3">
      <c r="A657" s="13" t="s">
        <v>60</v>
      </c>
      <c r="B657" s="9">
        <v>0.95817988614443905</v>
      </c>
    </row>
    <row r="658" spans="1:3" x14ac:dyDescent="0.3">
      <c r="A658" s="13" t="s">
        <v>19</v>
      </c>
      <c r="B658" s="9">
        <v>0.98052841863488549</v>
      </c>
      <c r="C658" t="s">
        <v>188</v>
      </c>
    </row>
    <row r="659" spans="1:3" x14ac:dyDescent="0.3">
      <c r="A659" s="13" t="s">
        <v>75</v>
      </c>
      <c r="B659" s="9">
        <v>0.9961438863466191</v>
      </c>
    </row>
    <row r="660" spans="1:3" x14ac:dyDescent="0.3">
      <c r="A660" s="13" t="s">
        <v>18</v>
      </c>
      <c r="B660" s="9">
        <v>1.0000000000000004</v>
      </c>
    </row>
    <row r="661" spans="1:3" x14ac:dyDescent="0.3">
      <c r="A661" s="7" t="s">
        <v>165</v>
      </c>
      <c r="B661" s="9"/>
    </row>
    <row r="662" spans="1:3" x14ac:dyDescent="0.3">
      <c r="A662" s="14" t="s">
        <v>57</v>
      </c>
      <c r="B662" s="15">
        <v>0.32095106315039673</v>
      </c>
      <c r="C662" t="s">
        <v>187</v>
      </c>
    </row>
    <row r="663" spans="1:3" x14ac:dyDescent="0.3">
      <c r="A663" s="14" t="s">
        <v>135</v>
      </c>
      <c r="B663" s="15">
        <v>0.62680068738838812</v>
      </c>
    </row>
    <row r="664" spans="1:3" x14ac:dyDescent="0.3">
      <c r="A664" s="14" t="s">
        <v>41</v>
      </c>
      <c r="B664" s="15">
        <v>0.71486209020289604</v>
      </c>
    </row>
    <row r="665" spans="1:3" x14ac:dyDescent="0.3">
      <c r="A665" s="14" t="s">
        <v>22</v>
      </c>
      <c r="B665" s="15">
        <v>0.78746953557617005</v>
      </c>
    </row>
    <row r="666" spans="1:3" x14ac:dyDescent="0.3">
      <c r="A666" s="14" t="s">
        <v>167</v>
      </c>
      <c r="B666" s="15">
        <v>0.8395171906229163</v>
      </c>
      <c r="C666" t="s">
        <v>188</v>
      </c>
    </row>
    <row r="667" spans="1:3" x14ac:dyDescent="0.3">
      <c r="A667" s="13" t="s">
        <v>32</v>
      </c>
      <c r="B667" s="9">
        <v>0.88875197524091809</v>
      </c>
    </row>
    <row r="668" spans="1:3" x14ac:dyDescent="0.3">
      <c r="A668" s="13" t="s">
        <v>51</v>
      </c>
      <c r="B668" s="9">
        <v>0.93532990730809573</v>
      </c>
    </row>
    <row r="669" spans="1:3" x14ac:dyDescent="0.3">
      <c r="A669" s="13" t="s">
        <v>75</v>
      </c>
      <c r="B669" s="9">
        <v>0.95734525801172277</v>
      </c>
    </row>
    <row r="670" spans="1:3" x14ac:dyDescent="0.3">
      <c r="A670" s="13" t="s">
        <v>132</v>
      </c>
      <c r="B670" s="9">
        <v>0.96895562633217891</v>
      </c>
    </row>
    <row r="671" spans="1:3" x14ac:dyDescent="0.3">
      <c r="A671" s="13" t="s">
        <v>60</v>
      </c>
      <c r="B671" s="9">
        <v>0.97919003523365844</v>
      </c>
    </row>
    <row r="672" spans="1:3" x14ac:dyDescent="0.3">
      <c r="A672" s="13" t="s">
        <v>70</v>
      </c>
      <c r="B672" s="9">
        <v>0.98687721347521418</v>
      </c>
    </row>
    <row r="673" spans="1:3" x14ac:dyDescent="0.3">
      <c r="A673" s="13" t="s">
        <v>162</v>
      </c>
      <c r="B673" s="9">
        <v>0.99398444187901935</v>
      </c>
    </row>
    <row r="674" spans="1:3" x14ac:dyDescent="0.3">
      <c r="A674" s="13" t="s">
        <v>166</v>
      </c>
      <c r="B674" s="9">
        <v>1.0000000000000002</v>
      </c>
      <c r="C674" t="s">
        <v>188</v>
      </c>
    </row>
    <row r="675" spans="1:3" x14ac:dyDescent="0.3">
      <c r="A675" s="7" t="s">
        <v>168</v>
      </c>
      <c r="B675" s="9"/>
    </row>
    <row r="676" spans="1:3" x14ac:dyDescent="0.3">
      <c r="A676" s="14" t="s">
        <v>23</v>
      </c>
      <c r="B676" s="15">
        <v>0.42180707319938904</v>
      </c>
      <c r="C676" t="s">
        <v>187</v>
      </c>
    </row>
    <row r="677" spans="1:3" x14ac:dyDescent="0.3">
      <c r="A677" s="14" t="s">
        <v>57</v>
      </c>
      <c r="B677" s="15">
        <v>0.79793570311723294</v>
      </c>
    </row>
    <row r="678" spans="1:3" x14ac:dyDescent="0.3">
      <c r="A678" s="13" t="s">
        <v>75</v>
      </c>
      <c r="B678" s="9">
        <v>0.96298003488697892</v>
      </c>
    </row>
    <row r="679" spans="1:3" x14ac:dyDescent="0.3">
      <c r="A679" s="13" t="s">
        <v>135</v>
      </c>
      <c r="B679" s="9">
        <v>1</v>
      </c>
    </row>
    <row r="680" spans="1:3" x14ac:dyDescent="0.3">
      <c r="A680" s="7" t="s">
        <v>169</v>
      </c>
      <c r="B680" s="9"/>
    </row>
    <row r="681" spans="1:3" x14ac:dyDescent="0.3">
      <c r="A681" s="14" t="s">
        <v>51</v>
      </c>
      <c r="B681" s="15">
        <v>0.3835688514732411</v>
      </c>
      <c r="C681" t="s">
        <v>187</v>
      </c>
    </row>
    <row r="682" spans="1:3" x14ac:dyDescent="0.3">
      <c r="A682" s="14" t="s">
        <v>49</v>
      </c>
      <c r="B682" s="15">
        <v>0.65503393179280134</v>
      </c>
    </row>
    <row r="683" spans="1:3" x14ac:dyDescent="0.3">
      <c r="A683" s="14" t="s">
        <v>47</v>
      </c>
      <c r="B683" s="15">
        <v>0.78973026372304789</v>
      </c>
    </row>
    <row r="684" spans="1:3" x14ac:dyDescent="0.3">
      <c r="A684" s="14" t="s">
        <v>60</v>
      </c>
      <c r="B684" s="15">
        <v>0.88065887810325572</v>
      </c>
    </row>
    <row r="685" spans="1:3" x14ac:dyDescent="0.3">
      <c r="A685" s="13" t="s">
        <v>41</v>
      </c>
      <c r="B685" s="9">
        <v>0.9246413538355811</v>
      </c>
    </row>
    <row r="686" spans="1:3" x14ac:dyDescent="0.3">
      <c r="A686" s="13" t="s">
        <v>167</v>
      </c>
      <c r="B686" s="9">
        <v>0.96591787647109351</v>
      </c>
    </row>
    <row r="687" spans="1:3" x14ac:dyDescent="0.3">
      <c r="A687" s="13" t="s">
        <v>75</v>
      </c>
      <c r="B687" s="9">
        <v>0.98142341723219639</v>
      </c>
    </row>
    <row r="688" spans="1:3" x14ac:dyDescent="0.3">
      <c r="A688" s="13" t="s">
        <v>32</v>
      </c>
      <c r="B688" s="9">
        <v>0.996123614809724</v>
      </c>
    </row>
    <row r="689" spans="1:3" x14ac:dyDescent="0.3">
      <c r="A689" s="13" t="s">
        <v>163</v>
      </c>
      <c r="B689" s="9">
        <v>0.99999999999999978</v>
      </c>
    </row>
    <row r="690" spans="1:3" x14ac:dyDescent="0.3">
      <c r="A690" s="7" t="s">
        <v>170</v>
      </c>
      <c r="B690" s="9"/>
    </row>
    <row r="691" spans="1:3" x14ac:dyDescent="0.3">
      <c r="A691" s="14" t="s">
        <v>163</v>
      </c>
      <c r="B691" s="15">
        <v>0.6233230090492633</v>
      </c>
      <c r="C691" t="s">
        <v>187</v>
      </c>
    </row>
    <row r="692" spans="1:3" x14ac:dyDescent="0.3">
      <c r="A692" s="14" t="s">
        <v>135</v>
      </c>
      <c r="B692" s="15">
        <v>0.80415970858814945</v>
      </c>
    </row>
    <row r="693" spans="1:3" x14ac:dyDescent="0.3">
      <c r="A693" s="13" t="s">
        <v>60</v>
      </c>
      <c r="B693" s="9">
        <v>0.8942451989258231</v>
      </c>
    </row>
    <row r="694" spans="1:3" x14ac:dyDescent="0.3">
      <c r="A694" s="13" t="s">
        <v>56</v>
      </c>
      <c r="B694" s="9">
        <v>0.93942569524368313</v>
      </c>
    </row>
    <row r="695" spans="1:3" x14ac:dyDescent="0.3">
      <c r="A695" s="13" t="s">
        <v>141</v>
      </c>
      <c r="B695" s="9">
        <v>0.97120718901150149</v>
      </c>
    </row>
    <row r="696" spans="1:3" x14ac:dyDescent="0.3">
      <c r="A696" s="13" t="s">
        <v>22</v>
      </c>
      <c r="B696" s="9">
        <v>0.986555393827244</v>
      </c>
    </row>
    <row r="697" spans="1:3" x14ac:dyDescent="0.3">
      <c r="A697" s="13" t="s">
        <v>157</v>
      </c>
      <c r="B697" s="9">
        <v>0.99400994064947068</v>
      </c>
    </row>
    <row r="698" spans="1:3" x14ac:dyDescent="0.3">
      <c r="A698" s="13" t="s">
        <v>171</v>
      </c>
      <c r="B698" s="9">
        <v>0.99637991860928687</v>
      </c>
      <c r="C698" t="s">
        <v>188</v>
      </c>
    </row>
    <row r="699" spans="1:3" x14ac:dyDescent="0.3">
      <c r="A699" s="13" t="s">
        <v>172</v>
      </c>
      <c r="B699" s="9">
        <v>0.99830749441473154</v>
      </c>
      <c r="C699" t="s">
        <v>188</v>
      </c>
    </row>
    <row r="700" spans="1:3" x14ac:dyDescent="0.3">
      <c r="A700" s="13" t="s">
        <v>173</v>
      </c>
      <c r="B700" s="9">
        <v>1</v>
      </c>
      <c r="C700" t="s">
        <v>188</v>
      </c>
    </row>
    <row r="701" spans="1:3" x14ac:dyDescent="0.3">
      <c r="A701" s="7" t="s">
        <v>174</v>
      </c>
      <c r="B701" s="9"/>
    </row>
    <row r="702" spans="1:3" x14ac:dyDescent="0.3">
      <c r="A702" s="14" t="s">
        <v>57</v>
      </c>
      <c r="B702" s="15">
        <v>0.49018888422473172</v>
      </c>
      <c r="C702" t="s">
        <v>187</v>
      </c>
    </row>
    <row r="703" spans="1:3" x14ac:dyDescent="0.3">
      <c r="A703" s="14" t="s">
        <v>135</v>
      </c>
      <c r="B703" s="15">
        <v>0.71966725029538048</v>
      </c>
    </row>
    <row r="704" spans="1:3" x14ac:dyDescent="0.3">
      <c r="A704" s="14" t="s">
        <v>113</v>
      </c>
      <c r="B704" s="15">
        <v>0.81260903253550332</v>
      </c>
    </row>
    <row r="705" spans="1:3" x14ac:dyDescent="0.3">
      <c r="A705" s="13" t="s">
        <v>41</v>
      </c>
      <c r="B705" s="9">
        <v>0.89589211910269495</v>
      </c>
    </row>
    <row r="706" spans="1:3" x14ac:dyDescent="0.3">
      <c r="A706" s="13" t="s">
        <v>118</v>
      </c>
      <c r="B706" s="9">
        <v>0.93153950315290379</v>
      </c>
    </row>
    <row r="707" spans="1:3" x14ac:dyDescent="0.3">
      <c r="A707" s="13" t="s">
        <v>37</v>
      </c>
      <c r="B707" s="9">
        <v>0.95943857063186455</v>
      </c>
    </row>
    <row r="708" spans="1:3" x14ac:dyDescent="0.3">
      <c r="A708" s="13" t="s">
        <v>70</v>
      </c>
      <c r="B708" s="9">
        <v>0.97804902976294272</v>
      </c>
    </row>
    <row r="709" spans="1:3" x14ac:dyDescent="0.3">
      <c r="A709" s="13" t="s">
        <v>60</v>
      </c>
      <c r="B709" s="9">
        <v>0.98831899723840255</v>
      </c>
    </row>
    <row r="710" spans="1:3" x14ac:dyDescent="0.3">
      <c r="A710" s="13" t="s">
        <v>175</v>
      </c>
      <c r="B710" s="9">
        <v>0.99611682381969024</v>
      </c>
    </row>
    <row r="711" spans="1:3" x14ac:dyDescent="0.3">
      <c r="A711" s="13" t="s">
        <v>157</v>
      </c>
      <c r="B711" s="9">
        <v>1</v>
      </c>
    </row>
    <row r="712" spans="1:3" x14ac:dyDescent="0.3">
      <c r="A712" s="7" t="s">
        <v>176</v>
      </c>
      <c r="B712" s="9"/>
    </row>
    <row r="713" spans="1:3" x14ac:dyDescent="0.3">
      <c r="A713" s="14" t="s">
        <v>39</v>
      </c>
      <c r="B713" s="15">
        <v>0.46116462205145076</v>
      </c>
      <c r="C713" t="s">
        <v>187</v>
      </c>
    </row>
    <row r="714" spans="1:3" x14ac:dyDescent="0.3">
      <c r="A714" s="14" t="s">
        <v>149</v>
      </c>
      <c r="B714" s="15">
        <v>0.80154755385491072</v>
      </c>
      <c r="C714" t="s">
        <v>188</v>
      </c>
    </row>
    <row r="715" spans="1:3" x14ac:dyDescent="0.3">
      <c r="A715" s="13" t="s">
        <v>26</v>
      </c>
      <c r="B715" s="9">
        <v>0.86798631660343872</v>
      </c>
    </row>
    <row r="716" spans="1:3" x14ac:dyDescent="0.3">
      <c r="A716" s="13" t="s">
        <v>75</v>
      </c>
      <c r="B716" s="9">
        <v>0.93311055501504137</v>
      </c>
    </row>
    <row r="717" spans="1:3" x14ac:dyDescent="0.3">
      <c r="A717" s="13" t="s">
        <v>60</v>
      </c>
      <c r="B717" s="9">
        <v>0.98972109842207112</v>
      </c>
    </row>
    <row r="718" spans="1:3" x14ac:dyDescent="0.3">
      <c r="A718" s="13" t="s">
        <v>17</v>
      </c>
      <c r="B718" s="9">
        <v>0.99379341805947297</v>
      </c>
    </row>
    <row r="719" spans="1:3" x14ac:dyDescent="0.3">
      <c r="A719" s="13" t="s">
        <v>22</v>
      </c>
      <c r="B719" s="9">
        <v>0.99706744362760957</v>
      </c>
    </row>
    <row r="720" spans="1:3" x14ac:dyDescent="0.3">
      <c r="A720" s="13" t="s">
        <v>157</v>
      </c>
      <c r="B720" s="9">
        <v>1</v>
      </c>
    </row>
    <row r="721" spans="1:3" x14ac:dyDescent="0.3">
      <c r="A721" s="7" t="s">
        <v>177</v>
      </c>
      <c r="B721" s="9"/>
    </row>
    <row r="722" spans="1:3" x14ac:dyDescent="0.3">
      <c r="A722" s="14" t="s">
        <v>135</v>
      </c>
      <c r="B722" s="15">
        <v>0.32292580640364066</v>
      </c>
      <c r="C722" t="s">
        <v>187</v>
      </c>
    </row>
    <row r="723" spans="1:3" x14ac:dyDescent="0.3">
      <c r="A723" s="14" t="s">
        <v>47</v>
      </c>
      <c r="B723" s="15">
        <v>0.46918684844519143</v>
      </c>
    </row>
    <row r="724" spans="1:3" x14ac:dyDescent="0.3">
      <c r="A724" s="14" t="s">
        <v>41</v>
      </c>
      <c r="B724" s="15">
        <v>0.57749598471216346</v>
      </c>
    </row>
    <row r="725" spans="1:3" x14ac:dyDescent="0.3">
      <c r="A725" s="14" t="s">
        <v>60</v>
      </c>
      <c r="B725" s="15">
        <v>0.67637988340793853</v>
      </c>
    </row>
    <row r="726" spans="1:3" x14ac:dyDescent="0.3">
      <c r="A726" s="14" t="s">
        <v>118</v>
      </c>
      <c r="B726" s="15">
        <v>0.76312729577799931</v>
      </c>
    </row>
    <row r="727" spans="1:3" x14ac:dyDescent="0.3">
      <c r="A727" s="14" t="s">
        <v>14</v>
      </c>
      <c r="B727" s="15">
        <v>0.83129842511488194</v>
      </c>
    </row>
    <row r="728" spans="1:3" x14ac:dyDescent="0.3">
      <c r="A728" s="13" t="s">
        <v>75</v>
      </c>
      <c r="B728" s="9">
        <v>0.8812961943994172</v>
      </c>
    </row>
    <row r="729" spans="1:3" x14ac:dyDescent="0.3">
      <c r="A729" s="13" t="s">
        <v>178</v>
      </c>
      <c r="B729" s="9">
        <v>0.9301121492199933</v>
      </c>
    </row>
    <row r="730" spans="1:3" x14ac:dyDescent="0.3">
      <c r="A730" s="13" t="s">
        <v>23</v>
      </c>
      <c r="B730" s="9">
        <v>0.95159440387847072</v>
      </c>
    </row>
    <row r="731" spans="1:3" x14ac:dyDescent="0.3">
      <c r="A731" s="13" t="s">
        <v>141</v>
      </c>
      <c r="B731" s="9">
        <v>0.96177390211620561</v>
      </c>
    </row>
    <row r="732" spans="1:3" x14ac:dyDescent="0.3">
      <c r="A732" s="13" t="s">
        <v>119</v>
      </c>
      <c r="B732" s="9">
        <v>0.97154490058444765</v>
      </c>
    </row>
    <row r="733" spans="1:3" x14ac:dyDescent="0.3">
      <c r="A733" s="13" t="s">
        <v>171</v>
      </c>
      <c r="B733" s="9">
        <v>0.97880634415478218</v>
      </c>
    </row>
    <row r="734" spans="1:3" x14ac:dyDescent="0.3">
      <c r="A734" s="13" t="s">
        <v>172</v>
      </c>
      <c r="B734" s="9">
        <v>0.98400623484972438</v>
      </c>
    </row>
    <row r="735" spans="1:3" x14ac:dyDescent="0.3">
      <c r="A735" s="13" t="s">
        <v>70</v>
      </c>
      <c r="B735" s="9">
        <v>0.98874696994482725</v>
      </c>
    </row>
    <row r="736" spans="1:3" x14ac:dyDescent="0.3">
      <c r="A736" s="13" t="s">
        <v>153</v>
      </c>
      <c r="B736" s="9">
        <v>0.99302111372187463</v>
      </c>
    </row>
    <row r="737" spans="1:3" x14ac:dyDescent="0.3">
      <c r="A737" s="13" t="s">
        <v>179</v>
      </c>
      <c r="B737" s="9">
        <v>0.9963002654551405</v>
      </c>
    </row>
    <row r="738" spans="1:3" x14ac:dyDescent="0.3">
      <c r="A738" s="13" t="s">
        <v>46</v>
      </c>
      <c r="B738" s="9">
        <v>0.99851285635679565</v>
      </c>
    </row>
    <row r="739" spans="1:3" x14ac:dyDescent="0.3">
      <c r="A739" s="13" t="s">
        <v>157</v>
      </c>
      <c r="B739" s="9">
        <v>1.0000000000000002</v>
      </c>
    </row>
    <row r="740" spans="1:3" x14ac:dyDescent="0.3">
      <c r="A740" s="7" t="s">
        <v>180</v>
      </c>
      <c r="B740" s="9"/>
    </row>
    <row r="741" spans="1:3" x14ac:dyDescent="0.3">
      <c r="A741" s="14" t="s">
        <v>49</v>
      </c>
      <c r="B741" s="15">
        <v>0.46817574394576456</v>
      </c>
      <c r="C741" t="s">
        <v>187</v>
      </c>
    </row>
    <row r="742" spans="1:3" x14ac:dyDescent="0.3">
      <c r="A742" s="14" t="s">
        <v>57</v>
      </c>
      <c r="B742" s="15">
        <v>0.84495616179394428</v>
      </c>
    </row>
    <row r="743" spans="1:3" x14ac:dyDescent="0.3">
      <c r="A743" s="13" t="s">
        <v>135</v>
      </c>
      <c r="B743" s="9">
        <v>0.95104462044913796</v>
      </c>
    </row>
    <row r="744" spans="1:3" x14ac:dyDescent="0.3">
      <c r="A744" s="13" t="s">
        <v>47</v>
      </c>
      <c r="B744" s="9">
        <v>0.97686190150255869</v>
      </c>
    </row>
    <row r="745" spans="1:3" x14ac:dyDescent="0.3">
      <c r="A745" s="13" t="s">
        <v>60</v>
      </c>
      <c r="B745" s="9">
        <v>0.98724291907043449</v>
      </c>
    </row>
    <row r="746" spans="1:3" x14ac:dyDescent="0.3">
      <c r="A746" s="13" t="s">
        <v>75</v>
      </c>
      <c r="B746" s="9">
        <v>0.99245787295068622</v>
      </c>
    </row>
    <row r="747" spans="1:3" x14ac:dyDescent="0.3">
      <c r="A747" s="13" t="s">
        <v>149</v>
      </c>
      <c r="B747" s="9">
        <v>0.99668198559368992</v>
      </c>
    </row>
    <row r="748" spans="1:3" x14ac:dyDescent="0.3">
      <c r="A748" s="13" t="s">
        <v>69</v>
      </c>
      <c r="B748" s="9">
        <v>0.99855936899058051</v>
      </c>
    </row>
    <row r="749" spans="1:3" x14ac:dyDescent="0.3">
      <c r="A749" s="13" t="s">
        <v>70</v>
      </c>
      <c r="B749" s="9">
        <v>0.9997359929598123</v>
      </c>
    </row>
    <row r="750" spans="1:3" x14ac:dyDescent="0.3">
      <c r="A750" s="13" t="s">
        <v>153</v>
      </c>
      <c r="B750" s="9">
        <v>1.0000000000000002</v>
      </c>
    </row>
    <row r="751" spans="1:3" x14ac:dyDescent="0.3">
      <c r="A751" s="7" t="s">
        <v>181</v>
      </c>
      <c r="B751" s="9"/>
    </row>
    <row r="752" spans="1:3" x14ac:dyDescent="0.3">
      <c r="A752" s="14" t="s">
        <v>57</v>
      </c>
      <c r="B752" s="15">
        <v>0.3750201844541427</v>
      </c>
      <c r="C752" t="s">
        <v>187</v>
      </c>
    </row>
    <row r="753" spans="1:2" x14ac:dyDescent="0.3">
      <c r="A753" s="14" t="s">
        <v>162</v>
      </c>
      <c r="B753" s="15">
        <v>0.59163184299485561</v>
      </c>
    </row>
    <row r="754" spans="1:2" x14ac:dyDescent="0.3">
      <c r="A754" s="14" t="s">
        <v>70</v>
      </c>
      <c r="B754" s="15">
        <v>0.71663598836259701</v>
      </c>
    </row>
    <row r="755" spans="1:2" x14ac:dyDescent="0.3">
      <c r="A755" s="14" t="s">
        <v>31</v>
      </c>
      <c r="B755" s="15">
        <v>0.79883824325668784</v>
      </c>
    </row>
    <row r="756" spans="1:2" x14ac:dyDescent="0.3">
      <c r="A756" s="14" t="s">
        <v>47</v>
      </c>
      <c r="B756" s="15">
        <v>0.87114244475348335</v>
      </c>
    </row>
    <row r="757" spans="1:2" x14ac:dyDescent="0.3">
      <c r="A757" s="13" t="s">
        <v>56</v>
      </c>
      <c r="B757" s="9">
        <v>0.92324235632930252</v>
      </c>
    </row>
    <row r="758" spans="1:2" x14ac:dyDescent="0.3">
      <c r="A758" s="13" t="s">
        <v>78</v>
      </c>
      <c r="B758" s="9">
        <v>0.95113641963580908</v>
      </c>
    </row>
    <row r="759" spans="1:2" x14ac:dyDescent="0.3">
      <c r="A759" s="13" t="s">
        <v>22</v>
      </c>
      <c r="B759" s="9">
        <v>0.97847539108251602</v>
      </c>
    </row>
    <row r="760" spans="1:2" x14ac:dyDescent="0.3">
      <c r="A760" s="13" t="s">
        <v>60</v>
      </c>
      <c r="B760" s="9">
        <v>0.98796712095764672</v>
      </c>
    </row>
    <row r="761" spans="1:2" x14ac:dyDescent="0.3">
      <c r="A761" s="13" t="s">
        <v>175</v>
      </c>
      <c r="B761" s="9">
        <v>0.99284827210224857</v>
      </c>
    </row>
    <row r="762" spans="1:2" x14ac:dyDescent="0.3">
      <c r="A762" s="13" t="s">
        <v>153</v>
      </c>
      <c r="B762" s="9">
        <v>0.99694714973812137</v>
      </c>
    </row>
    <row r="763" spans="1:2" x14ac:dyDescent="0.3">
      <c r="A763" s="13" t="s">
        <v>118</v>
      </c>
      <c r="B763" s="9">
        <v>0.99869052869477792</v>
      </c>
    </row>
    <row r="764" spans="1:2" x14ac:dyDescent="0.3">
      <c r="A764" s="13" t="s">
        <v>46</v>
      </c>
      <c r="B764" s="9">
        <v>1</v>
      </c>
    </row>
    <row r="765" spans="1:2" x14ac:dyDescent="0.3">
      <c r="A765" s="7" t="s">
        <v>185</v>
      </c>
      <c r="B765" s="9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0"/>
  <sheetViews>
    <sheetView workbookViewId="0">
      <selection activeCell="B4" sqref="B4"/>
    </sheetView>
  </sheetViews>
  <sheetFormatPr defaultRowHeight="14.4" x14ac:dyDescent="0.3"/>
  <cols>
    <col min="1" max="1" width="26.21875" bestFit="1" customWidth="1"/>
    <col min="2" max="2" width="22.77734375" bestFit="1" customWidth="1"/>
  </cols>
  <sheetData>
    <row r="3" spans="1:2" x14ac:dyDescent="0.3">
      <c r="A3" s="8" t="s">
        <v>183</v>
      </c>
      <c r="B3" t="s">
        <v>184</v>
      </c>
    </row>
    <row r="4" spans="1:2" x14ac:dyDescent="0.3">
      <c r="A4" s="10" t="s">
        <v>69</v>
      </c>
      <c r="B4" s="9">
        <v>0.15945195523428177</v>
      </c>
    </row>
    <row r="5" spans="1:2" x14ac:dyDescent="0.3">
      <c r="A5" s="10" t="s">
        <v>122</v>
      </c>
      <c r="B5" s="9">
        <v>0.24961720185908834</v>
      </c>
    </row>
    <row r="6" spans="1:2" x14ac:dyDescent="0.3">
      <c r="A6" s="10" t="s">
        <v>66</v>
      </c>
      <c r="B6" s="9">
        <v>0.32871991385288585</v>
      </c>
    </row>
    <row r="7" spans="1:2" x14ac:dyDescent="0.3">
      <c r="A7" s="10" t="s">
        <v>119</v>
      </c>
      <c r="B7" s="9">
        <v>0.40632548779638905</v>
      </c>
    </row>
    <row r="8" spans="1:2" x14ac:dyDescent="0.3">
      <c r="A8" s="10" t="s">
        <v>14</v>
      </c>
      <c r="B8" s="9">
        <v>0.45980878130641722</v>
      </c>
    </row>
    <row r="9" spans="1:2" x14ac:dyDescent="0.3">
      <c r="A9" s="10" t="s">
        <v>22</v>
      </c>
      <c r="B9" s="9">
        <v>0.51071197522960332</v>
      </c>
    </row>
    <row r="10" spans="1:2" x14ac:dyDescent="0.3">
      <c r="A10" s="10" t="s">
        <v>39</v>
      </c>
      <c r="B10" s="9">
        <v>0.55848283421428546</v>
      </c>
    </row>
    <row r="11" spans="1:2" x14ac:dyDescent="0.3">
      <c r="A11" s="10" t="s">
        <v>49</v>
      </c>
      <c r="B11" s="9">
        <v>0.60489311334704621</v>
      </c>
    </row>
    <row r="12" spans="1:2" x14ac:dyDescent="0.3">
      <c r="A12" s="10" t="s">
        <v>27</v>
      </c>
      <c r="B12" s="9">
        <v>0.649314044659553</v>
      </c>
    </row>
    <row r="13" spans="1:2" x14ac:dyDescent="0.3">
      <c r="A13" s="10" t="s">
        <v>85</v>
      </c>
      <c r="B13" s="9">
        <v>0.69299165918531158</v>
      </c>
    </row>
    <row r="14" spans="1:2" x14ac:dyDescent="0.3">
      <c r="A14" s="10" t="s">
        <v>94</v>
      </c>
      <c r="B14" s="9">
        <v>0.73366199206777949</v>
      </c>
    </row>
    <row r="15" spans="1:2" x14ac:dyDescent="0.3">
      <c r="A15" s="10" t="s">
        <v>26</v>
      </c>
      <c r="B15" s="9">
        <v>0.76897954370193489</v>
      </c>
    </row>
    <row r="16" spans="1:2" x14ac:dyDescent="0.3">
      <c r="A16" s="10" t="s">
        <v>73</v>
      </c>
      <c r="B16" s="9">
        <v>0.80215318164295257</v>
      </c>
    </row>
    <row r="17" spans="1:2" x14ac:dyDescent="0.3">
      <c r="A17" s="10" t="s">
        <v>75</v>
      </c>
      <c r="B17" s="9">
        <v>0.82851291563438512</v>
      </c>
    </row>
    <row r="18" spans="1:2" x14ac:dyDescent="0.3">
      <c r="A18" s="10" t="s">
        <v>151</v>
      </c>
      <c r="B18" s="9">
        <v>0.85288830393737214</v>
      </c>
    </row>
    <row r="19" spans="1:2" x14ac:dyDescent="0.3">
      <c r="A19" s="10" t="s">
        <v>60</v>
      </c>
      <c r="B19" s="9">
        <v>0.87330500512708531</v>
      </c>
    </row>
    <row r="20" spans="1:2" x14ac:dyDescent="0.3">
      <c r="A20" s="10" t="s">
        <v>47</v>
      </c>
      <c r="B20" s="9">
        <v>0.89094252188397671</v>
      </c>
    </row>
    <row r="21" spans="1:2" x14ac:dyDescent="0.3">
      <c r="A21" s="10" t="s">
        <v>141</v>
      </c>
      <c r="B21" s="9">
        <v>0.90435023598357167</v>
      </c>
    </row>
    <row r="22" spans="1:2" x14ac:dyDescent="0.3">
      <c r="A22" s="7" t="s">
        <v>16</v>
      </c>
      <c r="B22" s="9">
        <v>0.91767391426878309</v>
      </c>
    </row>
    <row r="23" spans="1:2" x14ac:dyDescent="0.3">
      <c r="A23" s="7" t="s">
        <v>37</v>
      </c>
      <c r="B23" s="9">
        <v>0.9302467725695337</v>
      </c>
    </row>
    <row r="24" spans="1:2" x14ac:dyDescent="0.3">
      <c r="A24" s="7" t="s">
        <v>126</v>
      </c>
      <c r="B24" s="9">
        <v>0.94244096949237832</v>
      </c>
    </row>
    <row r="25" spans="1:2" x14ac:dyDescent="0.3">
      <c r="A25" s="7" t="s">
        <v>18</v>
      </c>
      <c r="B25" s="9">
        <v>0.94987413735986015</v>
      </c>
    </row>
    <row r="26" spans="1:2" x14ac:dyDescent="0.3">
      <c r="A26" s="7" t="s">
        <v>31</v>
      </c>
      <c r="B26" s="9">
        <v>0.9566515257472431</v>
      </c>
    </row>
    <row r="27" spans="1:2" x14ac:dyDescent="0.3">
      <c r="A27" s="7" t="s">
        <v>118</v>
      </c>
      <c r="B27" s="9">
        <v>0.96314229198199697</v>
      </c>
    </row>
    <row r="28" spans="1:2" x14ac:dyDescent="0.3">
      <c r="A28" s="7" t="s">
        <v>17</v>
      </c>
      <c r="B28" s="9">
        <v>0.9687711909061405</v>
      </c>
    </row>
    <row r="29" spans="1:2" x14ac:dyDescent="0.3">
      <c r="A29" s="7" t="s">
        <v>46</v>
      </c>
      <c r="B29" s="9">
        <v>0.97372980416794042</v>
      </c>
    </row>
    <row r="30" spans="1:2" x14ac:dyDescent="0.3">
      <c r="A30" s="7" t="s">
        <v>88</v>
      </c>
      <c r="B30" s="9">
        <v>0.97770599874254427</v>
      </c>
    </row>
    <row r="31" spans="1:2" x14ac:dyDescent="0.3">
      <c r="A31" s="7" t="s">
        <v>20</v>
      </c>
      <c r="B31" s="9">
        <v>0.98157964961507305</v>
      </c>
    </row>
    <row r="32" spans="1:2" x14ac:dyDescent="0.3">
      <c r="A32" s="7" t="s">
        <v>15</v>
      </c>
      <c r="B32" s="9">
        <v>0.98467797005727919</v>
      </c>
    </row>
    <row r="33" spans="1:2" x14ac:dyDescent="0.3">
      <c r="A33" s="7" t="s">
        <v>143</v>
      </c>
      <c r="B33" s="9">
        <v>0.98731159245447242</v>
      </c>
    </row>
    <row r="34" spans="1:2" x14ac:dyDescent="0.3">
      <c r="A34" s="7" t="s">
        <v>44</v>
      </c>
      <c r="B34" s="9">
        <v>0.98983316709915437</v>
      </c>
    </row>
    <row r="35" spans="1:2" x14ac:dyDescent="0.3">
      <c r="A35" s="7" t="s">
        <v>33</v>
      </c>
      <c r="B35" s="9">
        <v>0.99146636313464087</v>
      </c>
    </row>
    <row r="36" spans="1:2" x14ac:dyDescent="0.3">
      <c r="A36" s="7" t="s">
        <v>160</v>
      </c>
      <c r="B36" s="9">
        <v>0.99304153444114829</v>
      </c>
    </row>
    <row r="37" spans="1:2" x14ac:dyDescent="0.3">
      <c r="A37" s="7" t="s">
        <v>53</v>
      </c>
      <c r="B37" s="9">
        <v>0.99446664179339961</v>
      </c>
    </row>
    <row r="38" spans="1:2" x14ac:dyDescent="0.3">
      <c r="A38" s="7" t="s">
        <v>45</v>
      </c>
      <c r="B38" s="9">
        <v>0.99588774744020414</v>
      </c>
    </row>
    <row r="39" spans="1:2" x14ac:dyDescent="0.3">
      <c r="A39" s="7" t="s">
        <v>157</v>
      </c>
      <c r="B39" s="9">
        <v>0.9968126416116021</v>
      </c>
    </row>
    <row r="40" spans="1:2" x14ac:dyDescent="0.3">
      <c r="A40" s="7" t="s">
        <v>38</v>
      </c>
      <c r="B40" s="9">
        <v>0.99746291874671145</v>
      </c>
    </row>
    <row r="41" spans="1:2" x14ac:dyDescent="0.3">
      <c r="A41" s="7" t="s">
        <v>58</v>
      </c>
      <c r="B41" s="9">
        <v>0.9980481681683101</v>
      </c>
    </row>
    <row r="42" spans="1:2" x14ac:dyDescent="0.3">
      <c r="A42" s="7" t="s">
        <v>124</v>
      </c>
      <c r="B42" s="9">
        <v>0.99849836003107817</v>
      </c>
    </row>
    <row r="43" spans="1:2" x14ac:dyDescent="0.3">
      <c r="A43" s="7" t="s">
        <v>21</v>
      </c>
      <c r="B43" s="9">
        <v>0.99889052716486726</v>
      </c>
    </row>
    <row r="44" spans="1:2" x14ac:dyDescent="0.3">
      <c r="A44" s="7" t="s">
        <v>52</v>
      </c>
      <c r="B44" s="9">
        <v>0.99922867127512416</v>
      </c>
    </row>
    <row r="45" spans="1:2" x14ac:dyDescent="0.3">
      <c r="A45" s="7" t="s">
        <v>148</v>
      </c>
      <c r="B45" s="9">
        <v>0.99947077445465715</v>
      </c>
    </row>
    <row r="46" spans="1:2" x14ac:dyDescent="0.3">
      <c r="A46" s="7" t="s">
        <v>61</v>
      </c>
      <c r="B46" s="9">
        <v>0.99967085972699854</v>
      </c>
    </row>
    <row r="47" spans="1:2" x14ac:dyDescent="0.3">
      <c r="A47" s="7" t="s">
        <v>149</v>
      </c>
      <c r="B47" s="9">
        <v>0.99981542133626511</v>
      </c>
    </row>
    <row r="48" spans="1:2" x14ac:dyDescent="0.3">
      <c r="A48" s="7" t="s">
        <v>153</v>
      </c>
      <c r="B48" s="9">
        <v>0.99992796930195715</v>
      </c>
    </row>
    <row r="49" spans="1:2" x14ac:dyDescent="0.3">
      <c r="A49" s="7" t="s">
        <v>93</v>
      </c>
      <c r="B49" s="9">
        <v>1</v>
      </c>
    </row>
    <row r="50" spans="1:2" x14ac:dyDescent="0.3">
      <c r="A50" s="7" t="s">
        <v>185</v>
      </c>
      <c r="B50" s="9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8"/>
  <sheetViews>
    <sheetView workbookViewId="0">
      <selection activeCell="A4" sqref="A4"/>
    </sheetView>
  </sheetViews>
  <sheetFormatPr defaultRowHeight="14.4" x14ac:dyDescent="0.3"/>
  <cols>
    <col min="1" max="1" width="25.5546875" customWidth="1"/>
    <col min="2" max="2" width="22.77734375" bestFit="1" customWidth="1"/>
  </cols>
  <sheetData>
    <row r="3" spans="1:2" x14ac:dyDescent="0.3">
      <c r="A3" s="8" t="s">
        <v>183</v>
      </c>
      <c r="B3" t="s">
        <v>184</v>
      </c>
    </row>
    <row r="4" spans="1:2" x14ac:dyDescent="0.3">
      <c r="A4" s="10" t="s">
        <v>39</v>
      </c>
      <c r="B4" s="9">
        <v>0.254525385910855</v>
      </c>
    </row>
    <row r="5" spans="1:2" x14ac:dyDescent="0.3">
      <c r="A5" s="10" t="s">
        <v>18</v>
      </c>
      <c r="B5" s="9">
        <v>0.40517278563195219</v>
      </c>
    </row>
    <row r="6" spans="1:2" x14ac:dyDescent="0.3">
      <c r="A6" s="10" t="s">
        <v>120</v>
      </c>
      <c r="B6" s="9">
        <v>0.51455873585806078</v>
      </c>
    </row>
    <row r="7" spans="1:2" x14ac:dyDescent="0.3">
      <c r="A7" s="10" t="s">
        <v>56</v>
      </c>
      <c r="B7" s="9">
        <v>0.62188174778304894</v>
      </c>
    </row>
    <row r="8" spans="1:2" x14ac:dyDescent="0.3">
      <c r="A8" s="10" t="s">
        <v>26</v>
      </c>
      <c r="B8" s="9">
        <v>0.72910407956386569</v>
      </c>
    </row>
    <row r="9" spans="1:2" x14ac:dyDescent="0.3">
      <c r="A9" s="10" t="s">
        <v>113</v>
      </c>
      <c r="B9" s="9">
        <v>0.79925474070600178</v>
      </c>
    </row>
    <row r="10" spans="1:2" x14ac:dyDescent="0.3">
      <c r="A10" s="10" t="s">
        <v>122</v>
      </c>
      <c r="B10" s="9">
        <v>0.83047948911596337</v>
      </c>
    </row>
    <row r="11" spans="1:2" x14ac:dyDescent="0.3">
      <c r="A11" s="10" t="s">
        <v>28</v>
      </c>
      <c r="B11" s="9">
        <v>0.85391441203885599</v>
      </c>
    </row>
    <row r="12" spans="1:2" x14ac:dyDescent="0.3">
      <c r="A12" s="10" t="s">
        <v>73</v>
      </c>
      <c r="B12" s="9">
        <v>0.8742730050698243</v>
      </c>
    </row>
    <row r="13" spans="1:2" x14ac:dyDescent="0.3">
      <c r="A13" s="10" t="s">
        <v>109</v>
      </c>
      <c r="B13" s="9">
        <v>0.89340788853813335</v>
      </c>
    </row>
    <row r="14" spans="1:2" x14ac:dyDescent="0.3">
      <c r="A14" s="10" t="s">
        <v>119</v>
      </c>
      <c r="B14" s="9">
        <v>0.91227889459366041</v>
      </c>
    </row>
    <row r="15" spans="1:2" x14ac:dyDescent="0.3">
      <c r="A15" s="7" t="s">
        <v>27</v>
      </c>
      <c r="B15" s="9">
        <v>0.93099693978091969</v>
      </c>
    </row>
    <row r="16" spans="1:2" x14ac:dyDescent="0.3">
      <c r="A16" s="7" t="s">
        <v>107</v>
      </c>
      <c r="B16" s="9">
        <v>0.94504116104383717</v>
      </c>
    </row>
    <row r="17" spans="1:2" x14ac:dyDescent="0.3">
      <c r="A17" s="7" t="s">
        <v>66</v>
      </c>
      <c r="B17" s="9">
        <v>0.95883810341918496</v>
      </c>
    </row>
    <row r="18" spans="1:2" x14ac:dyDescent="0.3">
      <c r="A18" s="7" t="s">
        <v>115</v>
      </c>
      <c r="B18" s="9">
        <v>0.96775443077637369</v>
      </c>
    </row>
    <row r="19" spans="1:2" x14ac:dyDescent="0.3">
      <c r="A19" s="7" t="s">
        <v>47</v>
      </c>
      <c r="B19" s="9">
        <v>0.97392347032389448</v>
      </c>
    </row>
    <row r="20" spans="1:2" x14ac:dyDescent="0.3">
      <c r="A20" s="7" t="s">
        <v>69</v>
      </c>
      <c r="B20" s="9">
        <v>0.97956450238094095</v>
      </c>
    </row>
    <row r="21" spans="1:2" x14ac:dyDescent="0.3">
      <c r="A21" s="7" t="s">
        <v>117</v>
      </c>
      <c r="B21" s="9">
        <v>0.98340567529772238</v>
      </c>
    </row>
    <row r="22" spans="1:2" x14ac:dyDescent="0.3">
      <c r="A22" s="7" t="s">
        <v>51</v>
      </c>
      <c r="B22" s="9">
        <v>0.98686099426302543</v>
      </c>
    </row>
    <row r="23" spans="1:2" x14ac:dyDescent="0.3">
      <c r="A23" s="7" t="s">
        <v>62</v>
      </c>
      <c r="B23" s="9">
        <v>0.98932216688424124</v>
      </c>
    </row>
    <row r="24" spans="1:2" x14ac:dyDescent="0.3">
      <c r="A24" s="7" t="s">
        <v>116</v>
      </c>
      <c r="B24" s="9">
        <v>0.99170515571742601</v>
      </c>
    </row>
    <row r="25" spans="1:2" x14ac:dyDescent="0.3">
      <c r="A25" s="7" t="s">
        <v>85</v>
      </c>
      <c r="B25" s="9">
        <v>0.99406607947176329</v>
      </c>
    </row>
    <row r="26" spans="1:2" x14ac:dyDescent="0.3">
      <c r="A26" s="7" t="s">
        <v>75</v>
      </c>
      <c r="B26" s="9">
        <v>0.99534443753551638</v>
      </c>
    </row>
    <row r="27" spans="1:2" x14ac:dyDescent="0.3">
      <c r="A27" s="7" t="s">
        <v>128</v>
      </c>
      <c r="B27" s="9">
        <v>0.99645108742067623</v>
      </c>
    </row>
    <row r="28" spans="1:2" x14ac:dyDescent="0.3">
      <c r="A28" s="7" t="s">
        <v>118</v>
      </c>
      <c r="B28" s="9">
        <v>0.9975316707262224</v>
      </c>
    </row>
    <row r="29" spans="1:2" x14ac:dyDescent="0.3">
      <c r="A29" s="7" t="s">
        <v>124</v>
      </c>
      <c r="B29" s="9">
        <v>0.99832831941793532</v>
      </c>
    </row>
    <row r="30" spans="1:2" x14ac:dyDescent="0.3">
      <c r="A30" s="7" t="s">
        <v>126</v>
      </c>
      <c r="B30" s="9">
        <v>0.99874286211953378</v>
      </c>
    </row>
    <row r="31" spans="1:2" x14ac:dyDescent="0.3">
      <c r="A31" s="7" t="s">
        <v>90</v>
      </c>
      <c r="B31" s="9">
        <v>0.99904378205298616</v>
      </c>
    </row>
    <row r="32" spans="1:2" x14ac:dyDescent="0.3">
      <c r="A32" s="7" t="s">
        <v>32</v>
      </c>
      <c r="B32" s="9">
        <v>0.99932521447902067</v>
      </c>
    </row>
    <row r="33" spans="1:2" x14ac:dyDescent="0.3">
      <c r="A33" s="7" t="s">
        <v>94</v>
      </c>
      <c r="B33" s="9">
        <v>0.99956078195558828</v>
      </c>
    </row>
    <row r="34" spans="1:2" x14ac:dyDescent="0.3">
      <c r="A34" s="7" t="s">
        <v>60</v>
      </c>
      <c r="B34" s="9">
        <v>0.99969618038252006</v>
      </c>
    </row>
    <row r="35" spans="1:2" x14ac:dyDescent="0.3">
      <c r="A35" s="7" t="s">
        <v>72</v>
      </c>
      <c r="B35" s="9">
        <v>0.99983157880945184</v>
      </c>
    </row>
    <row r="36" spans="1:2" x14ac:dyDescent="0.3">
      <c r="A36" s="7" t="s">
        <v>78</v>
      </c>
      <c r="B36" s="9">
        <v>0.99992037335161987</v>
      </c>
    </row>
    <row r="37" spans="1:2" x14ac:dyDescent="0.3">
      <c r="A37" s="7" t="s">
        <v>125</v>
      </c>
      <c r="B37" s="9">
        <v>0.99999999999999978</v>
      </c>
    </row>
    <row r="38" spans="1:2" x14ac:dyDescent="0.3">
      <c r="A38" s="7" t="s">
        <v>185</v>
      </c>
      <c r="B38" s="9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2"/>
  <sheetViews>
    <sheetView topLeftCell="A49" workbookViewId="0">
      <selection activeCell="L80" sqref="L80"/>
    </sheetView>
  </sheetViews>
  <sheetFormatPr defaultRowHeight="14.4" x14ac:dyDescent="0.3"/>
  <cols>
    <col min="1" max="1" width="26.21875" bestFit="1" customWidth="1"/>
    <col min="2" max="2" width="12.5546875" bestFit="1" customWidth="1"/>
  </cols>
  <sheetData>
    <row r="3" spans="1:2" x14ac:dyDescent="0.3">
      <c r="A3" s="8" t="s">
        <v>183</v>
      </c>
      <c r="B3" t="s">
        <v>186</v>
      </c>
    </row>
    <row r="4" spans="1:2" x14ac:dyDescent="0.3">
      <c r="A4" s="7" t="s">
        <v>75</v>
      </c>
      <c r="B4">
        <v>11.285965297605973</v>
      </c>
    </row>
    <row r="5" spans="1:2" x14ac:dyDescent="0.3">
      <c r="A5" s="7" t="s">
        <v>51</v>
      </c>
      <c r="B5">
        <v>13.936560509554138</v>
      </c>
    </row>
    <row r="6" spans="1:2" x14ac:dyDescent="0.3">
      <c r="A6" s="7" t="s">
        <v>26</v>
      </c>
      <c r="B6">
        <v>22.071375796178341</v>
      </c>
    </row>
    <row r="7" spans="1:2" x14ac:dyDescent="0.3">
      <c r="A7" s="7" t="s">
        <v>68</v>
      </c>
      <c r="B7">
        <v>6.2261146496815281</v>
      </c>
    </row>
    <row r="8" spans="1:2" x14ac:dyDescent="0.3">
      <c r="A8" s="7" t="s">
        <v>72</v>
      </c>
      <c r="B8">
        <v>7.595541401273886</v>
      </c>
    </row>
    <row r="9" spans="1:2" x14ac:dyDescent="0.3">
      <c r="A9" s="7" t="s">
        <v>52</v>
      </c>
      <c r="B9">
        <v>5.0636942675159231</v>
      </c>
    </row>
    <row r="10" spans="1:2" x14ac:dyDescent="0.3">
      <c r="A10" s="7" t="s">
        <v>92</v>
      </c>
      <c r="B10">
        <v>17.611464968152866</v>
      </c>
    </row>
    <row r="11" spans="1:2" x14ac:dyDescent="0.3">
      <c r="A11" s="7" t="s">
        <v>153</v>
      </c>
      <c r="B11">
        <v>2.1231422505307855</v>
      </c>
    </row>
    <row r="12" spans="1:2" x14ac:dyDescent="0.3">
      <c r="A12" s="7" t="s">
        <v>64</v>
      </c>
      <c r="B12">
        <v>7.7388535031847123</v>
      </c>
    </row>
    <row r="13" spans="1:2" x14ac:dyDescent="0.3">
      <c r="A13" s="7" t="s">
        <v>13</v>
      </c>
      <c r="B13">
        <v>6.5807759119861027</v>
      </c>
    </row>
    <row r="14" spans="1:2" x14ac:dyDescent="0.3">
      <c r="A14" s="7" t="s">
        <v>36</v>
      </c>
      <c r="B14">
        <v>17.038216560509554</v>
      </c>
    </row>
    <row r="15" spans="1:2" x14ac:dyDescent="0.3">
      <c r="A15" s="7" t="s">
        <v>60</v>
      </c>
      <c r="B15">
        <v>8.2031139419674464</v>
      </c>
    </row>
    <row r="16" spans="1:2" x14ac:dyDescent="0.3">
      <c r="A16" s="7" t="s">
        <v>90</v>
      </c>
      <c r="B16">
        <v>7.4203821656050959</v>
      </c>
    </row>
    <row r="17" spans="1:2" x14ac:dyDescent="0.3">
      <c r="A17" s="7" t="s">
        <v>69</v>
      </c>
      <c r="B17">
        <v>15.074934432376169</v>
      </c>
    </row>
    <row r="18" spans="1:2" x14ac:dyDescent="0.3">
      <c r="A18" s="7" t="s">
        <v>14</v>
      </c>
      <c r="B18">
        <v>11.450813871196035</v>
      </c>
    </row>
    <row r="19" spans="1:2" x14ac:dyDescent="0.3">
      <c r="A19" s="7" t="s">
        <v>99</v>
      </c>
      <c r="B19">
        <v>3.5987261146496814</v>
      </c>
    </row>
    <row r="20" spans="1:2" x14ac:dyDescent="0.3">
      <c r="A20" s="7" t="s">
        <v>124</v>
      </c>
      <c r="B20">
        <v>7.5265392781316338</v>
      </c>
    </row>
    <row r="21" spans="1:2" x14ac:dyDescent="0.3">
      <c r="A21" s="7" t="s">
        <v>115</v>
      </c>
      <c r="B21">
        <v>29.742675159235667</v>
      </c>
    </row>
    <row r="22" spans="1:2" x14ac:dyDescent="0.3">
      <c r="A22" s="7" t="s">
        <v>171</v>
      </c>
      <c r="B22">
        <v>3.1210191082802545</v>
      </c>
    </row>
    <row r="23" spans="1:2" x14ac:dyDescent="0.3">
      <c r="A23" s="7" t="s">
        <v>116</v>
      </c>
      <c r="B23">
        <v>21.777707006369425</v>
      </c>
    </row>
    <row r="24" spans="1:2" x14ac:dyDescent="0.3">
      <c r="A24" s="7" t="s">
        <v>85</v>
      </c>
      <c r="B24">
        <v>9.1106687898089156</v>
      </c>
    </row>
    <row r="25" spans="1:2" x14ac:dyDescent="0.3">
      <c r="A25" s="7" t="s">
        <v>96</v>
      </c>
      <c r="B25">
        <v>17.452229299363058</v>
      </c>
    </row>
    <row r="26" spans="1:2" x14ac:dyDescent="0.3">
      <c r="A26" s="7" t="s">
        <v>44</v>
      </c>
      <c r="B26">
        <v>8.12632696390658</v>
      </c>
    </row>
    <row r="27" spans="1:2" x14ac:dyDescent="0.3">
      <c r="A27" s="7" t="s">
        <v>113</v>
      </c>
      <c r="B27">
        <v>41.97335456475583</v>
      </c>
    </row>
    <row r="28" spans="1:2" x14ac:dyDescent="0.3">
      <c r="A28" s="7" t="s">
        <v>162</v>
      </c>
      <c r="B28">
        <v>11.422505307855625</v>
      </c>
    </row>
    <row r="29" spans="1:2" x14ac:dyDescent="0.3">
      <c r="A29" s="7" t="s">
        <v>125</v>
      </c>
      <c r="B29">
        <v>3.9808917197452227</v>
      </c>
    </row>
    <row r="30" spans="1:2" x14ac:dyDescent="0.3">
      <c r="A30" s="7" t="s">
        <v>87</v>
      </c>
      <c r="B30">
        <v>12.659235668789808</v>
      </c>
    </row>
    <row r="31" spans="1:2" x14ac:dyDescent="0.3">
      <c r="A31" s="7" t="s">
        <v>141</v>
      </c>
      <c r="B31">
        <v>10.498938428874736</v>
      </c>
    </row>
    <row r="32" spans="1:2" x14ac:dyDescent="0.3">
      <c r="A32" s="7" t="s">
        <v>37</v>
      </c>
      <c r="B32">
        <v>10.088192062714354</v>
      </c>
    </row>
    <row r="33" spans="1:2" x14ac:dyDescent="0.3">
      <c r="A33" s="7" t="s">
        <v>166</v>
      </c>
      <c r="B33">
        <v>3.6624203821656049</v>
      </c>
    </row>
    <row r="34" spans="1:2" x14ac:dyDescent="0.3">
      <c r="A34" s="7" t="s">
        <v>45</v>
      </c>
      <c r="B34">
        <v>4.7998180163785253</v>
      </c>
    </row>
    <row r="35" spans="1:2" x14ac:dyDescent="0.3">
      <c r="A35" s="7" t="s">
        <v>15</v>
      </c>
      <c r="B35">
        <v>6.3781123335176622</v>
      </c>
    </row>
    <row r="36" spans="1:2" x14ac:dyDescent="0.3">
      <c r="A36" s="7" t="s">
        <v>53</v>
      </c>
      <c r="B36">
        <v>6.6206652512384983</v>
      </c>
    </row>
    <row r="37" spans="1:2" x14ac:dyDescent="0.3">
      <c r="A37" s="7" t="s">
        <v>126</v>
      </c>
      <c r="B37">
        <v>7.328379334748762</v>
      </c>
    </row>
    <row r="38" spans="1:2" x14ac:dyDescent="0.3">
      <c r="A38" s="7" t="s">
        <v>70</v>
      </c>
      <c r="B38">
        <v>9.4788650839606259</v>
      </c>
    </row>
    <row r="39" spans="1:2" x14ac:dyDescent="0.3">
      <c r="A39" s="7" t="s">
        <v>61</v>
      </c>
      <c r="B39">
        <v>4.6319886765746636</v>
      </c>
    </row>
    <row r="40" spans="1:2" x14ac:dyDescent="0.3">
      <c r="A40" s="7" t="s">
        <v>16</v>
      </c>
      <c r="B40">
        <v>5.9840764331210172</v>
      </c>
    </row>
    <row r="41" spans="1:2" x14ac:dyDescent="0.3">
      <c r="A41" s="7" t="s">
        <v>54</v>
      </c>
      <c r="B41">
        <v>10.445859872611466</v>
      </c>
    </row>
    <row r="42" spans="1:2" x14ac:dyDescent="0.3">
      <c r="A42" s="7" t="s">
        <v>55</v>
      </c>
      <c r="B42">
        <v>16.011146496815286</v>
      </c>
    </row>
    <row r="43" spans="1:2" x14ac:dyDescent="0.3">
      <c r="A43" s="7" t="s">
        <v>17</v>
      </c>
      <c r="B43">
        <v>6.7987716105550495</v>
      </c>
    </row>
    <row r="44" spans="1:2" x14ac:dyDescent="0.3">
      <c r="A44" s="7" t="s">
        <v>18</v>
      </c>
      <c r="B44">
        <v>29.095647558386418</v>
      </c>
    </row>
    <row r="45" spans="1:2" x14ac:dyDescent="0.3">
      <c r="A45" s="7" t="s">
        <v>66</v>
      </c>
      <c r="B45">
        <v>29.743245555813278</v>
      </c>
    </row>
    <row r="46" spans="1:2" x14ac:dyDescent="0.3">
      <c r="A46" s="7" t="s">
        <v>41</v>
      </c>
      <c r="B46">
        <v>21.287534121929021</v>
      </c>
    </row>
    <row r="47" spans="1:2" x14ac:dyDescent="0.3">
      <c r="A47" s="7" t="s">
        <v>151</v>
      </c>
      <c r="B47">
        <v>14.14012738853503</v>
      </c>
    </row>
    <row r="48" spans="1:2" x14ac:dyDescent="0.3">
      <c r="A48" s="7" t="s">
        <v>56</v>
      </c>
      <c r="B48">
        <v>26.622034524143821</v>
      </c>
    </row>
    <row r="49" spans="1:2" x14ac:dyDescent="0.3">
      <c r="A49" s="7" t="s">
        <v>93</v>
      </c>
      <c r="B49">
        <v>5.7006369426751595</v>
      </c>
    </row>
    <row r="50" spans="1:2" x14ac:dyDescent="0.3">
      <c r="A50" s="7" t="s">
        <v>38</v>
      </c>
      <c r="B50">
        <v>12.783970276008494</v>
      </c>
    </row>
    <row r="51" spans="1:2" x14ac:dyDescent="0.3">
      <c r="A51" s="7" t="s">
        <v>78</v>
      </c>
      <c r="B51">
        <v>15.314490445859871</v>
      </c>
    </row>
    <row r="52" spans="1:2" x14ac:dyDescent="0.3">
      <c r="A52" s="7" t="s">
        <v>30</v>
      </c>
      <c r="B52">
        <v>9.3949044585987256</v>
      </c>
    </row>
    <row r="53" spans="1:2" x14ac:dyDescent="0.3">
      <c r="A53" s="7" t="s">
        <v>31</v>
      </c>
      <c r="B53">
        <v>11.109341825902336</v>
      </c>
    </row>
    <row r="54" spans="1:2" x14ac:dyDescent="0.3">
      <c r="A54" s="7" t="s">
        <v>80</v>
      </c>
      <c r="B54">
        <v>14.394904458598727</v>
      </c>
    </row>
    <row r="55" spans="1:2" x14ac:dyDescent="0.3">
      <c r="A55" s="7" t="s">
        <v>117</v>
      </c>
      <c r="B55">
        <v>16.428025477707006</v>
      </c>
    </row>
    <row r="56" spans="1:2" x14ac:dyDescent="0.3">
      <c r="A56" s="7" t="s">
        <v>157</v>
      </c>
      <c r="B56">
        <v>2.4215195632393081</v>
      </c>
    </row>
    <row r="57" spans="1:2" x14ac:dyDescent="0.3">
      <c r="A57" s="7" t="s">
        <v>172</v>
      </c>
      <c r="B57">
        <v>1.4695177434030937</v>
      </c>
    </row>
    <row r="58" spans="1:2" x14ac:dyDescent="0.3">
      <c r="A58" s="7" t="s">
        <v>57</v>
      </c>
      <c r="B58">
        <v>37.48805732484076</v>
      </c>
    </row>
    <row r="59" spans="1:2" x14ac:dyDescent="0.3">
      <c r="A59" s="7" t="s">
        <v>135</v>
      </c>
      <c r="B59">
        <v>19.242038216560509</v>
      </c>
    </row>
    <row r="60" spans="1:2" x14ac:dyDescent="0.3">
      <c r="A60" s="7" t="s">
        <v>122</v>
      </c>
      <c r="B60">
        <v>14.756083342329701</v>
      </c>
    </row>
    <row r="61" spans="1:2" x14ac:dyDescent="0.3">
      <c r="A61" s="7" t="s">
        <v>178</v>
      </c>
      <c r="B61">
        <v>4.7664543524416132</v>
      </c>
    </row>
    <row r="62" spans="1:2" x14ac:dyDescent="0.3">
      <c r="A62" s="7" t="s">
        <v>175</v>
      </c>
      <c r="B62">
        <v>4.1082802547770703</v>
      </c>
    </row>
    <row r="63" spans="1:2" x14ac:dyDescent="0.3">
      <c r="A63" s="7" t="s">
        <v>118</v>
      </c>
      <c r="B63">
        <v>8.3555298204979724</v>
      </c>
    </row>
    <row r="64" spans="1:2" x14ac:dyDescent="0.3">
      <c r="A64" s="7" t="s">
        <v>19</v>
      </c>
      <c r="B64">
        <v>4.7372611464968148</v>
      </c>
    </row>
    <row r="65" spans="1:2" x14ac:dyDescent="0.3">
      <c r="A65" s="7" t="s">
        <v>148</v>
      </c>
      <c r="B65">
        <v>3.5031847133757958</v>
      </c>
    </row>
    <row r="66" spans="1:2" x14ac:dyDescent="0.3">
      <c r="A66" s="7" t="s">
        <v>20</v>
      </c>
      <c r="B66">
        <v>8.0823475887170151</v>
      </c>
    </row>
    <row r="67" spans="1:2" x14ac:dyDescent="0.3">
      <c r="A67" s="7" t="s">
        <v>179</v>
      </c>
      <c r="B67">
        <v>2.6751592356687897</v>
      </c>
    </row>
    <row r="68" spans="1:2" x14ac:dyDescent="0.3">
      <c r="A68" s="7" t="s">
        <v>163</v>
      </c>
      <c r="B68">
        <v>10.672142138786457</v>
      </c>
    </row>
    <row r="69" spans="1:2" x14ac:dyDescent="0.3">
      <c r="A69" s="7" t="s">
        <v>39</v>
      </c>
      <c r="B69">
        <v>36.20865492693892</v>
      </c>
    </row>
    <row r="70" spans="1:2" x14ac:dyDescent="0.3">
      <c r="A70" s="7" t="s">
        <v>107</v>
      </c>
      <c r="B70">
        <v>21.148025477707005</v>
      </c>
    </row>
    <row r="71" spans="1:2" x14ac:dyDescent="0.3">
      <c r="A71" s="7" t="s">
        <v>27</v>
      </c>
      <c r="B71">
        <v>20.381449044585985</v>
      </c>
    </row>
    <row r="72" spans="1:2" x14ac:dyDescent="0.3">
      <c r="A72" s="7" t="s">
        <v>119</v>
      </c>
      <c r="B72">
        <v>21.005838641188962</v>
      </c>
    </row>
    <row r="73" spans="1:2" x14ac:dyDescent="0.3">
      <c r="A73" s="7" t="s">
        <v>173</v>
      </c>
      <c r="B73">
        <v>1.910828025477707</v>
      </c>
    </row>
    <row r="74" spans="1:2" x14ac:dyDescent="0.3">
      <c r="A74" s="7" t="s">
        <v>42</v>
      </c>
      <c r="B74">
        <v>3.9808917197452227</v>
      </c>
    </row>
    <row r="75" spans="1:2" x14ac:dyDescent="0.3">
      <c r="A75" s="7" t="s">
        <v>73</v>
      </c>
      <c r="B75">
        <v>12.648832271762206</v>
      </c>
    </row>
    <row r="76" spans="1:2" x14ac:dyDescent="0.3">
      <c r="A76" s="7" t="s">
        <v>46</v>
      </c>
      <c r="B76">
        <v>5.3105095541401282</v>
      </c>
    </row>
    <row r="77" spans="1:2" x14ac:dyDescent="0.3">
      <c r="A77" s="7" t="s">
        <v>32</v>
      </c>
      <c r="B77">
        <v>6.7718587145338738</v>
      </c>
    </row>
    <row r="78" spans="1:2" x14ac:dyDescent="0.3">
      <c r="A78" s="7" t="s">
        <v>128</v>
      </c>
      <c r="B78">
        <v>14.840764331210192</v>
      </c>
    </row>
    <row r="79" spans="1:2" x14ac:dyDescent="0.3">
      <c r="A79" s="7" t="s">
        <v>28</v>
      </c>
      <c r="B79">
        <v>17.263184713375797</v>
      </c>
    </row>
    <row r="80" spans="1:2" x14ac:dyDescent="0.3">
      <c r="A80" s="7" t="s">
        <v>33</v>
      </c>
      <c r="B80">
        <v>6.0111464968152868</v>
      </c>
    </row>
    <row r="81" spans="1:2" x14ac:dyDescent="0.3">
      <c r="A81" s="7" t="s">
        <v>143</v>
      </c>
      <c r="B81">
        <v>7.8821656050955413</v>
      </c>
    </row>
    <row r="82" spans="1:2" x14ac:dyDescent="0.3">
      <c r="A82" s="7" t="s">
        <v>34</v>
      </c>
      <c r="B82">
        <v>10.111464968152866</v>
      </c>
    </row>
    <row r="83" spans="1:2" x14ac:dyDescent="0.3">
      <c r="A83" s="7" t="s">
        <v>21</v>
      </c>
      <c r="B83">
        <v>5.9808917197452232</v>
      </c>
    </row>
    <row r="84" spans="1:2" x14ac:dyDescent="0.3">
      <c r="A84" s="7" t="s">
        <v>131</v>
      </c>
      <c r="B84">
        <v>12.050955414012739</v>
      </c>
    </row>
    <row r="85" spans="1:2" x14ac:dyDescent="0.3">
      <c r="A85" s="7" t="s">
        <v>22</v>
      </c>
      <c r="B85">
        <v>15.203864692718184</v>
      </c>
    </row>
    <row r="86" spans="1:2" x14ac:dyDescent="0.3">
      <c r="A86" s="7" t="s">
        <v>47</v>
      </c>
      <c r="B86">
        <v>15.018400565830145</v>
      </c>
    </row>
    <row r="87" spans="1:2" x14ac:dyDescent="0.3">
      <c r="A87" s="7" t="s">
        <v>23</v>
      </c>
      <c r="B87">
        <v>20.987261146496813</v>
      </c>
    </row>
    <row r="88" spans="1:2" x14ac:dyDescent="0.3">
      <c r="A88" s="7" t="s">
        <v>120</v>
      </c>
      <c r="B88">
        <v>45.500079617834395</v>
      </c>
    </row>
    <row r="89" spans="1:2" x14ac:dyDescent="0.3">
      <c r="A89" s="7" t="s">
        <v>49</v>
      </c>
      <c r="B89">
        <v>22.176220806794049</v>
      </c>
    </row>
    <row r="90" spans="1:2" x14ac:dyDescent="0.3">
      <c r="A90" s="7" t="s">
        <v>149</v>
      </c>
      <c r="B90">
        <v>15.30785562632696</v>
      </c>
    </row>
    <row r="91" spans="1:2" x14ac:dyDescent="0.3">
      <c r="A91" s="7" t="s">
        <v>160</v>
      </c>
      <c r="B91">
        <v>5.0424628450106148</v>
      </c>
    </row>
    <row r="92" spans="1:2" x14ac:dyDescent="0.3">
      <c r="A92" s="7" t="s">
        <v>58</v>
      </c>
      <c r="B92">
        <v>17.052370842179762</v>
      </c>
    </row>
    <row r="93" spans="1:2" x14ac:dyDescent="0.3">
      <c r="A93" s="7" t="s">
        <v>62</v>
      </c>
      <c r="B93">
        <v>15.683469821049433</v>
      </c>
    </row>
    <row r="94" spans="1:2" x14ac:dyDescent="0.3">
      <c r="A94" s="7" t="s">
        <v>167</v>
      </c>
      <c r="B94">
        <v>6.9665605095541396</v>
      </c>
    </row>
    <row r="95" spans="1:2" x14ac:dyDescent="0.3">
      <c r="A95" s="7" t="s">
        <v>109</v>
      </c>
      <c r="B95">
        <v>34.046178343949045</v>
      </c>
    </row>
    <row r="96" spans="1:2" x14ac:dyDescent="0.3">
      <c r="A96" s="7" t="s">
        <v>82</v>
      </c>
      <c r="B96">
        <v>14.068471338044585</v>
      </c>
    </row>
    <row r="97" spans="1:2" x14ac:dyDescent="0.3">
      <c r="A97" s="7" t="s">
        <v>94</v>
      </c>
      <c r="B97">
        <v>17.38499646142958</v>
      </c>
    </row>
    <row r="98" spans="1:2" x14ac:dyDescent="0.3">
      <c r="A98" s="7" t="s">
        <v>24</v>
      </c>
      <c r="B98">
        <v>6.1599061347636592</v>
      </c>
    </row>
    <row r="99" spans="1:2" x14ac:dyDescent="0.3">
      <c r="A99" s="7" t="s">
        <v>132</v>
      </c>
      <c r="B99">
        <v>3.4076433121019107</v>
      </c>
    </row>
    <row r="100" spans="1:2" x14ac:dyDescent="0.3">
      <c r="A100" s="7" t="s">
        <v>133</v>
      </c>
      <c r="B100">
        <v>5.5201698513800421</v>
      </c>
    </row>
    <row r="101" spans="1:2" x14ac:dyDescent="0.3">
      <c r="A101" s="7" t="s">
        <v>88</v>
      </c>
      <c r="B101">
        <v>7.3003429691327772</v>
      </c>
    </row>
    <row r="102" spans="1:2" x14ac:dyDescent="0.3">
      <c r="A102" s="7" t="s">
        <v>185</v>
      </c>
      <c r="B102">
        <v>16.108763536241383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76"/>
  <sheetViews>
    <sheetView workbookViewId="0">
      <selection activeCell="F3" sqref="F3:F75"/>
    </sheetView>
  </sheetViews>
  <sheetFormatPr defaultRowHeight="14.4" x14ac:dyDescent="0.3"/>
  <cols>
    <col min="1" max="1" width="16.109375" bestFit="1" customWidth="1"/>
    <col min="2" max="2" width="11.77734375" bestFit="1" customWidth="1"/>
    <col min="6" max="6" width="11.77734375" bestFit="1" customWidth="1"/>
  </cols>
  <sheetData>
    <row r="3" spans="1:7" x14ac:dyDescent="0.3">
      <c r="A3" s="8" t="s">
        <v>189</v>
      </c>
      <c r="B3" t="s">
        <v>191</v>
      </c>
      <c r="C3" t="s">
        <v>192</v>
      </c>
      <c r="F3" t="s">
        <v>193</v>
      </c>
      <c r="G3" t="s">
        <v>192</v>
      </c>
    </row>
    <row r="4" spans="1:7" x14ac:dyDescent="0.3">
      <c r="A4" s="7" t="s">
        <v>12</v>
      </c>
      <c r="B4">
        <v>36</v>
      </c>
      <c r="C4">
        <v>12</v>
      </c>
      <c r="F4">
        <v>36</v>
      </c>
      <c r="G4">
        <v>12</v>
      </c>
    </row>
    <row r="5" spans="1:7" x14ac:dyDescent="0.3">
      <c r="A5" s="7" t="s">
        <v>25</v>
      </c>
      <c r="B5">
        <v>26</v>
      </c>
      <c r="C5">
        <v>11</v>
      </c>
      <c r="F5">
        <v>26</v>
      </c>
      <c r="G5">
        <v>11</v>
      </c>
    </row>
    <row r="6" spans="1:7" x14ac:dyDescent="0.3">
      <c r="A6" s="7" t="s">
        <v>29</v>
      </c>
      <c r="B6">
        <v>26</v>
      </c>
      <c r="C6">
        <v>14</v>
      </c>
      <c r="F6">
        <v>26</v>
      </c>
      <c r="G6">
        <v>14</v>
      </c>
    </row>
    <row r="7" spans="1:7" x14ac:dyDescent="0.3">
      <c r="A7" s="7" t="s">
        <v>35</v>
      </c>
      <c r="B7">
        <v>19</v>
      </c>
      <c r="C7">
        <v>11</v>
      </c>
      <c r="F7">
        <v>19</v>
      </c>
      <c r="G7">
        <v>11</v>
      </c>
    </row>
    <row r="8" spans="1:7" x14ac:dyDescent="0.3">
      <c r="A8" s="7" t="s">
        <v>40</v>
      </c>
      <c r="B8">
        <v>18</v>
      </c>
      <c r="C8">
        <v>14</v>
      </c>
      <c r="F8">
        <v>18</v>
      </c>
      <c r="G8">
        <v>14</v>
      </c>
    </row>
    <row r="9" spans="1:7" x14ac:dyDescent="0.3">
      <c r="A9" s="7" t="s">
        <v>43</v>
      </c>
      <c r="B9">
        <v>23</v>
      </c>
      <c r="C9">
        <v>12</v>
      </c>
      <c r="F9">
        <v>23</v>
      </c>
      <c r="G9">
        <v>12</v>
      </c>
    </row>
    <row r="10" spans="1:7" x14ac:dyDescent="0.3">
      <c r="A10" s="7" t="s">
        <v>48</v>
      </c>
      <c r="B10">
        <v>35</v>
      </c>
      <c r="C10">
        <v>13</v>
      </c>
      <c r="F10">
        <v>35</v>
      </c>
      <c r="G10">
        <v>13</v>
      </c>
    </row>
    <row r="11" spans="1:7" x14ac:dyDescent="0.3">
      <c r="A11" s="7" t="s">
        <v>50</v>
      </c>
      <c r="B11">
        <v>13</v>
      </c>
      <c r="C11">
        <v>11</v>
      </c>
      <c r="F11">
        <v>13</v>
      </c>
      <c r="G11">
        <v>11</v>
      </c>
    </row>
    <row r="12" spans="1:7" x14ac:dyDescent="0.3">
      <c r="A12" s="7" t="s">
        <v>59</v>
      </c>
      <c r="B12">
        <v>15</v>
      </c>
      <c r="C12">
        <v>10</v>
      </c>
      <c r="F12">
        <v>15</v>
      </c>
      <c r="G12">
        <v>10</v>
      </c>
    </row>
    <row r="13" spans="1:7" x14ac:dyDescent="0.3">
      <c r="A13" s="7" t="s">
        <v>63</v>
      </c>
      <c r="B13">
        <v>16</v>
      </c>
      <c r="C13">
        <v>12</v>
      </c>
      <c r="F13">
        <v>16</v>
      </c>
      <c r="G13">
        <v>12</v>
      </c>
    </row>
    <row r="14" spans="1:7" x14ac:dyDescent="0.3">
      <c r="A14" s="7" t="s">
        <v>65</v>
      </c>
      <c r="B14">
        <v>21</v>
      </c>
      <c r="C14">
        <v>12</v>
      </c>
      <c r="F14">
        <v>21</v>
      </c>
      <c r="G14">
        <v>12</v>
      </c>
    </row>
    <row r="15" spans="1:7" x14ac:dyDescent="0.3">
      <c r="A15" s="7" t="s">
        <v>67</v>
      </c>
      <c r="B15">
        <v>21</v>
      </c>
      <c r="C15">
        <v>11</v>
      </c>
      <c r="F15">
        <v>21</v>
      </c>
      <c r="G15">
        <v>11</v>
      </c>
    </row>
    <row r="16" spans="1:7" x14ac:dyDescent="0.3">
      <c r="A16" s="7" t="s">
        <v>71</v>
      </c>
      <c r="B16">
        <v>21</v>
      </c>
      <c r="C16">
        <v>11</v>
      </c>
      <c r="F16">
        <v>21</v>
      </c>
      <c r="G16">
        <v>11</v>
      </c>
    </row>
    <row r="17" spans="1:7" x14ac:dyDescent="0.3">
      <c r="A17" s="7" t="s">
        <v>74</v>
      </c>
      <c r="B17">
        <v>16</v>
      </c>
      <c r="C17">
        <v>10</v>
      </c>
      <c r="F17">
        <v>16</v>
      </c>
      <c r="G17">
        <v>10</v>
      </c>
    </row>
    <row r="18" spans="1:7" x14ac:dyDescent="0.3">
      <c r="A18" s="7" t="s">
        <v>76</v>
      </c>
      <c r="B18">
        <v>14</v>
      </c>
      <c r="C18">
        <v>5</v>
      </c>
      <c r="F18">
        <v>14</v>
      </c>
      <c r="G18">
        <v>5</v>
      </c>
    </row>
    <row r="19" spans="1:7" x14ac:dyDescent="0.3">
      <c r="A19" s="7" t="s">
        <v>77</v>
      </c>
      <c r="B19">
        <v>21</v>
      </c>
      <c r="C19">
        <v>7</v>
      </c>
      <c r="F19">
        <v>21</v>
      </c>
      <c r="G19">
        <v>7</v>
      </c>
    </row>
    <row r="20" spans="1:7" x14ac:dyDescent="0.3">
      <c r="A20" s="7" t="s">
        <v>79</v>
      </c>
      <c r="B20">
        <v>19</v>
      </c>
      <c r="C20">
        <v>8</v>
      </c>
      <c r="F20">
        <v>19</v>
      </c>
      <c r="G20">
        <v>8</v>
      </c>
    </row>
    <row r="21" spans="1:7" x14ac:dyDescent="0.3">
      <c r="A21" s="7" t="s">
        <v>81</v>
      </c>
      <c r="B21">
        <v>20</v>
      </c>
      <c r="C21">
        <v>6</v>
      </c>
      <c r="F21">
        <v>20</v>
      </c>
      <c r="G21">
        <v>6</v>
      </c>
    </row>
    <row r="22" spans="1:7" x14ac:dyDescent="0.3">
      <c r="A22" s="7" t="s">
        <v>83</v>
      </c>
      <c r="B22">
        <v>9</v>
      </c>
      <c r="C22">
        <v>3</v>
      </c>
      <c r="F22">
        <v>9</v>
      </c>
      <c r="G22">
        <v>3</v>
      </c>
    </row>
    <row r="23" spans="1:7" x14ac:dyDescent="0.3">
      <c r="A23" s="7" t="s">
        <v>84</v>
      </c>
      <c r="B23">
        <v>24</v>
      </c>
      <c r="C23">
        <v>8</v>
      </c>
      <c r="F23">
        <v>24</v>
      </c>
      <c r="G23">
        <v>8</v>
      </c>
    </row>
    <row r="24" spans="1:7" x14ac:dyDescent="0.3">
      <c r="A24" s="7" t="s">
        <v>86</v>
      </c>
      <c r="B24">
        <v>20</v>
      </c>
      <c r="C24">
        <v>11</v>
      </c>
      <c r="F24">
        <v>20</v>
      </c>
      <c r="G24">
        <v>11</v>
      </c>
    </row>
    <row r="25" spans="1:7" x14ac:dyDescent="0.3">
      <c r="A25" s="7" t="s">
        <v>89</v>
      </c>
      <c r="B25">
        <v>21</v>
      </c>
      <c r="C25">
        <v>7</v>
      </c>
      <c r="F25">
        <v>21</v>
      </c>
      <c r="G25">
        <v>7</v>
      </c>
    </row>
    <row r="26" spans="1:7" x14ac:dyDescent="0.3">
      <c r="A26" s="7" t="s">
        <v>91</v>
      </c>
      <c r="B26">
        <v>19</v>
      </c>
      <c r="C26">
        <v>10</v>
      </c>
      <c r="F26">
        <v>19</v>
      </c>
      <c r="G26">
        <v>10</v>
      </c>
    </row>
    <row r="27" spans="1:7" x14ac:dyDescent="0.3">
      <c r="A27" s="7" t="s">
        <v>95</v>
      </c>
      <c r="B27">
        <v>17</v>
      </c>
      <c r="C27">
        <v>11</v>
      </c>
      <c r="F27">
        <v>17</v>
      </c>
      <c r="G27">
        <v>11</v>
      </c>
    </row>
    <row r="28" spans="1:7" x14ac:dyDescent="0.3">
      <c r="A28" s="7" t="s">
        <v>97</v>
      </c>
      <c r="B28">
        <v>13</v>
      </c>
      <c r="C28">
        <v>4</v>
      </c>
      <c r="F28">
        <v>13</v>
      </c>
      <c r="G28">
        <v>4</v>
      </c>
    </row>
    <row r="29" spans="1:7" x14ac:dyDescent="0.3">
      <c r="A29" s="7" t="s">
        <v>98</v>
      </c>
      <c r="B29">
        <v>15</v>
      </c>
      <c r="C29">
        <v>6</v>
      </c>
      <c r="F29">
        <v>15</v>
      </c>
      <c r="G29">
        <v>6</v>
      </c>
    </row>
    <row r="30" spans="1:7" x14ac:dyDescent="0.3">
      <c r="A30" s="7" t="s">
        <v>100</v>
      </c>
      <c r="B30">
        <v>14</v>
      </c>
      <c r="C30">
        <v>6</v>
      </c>
      <c r="F30">
        <v>14</v>
      </c>
      <c r="G30">
        <v>6</v>
      </c>
    </row>
    <row r="31" spans="1:7" x14ac:dyDescent="0.3">
      <c r="A31" s="7" t="s">
        <v>101</v>
      </c>
      <c r="B31">
        <v>13</v>
      </c>
      <c r="C31">
        <v>11</v>
      </c>
      <c r="F31">
        <v>13</v>
      </c>
      <c r="G31">
        <v>11</v>
      </c>
    </row>
    <row r="32" spans="1:7" x14ac:dyDescent="0.3">
      <c r="A32" s="7" t="s">
        <v>102</v>
      </c>
      <c r="B32">
        <v>18</v>
      </c>
      <c r="C32">
        <v>8</v>
      </c>
      <c r="F32">
        <v>18</v>
      </c>
      <c r="G32">
        <v>8</v>
      </c>
    </row>
    <row r="33" spans="1:7" x14ac:dyDescent="0.3">
      <c r="A33" s="7" t="s">
        <v>103</v>
      </c>
      <c r="B33">
        <v>15</v>
      </c>
      <c r="C33">
        <v>11</v>
      </c>
      <c r="F33">
        <v>15</v>
      </c>
      <c r="G33">
        <v>11</v>
      </c>
    </row>
    <row r="34" spans="1:7" x14ac:dyDescent="0.3">
      <c r="A34" s="7" t="s">
        <v>104</v>
      </c>
      <c r="B34">
        <v>19</v>
      </c>
      <c r="C34">
        <v>9</v>
      </c>
      <c r="F34">
        <v>19</v>
      </c>
      <c r="G34">
        <v>9</v>
      </c>
    </row>
    <row r="35" spans="1:7" x14ac:dyDescent="0.3">
      <c r="A35" s="7" t="s">
        <v>105</v>
      </c>
      <c r="B35">
        <v>16</v>
      </c>
      <c r="C35">
        <v>8</v>
      </c>
      <c r="F35">
        <v>16</v>
      </c>
      <c r="G35">
        <v>8</v>
      </c>
    </row>
    <row r="36" spans="1:7" x14ac:dyDescent="0.3">
      <c r="A36" s="7" t="s">
        <v>106</v>
      </c>
      <c r="B36">
        <v>11</v>
      </c>
      <c r="C36">
        <v>3</v>
      </c>
      <c r="F36">
        <v>11</v>
      </c>
      <c r="G36">
        <v>3</v>
      </c>
    </row>
    <row r="37" spans="1:7" x14ac:dyDescent="0.3">
      <c r="A37" s="7" t="s">
        <v>108</v>
      </c>
      <c r="B37">
        <v>18</v>
      </c>
      <c r="C37">
        <v>5</v>
      </c>
      <c r="F37">
        <v>18</v>
      </c>
      <c r="G37">
        <v>5</v>
      </c>
    </row>
    <row r="38" spans="1:7" x14ac:dyDescent="0.3">
      <c r="A38" s="7" t="s">
        <v>110</v>
      </c>
      <c r="B38">
        <v>21</v>
      </c>
      <c r="C38">
        <v>6</v>
      </c>
      <c r="F38">
        <v>21</v>
      </c>
      <c r="G38">
        <v>6</v>
      </c>
    </row>
    <row r="39" spans="1:7" x14ac:dyDescent="0.3">
      <c r="A39" s="7" t="s">
        <v>111</v>
      </c>
      <c r="B39">
        <v>16</v>
      </c>
      <c r="C39">
        <v>5</v>
      </c>
      <c r="F39">
        <v>16</v>
      </c>
      <c r="G39">
        <v>5</v>
      </c>
    </row>
    <row r="40" spans="1:7" x14ac:dyDescent="0.3">
      <c r="A40" s="7" t="s">
        <v>112</v>
      </c>
      <c r="B40">
        <v>17</v>
      </c>
      <c r="C40">
        <v>7</v>
      </c>
      <c r="F40">
        <v>17</v>
      </c>
      <c r="G40">
        <v>7</v>
      </c>
    </row>
    <row r="41" spans="1:7" x14ac:dyDescent="0.3">
      <c r="A41" s="7" t="s">
        <v>114</v>
      </c>
      <c r="B41">
        <v>15</v>
      </c>
      <c r="C41">
        <v>11</v>
      </c>
      <c r="F41">
        <v>15</v>
      </c>
      <c r="G41">
        <v>11</v>
      </c>
    </row>
    <row r="42" spans="1:7" x14ac:dyDescent="0.3">
      <c r="A42" s="7" t="s">
        <v>121</v>
      </c>
      <c r="B42">
        <v>18</v>
      </c>
      <c r="C42">
        <v>13</v>
      </c>
      <c r="F42">
        <v>18</v>
      </c>
      <c r="G42">
        <v>13</v>
      </c>
    </row>
    <row r="43" spans="1:7" x14ac:dyDescent="0.3">
      <c r="A43" s="7" t="s">
        <v>123</v>
      </c>
      <c r="B43">
        <v>16</v>
      </c>
      <c r="C43">
        <v>12</v>
      </c>
      <c r="F43">
        <v>16</v>
      </c>
      <c r="G43">
        <v>12</v>
      </c>
    </row>
    <row r="44" spans="1:7" x14ac:dyDescent="0.3">
      <c r="A44" s="7" t="s">
        <v>127</v>
      </c>
      <c r="B44">
        <v>19</v>
      </c>
      <c r="C44">
        <v>15</v>
      </c>
      <c r="F44">
        <v>19</v>
      </c>
      <c r="G44">
        <v>15</v>
      </c>
    </row>
    <row r="45" spans="1:7" x14ac:dyDescent="0.3">
      <c r="A45" s="7" t="s">
        <v>129</v>
      </c>
      <c r="B45">
        <v>15</v>
      </c>
      <c r="C45">
        <v>8</v>
      </c>
      <c r="F45">
        <v>15</v>
      </c>
      <c r="G45">
        <v>8</v>
      </c>
    </row>
    <row r="46" spans="1:7" x14ac:dyDescent="0.3">
      <c r="A46" s="7" t="s">
        <v>130</v>
      </c>
      <c r="B46">
        <v>26</v>
      </c>
      <c r="C46">
        <v>10</v>
      </c>
      <c r="F46">
        <v>26</v>
      </c>
      <c r="G46">
        <v>10</v>
      </c>
    </row>
    <row r="47" spans="1:7" x14ac:dyDescent="0.3">
      <c r="A47" s="7" t="s">
        <v>134</v>
      </c>
      <c r="B47">
        <v>21</v>
      </c>
      <c r="C47">
        <v>8</v>
      </c>
      <c r="F47">
        <v>21</v>
      </c>
      <c r="G47">
        <v>8</v>
      </c>
    </row>
    <row r="48" spans="1:7" x14ac:dyDescent="0.3">
      <c r="A48" s="7" t="s">
        <v>136</v>
      </c>
      <c r="B48">
        <v>9</v>
      </c>
      <c r="C48">
        <v>8</v>
      </c>
      <c r="F48">
        <v>9</v>
      </c>
      <c r="G48">
        <v>8</v>
      </c>
    </row>
    <row r="49" spans="1:7" x14ac:dyDescent="0.3">
      <c r="A49" s="7" t="s">
        <v>137</v>
      </c>
      <c r="B49">
        <v>8</v>
      </c>
      <c r="C49">
        <v>6</v>
      </c>
      <c r="F49">
        <v>8</v>
      </c>
      <c r="G49">
        <v>6</v>
      </c>
    </row>
    <row r="50" spans="1:7" x14ac:dyDescent="0.3">
      <c r="A50" s="7" t="s">
        <v>138</v>
      </c>
      <c r="B50">
        <v>25</v>
      </c>
      <c r="C50">
        <v>10</v>
      </c>
      <c r="F50">
        <v>25</v>
      </c>
      <c r="G50">
        <v>10</v>
      </c>
    </row>
    <row r="51" spans="1:7" x14ac:dyDescent="0.3">
      <c r="A51" s="7" t="s">
        <v>139</v>
      </c>
      <c r="B51">
        <v>16</v>
      </c>
      <c r="C51">
        <v>5</v>
      </c>
      <c r="F51">
        <v>16</v>
      </c>
      <c r="G51">
        <v>5</v>
      </c>
    </row>
    <row r="52" spans="1:7" x14ac:dyDescent="0.3">
      <c r="A52" s="7" t="s">
        <v>140</v>
      </c>
      <c r="B52">
        <v>18</v>
      </c>
      <c r="C52">
        <v>12</v>
      </c>
      <c r="F52">
        <v>18</v>
      </c>
      <c r="G52">
        <v>12</v>
      </c>
    </row>
    <row r="53" spans="1:7" x14ac:dyDescent="0.3">
      <c r="A53" s="7" t="s">
        <v>142</v>
      </c>
      <c r="B53">
        <v>21</v>
      </c>
      <c r="C53">
        <v>13</v>
      </c>
      <c r="F53">
        <v>21</v>
      </c>
      <c r="G53">
        <v>13</v>
      </c>
    </row>
    <row r="54" spans="1:7" x14ac:dyDescent="0.3">
      <c r="A54" s="7" t="s">
        <v>144</v>
      </c>
      <c r="B54">
        <v>13</v>
      </c>
      <c r="C54">
        <v>10</v>
      </c>
      <c r="F54">
        <v>13</v>
      </c>
      <c r="G54">
        <v>10</v>
      </c>
    </row>
    <row r="55" spans="1:7" x14ac:dyDescent="0.3">
      <c r="A55" s="7" t="s">
        <v>145</v>
      </c>
      <c r="B55">
        <v>18</v>
      </c>
      <c r="C55">
        <v>10</v>
      </c>
      <c r="F55">
        <v>18</v>
      </c>
      <c r="G55">
        <v>10</v>
      </c>
    </row>
    <row r="56" spans="1:7" x14ac:dyDescent="0.3">
      <c r="A56" s="7" t="s">
        <v>146</v>
      </c>
      <c r="B56">
        <v>18</v>
      </c>
      <c r="C56">
        <v>7</v>
      </c>
      <c r="F56">
        <v>18</v>
      </c>
      <c r="G56">
        <v>7</v>
      </c>
    </row>
    <row r="57" spans="1:7" x14ac:dyDescent="0.3">
      <c r="A57" s="7" t="s">
        <v>147</v>
      </c>
      <c r="B57">
        <v>23</v>
      </c>
      <c r="C57">
        <v>17</v>
      </c>
      <c r="F57">
        <v>23</v>
      </c>
      <c r="G57">
        <v>17</v>
      </c>
    </row>
    <row r="58" spans="1:7" x14ac:dyDescent="0.3">
      <c r="A58" s="7" t="s">
        <v>150</v>
      </c>
      <c r="B58">
        <v>17</v>
      </c>
      <c r="C58">
        <v>11</v>
      </c>
      <c r="F58">
        <v>17</v>
      </c>
      <c r="G58">
        <v>11</v>
      </c>
    </row>
    <row r="59" spans="1:7" x14ac:dyDescent="0.3">
      <c r="A59" s="7" t="s">
        <v>152</v>
      </c>
      <c r="B59">
        <v>17</v>
      </c>
      <c r="C59">
        <v>14</v>
      </c>
      <c r="F59">
        <v>17</v>
      </c>
      <c r="G59">
        <v>14</v>
      </c>
    </row>
    <row r="60" spans="1:7" x14ac:dyDescent="0.3">
      <c r="A60" s="7" t="s">
        <v>154</v>
      </c>
      <c r="B60">
        <v>16</v>
      </c>
      <c r="C60">
        <v>12</v>
      </c>
      <c r="F60">
        <v>16</v>
      </c>
      <c r="G60">
        <v>12</v>
      </c>
    </row>
    <row r="61" spans="1:7" x14ac:dyDescent="0.3">
      <c r="A61" s="7" t="s">
        <v>155</v>
      </c>
      <c r="B61">
        <v>16</v>
      </c>
      <c r="C61">
        <v>9</v>
      </c>
      <c r="F61">
        <v>16</v>
      </c>
      <c r="G61">
        <v>9</v>
      </c>
    </row>
    <row r="62" spans="1:7" x14ac:dyDescent="0.3">
      <c r="A62" s="7" t="s">
        <v>156</v>
      </c>
      <c r="B62">
        <v>19</v>
      </c>
      <c r="C62">
        <v>12</v>
      </c>
      <c r="F62">
        <v>19</v>
      </c>
      <c r="G62">
        <v>12</v>
      </c>
    </row>
    <row r="63" spans="1:7" x14ac:dyDescent="0.3">
      <c r="A63" s="7" t="s">
        <v>158</v>
      </c>
      <c r="B63">
        <v>21</v>
      </c>
      <c r="C63">
        <v>7</v>
      </c>
      <c r="F63">
        <v>21</v>
      </c>
      <c r="G63">
        <v>7</v>
      </c>
    </row>
    <row r="64" spans="1:7" x14ac:dyDescent="0.3">
      <c r="A64" s="7" t="s">
        <v>159</v>
      </c>
      <c r="B64">
        <v>16</v>
      </c>
      <c r="C64">
        <v>7</v>
      </c>
      <c r="F64">
        <v>16</v>
      </c>
      <c r="G64">
        <v>7</v>
      </c>
    </row>
    <row r="65" spans="1:7" x14ac:dyDescent="0.3">
      <c r="A65" s="7" t="s">
        <v>161</v>
      </c>
      <c r="B65">
        <v>20</v>
      </c>
      <c r="C65">
        <v>11</v>
      </c>
      <c r="F65">
        <v>20</v>
      </c>
      <c r="G65">
        <v>11</v>
      </c>
    </row>
    <row r="66" spans="1:7" x14ac:dyDescent="0.3">
      <c r="A66" s="7" t="s">
        <v>164</v>
      </c>
      <c r="B66">
        <v>12</v>
      </c>
      <c r="C66">
        <v>10</v>
      </c>
      <c r="F66">
        <v>12</v>
      </c>
      <c r="G66">
        <v>10</v>
      </c>
    </row>
    <row r="67" spans="1:7" x14ac:dyDescent="0.3">
      <c r="A67" s="7" t="s">
        <v>165</v>
      </c>
      <c r="B67">
        <v>18</v>
      </c>
      <c r="C67">
        <v>13</v>
      </c>
      <c r="F67">
        <v>18</v>
      </c>
      <c r="G67">
        <v>13</v>
      </c>
    </row>
    <row r="68" spans="1:7" x14ac:dyDescent="0.3">
      <c r="A68" s="7" t="s">
        <v>168</v>
      </c>
      <c r="B68">
        <v>8</v>
      </c>
      <c r="C68">
        <v>4</v>
      </c>
      <c r="F68">
        <v>8</v>
      </c>
      <c r="G68">
        <v>4</v>
      </c>
    </row>
    <row r="69" spans="1:7" x14ac:dyDescent="0.3">
      <c r="A69" s="7" t="s">
        <v>169</v>
      </c>
      <c r="B69">
        <v>10</v>
      </c>
      <c r="C69">
        <v>9</v>
      </c>
      <c r="F69">
        <v>10</v>
      </c>
      <c r="G69">
        <v>9</v>
      </c>
    </row>
    <row r="70" spans="1:7" x14ac:dyDescent="0.3">
      <c r="A70" s="7" t="s">
        <v>170</v>
      </c>
      <c r="B70">
        <v>36</v>
      </c>
      <c r="C70">
        <v>10</v>
      </c>
      <c r="F70">
        <v>36</v>
      </c>
      <c r="G70">
        <v>10</v>
      </c>
    </row>
    <row r="71" spans="1:7" x14ac:dyDescent="0.3">
      <c r="A71" s="7" t="s">
        <v>174</v>
      </c>
      <c r="B71">
        <v>16</v>
      </c>
      <c r="C71">
        <v>10</v>
      </c>
      <c r="F71">
        <v>16</v>
      </c>
      <c r="G71">
        <v>10</v>
      </c>
    </row>
    <row r="72" spans="1:7" x14ac:dyDescent="0.3">
      <c r="A72" s="7" t="s">
        <v>176</v>
      </c>
      <c r="B72">
        <v>15</v>
      </c>
      <c r="C72">
        <v>8</v>
      </c>
      <c r="F72">
        <v>15</v>
      </c>
      <c r="G72">
        <v>8</v>
      </c>
    </row>
    <row r="73" spans="1:7" x14ac:dyDescent="0.3">
      <c r="A73" s="7" t="s">
        <v>177</v>
      </c>
      <c r="B73">
        <v>35</v>
      </c>
      <c r="C73">
        <v>18</v>
      </c>
      <c r="F73">
        <v>35</v>
      </c>
      <c r="G73">
        <v>18</v>
      </c>
    </row>
    <row r="74" spans="1:7" x14ac:dyDescent="0.3">
      <c r="A74" s="7" t="s">
        <v>180</v>
      </c>
      <c r="B74">
        <v>12</v>
      </c>
      <c r="C74">
        <v>10</v>
      </c>
      <c r="F74">
        <v>12</v>
      </c>
      <c r="G74">
        <v>10</v>
      </c>
    </row>
    <row r="75" spans="1:7" x14ac:dyDescent="0.3">
      <c r="A75" s="7" t="s">
        <v>181</v>
      </c>
      <c r="B75">
        <v>15</v>
      </c>
      <c r="C75">
        <v>13</v>
      </c>
      <c r="F75">
        <v>15</v>
      </c>
      <c r="G75">
        <v>13</v>
      </c>
    </row>
    <row r="76" spans="1:7" x14ac:dyDescent="0.3">
      <c r="A76" s="7" t="s">
        <v>190</v>
      </c>
      <c r="B76">
        <v>1314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principal</vt:lpstr>
      <vt:lpstr>principal (2)</vt:lpstr>
      <vt:lpstr>Planilha4</vt:lpstr>
      <vt:lpstr>Planilha3</vt:lpstr>
      <vt:lpstr>obs</vt:lpstr>
      <vt:lpstr>stem</vt:lpstr>
      <vt:lpstr>dom_todos</vt:lpstr>
      <vt:lpstr>regua_dom</vt:lpstr>
      <vt:lpstr>ML_dom</vt:lpstr>
      <vt:lpstr>Planilha2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Laíla Arnauth</dc:creator>
  <cp:keywords/>
  <dc:description/>
  <cp:lastModifiedBy>Laíla Arnauth</cp:lastModifiedBy>
  <cp:revision/>
  <dcterms:created xsi:type="dcterms:W3CDTF">2024-08-26T14:36:02Z</dcterms:created>
  <dcterms:modified xsi:type="dcterms:W3CDTF">2026-03-17T23:29:51Z</dcterms:modified>
  <cp:category/>
  <cp:contentStatus/>
</cp:coreProperties>
</file>