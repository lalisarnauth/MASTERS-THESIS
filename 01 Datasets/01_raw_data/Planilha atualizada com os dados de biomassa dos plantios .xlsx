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428c9836ae0a494/Documentos/01 Masters_LA/00 MASTERS-DATA/01 Datasets/01_raw_data/"/>
    </mc:Choice>
  </mc:AlternateContent>
  <xr:revisionPtr revIDLastSave="14" documentId="11_DE77CF2BED9B67D4D0ADF108C05ED25C73B41985" xr6:coauthVersionLast="47" xr6:coauthVersionMax="47" xr10:uidLastSave="{B588C198-553C-46C6-AFA6-46BADB22A1CB}"/>
  <bookViews>
    <workbookView xWindow="-19320" yWindow="-4140" windowWidth="19440" windowHeight="15600" firstSheet="4" activeTab="8" xr2:uid="{00000000-000D-0000-FFFF-FFFF00000000}"/>
  </bookViews>
  <sheets>
    <sheet name="Monitoramento CSA 2022" sheetId="1" r:id="rId1"/>
    <sheet name="Resende-Sao Jorge" sheetId="2" r:id="rId2"/>
    <sheet name="Resende-Santa Helena" sheetId="3" r:id="rId3"/>
    <sheet name="Monitoramento Miguel Pereira 22" sheetId="4" r:id="rId4"/>
    <sheet name="Regua (BP)" sheetId="5" r:id="rId5"/>
    <sheet name="Regua PAI VEIO 4" sheetId="6" r:id="rId6"/>
    <sheet name="Área 1- EEG" sheetId="7" r:id="rId7"/>
    <sheet name="Área 2- EEG" sheetId="8" r:id="rId8"/>
    <sheet name="Área 3- EEG" sheetId="9" r:id="rId9"/>
    <sheet name="Área 4-EEG" sheetId="10" r:id="rId10"/>
    <sheet name="Área 5- EEG" sheetId="11" r:id="rId11"/>
    <sheet name="Biomassa CSA" sheetId="12" r:id="rId12"/>
    <sheet name="Biomassa Miguel Pereira" sheetId="13" r:id="rId13"/>
    <sheet name="Biomassa Resende-Sao Jorge" sheetId="14" r:id="rId14"/>
    <sheet name="Biomassa Resende-Santa Helena " sheetId="15" r:id="rId15"/>
    <sheet name="Biomassa regua" sheetId="16" r:id="rId16"/>
  </sheets>
  <definedNames>
    <definedName name="_xlnm._FilterDatabase" localSheetId="6" hidden="1">'Área 1- EEG'!$A$3:$K$96</definedName>
    <definedName name="_xlnm._FilterDatabase" localSheetId="7" hidden="1">'Área 2- EEG'!$A$3:$K$95</definedName>
    <definedName name="_xlnm._FilterDatabase" localSheetId="8" hidden="1">'Área 3- EEG'!$A$3:$K$100</definedName>
    <definedName name="_xlnm._FilterDatabase" localSheetId="9" hidden="1">'Área 4-EEG'!$A$3:$K$93</definedName>
    <definedName name="_xlnm._FilterDatabase" localSheetId="10" hidden="1">'Área 5- EEG'!$A$3:$K$86</definedName>
    <definedName name="_xlnm._FilterDatabase" localSheetId="11" hidden="1">'Biomassa CSA'!$C$4:$J$9</definedName>
    <definedName name="_xlnm._FilterDatabase" localSheetId="15" hidden="1">'Biomassa regua'!$B$3:$G$9</definedName>
    <definedName name="_xlnm._FilterDatabase" localSheetId="14" hidden="1">'Biomassa Resende-Santa Helena '!$C$5:$J$10</definedName>
    <definedName name="_xlnm._FilterDatabase" localSheetId="0" hidden="1">'Monitoramento CSA 2022'!$A$3:$I$3</definedName>
    <definedName name="_xlnm._FilterDatabase" localSheetId="3" hidden="1">'Monitoramento Miguel Pereira 22'!$A$3:$H$116</definedName>
    <definedName name="_xlnm._FilterDatabase" localSheetId="4" hidden="1">'Regua (BP)'!$A$3:$I$156</definedName>
    <definedName name="_xlnm._FilterDatabase" localSheetId="5" hidden="1">'Regua PAI VEIO 4'!$A$3:$J$3</definedName>
    <definedName name="_xlnm._FilterDatabase" localSheetId="2" hidden="1">'Resende-Santa Helena'!$A$3:$H$116</definedName>
    <definedName name="_xlnm._FilterDatabase" localSheetId="1" hidden="1">'Resende-Sao Jorge'!$A$3:$J$102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qWPp1sfjgao5BZnmU9nLq9QzNu1s2jDgMIZh8/P1HEU="/>
    </ext>
  </extLst>
</workbook>
</file>

<file path=xl/calcChain.xml><?xml version="1.0" encoding="utf-8"?>
<calcChain xmlns="http://schemas.openxmlformats.org/spreadsheetml/2006/main">
  <c r="E65" i="8" l="1"/>
  <c r="F18" i="7"/>
  <c r="E19" i="7"/>
  <c r="E14" i="7"/>
  <c r="E21" i="3"/>
  <c r="H9" i="16" l="1"/>
  <c r="I9" i="16" s="1"/>
  <c r="H7" i="16"/>
  <c r="I7" i="16" s="1"/>
  <c r="H6" i="16"/>
  <c r="I6" i="16" s="1"/>
  <c r="H5" i="16"/>
  <c r="I5" i="16" s="1"/>
  <c r="H4" i="16"/>
  <c r="I4" i="16" s="1"/>
  <c r="I16" i="15"/>
  <c r="H15" i="15"/>
  <c r="I15" i="15" s="1"/>
  <c r="J10" i="15"/>
  <c r="J9" i="15"/>
  <c r="J8" i="15"/>
  <c r="I7" i="15"/>
  <c r="J7" i="15" s="1"/>
  <c r="I6" i="15"/>
  <c r="J6" i="15" s="1"/>
  <c r="I9" i="14"/>
  <c r="H8" i="14"/>
  <c r="I8" i="14" s="1"/>
  <c r="I7" i="14"/>
  <c r="H7" i="14"/>
  <c r="H6" i="14"/>
  <c r="I6" i="14" s="1"/>
  <c r="I5" i="14"/>
  <c r="H8" i="13"/>
  <c r="I8" i="13" s="1"/>
  <c r="I7" i="13"/>
  <c r="H7" i="13"/>
  <c r="H6" i="13"/>
  <c r="I6" i="13" s="1"/>
  <c r="H5" i="13"/>
  <c r="I5" i="13" s="1"/>
  <c r="H4" i="13"/>
  <c r="I4" i="13" s="1"/>
  <c r="J9" i="12"/>
  <c r="J8" i="12"/>
  <c r="J7" i="12"/>
  <c r="J6" i="12"/>
  <c r="J5" i="12"/>
  <c r="I5" i="12"/>
  <c r="F58" i="11"/>
  <c r="F6" i="11"/>
  <c r="J6" i="11" s="1"/>
  <c r="F4" i="11"/>
  <c r="K4" i="11" s="1"/>
  <c r="F71" i="11"/>
  <c r="K71" i="11" s="1"/>
  <c r="F70" i="11"/>
  <c r="F52" i="11"/>
  <c r="J52" i="11" s="1"/>
  <c r="E51" i="11"/>
  <c r="F51" i="11" s="1"/>
  <c r="J51" i="11" s="1"/>
  <c r="F36" i="11"/>
  <c r="K36" i="11" s="1"/>
  <c r="K69" i="11"/>
  <c r="J69" i="11"/>
  <c r="F69" i="11"/>
  <c r="F68" i="11"/>
  <c r="F67" i="11"/>
  <c r="J67" i="11" s="1"/>
  <c r="F66" i="11"/>
  <c r="K66" i="11" s="1"/>
  <c r="F65" i="11"/>
  <c r="K65" i="11" s="1"/>
  <c r="F49" i="11"/>
  <c r="E31" i="11"/>
  <c r="F31" i="11" s="1"/>
  <c r="I48" i="11"/>
  <c r="E48" i="11"/>
  <c r="F48" i="11" s="1"/>
  <c r="J48" i="11" s="1"/>
  <c r="I60" i="11"/>
  <c r="F60" i="11"/>
  <c r="J60" i="11" s="1"/>
  <c r="I59" i="11"/>
  <c r="E59" i="11"/>
  <c r="F59" i="11" s="1"/>
  <c r="J59" i="11" s="1"/>
  <c r="F62" i="11"/>
  <c r="K62" i="11" s="1"/>
  <c r="E62" i="11"/>
  <c r="F61" i="11"/>
  <c r="J61" i="11" s="1"/>
  <c r="E43" i="11"/>
  <c r="F43" i="11" s="1"/>
  <c r="F7" i="11"/>
  <c r="I75" i="11"/>
  <c r="E75" i="11"/>
  <c r="F75" i="11" s="1"/>
  <c r="J75" i="11" s="1"/>
  <c r="I74" i="11"/>
  <c r="E74" i="11"/>
  <c r="F74" i="11" s="1"/>
  <c r="J74" i="11" s="1"/>
  <c r="I85" i="11"/>
  <c r="F85" i="11"/>
  <c r="J85" i="11" s="1"/>
  <c r="I50" i="11"/>
  <c r="F50" i="11"/>
  <c r="I34" i="11"/>
  <c r="E34" i="11"/>
  <c r="F34" i="11" s="1"/>
  <c r="J34" i="11" s="1"/>
  <c r="I33" i="11"/>
  <c r="K33" i="11" s="1"/>
  <c r="F33" i="11"/>
  <c r="J33" i="11" s="1"/>
  <c r="I32" i="11"/>
  <c r="F32" i="11"/>
  <c r="I16" i="11"/>
  <c r="F16" i="11"/>
  <c r="J16" i="11" s="1"/>
  <c r="K15" i="11"/>
  <c r="E15" i="11"/>
  <c r="F15" i="11" s="1"/>
  <c r="J15" i="11" s="1"/>
  <c r="I25" i="11"/>
  <c r="E25" i="11"/>
  <c r="F25" i="11" s="1"/>
  <c r="J25" i="11" s="1"/>
  <c r="I24" i="11"/>
  <c r="F24" i="11"/>
  <c r="J24" i="11" s="1"/>
  <c r="E24" i="11"/>
  <c r="I23" i="11"/>
  <c r="F23" i="11"/>
  <c r="J23" i="11" s="1"/>
  <c r="E23" i="11"/>
  <c r="I22" i="11"/>
  <c r="E22" i="11"/>
  <c r="F22" i="11" s="1"/>
  <c r="K22" i="11" s="1"/>
  <c r="I21" i="11"/>
  <c r="E21" i="11"/>
  <c r="F21" i="11" s="1"/>
  <c r="I9" i="11"/>
  <c r="F9" i="11"/>
  <c r="J9" i="11" s="1"/>
  <c r="E9" i="11"/>
  <c r="F86" i="11"/>
  <c r="E35" i="11"/>
  <c r="F35" i="11" s="1"/>
  <c r="I72" i="11"/>
  <c r="F72" i="11"/>
  <c r="J72" i="11" s="1"/>
  <c r="I42" i="11"/>
  <c r="F42" i="11"/>
  <c r="J42" i="11" s="1"/>
  <c r="I19" i="11"/>
  <c r="F19" i="11"/>
  <c r="J19" i="11" s="1"/>
  <c r="F82" i="11"/>
  <c r="J82" i="11" s="1"/>
  <c r="E81" i="11"/>
  <c r="F81" i="11" s="1"/>
  <c r="J81" i="11" s="1"/>
  <c r="E80" i="11"/>
  <c r="F80" i="11" s="1"/>
  <c r="J80" i="11" s="1"/>
  <c r="E79" i="11"/>
  <c r="F79" i="11" s="1"/>
  <c r="J79" i="11" s="1"/>
  <c r="E78" i="11"/>
  <c r="F78" i="11" s="1"/>
  <c r="J78" i="11" s="1"/>
  <c r="K77" i="11"/>
  <c r="J77" i="11"/>
  <c r="F77" i="11"/>
  <c r="E76" i="11"/>
  <c r="F76" i="11" s="1"/>
  <c r="F63" i="11"/>
  <c r="K63" i="11" s="1"/>
  <c r="F47" i="11"/>
  <c r="E47" i="11"/>
  <c r="E46" i="11"/>
  <c r="F46" i="11" s="1"/>
  <c r="F45" i="11"/>
  <c r="F27" i="11"/>
  <c r="J27" i="11" s="1"/>
  <c r="F26" i="11"/>
  <c r="K26" i="11" s="1"/>
  <c r="E10" i="11"/>
  <c r="F10" i="11" s="1"/>
  <c r="J10" i="11" s="1"/>
  <c r="I73" i="11"/>
  <c r="F73" i="11"/>
  <c r="J73" i="11" s="1"/>
  <c r="F44" i="11"/>
  <c r="K44" i="11" s="1"/>
  <c r="E44" i="11"/>
  <c r="E20" i="11"/>
  <c r="F20" i="11" s="1"/>
  <c r="K20" i="11" s="1"/>
  <c r="E8" i="11"/>
  <c r="F8" i="11" s="1"/>
  <c r="K8" i="11" s="1"/>
  <c r="F84" i="11"/>
  <c r="K84" i="11" s="1"/>
  <c r="F83" i="11"/>
  <c r="E64" i="11"/>
  <c r="F64" i="11" s="1"/>
  <c r="F30" i="11"/>
  <c r="J30" i="11" s="1"/>
  <c r="E29" i="11"/>
  <c r="F29" i="11" s="1"/>
  <c r="J29" i="11" s="1"/>
  <c r="E28" i="11"/>
  <c r="F28" i="11" s="1"/>
  <c r="J28" i="11" s="1"/>
  <c r="E14" i="11"/>
  <c r="F14" i="11" s="1"/>
  <c r="J14" i="11" s="1"/>
  <c r="I56" i="11"/>
  <c r="E56" i="11"/>
  <c r="F56" i="11" s="1"/>
  <c r="I55" i="11"/>
  <c r="F55" i="11"/>
  <c r="J55" i="11" s="1"/>
  <c r="I54" i="11"/>
  <c r="F54" i="11"/>
  <c r="J54" i="11" s="1"/>
  <c r="I53" i="11"/>
  <c r="E53" i="11"/>
  <c r="F53" i="11" s="1"/>
  <c r="J53" i="11" s="1"/>
  <c r="I39" i="11"/>
  <c r="E39" i="11"/>
  <c r="F39" i="11" s="1"/>
  <c r="J39" i="11" s="1"/>
  <c r="I38" i="11"/>
  <c r="E38" i="11"/>
  <c r="F38" i="11" s="1"/>
  <c r="J38" i="11" s="1"/>
  <c r="I37" i="11"/>
  <c r="E37" i="11"/>
  <c r="F37" i="11" s="1"/>
  <c r="J37" i="11" s="1"/>
  <c r="F13" i="11"/>
  <c r="J13" i="11" s="1"/>
  <c r="E12" i="11"/>
  <c r="F12" i="11" s="1"/>
  <c r="J12" i="11" s="1"/>
  <c r="E11" i="11"/>
  <c r="F11" i="11" s="1"/>
  <c r="K11" i="11" s="1"/>
  <c r="E40" i="11"/>
  <c r="F40" i="11" s="1"/>
  <c r="J40" i="11" s="1"/>
  <c r="F57" i="11"/>
  <c r="K57" i="11" s="1"/>
  <c r="F41" i="11"/>
  <c r="K41" i="11" s="1"/>
  <c r="E18" i="11"/>
  <c r="F18" i="11" s="1"/>
  <c r="E17" i="11"/>
  <c r="F17" i="11" s="1"/>
  <c r="F5" i="11"/>
  <c r="E5" i="11"/>
  <c r="I40" i="10"/>
  <c r="F40" i="10"/>
  <c r="J40" i="10" s="1"/>
  <c r="I22" i="10"/>
  <c r="E22" i="10"/>
  <c r="F22" i="10" s="1"/>
  <c r="J22" i="10" s="1"/>
  <c r="I21" i="10"/>
  <c r="E21" i="10"/>
  <c r="F21" i="10" s="1"/>
  <c r="K21" i="10" s="1"/>
  <c r="I79" i="10"/>
  <c r="E79" i="10"/>
  <c r="F79" i="10" s="1"/>
  <c r="I32" i="10"/>
  <c r="F32" i="10"/>
  <c r="J32" i="10" s="1"/>
  <c r="F24" i="10"/>
  <c r="J24" i="10" s="1"/>
  <c r="E23" i="10"/>
  <c r="F23" i="10" s="1"/>
  <c r="J23" i="10" s="1"/>
  <c r="E5" i="10"/>
  <c r="F5" i="10" s="1"/>
  <c r="J5" i="10" s="1"/>
  <c r="F4" i="10"/>
  <c r="J4" i="10" s="1"/>
  <c r="I92" i="10"/>
  <c r="F92" i="10"/>
  <c r="J92" i="10" s="1"/>
  <c r="J91" i="10"/>
  <c r="I91" i="10"/>
  <c r="F91" i="10"/>
  <c r="K91" i="10" s="1"/>
  <c r="I90" i="10"/>
  <c r="F90" i="10"/>
  <c r="J90" i="10" s="1"/>
  <c r="I89" i="10"/>
  <c r="E89" i="10"/>
  <c r="F89" i="10" s="1"/>
  <c r="I78" i="10"/>
  <c r="F78" i="10"/>
  <c r="K78" i="10" s="1"/>
  <c r="I75" i="10"/>
  <c r="F75" i="10"/>
  <c r="J75" i="10" s="1"/>
  <c r="I74" i="10"/>
  <c r="F74" i="10"/>
  <c r="K74" i="10" s="1"/>
  <c r="I61" i="10"/>
  <c r="F61" i="10"/>
  <c r="J61" i="10" s="1"/>
  <c r="I60" i="10"/>
  <c r="F60" i="10"/>
  <c r="K60" i="10" s="1"/>
  <c r="I51" i="10"/>
  <c r="F51" i="10"/>
  <c r="J51" i="10" s="1"/>
  <c r="I50" i="10"/>
  <c r="F50" i="10"/>
  <c r="K50" i="10" s="1"/>
  <c r="I38" i="10"/>
  <c r="H38" i="10"/>
  <c r="E38" i="10"/>
  <c r="F38" i="10" s="1"/>
  <c r="I37" i="10"/>
  <c r="H37" i="10"/>
  <c r="E37" i="10"/>
  <c r="F37" i="10" s="1"/>
  <c r="J37" i="10" s="1"/>
  <c r="I15" i="10"/>
  <c r="E15" i="10"/>
  <c r="F15" i="10" s="1"/>
  <c r="J15" i="10" s="1"/>
  <c r="I48" i="10"/>
  <c r="E48" i="10"/>
  <c r="F48" i="10" s="1"/>
  <c r="J48" i="10" s="1"/>
  <c r="I47" i="10"/>
  <c r="F47" i="10"/>
  <c r="J47" i="10" s="1"/>
  <c r="I46" i="10"/>
  <c r="E46" i="10"/>
  <c r="F46" i="10" s="1"/>
  <c r="J46" i="10" s="1"/>
  <c r="I45" i="10"/>
  <c r="F45" i="10"/>
  <c r="K45" i="10" s="1"/>
  <c r="I44" i="10"/>
  <c r="F44" i="10"/>
  <c r="J44" i="10" s="1"/>
  <c r="I31" i="10"/>
  <c r="F31" i="10"/>
  <c r="E39" i="10"/>
  <c r="F39" i="10" s="1"/>
  <c r="K39" i="10" s="1"/>
  <c r="I43" i="10"/>
  <c r="F43" i="10"/>
  <c r="K43" i="10" s="1"/>
  <c r="I54" i="10"/>
  <c r="F54" i="10"/>
  <c r="J54" i="10" s="1"/>
  <c r="I53" i="10"/>
  <c r="F53" i="10"/>
  <c r="I52" i="10"/>
  <c r="F52" i="10"/>
  <c r="J52" i="10" s="1"/>
  <c r="I83" i="10"/>
  <c r="E83" i="10"/>
  <c r="F83" i="10" s="1"/>
  <c r="K83" i="10" s="1"/>
  <c r="I82" i="10"/>
  <c r="E82" i="10"/>
  <c r="F82" i="10" s="1"/>
  <c r="I70" i="10"/>
  <c r="E70" i="10"/>
  <c r="F70" i="10" s="1"/>
  <c r="J70" i="10" s="1"/>
  <c r="I69" i="10"/>
  <c r="E69" i="10"/>
  <c r="F69" i="10" s="1"/>
  <c r="J69" i="10" s="1"/>
  <c r="I68" i="10"/>
  <c r="E68" i="10"/>
  <c r="F68" i="10" s="1"/>
  <c r="J68" i="10" s="1"/>
  <c r="I67" i="10"/>
  <c r="K67" i="10" s="1"/>
  <c r="E67" i="10"/>
  <c r="F67" i="10" s="1"/>
  <c r="J67" i="10" s="1"/>
  <c r="F93" i="10"/>
  <c r="J93" i="10" s="1"/>
  <c r="F77" i="10"/>
  <c r="J77" i="10" s="1"/>
  <c r="E42" i="10"/>
  <c r="F42" i="10" s="1"/>
  <c r="K42" i="10" s="1"/>
  <c r="E41" i="10"/>
  <c r="F41" i="10" s="1"/>
  <c r="K41" i="10" s="1"/>
  <c r="E76" i="10"/>
  <c r="F76" i="10" s="1"/>
  <c r="K76" i="10" s="1"/>
  <c r="E59" i="10"/>
  <c r="F59" i="10" s="1"/>
  <c r="K59" i="10" s="1"/>
  <c r="E58" i="10"/>
  <c r="F58" i="10" s="1"/>
  <c r="K58" i="10" s="1"/>
  <c r="E57" i="10"/>
  <c r="F57" i="10" s="1"/>
  <c r="K57" i="10" s="1"/>
  <c r="F56" i="10"/>
  <c r="K56" i="10" s="1"/>
  <c r="E56" i="10"/>
  <c r="E55" i="10"/>
  <c r="F55" i="10" s="1"/>
  <c r="K55" i="10" s="1"/>
  <c r="F36" i="10"/>
  <c r="K36" i="10" s="1"/>
  <c r="F20" i="10"/>
  <c r="F19" i="10"/>
  <c r="J19" i="10" s="1"/>
  <c r="F18" i="10"/>
  <c r="J18" i="10" s="1"/>
  <c r="F17" i="10"/>
  <c r="K17" i="10" s="1"/>
  <c r="I30" i="10"/>
  <c r="F30" i="10"/>
  <c r="J30" i="10" s="1"/>
  <c r="E30" i="10"/>
  <c r="I29" i="10"/>
  <c r="F29" i="10"/>
  <c r="I10" i="10"/>
  <c r="F10" i="10"/>
  <c r="J10" i="10" s="1"/>
  <c r="I9" i="10"/>
  <c r="F9" i="10"/>
  <c r="K9" i="10" s="1"/>
  <c r="I8" i="10"/>
  <c r="E8" i="10"/>
  <c r="F8" i="10" s="1"/>
  <c r="J8" i="10" s="1"/>
  <c r="F87" i="10"/>
  <c r="J87" i="10" s="1"/>
  <c r="F86" i="10"/>
  <c r="K86" i="10" s="1"/>
  <c r="E85" i="10"/>
  <c r="F85" i="10" s="1"/>
  <c r="F84" i="10"/>
  <c r="F73" i="10"/>
  <c r="J73" i="10" s="1"/>
  <c r="E72" i="10"/>
  <c r="F72" i="10" s="1"/>
  <c r="J72" i="10" s="1"/>
  <c r="F71" i="10"/>
  <c r="K71" i="10" s="1"/>
  <c r="E35" i="10"/>
  <c r="F35" i="10" s="1"/>
  <c r="K35" i="10" s="1"/>
  <c r="I33" i="10"/>
  <c r="F33" i="10"/>
  <c r="J33" i="10" s="1"/>
  <c r="I12" i="10"/>
  <c r="E12" i="10"/>
  <c r="F12" i="10" s="1"/>
  <c r="K12" i="10" s="1"/>
  <c r="I11" i="10"/>
  <c r="F11" i="10"/>
  <c r="F81" i="10"/>
  <c r="J81" i="10" s="1"/>
  <c r="F80" i="10"/>
  <c r="K80" i="10" s="1"/>
  <c r="E80" i="10"/>
  <c r="F66" i="10"/>
  <c r="K66" i="10" s="1"/>
  <c r="E65" i="10"/>
  <c r="F65" i="10" s="1"/>
  <c r="F64" i="10"/>
  <c r="F49" i="10"/>
  <c r="J49" i="10" s="1"/>
  <c r="F34" i="10"/>
  <c r="J34" i="10" s="1"/>
  <c r="F14" i="10"/>
  <c r="K14" i="10" s="1"/>
  <c r="F13" i="10"/>
  <c r="I63" i="10"/>
  <c r="F63" i="10"/>
  <c r="J63" i="10" s="1"/>
  <c r="F62" i="10"/>
  <c r="J62" i="10" s="1"/>
  <c r="F28" i="10"/>
  <c r="K28" i="10" s="1"/>
  <c r="F27" i="10"/>
  <c r="K27" i="10" s="1"/>
  <c r="E26" i="10"/>
  <c r="F26" i="10" s="1"/>
  <c r="F25" i="10"/>
  <c r="E7" i="10"/>
  <c r="F7" i="10" s="1"/>
  <c r="F6" i="10"/>
  <c r="J6" i="10" s="1"/>
  <c r="I88" i="10"/>
  <c r="F88" i="10"/>
  <c r="J88" i="10" s="1"/>
  <c r="I16" i="10"/>
  <c r="E16" i="10"/>
  <c r="F16" i="10" s="1"/>
  <c r="J16" i="10" s="1"/>
  <c r="I86" i="9"/>
  <c r="F86" i="9"/>
  <c r="J86" i="9" s="1"/>
  <c r="I85" i="9"/>
  <c r="F85" i="9"/>
  <c r="J85" i="9" s="1"/>
  <c r="I63" i="9"/>
  <c r="F63" i="9"/>
  <c r="J63" i="9" s="1"/>
  <c r="I62" i="9"/>
  <c r="E62" i="9"/>
  <c r="F62" i="9" s="1"/>
  <c r="J62" i="9" s="1"/>
  <c r="I36" i="9"/>
  <c r="F36" i="9"/>
  <c r="J36" i="9" s="1"/>
  <c r="I25" i="9"/>
  <c r="E25" i="9"/>
  <c r="F25" i="9" s="1"/>
  <c r="J25" i="9" s="1"/>
  <c r="I70" i="9"/>
  <c r="E70" i="9"/>
  <c r="F70" i="9" s="1"/>
  <c r="J70" i="9" s="1"/>
  <c r="I66" i="9"/>
  <c r="E66" i="9"/>
  <c r="F66" i="9" s="1"/>
  <c r="J66" i="9" s="1"/>
  <c r="I65" i="9"/>
  <c r="F65" i="9"/>
  <c r="J65" i="9" s="1"/>
  <c r="I38" i="9"/>
  <c r="F38" i="9"/>
  <c r="J38" i="9" s="1"/>
  <c r="I37" i="9"/>
  <c r="F37" i="9"/>
  <c r="J37" i="9" s="1"/>
  <c r="I28" i="9"/>
  <c r="F28" i="9"/>
  <c r="J28" i="9" s="1"/>
  <c r="I27" i="9"/>
  <c r="F27" i="9"/>
  <c r="J27" i="9" s="1"/>
  <c r="I26" i="9"/>
  <c r="F26" i="9"/>
  <c r="J26" i="9" s="1"/>
  <c r="I6" i="9"/>
  <c r="F6" i="9"/>
  <c r="J6" i="9" s="1"/>
  <c r="I5" i="9"/>
  <c r="F5" i="9"/>
  <c r="J5" i="9" s="1"/>
  <c r="I61" i="9"/>
  <c r="F61" i="9"/>
  <c r="J61" i="9" s="1"/>
  <c r="I60" i="9"/>
  <c r="F60" i="9"/>
  <c r="J60" i="9" s="1"/>
  <c r="I59" i="9"/>
  <c r="F59" i="9"/>
  <c r="J59" i="9" s="1"/>
  <c r="I35" i="9"/>
  <c r="F35" i="9"/>
  <c r="J35" i="9" s="1"/>
  <c r="I4" i="9"/>
  <c r="F4" i="9"/>
  <c r="J4" i="9" s="1"/>
  <c r="E64" i="9"/>
  <c r="F64" i="9" s="1"/>
  <c r="F24" i="9"/>
  <c r="J24" i="9" s="1"/>
  <c r="E23" i="9"/>
  <c r="F23" i="9" s="1"/>
  <c r="J23" i="9" s="1"/>
  <c r="E22" i="9"/>
  <c r="F22" i="9" s="1"/>
  <c r="K22" i="9" s="1"/>
  <c r="I79" i="9"/>
  <c r="K79" i="9" s="1"/>
  <c r="F79" i="9"/>
  <c r="J79" i="9" s="1"/>
  <c r="I78" i="9"/>
  <c r="F78" i="9"/>
  <c r="J78" i="9" s="1"/>
  <c r="I87" i="9"/>
  <c r="F87" i="9"/>
  <c r="J87" i="9" s="1"/>
  <c r="E89" i="9"/>
  <c r="F89" i="9" s="1"/>
  <c r="K89" i="9" s="1"/>
  <c r="E88" i="9"/>
  <c r="F88" i="9" s="1"/>
  <c r="J88" i="9" s="1"/>
  <c r="E47" i="9"/>
  <c r="F47" i="9" s="1"/>
  <c r="K47" i="9" s="1"/>
  <c r="E46" i="9"/>
  <c r="F46" i="9" s="1"/>
  <c r="J46" i="9" s="1"/>
  <c r="E45" i="9"/>
  <c r="F45" i="9" s="1"/>
  <c r="J45" i="9" s="1"/>
  <c r="E44" i="9"/>
  <c r="F44" i="9" s="1"/>
  <c r="J44" i="9" s="1"/>
  <c r="E43" i="9"/>
  <c r="F43" i="9" s="1"/>
  <c r="K43" i="9" s="1"/>
  <c r="E42" i="9"/>
  <c r="F42" i="9" s="1"/>
  <c r="J42" i="9" s="1"/>
  <c r="E41" i="9"/>
  <c r="F41" i="9" s="1"/>
  <c r="J41" i="9" s="1"/>
  <c r="E40" i="9"/>
  <c r="F40" i="9" s="1"/>
  <c r="J40" i="9" s="1"/>
  <c r="E39" i="9"/>
  <c r="F39" i="9" s="1"/>
  <c r="J39" i="9" s="1"/>
  <c r="E34" i="9"/>
  <c r="F34" i="9" s="1"/>
  <c r="J34" i="9" s="1"/>
  <c r="E33" i="9"/>
  <c r="F33" i="9" s="1"/>
  <c r="K33" i="9" s="1"/>
  <c r="E32" i="9"/>
  <c r="F32" i="9" s="1"/>
  <c r="J32" i="9" s="1"/>
  <c r="E31" i="9"/>
  <c r="F31" i="9" s="1"/>
  <c r="K31" i="9" s="1"/>
  <c r="E30" i="9"/>
  <c r="F30" i="9" s="1"/>
  <c r="J30" i="9" s="1"/>
  <c r="E29" i="9"/>
  <c r="F29" i="9" s="1"/>
  <c r="J29" i="9" s="1"/>
  <c r="E11" i="9"/>
  <c r="F11" i="9" s="1"/>
  <c r="J11" i="9" s="1"/>
  <c r="E10" i="9"/>
  <c r="F10" i="9" s="1"/>
  <c r="K10" i="9" s="1"/>
  <c r="E9" i="9"/>
  <c r="F9" i="9" s="1"/>
  <c r="J9" i="9" s="1"/>
  <c r="E8" i="9"/>
  <c r="F8" i="9" s="1"/>
  <c r="J8" i="9" s="1"/>
  <c r="E7" i="9"/>
  <c r="F7" i="9" s="1"/>
  <c r="J7" i="9" s="1"/>
  <c r="F58" i="9"/>
  <c r="K58" i="9" s="1"/>
  <c r="F57" i="9"/>
  <c r="J57" i="9" s="1"/>
  <c r="F56" i="9"/>
  <c r="J56" i="9" s="1"/>
  <c r="F55" i="9"/>
  <c r="K55" i="9" s="1"/>
  <c r="F54" i="9"/>
  <c r="K54" i="9" s="1"/>
  <c r="F21" i="9"/>
  <c r="F20" i="9"/>
  <c r="K20" i="9" s="1"/>
  <c r="F19" i="9"/>
  <c r="K19" i="9" s="1"/>
  <c r="F18" i="9"/>
  <c r="K18" i="9" s="1"/>
  <c r="F17" i="9"/>
  <c r="J17" i="9" s="1"/>
  <c r="F16" i="9"/>
  <c r="J16" i="9" s="1"/>
  <c r="F15" i="9"/>
  <c r="J15" i="9" s="1"/>
  <c r="F14" i="9"/>
  <c r="K14" i="9" s="1"/>
  <c r="E13" i="9"/>
  <c r="F13" i="9" s="1"/>
  <c r="I91" i="9"/>
  <c r="F91" i="9"/>
  <c r="J91" i="9" s="1"/>
  <c r="I90" i="9"/>
  <c r="F90" i="9"/>
  <c r="J90" i="9" s="1"/>
  <c r="I74" i="9"/>
  <c r="E74" i="9"/>
  <c r="F74" i="9" s="1"/>
  <c r="I73" i="9"/>
  <c r="F73" i="9"/>
  <c r="J73" i="9" s="1"/>
  <c r="I69" i="9"/>
  <c r="E69" i="9"/>
  <c r="F69" i="9" s="1"/>
  <c r="J69" i="9" s="1"/>
  <c r="I50" i="9"/>
  <c r="F50" i="9"/>
  <c r="J50" i="9" s="1"/>
  <c r="I49" i="9"/>
  <c r="E49" i="9"/>
  <c r="F49" i="9" s="1"/>
  <c r="I48" i="9"/>
  <c r="F48" i="9"/>
  <c r="J48" i="9" s="1"/>
  <c r="I12" i="9"/>
  <c r="E12" i="9"/>
  <c r="F12" i="9" s="1"/>
  <c r="F84" i="9"/>
  <c r="J84" i="9" s="1"/>
  <c r="F68" i="9"/>
  <c r="K68" i="9" s="1"/>
  <c r="E67" i="9"/>
  <c r="F67" i="9" s="1"/>
  <c r="E100" i="9"/>
  <c r="F100" i="9" s="1"/>
  <c r="E99" i="9"/>
  <c r="F99" i="9" s="1"/>
  <c r="E98" i="9"/>
  <c r="F98" i="9" s="1"/>
  <c r="E97" i="9"/>
  <c r="F97" i="9" s="1"/>
  <c r="F96" i="9"/>
  <c r="K96" i="9" s="1"/>
  <c r="E95" i="9"/>
  <c r="F95" i="9" s="1"/>
  <c r="F94" i="9"/>
  <c r="K94" i="9" s="1"/>
  <c r="F93" i="9"/>
  <c r="E92" i="9"/>
  <c r="F92" i="9" s="1"/>
  <c r="J92" i="9" s="1"/>
  <c r="E77" i="9"/>
  <c r="F77" i="9" s="1"/>
  <c r="J77" i="9" s="1"/>
  <c r="E76" i="9"/>
  <c r="F76" i="9" s="1"/>
  <c r="E75" i="9"/>
  <c r="F75" i="9" s="1"/>
  <c r="E53" i="9"/>
  <c r="F53" i="9" s="1"/>
  <c r="E52" i="9"/>
  <c r="F52" i="9" s="1"/>
  <c r="I83" i="9"/>
  <c r="F83" i="9"/>
  <c r="J83" i="9" s="1"/>
  <c r="I82" i="9"/>
  <c r="E82" i="9"/>
  <c r="F82" i="9" s="1"/>
  <c r="J82" i="9" s="1"/>
  <c r="I81" i="9"/>
  <c r="F81" i="9"/>
  <c r="J81" i="9" s="1"/>
  <c r="I80" i="9"/>
  <c r="F80" i="9"/>
  <c r="J80" i="9" s="1"/>
  <c r="I72" i="9"/>
  <c r="E72" i="9"/>
  <c r="F72" i="9" s="1"/>
  <c r="I71" i="9"/>
  <c r="E71" i="9"/>
  <c r="F71" i="9" s="1"/>
  <c r="K71" i="9" s="1"/>
  <c r="I51" i="9"/>
  <c r="E51" i="9"/>
  <c r="F51" i="9" s="1"/>
  <c r="J51" i="9" s="1"/>
  <c r="F26" i="8"/>
  <c r="K26" i="8" s="1"/>
  <c r="E25" i="8"/>
  <c r="F25" i="8" s="1"/>
  <c r="J25" i="8" s="1"/>
  <c r="I40" i="8"/>
  <c r="E40" i="8"/>
  <c r="F40" i="8" s="1"/>
  <c r="J40" i="8" s="1"/>
  <c r="I33" i="8"/>
  <c r="F33" i="8"/>
  <c r="J33" i="8" s="1"/>
  <c r="I18" i="8"/>
  <c r="F18" i="8"/>
  <c r="J18" i="8" s="1"/>
  <c r="F79" i="8"/>
  <c r="K79" i="8" s="1"/>
  <c r="I62" i="8"/>
  <c r="F62" i="8"/>
  <c r="I61" i="8"/>
  <c r="F61" i="8"/>
  <c r="I60" i="8"/>
  <c r="F60" i="8"/>
  <c r="I59" i="8"/>
  <c r="F59" i="8"/>
  <c r="K59" i="8" s="1"/>
  <c r="I58" i="8"/>
  <c r="F58" i="8"/>
  <c r="I57" i="8"/>
  <c r="F57" i="8"/>
  <c r="I56" i="8"/>
  <c r="F56" i="8"/>
  <c r="I45" i="8"/>
  <c r="F45" i="8"/>
  <c r="K45" i="8" s="1"/>
  <c r="I44" i="8"/>
  <c r="F44" i="8"/>
  <c r="I43" i="8"/>
  <c r="F43" i="8"/>
  <c r="I36" i="8"/>
  <c r="E36" i="8"/>
  <c r="F36" i="8" s="1"/>
  <c r="K36" i="8" s="1"/>
  <c r="I35" i="8"/>
  <c r="E35" i="8"/>
  <c r="F35" i="8" s="1"/>
  <c r="J35" i="8" s="1"/>
  <c r="I34" i="8"/>
  <c r="F34" i="8"/>
  <c r="J34" i="8" s="1"/>
  <c r="I28" i="8"/>
  <c r="F28" i="8"/>
  <c r="J28" i="8" s="1"/>
  <c r="I8" i="8"/>
  <c r="F8" i="8"/>
  <c r="J8" i="8" s="1"/>
  <c r="I7" i="8"/>
  <c r="E7" i="8"/>
  <c r="F7" i="8" s="1"/>
  <c r="J7" i="8" s="1"/>
  <c r="I6" i="8"/>
  <c r="F6" i="8"/>
  <c r="I9" i="8"/>
  <c r="F9" i="8"/>
  <c r="E31" i="8"/>
  <c r="F31" i="8" s="1"/>
  <c r="E30" i="8"/>
  <c r="F30" i="8" s="1"/>
  <c r="K30" i="8" s="1"/>
  <c r="E29" i="8"/>
  <c r="F29" i="8" s="1"/>
  <c r="F17" i="8"/>
  <c r="K17" i="8" s="1"/>
  <c r="E17" i="8"/>
  <c r="E16" i="8"/>
  <c r="F16" i="8" s="1"/>
  <c r="E15" i="8"/>
  <c r="F15" i="8" s="1"/>
  <c r="K15" i="8" s="1"/>
  <c r="E14" i="8"/>
  <c r="F14" i="8" s="1"/>
  <c r="E13" i="8"/>
  <c r="F13" i="8" s="1"/>
  <c r="K13" i="8" s="1"/>
  <c r="E12" i="8"/>
  <c r="F12" i="8" s="1"/>
  <c r="E11" i="8"/>
  <c r="F11" i="8" s="1"/>
  <c r="K11" i="8" s="1"/>
  <c r="I93" i="8"/>
  <c r="F93" i="8"/>
  <c r="J93" i="8" s="1"/>
  <c r="I92" i="8"/>
  <c r="F92" i="8"/>
  <c r="J92" i="8" s="1"/>
  <c r="F91" i="8"/>
  <c r="K91" i="8" s="1"/>
  <c r="F76" i="8"/>
  <c r="J76" i="8" s="1"/>
  <c r="F75" i="8"/>
  <c r="J75" i="8" s="1"/>
  <c r="F39" i="8"/>
  <c r="K39" i="8" s="1"/>
  <c r="F23" i="8"/>
  <c r="J23" i="8" s="1"/>
  <c r="I22" i="8"/>
  <c r="F22" i="8"/>
  <c r="E72" i="8"/>
  <c r="F72" i="8" s="1"/>
  <c r="F71" i="8"/>
  <c r="J71" i="8" s="1"/>
  <c r="F70" i="8"/>
  <c r="K70" i="8" s="1"/>
  <c r="I19" i="8"/>
  <c r="F19" i="8"/>
  <c r="J19" i="8" s="1"/>
  <c r="I27" i="8"/>
  <c r="E27" i="8"/>
  <c r="F27" i="8" s="1"/>
  <c r="J27" i="8" s="1"/>
  <c r="I5" i="8"/>
  <c r="F5" i="8"/>
  <c r="K5" i="8" s="1"/>
  <c r="I88" i="8"/>
  <c r="F88" i="8"/>
  <c r="I87" i="8"/>
  <c r="F87" i="8"/>
  <c r="K87" i="8" s="1"/>
  <c r="I86" i="8"/>
  <c r="E86" i="8"/>
  <c r="F86" i="8" s="1"/>
  <c r="I85" i="8"/>
  <c r="E85" i="8"/>
  <c r="F85" i="8" s="1"/>
  <c r="K85" i="8" s="1"/>
  <c r="I84" i="8"/>
  <c r="F84" i="8"/>
  <c r="J84" i="8" s="1"/>
  <c r="I83" i="8"/>
  <c r="E83" i="8"/>
  <c r="F83" i="8" s="1"/>
  <c r="J83" i="8" s="1"/>
  <c r="I68" i="8"/>
  <c r="F68" i="8"/>
  <c r="J68" i="8" s="1"/>
  <c r="I67" i="8"/>
  <c r="F67" i="8"/>
  <c r="J67" i="8" s="1"/>
  <c r="I53" i="8"/>
  <c r="E53" i="8"/>
  <c r="F53" i="8" s="1"/>
  <c r="J53" i="8" s="1"/>
  <c r="I52" i="8"/>
  <c r="E52" i="8"/>
  <c r="F52" i="8" s="1"/>
  <c r="I32" i="8"/>
  <c r="E32" i="8"/>
  <c r="F32" i="8" s="1"/>
  <c r="E82" i="8"/>
  <c r="F82" i="8" s="1"/>
  <c r="J82" i="8" s="1"/>
  <c r="F81" i="8"/>
  <c r="K81" i="8" s="1"/>
  <c r="E80" i="8"/>
  <c r="F80" i="8" s="1"/>
  <c r="F66" i="8"/>
  <c r="J66" i="8" s="1"/>
  <c r="F65" i="8"/>
  <c r="E64" i="8"/>
  <c r="F64" i="8" s="1"/>
  <c r="K64" i="8" s="1"/>
  <c r="F63" i="8"/>
  <c r="K63" i="8" s="1"/>
  <c r="F51" i="8"/>
  <c r="K51" i="8" s="1"/>
  <c r="F50" i="8"/>
  <c r="K50" i="8" s="1"/>
  <c r="E49" i="8"/>
  <c r="F49" i="8" s="1"/>
  <c r="F48" i="8"/>
  <c r="J48" i="8" s="1"/>
  <c r="F47" i="8"/>
  <c r="K47" i="8" s="1"/>
  <c r="F46" i="8"/>
  <c r="K46" i="8" s="1"/>
  <c r="E10" i="8"/>
  <c r="F10" i="8" s="1"/>
  <c r="K10" i="8" s="1"/>
  <c r="E95" i="8"/>
  <c r="F95" i="8" s="1"/>
  <c r="J95" i="8" s="1"/>
  <c r="F94" i="8"/>
  <c r="K94" i="8" s="1"/>
  <c r="F24" i="8"/>
  <c r="J24" i="8" s="1"/>
  <c r="E90" i="8"/>
  <c r="F90" i="8" s="1"/>
  <c r="E74" i="8"/>
  <c r="F74" i="8" s="1"/>
  <c r="E73" i="8"/>
  <c r="F73" i="8" s="1"/>
  <c r="E55" i="8"/>
  <c r="F55" i="8" s="1"/>
  <c r="E54" i="8"/>
  <c r="F54" i="8" s="1"/>
  <c r="E38" i="8"/>
  <c r="F38" i="8" s="1"/>
  <c r="E37" i="8"/>
  <c r="F37" i="8" s="1"/>
  <c r="E21" i="8"/>
  <c r="F21" i="8" s="1"/>
  <c r="E20" i="8"/>
  <c r="F20" i="8" s="1"/>
  <c r="E4" i="8"/>
  <c r="F4" i="8" s="1"/>
  <c r="I78" i="8"/>
  <c r="E78" i="8"/>
  <c r="F78" i="8" s="1"/>
  <c r="J78" i="8" s="1"/>
  <c r="I77" i="8"/>
  <c r="F77" i="8"/>
  <c r="I42" i="8"/>
  <c r="F42" i="8"/>
  <c r="K42" i="8" s="1"/>
  <c r="I41" i="8"/>
  <c r="E41" i="8"/>
  <c r="F41" i="8" s="1"/>
  <c r="F89" i="8"/>
  <c r="I69" i="8"/>
  <c r="F69" i="8"/>
  <c r="K69" i="8" s="1"/>
  <c r="F5" i="7"/>
  <c r="K5" i="7" s="1"/>
  <c r="E4" i="7"/>
  <c r="F4" i="7" s="1"/>
  <c r="K4" i="7" s="1"/>
  <c r="I78" i="7"/>
  <c r="F78" i="7"/>
  <c r="J78" i="7" s="1"/>
  <c r="I77" i="7"/>
  <c r="E77" i="7"/>
  <c r="F77" i="7" s="1"/>
  <c r="J77" i="7" s="1"/>
  <c r="I54" i="7"/>
  <c r="F54" i="7"/>
  <c r="I53" i="7"/>
  <c r="E53" i="7"/>
  <c r="F53" i="7" s="1"/>
  <c r="I39" i="7"/>
  <c r="F39" i="7"/>
  <c r="K39" i="7" s="1"/>
  <c r="E39" i="7"/>
  <c r="I19" i="7"/>
  <c r="F19" i="7"/>
  <c r="J19" i="7" s="1"/>
  <c r="E38" i="7"/>
  <c r="F38" i="7" s="1"/>
  <c r="K38" i="7" s="1"/>
  <c r="I80" i="7"/>
  <c r="F80" i="7"/>
  <c r="J80" i="7" s="1"/>
  <c r="E9" i="7"/>
  <c r="F9" i="7" s="1"/>
  <c r="K9" i="7" s="1"/>
  <c r="I81" i="7"/>
  <c r="F81" i="7"/>
  <c r="J81" i="7" s="1"/>
  <c r="I93" i="7"/>
  <c r="E93" i="7"/>
  <c r="F93" i="7" s="1"/>
  <c r="J93" i="7" s="1"/>
  <c r="I70" i="7"/>
  <c r="E70" i="7"/>
  <c r="F70" i="7" s="1"/>
  <c r="I69" i="7"/>
  <c r="E69" i="7"/>
  <c r="F69" i="7" s="1"/>
  <c r="K69" i="7" s="1"/>
  <c r="I68" i="7"/>
  <c r="E68" i="7"/>
  <c r="F68" i="7" s="1"/>
  <c r="J68" i="7" s="1"/>
  <c r="I47" i="7"/>
  <c r="E47" i="7"/>
  <c r="F47" i="7" s="1"/>
  <c r="J47" i="7" s="1"/>
  <c r="I46" i="7"/>
  <c r="E46" i="7"/>
  <c r="F46" i="7" s="1"/>
  <c r="I26" i="7"/>
  <c r="F26" i="7"/>
  <c r="E26" i="7"/>
  <c r="I14" i="7"/>
  <c r="F14" i="7"/>
  <c r="J14" i="7" s="1"/>
  <c r="I55" i="7"/>
  <c r="F55" i="7"/>
  <c r="J55" i="7" s="1"/>
  <c r="I20" i="7"/>
  <c r="F20" i="7"/>
  <c r="J20" i="7" s="1"/>
  <c r="I58" i="7"/>
  <c r="F58" i="7"/>
  <c r="J58" i="7" s="1"/>
  <c r="I8" i="7"/>
  <c r="F8" i="7"/>
  <c r="J8" i="7" s="1"/>
  <c r="I83" i="7"/>
  <c r="E83" i="7"/>
  <c r="F83" i="7" s="1"/>
  <c r="J83" i="7" s="1"/>
  <c r="I82" i="7"/>
  <c r="F82" i="7"/>
  <c r="I59" i="7"/>
  <c r="E59" i="7"/>
  <c r="F59" i="7" s="1"/>
  <c r="I23" i="7"/>
  <c r="F23" i="7"/>
  <c r="K23" i="7" s="1"/>
  <c r="E23" i="7"/>
  <c r="I22" i="7"/>
  <c r="F22" i="7"/>
  <c r="J22" i="7" s="1"/>
  <c r="I64" i="7"/>
  <c r="E64" i="7"/>
  <c r="F64" i="7" s="1"/>
  <c r="J64" i="7" s="1"/>
  <c r="I63" i="7"/>
  <c r="E63" i="7"/>
  <c r="F63" i="7" s="1"/>
  <c r="J63" i="7" s="1"/>
  <c r="I43" i="7"/>
  <c r="E43" i="7"/>
  <c r="F43" i="7" s="1"/>
  <c r="I42" i="7"/>
  <c r="F42" i="7"/>
  <c r="E42" i="7"/>
  <c r="I24" i="7"/>
  <c r="E24" i="7"/>
  <c r="F24" i="7" s="1"/>
  <c r="J24" i="7" s="1"/>
  <c r="E84" i="7"/>
  <c r="F84" i="7" s="1"/>
  <c r="K84" i="7" s="1"/>
  <c r="F62" i="7"/>
  <c r="K62" i="7" s="1"/>
  <c r="E62" i="7"/>
  <c r="I12" i="7"/>
  <c r="E12" i="7"/>
  <c r="F12" i="7" s="1"/>
  <c r="J12" i="7" s="1"/>
  <c r="F96" i="7"/>
  <c r="K96" i="7" s="1"/>
  <c r="F52" i="7"/>
  <c r="K52" i="7" s="1"/>
  <c r="F35" i="7"/>
  <c r="E34" i="7"/>
  <c r="F34" i="7" s="1"/>
  <c r="I37" i="7"/>
  <c r="F37" i="7"/>
  <c r="E37" i="7"/>
  <c r="I7" i="7"/>
  <c r="F7" i="7"/>
  <c r="J7" i="7" s="1"/>
  <c r="I79" i="7"/>
  <c r="E79" i="7"/>
  <c r="F79" i="7" s="1"/>
  <c r="J79" i="7" s="1"/>
  <c r="I56" i="7"/>
  <c r="E56" i="7"/>
  <c r="F56" i="7" s="1"/>
  <c r="J56" i="7" s="1"/>
  <c r="I21" i="7"/>
  <c r="E21" i="7"/>
  <c r="F21" i="7" s="1"/>
  <c r="J21" i="7" s="1"/>
  <c r="I92" i="7"/>
  <c r="F92" i="7"/>
  <c r="E92" i="7"/>
  <c r="I91" i="7"/>
  <c r="F91" i="7"/>
  <c r="J91" i="7" s="1"/>
  <c r="E91" i="7"/>
  <c r="I90" i="7"/>
  <c r="F90" i="7"/>
  <c r="J90" i="7" s="1"/>
  <c r="E90" i="7"/>
  <c r="I89" i="7"/>
  <c r="F89" i="7"/>
  <c r="J89" i="7" s="1"/>
  <c r="I88" i="7"/>
  <c r="F88" i="7"/>
  <c r="J88" i="7" s="1"/>
  <c r="I87" i="7"/>
  <c r="F87" i="7"/>
  <c r="J87" i="7" s="1"/>
  <c r="I86" i="7"/>
  <c r="E86" i="7"/>
  <c r="F86" i="7" s="1"/>
  <c r="J86" i="7" s="1"/>
  <c r="I85" i="7"/>
  <c r="F85" i="7"/>
  <c r="I67" i="7"/>
  <c r="F67" i="7"/>
  <c r="E67" i="7"/>
  <c r="I66" i="7"/>
  <c r="F66" i="7"/>
  <c r="J66" i="7" s="1"/>
  <c r="I65" i="7"/>
  <c r="F65" i="7"/>
  <c r="J65" i="7" s="1"/>
  <c r="E65" i="7"/>
  <c r="I45" i="7"/>
  <c r="E45" i="7"/>
  <c r="F45" i="7" s="1"/>
  <c r="J45" i="7" s="1"/>
  <c r="I44" i="7"/>
  <c r="E44" i="7"/>
  <c r="F44" i="7" s="1"/>
  <c r="J44" i="7" s="1"/>
  <c r="I25" i="7"/>
  <c r="F25" i="7"/>
  <c r="I13" i="7"/>
  <c r="F13" i="7"/>
  <c r="I15" i="7"/>
  <c r="F15" i="7"/>
  <c r="E61" i="7"/>
  <c r="F61" i="7" s="1"/>
  <c r="F60" i="7"/>
  <c r="J60" i="7" s="1"/>
  <c r="F41" i="7"/>
  <c r="K41" i="7" s="1"/>
  <c r="E41" i="7"/>
  <c r="E11" i="7"/>
  <c r="F11" i="7" s="1"/>
  <c r="J11" i="7" s="1"/>
  <c r="E10" i="7"/>
  <c r="F10" i="7" s="1"/>
  <c r="K10" i="7" s="1"/>
  <c r="I74" i="7"/>
  <c r="E74" i="7"/>
  <c r="F74" i="7" s="1"/>
  <c r="J74" i="7" s="1"/>
  <c r="I73" i="7"/>
  <c r="F73" i="7"/>
  <c r="E73" i="7"/>
  <c r="I72" i="7"/>
  <c r="E72" i="7"/>
  <c r="F72" i="7" s="1"/>
  <c r="J72" i="7" s="1"/>
  <c r="I50" i="7"/>
  <c r="E50" i="7"/>
  <c r="F50" i="7" s="1"/>
  <c r="J50" i="7" s="1"/>
  <c r="I31" i="7"/>
  <c r="E31" i="7"/>
  <c r="F31" i="7" s="1"/>
  <c r="J31" i="7" s="1"/>
  <c r="I17" i="7"/>
  <c r="F17" i="7"/>
  <c r="E17" i="7"/>
  <c r="I16" i="7"/>
  <c r="F16" i="7"/>
  <c r="J16" i="7" s="1"/>
  <c r="E16" i="7"/>
  <c r="E51" i="7"/>
  <c r="F51" i="7" s="1"/>
  <c r="K51" i="7" s="1"/>
  <c r="E33" i="7"/>
  <c r="F33" i="7" s="1"/>
  <c r="K33" i="7" s="1"/>
  <c r="F32" i="7"/>
  <c r="K32" i="7" s="1"/>
  <c r="E57" i="7"/>
  <c r="F57" i="7" s="1"/>
  <c r="E40" i="7"/>
  <c r="F40" i="7" s="1"/>
  <c r="F95" i="7"/>
  <c r="E95" i="7"/>
  <c r="E94" i="7"/>
  <c r="F94" i="7" s="1"/>
  <c r="E71" i="7"/>
  <c r="F71" i="7" s="1"/>
  <c r="F49" i="7"/>
  <c r="J49" i="7" s="1"/>
  <c r="E49" i="7"/>
  <c r="E48" i="7"/>
  <c r="F48" i="7" s="1"/>
  <c r="F30" i="7"/>
  <c r="J30" i="7" s="1"/>
  <c r="E30" i="7"/>
  <c r="E29" i="7"/>
  <c r="F29" i="7" s="1"/>
  <c r="F28" i="7"/>
  <c r="J28" i="7" s="1"/>
  <c r="E28" i="7"/>
  <c r="E27" i="7"/>
  <c r="F27" i="7" s="1"/>
  <c r="I75" i="7"/>
  <c r="F75" i="7"/>
  <c r="K75" i="7" s="1"/>
  <c r="I18" i="7"/>
  <c r="J18" i="7"/>
  <c r="I6" i="7"/>
  <c r="E6" i="7"/>
  <c r="F6" i="7" s="1"/>
  <c r="I36" i="7"/>
  <c r="F36" i="7"/>
  <c r="J36" i="7" s="1"/>
  <c r="E36" i="7"/>
  <c r="F76" i="7"/>
  <c r="K76" i="7" s="1"/>
  <c r="G10" i="6"/>
  <c r="F10" i="6"/>
  <c r="E10" i="6"/>
  <c r="G83" i="6"/>
  <c r="F83" i="6"/>
  <c r="F62" i="6"/>
  <c r="H62" i="6" s="1"/>
  <c r="F61" i="6"/>
  <c r="H61" i="6" s="1"/>
  <c r="F60" i="6"/>
  <c r="H60" i="6" s="1"/>
  <c r="E59" i="6"/>
  <c r="F59" i="6" s="1"/>
  <c r="H59" i="6" s="1"/>
  <c r="G58" i="6"/>
  <c r="F58" i="6"/>
  <c r="F54" i="6"/>
  <c r="H54" i="6" s="1"/>
  <c r="E79" i="6"/>
  <c r="F79" i="6" s="1"/>
  <c r="H79" i="6" s="1"/>
  <c r="E78" i="6"/>
  <c r="F78" i="6" s="1"/>
  <c r="H78" i="6" s="1"/>
  <c r="E77" i="6"/>
  <c r="F77" i="6" s="1"/>
  <c r="H77" i="6" s="1"/>
  <c r="E63" i="6"/>
  <c r="F63" i="6" s="1"/>
  <c r="H63" i="6" s="1"/>
  <c r="F46" i="6"/>
  <c r="H46" i="6" s="1"/>
  <c r="E46" i="6"/>
  <c r="E45" i="6"/>
  <c r="F45" i="6" s="1"/>
  <c r="H45" i="6" s="1"/>
  <c r="E24" i="6"/>
  <c r="F24" i="6" s="1"/>
  <c r="H24" i="6" s="1"/>
  <c r="G93" i="6"/>
  <c r="E93" i="6"/>
  <c r="F93" i="6" s="1"/>
  <c r="H93" i="6" s="1"/>
  <c r="G92" i="6"/>
  <c r="F92" i="6"/>
  <c r="E92" i="6"/>
  <c r="G91" i="6"/>
  <c r="E91" i="6"/>
  <c r="F91" i="6" s="1"/>
  <c r="G90" i="6"/>
  <c r="E90" i="6"/>
  <c r="F90" i="6" s="1"/>
  <c r="G74" i="6"/>
  <c r="E74" i="6"/>
  <c r="F74" i="6" s="1"/>
  <c r="G55" i="6"/>
  <c r="F55" i="6"/>
  <c r="E55" i="6"/>
  <c r="G19" i="6"/>
  <c r="E19" i="6"/>
  <c r="F19" i="6" s="1"/>
  <c r="G68" i="6"/>
  <c r="F68" i="6"/>
  <c r="G50" i="6"/>
  <c r="F50" i="6"/>
  <c r="G49" i="6"/>
  <c r="E49" i="6"/>
  <c r="F49" i="6" s="1"/>
  <c r="G48" i="6"/>
  <c r="F48" i="6"/>
  <c r="G29" i="6"/>
  <c r="F29" i="6"/>
  <c r="H29" i="6" s="1"/>
  <c r="G28" i="6"/>
  <c r="E28" i="6"/>
  <c r="F28" i="6" s="1"/>
  <c r="G27" i="6"/>
  <c r="F27" i="6"/>
  <c r="H27" i="6" s="1"/>
  <c r="G7" i="6"/>
  <c r="F7" i="6"/>
  <c r="H7" i="6" s="1"/>
  <c r="G6" i="6"/>
  <c r="F6" i="6"/>
  <c r="E6" i="6"/>
  <c r="F56" i="6"/>
  <c r="H56" i="6" s="1"/>
  <c r="G41" i="6"/>
  <c r="F41" i="6"/>
  <c r="E41" i="6"/>
  <c r="G18" i="6"/>
  <c r="F18" i="6"/>
  <c r="H18" i="6" s="1"/>
  <c r="G82" i="6"/>
  <c r="F82" i="6"/>
  <c r="G81" i="6"/>
  <c r="F81" i="6"/>
  <c r="G80" i="6"/>
  <c r="F80" i="6"/>
  <c r="G67" i="6"/>
  <c r="F67" i="6"/>
  <c r="G66" i="6"/>
  <c r="F66" i="6"/>
  <c r="G65" i="6"/>
  <c r="F65" i="6"/>
  <c r="G64" i="6"/>
  <c r="F64" i="6"/>
  <c r="G47" i="6"/>
  <c r="F47" i="6"/>
  <c r="H47" i="6" s="1"/>
  <c r="G26" i="6"/>
  <c r="F26" i="6"/>
  <c r="F95" i="6"/>
  <c r="H95" i="6" s="1"/>
  <c r="F76" i="6"/>
  <c r="H76" i="6" s="1"/>
  <c r="F44" i="6"/>
  <c r="H44" i="6" s="1"/>
  <c r="E22" i="6"/>
  <c r="F22" i="6" s="1"/>
  <c r="H22" i="6" s="1"/>
  <c r="F52" i="6"/>
  <c r="H52" i="6" s="1"/>
  <c r="F36" i="6"/>
  <c r="H36" i="6" s="1"/>
  <c r="E35" i="6"/>
  <c r="F35" i="6" s="1"/>
  <c r="H35" i="6" s="1"/>
  <c r="G69" i="6"/>
  <c r="F69" i="6"/>
  <c r="H69" i="6" s="1"/>
  <c r="E69" i="6"/>
  <c r="G9" i="6"/>
  <c r="E9" i="6"/>
  <c r="F9" i="6" s="1"/>
  <c r="G8" i="6"/>
  <c r="F8" i="6"/>
  <c r="H8" i="6" s="1"/>
  <c r="E8" i="6"/>
  <c r="E89" i="6"/>
  <c r="F89" i="6" s="1"/>
  <c r="H89" i="6" s="1"/>
  <c r="F39" i="6"/>
  <c r="H39" i="6" s="1"/>
  <c r="G70" i="6"/>
  <c r="F70" i="6"/>
  <c r="G51" i="6"/>
  <c r="F51" i="6"/>
  <c r="G34" i="6"/>
  <c r="F34" i="6"/>
  <c r="G33" i="6"/>
  <c r="E33" i="6"/>
  <c r="F33" i="6" s="1"/>
  <c r="G15" i="6"/>
  <c r="F15" i="6"/>
  <c r="G14" i="6"/>
  <c r="F14" i="6"/>
  <c r="G13" i="6"/>
  <c r="E13" i="6"/>
  <c r="F13" i="6" s="1"/>
  <c r="G12" i="6"/>
  <c r="F12" i="6"/>
  <c r="G11" i="6"/>
  <c r="F11" i="6"/>
  <c r="E88" i="6"/>
  <c r="F88" i="6" s="1"/>
  <c r="H88" i="6" s="1"/>
  <c r="F87" i="6"/>
  <c r="H87" i="6" s="1"/>
  <c r="E87" i="6"/>
  <c r="E86" i="6"/>
  <c r="F86" i="6" s="1"/>
  <c r="H86" i="6" s="1"/>
  <c r="F85" i="6"/>
  <c r="H85" i="6" s="1"/>
  <c r="F84" i="6"/>
  <c r="H84" i="6" s="1"/>
  <c r="E84" i="6"/>
  <c r="F72" i="6"/>
  <c r="H72" i="6" s="1"/>
  <c r="E71" i="6"/>
  <c r="F71" i="6" s="1"/>
  <c r="H71" i="6" s="1"/>
  <c r="F53" i="6"/>
  <c r="H53" i="6" s="1"/>
  <c r="E53" i="6"/>
  <c r="E38" i="6"/>
  <c r="F38" i="6" s="1"/>
  <c r="H38" i="6" s="1"/>
  <c r="E37" i="6"/>
  <c r="F37" i="6" s="1"/>
  <c r="H37" i="6" s="1"/>
  <c r="E17" i="6"/>
  <c r="F17" i="6" s="1"/>
  <c r="H17" i="6" s="1"/>
  <c r="E16" i="6"/>
  <c r="F16" i="6" s="1"/>
  <c r="H16" i="6" s="1"/>
  <c r="G43" i="6"/>
  <c r="F43" i="6"/>
  <c r="G42" i="6"/>
  <c r="F42" i="6"/>
  <c r="G32" i="6"/>
  <c r="F32" i="6"/>
  <c r="G31" i="6"/>
  <c r="F31" i="6"/>
  <c r="G30" i="6"/>
  <c r="F30" i="6"/>
  <c r="G4" i="6"/>
  <c r="E4" i="6"/>
  <c r="F4" i="6" s="1"/>
  <c r="G40" i="6"/>
  <c r="F40" i="6"/>
  <c r="G25" i="6"/>
  <c r="F25" i="6"/>
  <c r="F73" i="6"/>
  <c r="H73" i="6" s="1"/>
  <c r="E94" i="6"/>
  <c r="F94" i="6" s="1"/>
  <c r="H94" i="6" s="1"/>
  <c r="E75" i="6"/>
  <c r="F75" i="6" s="1"/>
  <c r="H75" i="6" s="1"/>
  <c r="F57" i="6"/>
  <c r="H57" i="6" s="1"/>
  <c r="E21" i="6"/>
  <c r="F21" i="6" s="1"/>
  <c r="H21" i="6" s="1"/>
  <c r="E20" i="6"/>
  <c r="F20" i="6" s="1"/>
  <c r="H20" i="6" s="1"/>
  <c r="G5" i="6"/>
  <c r="F5" i="6"/>
  <c r="G23" i="6"/>
  <c r="E23" i="6"/>
  <c r="F23" i="6" s="1"/>
  <c r="F21" i="5"/>
  <c r="E21" i="5"/>
  <c r="F118" i="5"/>
  <c r="E118" i="5"/>
  <c r="G118" i="5" s="1"/>
  <c r="F117" i="5"/>
  <c r="G117" i="5" s="1"/>
  <c r="E117" i="5"/>
  <c r="F116" i="5"/>
  <c r="E116" i="5"/>
  <c r="F44" i="5"/>
  <c r="E44" i="5"/>
  <c r="G44" i="5" s="1"/>
  <c r="F64" i="5"/>
  <c r="E64" i="5"/>
  <c r="G28" i="5"/>
  <c r="F28" i="5"/>
  <c r="E28" i="5"/>
  <c r="F86" i="5"/>
  <c r="G86" i="5" s="1"/>
  <c r="E86" i="5"/>
  <c r="F142" i="5"/>
  <c r="E142" i="5"/>
  <c r="F85" i="5"/>
  <c r="G85" i="5" s="1"/>
  <c r="E85" i="5"/>
  <c r="F9" i="5"/>
  <c r="E9" i="5"/>
  <c r="G9" i="5" s="1"/>
  <c r="F69" i="5"/>
  <c r="G69" i="5" s="1"/>
  <c r="E69" i="5"/>
  <c r="F50" i="5"/>
  <c r="E50" i="5"/>
  <c r="G50" i="5" s="1"/>
  <c r="F8" i="5"/>
  <c r="G8" i="5" s="1"/>
  <c r="E8" i="5"/>
  <c r="F7" i="5"/>
  <c r="G7" i="5" s="1"/>
  <c r="E7" i="5"/>
  <c r="F102" i="5"/>
  <c r="G102" i="5" s="1"/>
  <c r="E102" i="5"/>
  <c r="F101" i="5"/>
  <c r="E101" i="5"/>
  <c r="G101" i="5" s="1"/>
  <c r="G5" i="5"/>
  <c r="E5" i="5"/>
  <c r="F75" i="5"/>
  <c r="G75" i="5" s="1"/>
  <c r="E75" i="5"/>
  <c r="F24" i="5"/>
  <c r="E24" i="5"/>
  <c r="F79" i="5"/>
  <c r="G79" i="5" s="1"/>
  <c r="E79" i="5"/>
  <c r="E73" i="5"/>
  <c r="G73" i="5" s="1"/>
  <c r="E72" i="5"/>
  <c r="G72" i="5" s="1"/>
  <c r="E71" i="5"/>
  <c r="G71" i="5" s="1"/>
  <c r="G51" i="5"/>
  <c r="E51" i="5"/>
  <c r="E13" i="5"/>
  <c r="G13" i="5" s="1"/>
  <c r="E58" i="5"/>
  <c r="G58" i="5" s="1"/>
  <c r="F43" i="5"/>
  <c r="G43" i="5" s="1"/>
  <c r="E43" i="5"/>
  <c r="F25" i="5"/>
  <c r="G25" i="5" s="1"/>
  <c r="E25" i="5"/>
  <c r="G19" i="5"/>
  <c r="E19" i="5"/>
  <c r="F20" i="5"/>
  <c r="E20" i="5"/>
  <c r="G20" i="5" s="1"/>
  <c r="F61" i="5"/>
  <c r="G61" i="5" s="1"/>
  <c r="E61" i="5"/>
  <c r="F10" i="5"/>
  <c r="E10" i="5"/>
  <c r="G10" i="5" s="1"/>
  <c r="F103" i="5"/>
  <c r="G103" i="5" s="1"/>
  <c r="E103" i="5"/>
  <c r="F53" i="5"/>
  <c r="E53" i="5"/>
  <c r="G53" i="5" s="1"/>
  <c r="F52" i="5"/>
  <c r="G52" i="5" s="1"/>
  <c r="E52" i="5"/>
  <c r="G98" i="5"/>
  <c r="F98" i="5"/>
  <c r="E98" i="5"/>
  <c r="F84" i="5"/>
  <c r="E84" i="5"/>
  <c r="G68" i="5"/>
  <c r="F68" i="5"/>
  <c r="E68" i="5"/>
  <c r="E110" i="5"/>
  <c r="E35" i="5"/>
  <c r="E34" i="5"/>
  <c r="E33" i="5"/>
  <c r="E57" i="5"/>
  <c r="G26" i="5"/>
  <c r="E26" i="5"/>
  <c r="E134" i="5"/>
  <c r="G134" i="5" s="1"/>
  <c r="E154" i="5"/>
  <c r="G154" i="5" s="1"/>
  <c r="E153" i="5"/>
  <c r="G153" i="5" s="1"/>
  <c r="G152" i="5"/>
  <c r="E152" i="5"/>
  <c r="E32" i="5"/>
  <c r="G32" i="5" s="1"/>
  <c r="E31" i="5"/>
  <c r="G31" i="5" s="1"/>
  <c r="F70" i="5"/>
  <c r="E70" i="5"/>
  <c r="G70" i="5" s="1"/>
  <c r="G30" i="5"/>
  <c r="F30" i="5"/>
  <c r="E30" i="5"/>
  <c r="F104" i="5"/>
  <c r="E104" i="5"/>
  <c r="F74" i="5"/>
  <c r="G74" i="5" s="1"/>
  <c r="E74" i="5"/>
  <c r="F12" i="5"/>
  <c r="G12" i="5" s="1"/>
  <c r="E12" i="5"/>
  <c r="F99" i="5"/>
  <c r="E99" i="5"/>
  <c r="F81" i="5"/>
  <c r="G81" i="5" s="1"/>
  <c r="E81" i="5"/>
  <c r="E105" i="5"/>
  <c r="G105" i="5" s="1"/>
  <c r="E56" i="5"/>
  <c r="G56" i="5" s="1"/>
  <c r="E109" i="5"/>
  <c r="G109" i="5" s="1"/>
  <c r="E125" i="5"/>
  <c r="G125" i="5" s="1"/>
  <c r="E108" i="5"/>
  <c r="G108" i="5" s="1"/>
  <c r="E107" i="5"/>
  <c r="G107" i="5" s="1"/>
  <c r="E124" i="5"/>
  <c r="G124" i="5" s="1"/>
  <c r="E106" i="5"/>
  <c r="G106" i="5" s="1"/>
  <c r="E123" i="5"/>
  <c r="G123" i="5" s="1"/>
  <c r="E47" i="5"/>
  <c r="G47" i="5" s="1"/>
  <c r="E46" i="5"/>
  <c r="G46" i="5" s="1"/>
  <c r="E83" i="5"/>
  <c r="G83" i="5" s="1"/>
  <c r="E65" i="5"/>
  <c r="G65" i="5" s="1"/>
  <c r="E82" i="5"/>
  <c r="G82" i="5" s="1"/>
  <c r="E27" i="5"/>
  <c r="G27" i="5" s="1"/>
  <c r="G45" i="5"/>
  <c r="E45" i="5"/>
  <c r="F63" i="5"/>
  <c r="G63" i="5" s="1"/>
  <c r="E63" i="5"/>
  <c r="F80" i="5"/>
  <c r="E80" i="5"/>
  <c r="F114" i="5"/>
  <c r="G114" i="5" s="1"/>
  <c r="E114" i="5"/>
  <c r="F93" i="5"/>
  <c r="E93" i="5"/>
  <c r="G93" i="5" s="1"/>
  <c r="F92" i="5"/>
  <c r="E92" i="5"/>
  <c r="F91" i="5"/>
  <c r="G91" i="5" s="1"/>
  <c r="E91" i="5"/>
  <c r="F135" i="5"/>
  <c r="G135" i="5" s="1"/>
  <c r="E135" i="5"/>
  <c r="G62" i="5"/>
  <c r="F62" i="5"/>
  <c r="E62" i="5"/>
  <c r="F22" i="5"/>
  <c r="E22" i="5"/>
  <c r="F100" i="5"/>
  <c r="E100" i="5"/>
  <c r="F121" i="5"/>
  <c r="G121" i="5" s="1"/>
  <c r="E121" i="5"/>
  <c r="F120" i="5"/>
  <c r="E120" i="5"/>
  <c r="F6" i="5"/>
  <c r="E6" i="5"/>
  <c r="F141" i="5"/>
  <c r="E141" i="5"/>
  <c r="G141" i="5" s="1"/>
  <c r="F119" i="5"/>
  <c r="G119" i="5" s="1"/>
  <c r="E119" i="5"/>
  <c r="E29" i="5"/>
  <c r="G29" i="5" s="1"/>
  <c r="G88" i="5"/>
  <c r="E88" i="5"/>
  <c r="E55" i="5"/>
  <c r="G55" i="5" s="1"/>
  <c r="G54" i="5"/>
  <c r="E54" i="5"/>
  <c r="E122" i="5"/>
  <c r="G122" i="5" s="1"/>
  <c r="G11" i="5"/>
  <c r="E11" i="5"/>
  <c r="E38" i="5"/>
  <c r="G38" i="5" s="1"/>
  <c r="G148" i="5"/>
  <c r="E148" i="5"/>
  <c r="E78" i="5"/>
  <c r="G78" i="5" s="1"/>
  <c r="G37" i="5"/>
  <c r="E37" i="5"/>
  <c r="E111" i="5"/>
  <c r="G111" i="5" s="1"/>
  <c r="F77" i="5"/>
  <c r="E77" i="5"/>
  <c r="F133" i="5"/>
  <c r="G133" i="5" s="1"/>
  <c r="E133" i="5"/>
  <c r="F60" i="5"/>
  <c r="E60" i="5"/>
  <c r="F36" i="5"/>
  <c r="G36" i="5" s="1"/>
  <c r="E36" i="5"/>
  <c r="F147" i="5"/>
  <c r="E147" i="5"/>
  <c r="G147" i="5" s="1"/>
  <c r="F132" i="5"/>
  <c r="G132" i="5" s="1"/>
  <c r="E132" i="5"/>
  <c r="F90" i="5"/>
  <c r="G90" i="5" s="1"/>
  <c r="E90" i="5"/>
  <c r="F146" i="5"/>
  <c r="G146" i="5" s="1"/>
  <c r="E146" i="5"/>
  <c r="F131" i="5"/>
  <c r="E131" i="5"/>
  <c r="G131" i="5" s="1"/>
  <c r="F130" i="5"/>
  <c r="E130" i="5"/>
  <c r="G130" i="5" s="1"/>
  <c r="F18" i="5"/>
  <c r="E18" i="5"/>
  <c r="G18" i="5" s="1"/>
  <c r="F129" i="5"/>
  <c r="E129" i="5"/>
  <c r="G128" i="5"/>
  <c r="F128" i="5"/>
  <c r="E128" i="5"/>
  <c r="F113" i="5"/>
  <c r="G113" i="5" s="1"/>
  <c r="E113" i="5"/>
  <c r="F17" i="5"/>
  <c r="E17" i="5"/>
  <c r="G17" i="5" s="1"/>
  <c r="F145" i="5"/>
  <c r="G145" i="5" s="1"/>
  <c r="E145" i="5"/>
  <c r="F144" i="5"/>
  <c r="E144" i="5"/>
  <c r="G144" i="5" s="1"/>
  <c r="F143" i="5"/>
  <c r="G143" i="5" s="1"/>
  <c r="E143" i="5"/>
  <c r="F89" i="5"/>
  <c r="E89" i="5"/>
  <c r="G89" i="5" s="1"/>
  <c r="F59" i="5"/>
  <c r="G59" i="5" s="1"/>
  <c r="E59" i="5"/>
  <c r="G16" i="5"/>
  <c r="F16" i="5"/>
  <c r="E16" i="5"/>
  <c r="F15" i="5"/>
  <c r="E15" i="5"/>
  <c r="G127" i="5"/>
  <c r="F127" i="5"/>
  <c r="E127" i="5"/>
  <c r="F126" i="5"/>
  <c r="G126" i="5" s="1"/>
  <c r="E126" i="5"/>
  <c r="F76" i="5"/>
  <c r="E76" i="5"/>
  <c r="F112" i="5"/>
  <c r="G112" i="5" s="1"/>
  <c r="E112" i="5"/>
  <c r="F14" i="5"/>
  <c r="E14" i="5"/>
  <c r="G14" i="5" s="1"/>
  <c r="F156" i="5"/>
  <c r="G156" i="5" s="1"/>
  <c r="E156" i="5"/>
  <c r="F155" i="5"/>
  <c r="G155" i="5" s="1"/>
  <c r="E155" i="5"/>
  <c r="E87" i="5"/>
  <c r="G87" i="5" s="1"/>
  <c r="E42" i="5"/>
  <c r="G42" i="5" s="1"/>
  <c r="G140" i="5"/>
  <c r="E140" i="5"/>
  <c r="G97" i="5"/>
  <c r="E97" i="5"/>
  <c r="E41" i="5"/>
  <c r="G41" i="5" s="1"/>
  <c r="E139" i="5"/>
  <c r="G139" i="5" s="1"/>
  <c r="G138" i="5"/>
  <c r="E138" i="5"/>
  <c r="G96" i="5"/>
  <c r="E96" i="5"/>
  <c r="E137" i="5"/>
  <c r="G137" i="5" s="1"/>
  <c r="E115" i="5"/>
  <c r="G115" i="5" s="1"/>
  <c r="E95" i="5"/>
  <c r="G95" i="5" s="1"/>
  <c r="G94" i="5"/>
  <c r="E94" i="5"/>
  <c r="E136" i="5"/>
  <c r="G136" i="5" s="1"/>
  <c r="E151" i="5"/>
  <c r="G151" i="5" s="1"/>
  <c r="G150" i="5"/>
  <c r="E150" i="5"/>
  <c r="E23" i="5"/>
  <c r="G23" i="5" s="1"/>
  <c r="E149" i="5"/>
  <c r="G149" i="5" s="1"/>
  <c r="F67" i="5"/>
  <c r="E67" i="5"/>
  <c r="F66" i="5"/>
  <c r="G66" i="5" s="1"/>
  <c r="E66" i="5"/>
  <c r="F48" i="5"/>
  <c r="E48" i="5"/>
  <c r="F4" i="5"/>
  <c r="E4" i="5"/>
  <c r="G4" i="5" s="1"/>
  <c r="F40" i="5"/>
  <c r="G40" i="5" s="1"/>
  <c r="E40" i="5"/>
  <c r="F39" i="5"/>
  <c r="E39" i="5"/>
  <c r="G39" i="5" s="1"/>
  <c r="G49" i="5"/>
  <c r="E49" i="5"/>
  <c r="G69" i="4"/>
  <c r="E69" i="4"/>
  <c r="E63" i="4"/>
  <c r="G63" i="4" s="1"/>
  <c r="E98" i="4"/>
  <c r="G98" i="4" s="1"/>
  <c r="E97" i="4"/>
  <c r="G97" i="4" s="1"/>
  <c r="G74" i="4"/>
  <c r="E74" i="4"/>
  <c r="E73" i="4"/>
  <c r="G73" i="4" s="1"/>
  <c r="E72" i="4"/>
  <c r="G72" i="4" s="1"/>
  <c r="G54" i="4"/>
  <c r="E54" i="4"/>
  <c r="E4" i="4"/>
  <c r="G4" i="4" s="1"/>
  <c r="F75" i="4"/>
  <c r="G75" i="4" s="1"/>
  <c r="E75" i="4"/>
  <c r="G62" i="4"/>
  <c r="F62" i="4"/>
  <c r="E62" i="4"/>
  <c r="F55" i="4"/>
  <c r="G55" i="4" s="1"/>
  <c r="E55" i="4"/>
  <c r="F5" i="4"/>
  <c r="E5" i="4"/>
  <c r="G56" i="4"/>
  <c r="F56" i="4"/>
  <c r="E56" i="4"/>
  <c r="F92" i="4"/>
  <c r="E92" i="4"/>
  <c r="F91" i="4"/>
  <c r="G91" i="4" s="1"/>
  <c r="E91" i="4"/>
  <c r="F90" i="4"/>
  <c r="E90" i="4"/>
  <c r="F89" i="4"/>
  <c r="G89" i="4" s="1"/>
  <c r="E89" i="4"/>
  <c r="F88" i="4"/>
  <c r="G88" i="4" s="1"/>
  <c r="E88" i="4"/>
  <c r="F51" i="4"/>
  <c r="E51" i="4"/>
  <c r="G51" i="4" s="1"/>
  <c r="F50" i="4"/>
  <c r="E50" i="4"/>
  <c r="F27" i="4"/>
  <c r="G27" i="4" s="1"/>
  <c r="E27" i="4"/>
  <c r="G94" i="4"/>
  <c r="E94" i="4"/>
  <c r="G93" i="4"/>
  <c r="E93" i="4"/>
  <c r="G30" i="4"/>
  <c r="E30" i="4"/>
  <c r="E53" i="4"/>
  <c r="G53" i="4" s="1"/>
  <c r="F31" i="4"/>
  <c r="E31" i="4"/>
  <c r="F82" i="4"/>
  <c r="E82" i="4"/>
  <c r="F64" i="4"/>
  <c r="G64" i="4" s="1"/>
  <c r="E64" i="4"/>
  <c r="F37" i="4"/>
  <c r="E37" i="4"/>
  <c r="G36" i="4"/>
  <c r="F36" i="4"/>
  <c r="E36" i="4"/>
  <c r="G35" i="4"/>
  <c r="F35" i="4"/>
  <c r="E35" i="4"/>
  <c r="F34" i="4"/>
  <c r="E34" i="4"/>
  <c r="G34" i="4" s="1"/>
  <c r="G33" i="4"/>
  <c r="F33" i="4"/>
  <c r="E33" i="4"/>
  <c r="F32" i="4"/>
  <c r="E32" i="4"/>
  <c r="F13" i="4"/>
  <c r="G13" i="4" s="1"/>
  <c r="E13" i="4"/>
  <c r="F12" i="4"/>
  <c r="E12" i="4"/>
  <c r="F11" i="4"/>
  <c r="G11" i="4" s="1"/>
  <c r="E11" i="4"/>
  <c r="G10" i="4"/>
  <c r="F10" i="4"/>
  <c r="E10" i="4"/>
  <c r="F9" i="4"/>
  <c r="G9" i="4" s="1"/>
  <c r="E9" i="4"/>
  <c r="F8" i="4"/>
  <c r="E8" i="4"/>
  <c r="G7" i="4"/>
  <c r="E7" i="4"/>
  <c r="G101" i="4"/>
  <c r="E101" i="4"/>
  <c r="E100" i="4"/>
  <c r="G100" i="4" s="1"/>
  <c r="E99" i="4"/>
  <c r="G99" i="4" s="1"/>
  <c r="G77" i="4"/>
  <c r="E77" i="4"/>
  <c r="G76" i="4"/>
  <c r="E76" i="4"/>
  <c r="E81" i="4"/>
  <c r="G81" i="4" s="1"/>
  <c r="E80" i="4"/>
  <c r="G80" i="4" s="1"/>
  <c r="E79" i="4"/>
  <c r="G79" i="4" s="1"/>
  <c r="G78" i="4"/>
  <c r="E78" i="4"/>
  <c r="E6" i="4"/>
  <c r="G6" i="4" s="1"/>
  <c r="E61" i="4"/>
  <c r="G61" i="4" s="1"/>
  <c r="G47" i="4"/>
  <c r="E47" i="4"/>
  <c r="E46" i="4"/>
  <c r="G46" i="4" s="1"/>
  <c r="E25" i="4"/>
  <c r="G25" i="4" s="1"/>
  <c r="E24" i="4"/>
  <c r="G24" i="4" s="1"/>
  <c r="G110" i="4"/>
  <c r="F110" i="4"/>
  <c r="E110" i="4"/>
  <c r="F87" i="4"/>
  <c r="E87" i="4"/>
  <c r="G87" i="4" s="1"/>
  <c r="F58" i="4"/>
  <c r="G58" i="4" s="1"/>
  <c r="E58" i="4"/>
  <c r="F45" i="4"/>
  <c r="E45" i="4"/>
  <c r="F109" i="4"/>
  <c r="G109" i="4" s="1"/>
  <c r="E109" i="4"/>
  <c r="F108" i="4"/>
  <c r="G108" i="4" s="1"/>
  <c r="E108" i="4"/>
  <c r="F107" i="4"/>
  <c r="E107" i="4"/>
  <c r="G107" i="4" s="1"/>
  <c r="F106" i="4"/>
  <c r="E106" i="4"/>
  <c r="F105" i="4"/>
  <c r="G105" i="4" s="1"/>
  <c r="E105" i="4"/>
  <c r="F104" i="4"/>
  <c r="E104" i="4"/>
  <c r="F103" i="4"/>
  <c r="G103" i="4" s="1"/>
  <c r="E103" i="4"/>
  <c r="F102" i="4"/>
  <c r="G102" i="4" s="1"/>
  <c r="E102" i="4"/>
  <c r="F86" i="4"/>
  <c r="E86" i="4"/>
  <c r="F85" i="4"/>
  <c r="E85" i="4"/>
  <c r="G85" i="4" s="1"/>
  <c r="F84" i="4"/>
  <c r="G84" i="4" s="1"/>
  <c r="E84" i="4"/>
  <c r="F83" i="4"/>
  <c r="E83" i="4"/>
  <c r="G83" i="4" s="1"/>
  <c r="F68" i="4"/>
  <c r="E68" i="4"/>
  <c r="G68" i="4" s="1"/>
  <c r="F57" i="4"/>
  <c r="E57" i="4"/>
  <c r="F44" i="4"/>
  <c r="E44" i="4"/>
  <c r="F43" i="4"/>
  <c r="G43" i="4" s="1"/>
  <c r="E43" i="4"/>
  <c r="F42" i="4"/>
  <c r="E42" i="4"/>
  <c r="F41" i="4"/>
  <c r="G41" i="4" s="1"/>
  <c r="E41" i="4"/>
  <c r="F40" i="4"/>
  <c r="G40" i="4" s="1"/>
  <c r="E40" i="4"/>
  <c r="F39" i="4"/>
  <c r="E39" i="4"/>
  <c r="G39" i="4" s="1"/>
  <c r="F23" i="4"/>
  <c r="G23" i="4" s="1"/>
  <c r="E23" i="4"/>
  <c r="F22" i="4"/>
  <c r="E22" i="4"/>
  <c r="G22" i="4" s="1"/>
  <c r="F21" i="4"/>
  <c r="G21" i="4" s="1"/>
  <c r="E21" i="4"/>
  <c r="F20" i="4"/>
  <c r="G20" i="4" s="1"/>
  <c r="E20" i="4"/>
  <c r="F19" i="4"/>
  <c r="G19" i="4" s="1"/>
  <c r="E19" i="4"/>
  <c r="F18" i="4"/>
  <c r="G18" i="4" s="1"/>
  <c r="E18" i="4"/>
  <c r="F17" i="4"/>
  <c r="G17" i="4" s="1"/>
  <c r="E17" i="4"/>
  <c r="F16" i="4"/>
  <c r="E16" i="4"/>
  <c r="F15" i="4"/>
  <c r="G15" i="4" s="1"/>
  <c r="E15" i="4"/>
  <c r="F14" i="4"/>
  <c r="E14" i="4"/>
  <c r="G14" i="4" s="1"/>
  <c r="F29" i="4"/>
  <c r="E29" i="4"/>
  <c r="F28" i="4"/>
  <c r="E28" i="4"/>
  <c r="E60" i="4"/>
  <c r="G60" i="4" s="1"/>
  <c r="E59" i="4"/>
  <c r="G59" i="4" s="1"/>
  <c r="E49" i="4"/>
  <c r="G49" i="4" s="1"/>
  <c r="E48" i="4"/>
  <c r="G48" i="4" s="1"/>
  <c r="E26" i="4"/>
  <c r="G26" i="4" s="1"/>
  <c r="F96" i="4"/>
  <c r="E96" i="4"/>
  <c r="F95" i="4"/>
  <c r="G95" i="4" s="1"/>
  <c r="E95" i="4"/>
  <c r="F71" i="4"/>
  <c r="G71" i="4" s="1"/>
  <c r="E71" i="4"/>
  <c r="F70" i="4"/>
  <c r="E70" i="4"/>
  <c r="G70" i="4" s="1"/>
  <c r="G52" i="4"/>
  <c r="F52" i="4"/>
  <c r="E52" i="4"/>
  <c r="G67" i="4"/>
  <c r="E67" i="4"/>
  <c r="G66" i="4"/>
  <c r="E66" i="4"/>
  <c r="E65" i="4"/>
  <c r="G65" i="4" s="1"/>
  <c r="G38" i="4"/>
  <c r="E38" i="4"/>
  <c r="E76" i="3"/>
  <c r="G76" i="3" s="1"/>
  <c r="E93" i="3"/>
  <c r="E92" i="3"/>
  <c r="G21" i="3"/>
  <c r="E97" i="3"/>
  <c r="E20" i="3"/>
  <c r="G20" i="3" s="1"/>
  <c r="E80" i="3"/>
  <c r="E19" i="3"/>
  <c r="G19" i="3" s="1"/>
  <c r="E36" i="3"/>
  <c r="G36" i="3" s="1"/>
  <c r="E18" i="3"/>
  <c r="G18" i="3" s="1"/>
  <c r="E116" i="3"/>
  <c r="E96" i="3"/>
  <c r="G35" i="3"/>
  <c r="E35" i="3"/>
  <c r="E43" i="3"/>
  <c r="G43" i="3" s="1"/>
  <c r="E71" i="3"/>
  <c r="G71" i="3" s="1"/>
  <c r="E115" i="3"/>
  <c r="E89" i="3"/>
  <c r="E63" i="3"/>
  <c r="G63" i="3" s="1"/>
  <c r="E70" i="3"/>
  <c r="G70" i="3" s="1"/>
  <c r="G62" i="3"/>
  <c r="E62" i="3"/>
  <c r="E114" i="3"/>
  <c r="E27" i="3"/>
  <c r="G27" i="3" s="1"/>
  <c r="E111" i="3"/>
  <c r="E88" i="3"/>
  <c r="E61" i="3"/>
  <c r="G61" i="3" s="1"/>
  <c r="E42" i="3"/>
  <c r="G42" i="3" s="1"/>
  <c r="E6" i="3"/>
  <c r="G6" i="3" s="1"/>
  <c r="G5" i="3"/>
  <c r="E5" i="3"/>
  <c r="G46" i="3"/>
  <c r="E46" i="3"/>
  <c r="E113" i="3"/>
  <c r="E112" i="3"/>
  <c r="E87" i="3"/>
  <c r="E95" i="3"/>
  <c r="E94" i="3"/>
  <c r="E11" i="3"/>
  <c r="G11" i="3" s="1"/>
  <c r="G45" i="3"/>
  <c r="E45" i="3"/>
  <c r="E12" i="3"/>
  <c r="G12" i="3" s="1"/>
  <c r="F79" i="3"/>
  <c r="E79" i="3"/>
  <c r="G79" i="3" s="1"/>
  <c r="G10" i="3"/>
  <c r="F10" i="3"/>
  <c r="E10" i="3"/>
  <c r="F47" i="3"/>
  <c r="E47" i="3"/>
  <c r="G47" i="3" s="1"/>
  <c r="F68" i="3"/>
  <c r="E68" i="3"/>
  <c r="G68" i="3" s="1"/>
  <c r="F67" i="3"/>
  <c r="E67" i="3"/>
  <c r="E86" i="3"/>
  <c r="E85" i="3"/>
  <c r="E110" i="3"/>
  <c r="F38" i="3"/>
  <c r="G38" i="3" s="1"/>
  <c r="E38" i="3"/>
  <c r="F24" i="3"/>
  <c r="G24" i="3" s="1"/>
  <c r="E24" i="3"/>
  <c r="F37" i="3"/>
  <c r="E37" i="3"/>
  <c r="G37" i="3" s="1"/>
  <c r="G66" i="3"/>
  <c r="F66" i="3"/>
  <c r="E66" i="3"/>
  <c r="F65" i="3"/>
  <c r="E65" i="3"/>
  <c r="E109" i="3"/>
  <c r="F50" i="3"/>
  <c r="E50" i="3"/>
  <c r="E53" i="3"/>
  <c r="G53" i="3" s="1"/>
  <c r="E90" i="3"/>
  <c r="E52" i="3"/>
  <c r="G52" i="3" s="1"/>
  <c r="E51" i="3"/>
  <c r="G51" i="3" s="1"/>
  <c r="G75" i="3"/>
  <c r="E75" i="3"/>
  <c r="E33" i="3"/>
  <c r="G33" i="3" s="1"/>
  <c r="F31" i="3"/>
  <c r="E31" i="3"/>
  <c r="G31" i="3" s="1"/>
  <c r="G74" i="3"/>
  <c r="F74" i="3"/>
  <c r="E74" i="3"/>
  <c r="F48" i="3"/>
  <c r="E48" i="3"/>
  <c r="G48" i="3" s="1"/>
  <c r="F14" i="3"/>
  <c r="E14" i="3"/>
  <c r="F13" i="3"/>
  <c r="E13" i="3"/>
  <c r="E32" i="3"/>
  <c r="G32" i="3" s="1"/>
  <c r="E69" i="3"/>
  <c r="G69" i="3" s="1"/>
  <c r="G26" i="3"/>
  <c r="E26" i="3"/>
  <c r="E25" i="3"/>
  <c r="G25" i="3" s="1"/>
  <c r="E41" i="3"/>
  <c r="G41" i="3" s="1"/>
  <c r="G60" i="3"/>
  <c r="E60" i="3"/>
  <c r="E40" i="3"/>
  <c r="G40" i="3" s="1"/>
  <c r="E39" i="3"/>
  <c r="G39" i="3" s="1"/>
  <c r="E108" i="3"/>
  <c r="E84" i="3"/>
  <c r="E91" i="3"/>
  <c r="E83" i="3"/>
  <c r="E107" i="3"/>
  <c r="E82" i="3"/>
  <c r="E106" i="3"/>
  <c r="E105" i="3"/>
  <c r="E4" i="3"/>
  <c r="G4" i="3" s="1"/>
  <c r="E78" i="3"/>
  <c r="G78" i="3" s="1"/>
  <c r="G77" i="3"/>
  <c r="E77" i="3"/>
  <c r="E54" i="3"/>
  <c r="G54" i="3" s="1"/>
  <c r="F73" i="3"/>
  <c r="G73" i="3" s="1"/>
  <c r="E73" i="3"/>
  <c r="F44" i="3"/>
  <c r="E44" i="3"/>
  <c r="G9" i="3"/>
  <c r="F9" i="3"/>
  <c r="E9" i="3"/>
  <c r="F72" i="3"/>
  <c r="G72" i="3" s="1"/>
  <c r="E72" i="3"/>
  <c r="F30" i="3"/>
  <c r="E30" i="3"/>
  <c r="G30" i="3" s="1"/>
  <c r="F8" i="3"/>
  <c r="E8" i="3"/>
  <c r="F7" i="3"/>
  <c r="E7" i="3"/>
  <c r="G7" i="3" s="1"/>
  <c r="E104" i="3"/>
  <c r="E81" i="3"/>
  <c r="E103" i="3"/>
  <c r="E102" i="3"/>
  <c r="G29" i="3"/>
  <c r="E29" i="3"/>
  <c r="E15" i="3"/>
  <c r="G15" i="3" s="1"/>
  <c r="E34" i="3"/>
  <c r="G34" i="3" s="1"/>
  <c r="G17" i="3"/>
  <c r="E17" i="3"/>
  <c r="E16" i="3"/>
  <c r="G16" i="3" s="1"/>
  <c r="F59" i="3"/>
  <c r="G59" i="3" s="1"/>
  <c r="E59" i="3"/>
  <c r="F58" i="3"/>
  <c r="G58" i="3" s="1"/>
  <c r="E58" i="3"/>
  <c r="F57" i="3"/>
  <c r="E57" i="3"/>
  <c r="G57" i="3" s="1"/>
  <c r="G23" i="3"/>
  <c r="E23" i="3"/>
  <c r="E56" i="3"/>
  <c r="G56" i="3" s="1"/>
  <c r="E101" i="3"/>
  <c r="G22" i="3"/>
  <c r="E22" i="3"/>
  <c r="E55" i="3"/>
  <c r="G55" i="3" s="1"/>
  <c r="E100" i="3"/>
  <c r="E99" i="3"/>
  <c r="E98" i="3"/>
  <c r="E28" i="3"/>
  <c r="G28" i="3" s="1"/>
  <c r="G49" i="3"/>
  <c r="E49" i="3"/>
  <c r="E64" i="3"/>
  <c r="G64" i="3" s="1"/>
  <c r="G47" i="2"/>
  <c r="E47" i="2"/>
  <c r="E25" i="2"/>
  <c r="G25" i="2" s="1"/>
  <c r="E24" i="2"/>
  <c r="G24" i="2" s="1"/>
  <c r="G74" i="2"/>
  <c r="E74" i="2"/>
  <c r="G23" i="2"/>
  <c r="E23" i="2"/>
  <c r="E38" i="2"/>
  <c r="G38" i="2" s="1"/>
  <c r="E22" i="2"/>
  <c r="G22" i="2" s="1"/>
  <c r="G46" i="2"/>
  <c r="E46" i="2"/>
  <c r="E90" i="2"/>
  <c r="G90" i="2" s="1"/>
  <c r="F67" i="2"/>
  <c r="G67" i="2" s="1"/>
  <c r="E67" i="2"/>
  <c r="F70" i="2"/>
  <c r="E70" i="2"/>
  <c r="G69" i="2"/>
  <c r="F69" i="2"/>
  <c r="E69" i="2"/>
  <c r="G19" i="2"/>
  <c r="F19" i="2"/>
  <c r="E19" i="2"/>
  <c r="F34" i="2"/>
  <c r="E34" i="2"/>
  <c r="G34" i="2" s="1"/>
  <c r="F84" i="2"/>
  <c r="E84" i="2"/>
  <c r="F78" i="2"/>
  <c r="E78" i="2"/>
  <c r="G78" i="2" s="1"/>
  <c r="F7" i="2"/>
  <c r="G7" i="2" s="1"/>
  <c r="E7" i="2"/>
  <c r="F6" i="2"/>
  <c r="E6" i="2"/>
  <c r="E63" i="2"/>
  <c r="G63" i="2" s="1"/>
  <c r="F92" i="2"/>
  <c r="G92" i="2" s="1"/>
  <c r="E92" i="2"/>
  <c r="F49" i="2"/>
  <c r="G49" i="2" s="1"/>
  <c r="E49" i="2"/>
  <c r="F9" i="2"/>
  <c r="G9" i="2" s="1"/>
  <c r="E9" i="2"/>
  <c r="F79" i="2"/>
  <c r="G79" i="2" s="1"/>
  <c r="E79" i="2"/>
  <c r="F8" i="2"/>
  <c r="G8" i="2" s="1"/>
  <c r="E8" i="2"/>
  <c r="F91" i="2"/>
  <c r="E91" i="2"/>
  <c r="F72" i="2"/>
  <c r="E72" i="2"/>
  <c r="G72" i="2" s="1"/>
  <c r="G65" i="2"/>
  <c r="E65" i="2"/>
  <c r="G64" i="2"/>
  <c r="E64" i="2"/>
  <c r="G58" i="2"/>
  <c r="E58" i="2"/>
  <c r="E57" i="2"/>
  <c r="G57" i="2" s="1"/>
  <c r="G56" i="2"/>
  <c r="E56" i="2"/>
  <c r="E55" i="2"/>
  <c r="G55" i="2" s="1"/>
  <c r="E54" i="2"/>
  <c r="G54" i="2" s="1"/>
  <c r="E96" i="2"/>
  <c r="G96" i="2" s="1"/>
  <c r="E82" i="2"/>
  <c r="G82" i="2" s="1"/>
  <c r="G17" i="2"/>
  <c r="E17" i="2"/>
  <c r="G85" i="2"/>
  <c r="E85" i="2"/>
  <c r="E37" i="2"/>
  <c r="G37" i="2" s="1"/>
  <c r="G29" i="2"/>
  <c r="F48" i="2"/>
  <c r="E48" i="2"/>
  <c r="G95" i="2"/>
  <c r="E95" i="2"/>
  <c r="E66" i="2"/>
  <c r="G66" i="2" s="1"/>
  <c r="E28" i="2"/>
  <c r="G28" i="2" s="1"/>
  <c r="F53" i="2"/>
  <c r="E53" i="2"/>
  <c r="G53" i="2" s="1"/>
  <c r="F52" i="2"/>
  <c r="E52" i="2"/>
  <c r="F11" i="2"/>
  <c r="G11" i="2" s="1"/>
  <c r="E11" i="2"/>
  <c r="F10" i="2"/>
  <c r="G10" i="2" s="1"/>
  <c r="E10" i="2"/>
  <c r="F51" i="2"/>
  <c r="E51" i="2"/>
  <c r="F50" i="2"/>
  <c r="G50" i="2" s="1"/>
  <c r="E50" i="2"/>
  <c r="G21" i="2"/>
  <c r="E21" i="2"/>
  <c r="G20" i="2"/>
  <c r="E87" i="2"/>
  <c r="G87" i="2" s="1"/>
  <c r="E86" i="2"/>
  <c r="G86" i="2" s="1"/>
  <c r="E73" i="2"/>
  <c r="G73" i="2" s="1"/>
  <c r="F83" i="2"/>
  <c r="E83" i="2"/>
  <c r="G83" i="2" s="1"/>
  <c r="F71" i="2"/>
  <c r="G71" i="2" s="1"/>
  <c r="E71" i="2"/>
  <c r="F102" i="2"/>
  <c r="E102" i="2"/>
  <c r="E98" i="2"/>
  <c r="G98" i="2" s="1"/>
  <c r="E18" i="2"/>
  <c r="G18" i="2" s="1"/>
  <c r="E97" i="2"/>
  <c r="G97" i="2" s="1"/>
  <c r="F45" i="2"/>
  <c r="G45" i="2" s="1"/>
  <c r="E45" i="2"/>
  <c r="F77" i="2"/>
  <c r="E77" i="2"/>
  <c r="G77" i="2" s="1"/>
  <c r="F76" i="2"/>
  <c r="E76" i="2"/>
  <c r="G76" i="2" s="1"/>
  <c r="F44" i="2"/>
  <c r="E44" i="2"/>
  <c r="G44" i="2" s="1"/>
  <c r="F89" i="2"/>
  <c r="E89" i="2"/>
  <c r="F43" i="2"/>
  <c r="E43" i="2"/>
  <c r="F42" i="2"/>
  <c r="E42" i="2"/>
  <c r="F27" i="2"/>
  <c r="E27" i="2"/>
  <c r="G4" i="2"/>
  <c r="F4" i="2"/>
  <c r="E4" i="2"/>
  <c r="G93" i="2"/>
  <c r="F93" i="2"/>
  <c r="E93" i="2"/>
  <c r="E99" i="2"/>
  <c r="G99" i="2" s="1"/>
  <c r="G5" i="2"/>
  <c r="F5" i="2"/>
  <c r="E5" i="2"/>
  <c r="G60" i="2"/>
  <c r="E60" i="2"/>
  <c r="E59" i="2"/>
  <c r="G59" i="2" s="1"/>
  <c r="E33" i="2"/>
  <c r="G33" i="2" s="1"/>
  <c r="E13" i="2"/>
  <c r="G13" i="2" s="1"/>
  <c r="G12" i="2"/>
  <c r="E12" i="2"/>
  <c r="E32" i="2"/>
  <c r="G32" i="2" s="1"/>
  <c r="E31" i="2"/>
  <c r="G31" i="2" s="1"/>
  <c r="G30" i="2"/>
  <c r="E30" i="2"/>
  <c r="E36" i="2"/>
  <c r="G36" i="2" s="1"/>
  <c r="E35" i="2"/>
  <c r="G35" i="2" s="1"/>
  <c r="E101" i="2"/>
  <c r="G101" i="2" s="1"/>
  <c r="E100" i="2"/>
  <c r="G100" i="2" s="1"/>
  <c r="E68" i="2"/>
  <c r="G68" i="2" s="1"/>
  <c r="F26" i="2"/>
  <c r="G26" i="2" s="1"/>
  <c r="E26" i="2"/>
  <c r="E81" i="2"/>
  <c r="G81" i="2" s="1"/>
  <c r="E62" i="2"/>
  <c r="G62" i="2" s="1"/>
  <c r="E61" i="2"/>
  <c r="G61" i="2" s="1"/>
  <c r="E80" i="2"/>
  <c r="G80" i="2" s="1"/>
  <c r="E16" i="2"/>
  <c r="G16" i="2" s="1"/>
  <c r="E15" i="2"/>
  <c r="G15" i="2" s="1"/>
  <c r="G14" i="2"/>
  <c r="E14" i="2"/>
  <c r="E41" i="2"/>
  <c r="G41" i="2" s="1"/>
  <c r="E88" i="2"/>
  <c r="G88" i="2" s="1"/>
  <c r="E40" i="2"/>
  <c r="G40" i="2" s="1"/>
  <c r="E39" i="2"/>
  <c r="G39" i="2" s="1"/>
  <c r="G75" i="2"/>
  <c r="E75" i="2"/>
  <c r="F94" i="2"/>
  <c r="E94" i="2"/>
  <c r="F178" i="1"/>
  <c r="G178" i="1" s="1"/>
  <c r="E178" i="1"/>
  <c r="F55" i="1"/>
  <c r="E55" i="1"/>
  <c r="G55" i="1" s="1"/>
  <c r="F54" i="1"/>
  <c r="E54" i="1"/>
  <c r="F177" i="1"/>
  <c r="E177" i="1"/>
  <c r="F53" i="1"/>
  <c r="E53" i="1"/>
  <c r="E42" i="1"/>
  <c r="G42" i="1" s="1"/>
  <c r="G7" i="1"/>
  <c r="E7" i="1"/>
  <c r="E95" i="1"/>
  <c r="G95" i="1" s="1"/>
  <c r="E94" i="1"/>
  <c r="G94" i="1" s="1"/>
  <c r="E67" i="1"/>
  <c r="G67" i="1" s="1"/>
  <c r="E6" i="1"/>
  <c r="G6" i="1" s="1"/>
  <c r="G5" i="1"/>
  <c r="E5" i="1"/>
  <c r="E4" i="1"/>
  <c r="G4" i="1" s="1"/>
  <c r="E93" i="1"/>
  <c r="G93" i="1" s="1"/>
  <c r="G115" i="1"/>
  <c r="E115" i="1"/>
  <c r="E41" i="1"/>
  <c r="G41" i="1" s="1"/>
  <c r="E157" i="1"/>
  <c r="G157" i="1" s="1"/>
  <c r="E156" i="1"/>
  <c r="G156" i="1" s="1"/>
  <c r="E45" i="1"/>
  <c r="G45" i="1" s="1"/>
  <c r="E44" i="1"/>
  <c r="G44" i="1" s="1"/>
  <c r="E68" i="1"/>
  <c r="G68" i="1" s="1"/>
  <c r="E9" i="1"/>
  <c r="G9" i="1" s="1"/>
  <c r="E116" i="1"/>
  <c r="G116" i="1" s="1"/>
  <c r="E43" i="1"/>
  <c r="G43" i="1" s="1"/>
  <c r="E8" i="1"/>
  <c r="G8" i="1" s="1"/>
  <c r="F186" i="1"/>
  <c r="E186" i="1"/>
  <c r="F58" i="1"/>
  <c r="G58" i="1" s="1"/>
  <c r="E58" i="1"/>
  <c r="F28" i="1"/>
  <c r="E28" i="1"/>
  <c r="F57" i="1"/>
  <c r="G57" i="1" s="1"/>
  <c r="E57" i="1"/>
  <c r="F27" i="1"/>
  <c r="E27" i="1"/>
  <c r="F26" i="1"/>
  <c r="E26" i="1"/>
  <c r="F25" i="1"/>
  <c r="E25" i="1"/>
  <c r="G144" i="1"/>
  <c r="F144" i="1"/>
  <c r="E144" i="1"/>
  <c r="F128" i="1"/>
  <c r="G128" i="1" s="1"/>
  <c r="E128" i="1"/>
  <c r="F143" i="1"/>
  <c r="G143" i="1" s="1"/>
  <c r="E143" i="1"/>
  <c r="E133" i="1"/>
  <c r="G133" i="1" s="1"/>
  <c r="E80" i="1"/>
  <c r="G80" i="1" s="1"/>
  <c r="E127" i="1"/>
  <c r="G127" i="1" s="1"/>
  <c r="F108" i="1"/>
  <c r="E108" i="1"/>
  <c r="F125" i="1"/>
  <c r="E125" i="1"/>
  <c r="F107" i="1"/>
  <c r="E107" i="1"/>
  <c r="G39" i="1"/>
  <c r="E39" i="1"/>
  <c r="E38" i="1"/>
  <c r="G38" i="1" s="1"/>
  <c r="E154" i="1"/>
  <c r="G154" i="1" s="1"/>
  <c r="E65" i="1"/>
  <c r="G65" i="1" s="1"/>
  <c r="G190" i="1"/>
  <c r="E190" i="1"/>
  <c r="E189" i="1"/>
  <c r="G189" i="1" s="1"/>
  <c r="E188" i="1"/>
  <c r="G188" i="1" s="1"/>
  <c r="E153" i="1"/>
  <c r="G153" i="1" s="1"/>
  <c r="E111" i="1"/>
  <c r="G111" i="1" s="1"/>
  <c r="E92" i="1"/>
  <c r="G92" i="1" s="1"/>
  <c r="E64" i="1"/>
  <c r="G64" i="1" s="1"/>
  <c r="E152" i="1"/>
  <c r="G152" i="1" s="1"/>
  <c r="E63" i="1"/>
  <c r="G63" i="1" s="1"/>
  <c r="E187" i="1"/>
  <c r="G187" i="1" s="1"/>
  <c r="E151" i="1"/>
  <c r="G151" i="1" s="1"/>
  <c r="E110" i="1"/>
  <c r="G110" i="1" s="1"/>
  <c r="E37" i="1"/>
  <c r="G37" i="1" s="1"/>
  <c r="E36" i="1"/>
  <c r="G36" i="1" s="1"/>
  <c r="E35" i="1"/>
  <c r="G35" i="1" s="1"/>
  <c r="E100" i="1"/>
  <c r="G100" i="1" s="1"/>
  <c r="F11" i="1"/>
  <c r="E11" i="1"/>
  <c r="G11" i="1" s="1"/>
  <c r="F10" i="1"/>
  <c r="G10" i="1" s="1"/>
  <c r="E10" i="1"/>
  <c r="F118" i="1"/>
  <c r="E118" i="1"/>
  <c r="F97" i="1"/>
  <c r="G97" i="1" s="1"/>
  <c r="E97" i="1"/>
  <c r="F117" i="1"/>
  <c r="E117" i="1"/>
  <c r="F91" i="1"/>
  <c r="G91" i="1" s="1"/>
  <c r="E91" i="1"/>
  <c r="F90" i="1"/>
  <c r="E90" i="1"/>
  <c r="F62" i="1"/>
  <c r="G62" i="1" s="1"/>
  <c r="E62" i="1"/>
  <c r="F34" i="1"/>
  <c r="G34" i="1" s="1"/>
  <c r="E34" i="1"/>
  <c r="F33" i="1"/>
  <c r="G33" i="1" s="1"/>
  <c r="E33" i="1"/>
  <c r="F32" i="1"/>
  <c r="E32" i="1"/>
  <c r="F185" i="1"/>
  <c r="G185" i="1" s="1"/>
  <c r="E185" i="1"/>
  <c r="F150" i="1"/>
  <c r="G150" i="1" s="1"/>
  <c r="E150" i="1"/>
  <c r="F89" i="1"/>
  <c r="G89" i="1" s="1"/>
  <c r="E89" i="1"/>
  <c r="F129" i="1"/>
  <c r="G129" i="1" s="1"/>
  <c r="E129" i="1"/>
  <c r="E162" i="1"/>
  <c r="G162" i="1" s="1"/>
  <c r="E161" i="1"/>
  <c r="G161" i="1" s="1"/>
  <c r="E69" i="1"/>
  <c r="G69" i="1" s="1"/>
  <c r="G16" i="1"/>
  <c r="E16" i="1"/>
  <c r="E121" i="1"/>
  <c r="G121" i="1" s="1"/>
  <c r="E15" i="1"/>
  <c r="G15" i="1" s="1"/>
  <c r="E14" i="1"/>
  <c r="G14" i="1" s="1"/>
  <c r="E13" i="1"/>
  <c r="G13" i="1" s="1"/>
  <c r="E75" i="1"/>
  <c r="G75" i="1" s="1"/>
  <c r="E74" i="1"/>
  <c r="G74" i="1" s="1"/>
  <c r="E126" i="1"/>
  <c r="G126" i="1" s="1"/>
  <c r="F120" i="1"/>
  <c r="E120" i="1"/>
  <c r="G120" i="1" s="1"/>
  <c r="F12" i="1"/>
  <c r="G12" i="1" s="1"/>
  <c r="E12" i="1"/>
  <c r="F136" i="1"/>
  <c r="G136" i="1" s="1"/>
  <c r="E136" i="1"/>
  <c r="F135" i="1"/>
  <c r="G135" i="1" s="1"/>
  <c r="E135" i="1"/>
  <c r="F160" i="1"/>
  <c r="E160" i="1"/>
  <c r="F119" i="1"/>
  <c r="G119" i="1" s="1"/>
  <c r="E119" i="1"/>
  <c r="F134" i="1"/>
  <c r="G134" i="1" s="1"/>
  <c r="E134" i="1"/>
  <c r="F122" i="1"/>
  <c r="E122" i="1"/>
  <c r="G122" i="1" s="1"/>
  <c r="G99" i="1"/>
  <c r="E99" i="1"/>
  <c r="E170" i="1"/>
  <c r="G170" i="1" s="1"/>
  <c r="E72" i="1"/>
  <c r="G72" i="1" s="1"/>
  <c r="E169" i="1"/>
  <c r="G169" i="1" s="1"/>
  <c r="G168" i="1"/>
  <c r="E168" i="1"/>
  <c r="E167" i="1"/>
  <c r="G167" i="1" s="1"/>
  <c r="E71" i="1"/>
  <c r="G71" i="1" s="1"/>
  <c r="E48" i="1"/>
  <c r="G48" i="1" s="1"/>
  <c r="E166" i="1"/>
  <c r="G166" i="1" s="1"/>
  <c r="E138" i="1"/>
  <c r="G138" i="1" s="1"/>
  <c r="E137" i="1"/>
  <c r="G137" i="1" s="1"/>
  <c r="E98" i="1"/>
  <c r="G98" i="1" s="1"/>
  <c r="E70" i="1"/>
  <c r="G70" i="1" s="1"/>
  <c r="E47" i="1"/>
  <c r="G47" i="1" s="1"/>
  <c r="E20" i="1"/>
  <c r="G20" i="1" s="1"/>
  <c r="E19" i="1"/>
  <c r="G19" i="1" s="1"/>
  <c r="E165" i="1"/>
  <c r="G165" i="1" s="1"/>
  <c r="E164" i="1"/>
  <c r="G164" i="1" s="1"/>
  <c r="E163" i="1"/>
  <c r="G163" i="1" s="1"/>
  <c r="E46" i="1"/>
  <c r="G46" i="1" s="1"/>
  <c r="G18" i="1"/>
  <c r="E18" i="1"/>
  <c r="E17" i="1"/>
  <c r="G17" i="1" s="1"/>
  <c r="E155" i="1"/>
  <c r="G155" i="1" s="1"/>
  <c r="E131" i="1"/>
  <c r="G131" i="1" s="1"/>
  <c r="E130" i="1"/>
  <c r="G130" i="1" s="1"/>
  <c r="E66" i="1"/>
  <c r="G66" i="1" s="1"/>
  <c r="F184" i="1"/>
  <c r="G184" i="1" s="1"/>
  <c r="E184" i="1"/>
  <c r="F149" i="1"/>
  <c r="G149" i="1" s="1"/>
  <c r="E149" i="1"/>
  <c r="E79" i="1"/>
  <c r="G79" i="1" s="1"/>
  <c r="E96" i="1"/>
  <c r="G96" i="1" s="1"/>
  <c r="E103" i="1"/>
  <c r="G103" i="1" s="1"/>
  <c r="G22" i="1"/>
  <c r="E22" i="1"/>
  <c r="E21" i="1"/>
  <c r="G21" i="1" s="1"/>
  <c r="F24" i="1"/>
  <c r="G24" i="1" s="1"/>
  <c r="E24" i="1"/>
  <c r="F140" i="1"/>
  <c r="G140" i="1" s="1"/>
  <c r="E140" i="1"/>
  <c r="F176" i="1"/>
  <c r="E176" i="1"/>
  <c r="F139" i="1"/>
  <c r="E139" i="1"/>
  <c r="G139" i="1" s="1"/>
  <c r="F52" i="1"/>
  <c r="E52" i="1"/>
  <c r="G52" i="1" s="1"/>
  <c r="F51" i="1"/>
  <c r="E51" i="1"/>
  <c r="F78" i="1"/>
  <c r="G78" i="1" s="1"/>
  <c r="E78" i="1"/>
  <c r="F50" i="1"/>
  <c r="E50" i="1"/>
  <c r="F23" i="1"/>
  <c r="E23" i="1"/>
  <c r="F124" i="1"/>
  <c r="E124" i="1"/>
  <c r="F175" i="1"/>
  <c r="G175" i="1" s="1"/>
  <c r="E175" i="1"/>
  <c r="F106" i="1"/>
  <c r="G106" i="1" s="1"/>
  <c r="E106" i="1"/>
  <c r="F49" i="1"/>
  <c r="E49" i="1"/>
  <c r="F77" i="1"/>
  <c r="E77" i="1"/>
  <c r="F174" i="1"/>
  <c r="G174" i="1" s="1"/>
  <c r="E174" i="1"/>
  <c r="F105" i="1"/>
  <c r="G105" i="1" s="1"/>
  <c r="E105" i="1"/>
  <c r="F76" i="1"/>
  <c r="G76" i="1" s="1"/>
  <c r="E76" i="1"/>
  <c r="F173" i="1"/>
  <c r="E173" i="1"/>
  <c r="F104" i="1"/>
  <c r="G104" i="1" s="1"/>
  <c r="E104" i="1"/>
  <c r="G172" i="1"/>
  <c r="E172" i="1"/>
  <c r="E171" i="1"/>
  <c r="G171" i="1" s="1"/>
  <c r="E123" i="1"/>
  <c r="G123" i="1" s="1"/>
  <c r="E102" i="1"/>
  <c r="G102" i="1" s="1"/>
  <c r="G101" i="1"/>
  <c r="E101" i="1"/>
  <c r="E73" i="1"/>
  <c r="G73" i="1" s="1"/>
  <c r="E159" i="1"/>
  <c r="G159" i="1" s="1"/>
  <c r="E158" i="1"/>
  <c r="G158" i="1" s="1"/>
  <c r="G132" i="1"/>
  <c r="E132" i="1"/>
  <c r="E83" i="1"/>
  <c r="G83" i="1" s="1"/>
  <c r="E82" i="1"/>
  <c r="G82" i="1" s="1"/>
  <c r="E31" i="1"/>
  <c r="G31" i="1" s="1"/>
  <c r="E183" i="1"/>
  <c r="G183" i="1" s="1"/>
  <c r="E182" i="1"/>
  <c r="G182" i="1" s="1"/>
  <c r="E181" i="1"/>
  <c r="G181" i="1" s="1"/>
  <c r="E180" i="1"/>
  <c r="G180" i="1" s="1"/>
  <c r="E88" i="1"/>
  <c r="G88" i="1" s="1"/>
  <c r="E148" i="1"/>
  <c r="G148" i="1" s="1"/>
  <c r="E109" i="1"/>
  <c r="G109" i="1" s="1"/>
  <c r="E87" i="1"/>
  <c r="G87" i="1" s="1"/>
  <c r="E61" i="1"/>
  <c r="G61" i="1" s="1"/>
  <c r="E179" i="1"/>
  <c r="G179" i="1" s="1"/>
  <c r="E60" i="1"/>
  <c r="G60" i="1" s="1"/>
  <c r="E30" i="1"/>
  <c r="G30" i="1" s="1"/>
  <c r="G29" i="1"/>
  <c r="E29" i="1"/>
  <c r="E147" i="1"/>
  <c r="G147" i="1" s="1"/>
  <c r="E146" i="1"/>
  <c r="G146" i="1" s="1"/>
  <c r="E145" i="1"/>
  <c r="G145" i="1" s="1"/>
  <c r="E86" i="1"/>
  <c r="G86" i="1" s="1"/>
  <c r="E85" i="1"/>
  <c r="G85" i="1" s="1"/>
  <c r="E59" i="1"/>
  <c r="G59" i="1" s="1"/>
  <c r="E84" i="1"/>
  <c r="G84" i="1" s="1"/>
  <c r="G141" i="1"/>
  <c r="E141" i="1"/>
  <c r="F114" i="1"/>
  <c r="G114" i="1" s="1"/>
  <c r="E114" i="1"/>
  <c r="F113" i="1"/>
  <c r="E113" i="1"/>
  <c r="F112" i="1"/>
  <c r="E112" i="1"/>
  <c r="G112" i="1" s="1"/>
  <c r="F40" i="1"/>
  <c r="E40" i="1"/>
  <c r="G40" i="1" s="1"/>
  <c r="E142" i="1"/>
  <c r="G142" i="1" s="1"/>
  <c r="E81" i="1"/>
  <c r="G81" i="1" s="1"/>
  <c r="E56" i="1"/>
  <c r="G56" i="1" s="1"/>
  <c r="J76" i="11" l="1"/>
  <c r="K76" i="11"/>
  <c r="G50" i="1"/>
  <c r="G117" i="1"/>
  <c r="G108" i="1"/>
  <c r="G27" i="1"/>
  <c r="G186" i="1"/>
  <c r="G54" i="1"/>
  <c r="G94" i="2"/>
  <c r="G43" i="2"/>
  <c r="G44" i="3"/>
  <c r="G14" i="3"/>
  <c r="G42" i="4"/>
  <c r="G104" i="4"/>
  <c r="G45" i="4"/>
  <c r="G8" i="4"/>
  <c r="G82" i="4"/>
  <c r="G90" i="4"/>
  <c r="G5" i="4"/>
  <c r="G67" i="5"/>
  <c r="G60" i="5"/>
  <c r="G99" i="5"/>
  <c r="G116" i="5"/>
  <c r="H43" i="6"/>
  <c r="H26" i="6"/>
  <c r="H58" i="6"/>
  <c r="K22" i="8"/>
  <c r="K44" i="8"/>
  <c r="K58" i="8"/>
  <c r="K62" i="8"/>
  <c r="K82" i="10"/>
  <c r="K79" i="10"/>
  <c r="K50" i="11"/>
  <c r="G89" i="2"/>
  <c r="G52" i="2"/>
  <c r="G84" i="2"/>
  <c r="G31" i="4"/>
  <c r="G100" i="5"/>
  <c r="H6" i="6"/>
  <c r="H74" i="6"/>
  <c r="H10" i="6"/>
  <c r="K42" i="7"/>
  <c r="K82" i="7"/>
  <c r="K26" i="7"/>
  <c r="K54" i="7"/>
  <c r="K77" i="8"/>
  <c r="K32" i="8"/>
  <c r="K11" i="10"/>
  <c r="K89" i="10"/>
  <c r="K56" i="11"/>
  <c r="K21" i="11"/>
  <c r="K32" i="11"/>
  <c r="G32" i="1"/>
  <c r="G102" i="2"/>
  <c r="G51" i="2"/>
  <c r="G48" i="2"/>
  <c r="G96" i="4"/>
  <c r="G86" i="4"/>
  <c r="G12" i="4"/>
  <c r="G48" i="5"/>
  <c r="G6" i="5"/>
  <c r="G113" i="1"/>
  <c r="G160" i="1"/>
  <c r="G49" i="1"/>
  <c r="G124" i="1"/>
  <c r="G51" i="1"/>
  <c r="G90" i="1"/>
  <c r="G118" i="1"/>
  <c r="G107" i="1"/>
  <c r="G25" i="1"/>
  <c r="G28" i="1"/>
  <c r="G27" i="2"/>
  <c r="G91" i="2"/>
  <c r="G6" i="2"/>
  <c r="G70" i="2"/>
  <c r="G50" i="3"/>
  <c r="G28" i="4"/>
  <c r="G16" i="4"/>
  <c r="G44" i="4"/>
  <c r="G37" i="4"/>
  <c r="G92" i="4"/>
  <c r="G76" i="5"/>
  <c r="G15" i="5"/>
  <c r="G129" i="5"/>
  <c r="G120" i="5"/>
  <c r="G22" i="5"/>
  <c r="G80" i="5"/>
  <c r="G84" i="5"/>
  <c r="G24" i="5"/>
  <c r="G142" i="5"/>
  <c r="G64" i="5"/>
  <c r="H40" i="6"/>
  <c r="H11" i="6"/>
  <c r="H80" i="6"/>
  <c r="H48" i="6"/>
  <c r="H19" i="6"/>
  <c r="K56" i="8"/>
  <c r="K60" i="8"/>
  <c r="G77" i="1"/>
  <c r="G176" i="1"/>
  <c r="G26" i="1"/>
  <c r="G8" i="3"/>
  <c r="G67" i="3"/>
  <c r="G106" i="4"/>
  <c r="G50" i="4"/>
  <c r="G77" i="5"/>
  <c r="G173" i="1"/>
  <c r="G23" i="1"/>
  <c r="G125" i="1"/>
  <c r="G177" i="1"/>
  <c r="G42" i="2"/>
  <c r="G13" i="3"/>
  <c r="G65" i="3"/>
  <c r="G29" i="4"/>
  <c r="G57" i="4"/>
  <c r="G32" i="4"/>
  <c r="G92" i="5"/>
  <c r="G104" i="5"/>
  <c r="G21" i="5"/>
  <c r="H42" i="6"/>
  <c r="H12" i="6"/>
  <c r="H33" i="6"/>
  <c r="H81" i="6"/>
  <c r="H91" i="6"/>
  <c r="K9" i="8"/>
  <c r="K43" i="8"/>
  <c r="K57" i="8"/>
  <c r="K61" i="8"/>
  <c r="K49" i="9"/>
  <c r="K29" i="10"/>
  <c r="K53" i="10"/>
  <c r="K31" i="10"/>
  <c r="K80" i="11"/>
  <c r="J66" i="11"/>
  <c r="J41" i="11"/>
  <c r="K9" i="11"/>
  <c r="K10" i="11"/>
  <c r="K42" i="11"/>
  <c r="K52" i="11"/>
  <c r="J50" i="11"/>
  <c r="K13" i="11"/>
  <c r="K23" i="11"/>
  <c r="K79" i="11"/>
  <c r="K61" i="11"/>
  <c r="J84" i="11"/>
  <c r="K24" i="10"/>
  <c r="K61" i="10"/>
  <c r="J53" i="10"/>
  <c r="J17" i="10"/>
  <c r="K37" i="10"/>
  <c r="K51" i="10"/>
  <c r="J74" i="10"/>
  <c r="J45" i="10"/>
  <c r="K6" i="10"/>
  <c r="J14" i="10"/>
  <c r="K8" i="10"/>
  <c r="J71" i="10"/>
  <c r="J39" i="10"/>
  <c r="J11" i="10"/>
  <c r="K90" i="10"/>
  <c r="K18" i="10"/>
  <c r="J31" i="10"/>
  <c r="K75" i="10"/>
  <c r="J28" i="10"/>
  <c r="K73" i="10"/>
  <c r="K52" i="10"/>
  <c r="K15" i="10"/>
  <c r="J21" i="10"/>
  <c r="J60" i="10"/>
  <c r="K34" i="10"/>
  <c r="J9" i="10"/>
  <c r="K70" i="10"/>
  <c r="K47" i="10"/>
  <c r="K29" i="9"/>
  <c r="K69" i="9"/>
  <c r="K41" i="9"/>
  <c r="J96" i="9"/>
  <c r="K81" i="9"/>
  <c r="J49" i="9"/>
  <c r="K61" i="9"/>
  <c r="J57" i="11"/>
  <c r="J71" i="11"/>
  <c r="K72" i="11"/>
  <c r="J21" i="11"/>
  <c r="J8" i="11"/>
  <c r="J26" i="11"/>
  <c r="K78" i="11"/>
  <c r="K48" i="11"/>
  <c r="K67" i="11"/>
  <c r="K40" i="11"/>
  <c r="K38" i="11"/>
  <c r="K30" i="11"/>
  <c r="K73" i="11"/>
  <c r="K59" i="11"/>
  <c r="K51" i="11"/>
  <c r="J4" i="11"/>
  <c r="K28" i="11"/>
  <c r="J44" i="11"/>
  <c r="K85" i="11"/>
  <c r="J62" i="11"/>
  <c r="J36" i="11"/>
  <c r="K81" i="11"/>
  <c r="K16" i="11"/>
  <c r="K34" i="11"/>
  <c r="J32" i="11"/>
  <c r="K74" i="11"/>
  <c r="K6" i="11"/>
  <c r="J66" i="10"/>
  <c r="J35" i="10"/>
  <c r="J55" i="10"/>
  <c r="J58" i="10"/>
  <c r="K68" i="10"/>
  <c r="K16" i="10"/>
  <c r="J29" i="10"/>
  <c r="K77" i="10"/>
  <c r="J82" i="10"/>
  <c r="J43" i="10"/>
  <c r="J78" i="10"/>
  <c r="K4" i="10"/>
  <c r="J86" i="10"/>
  <c r="K88" i="10"/>
  <c r="J27" i="10"/>
  <c r="J76" i="10"/>
  <c r="J50" i="10"/>
  <c r="K5" i="10"/>
  <c r="J79" i="10"/>
  <c r="K40" i="10"/>
  <c r="K93" i="10"/>
  <c r="K44" i="10"/>
  <c r="K81" i="10"/>
  <c r="K33" i="10"/>
  <c r="K87" i="10"/>
  <c r="K10" i="10"/>
  <c r="J57" i="10"/>
  <c r="K54" i="10"/>
  <c r="J89" i="10"/>
  <c r="J56" i="10"/>
  <c r="K92" i="10"/>
  <c r="K48" i="9"/>
  <c r="K78" i="9"/>
  <c r="K85" i="9"/>
  <c r="K84" i="9"/>
  <c r="K70" i="9"/>
  <c r="K50" i="9"/>
  <c r="K87" i="9"/>
  <c r="K83" i="9"/>
  <c r="K60" i="9"/>
  <c r="K80" i="9"/>
  <c r="K91" i="9"/>
  <c r="J58" i="9"/>
  <c r="K76" i="9"/>
  <c r="J76" i="9"/>
  <c r="J97" i="9"/>
  <c r="K97" i="9"/>
  <c r="J74" i="9"/>
  <c r="K74" i="9"/>
  <c r="J98" i="9"/>
  <c r="K98" i="9"/>
  <c r="J99" i="9"/>
  <c r="K99" i="9"/>
  <c r="K53" i="9"/>
  <c r="J53" i="9"/>
  <c r="J75" i="9"/>
  <c r="K75" i="9"/>
  <c r="K100" i="9"/>
  <c r="J100" i="9"/>
  <c r="K52" i="9"/>
  <c r="J52" i="9"/>
  <c r="K95" i="9"/>
  <c r="J95" i="9"/>
  <c r="J67" i="9"/>
  <c r="K67" i="9"/>
  <c r="J14" i="9"/>
  <c r="K34" i="9"/>
  <c r="K46" i="9"/>
  <c r="K26" i="9"/>
  <c r="K38" i="9"/>
  <c r="J19" i="9"/>
  <c r="K42" i="9"/>
  <c r="J22" i="9"/>
  <c r="K25" i="9"/>
  <c r="K73" i="9"/>
  <c r="J55" i="9"/>
  <c r="K35" i="9"/>
  <c r="J68" i="9"/>
  <c r="K15" i="9"/>
  <c r="K9" i="9"/>
  <c r="J31" i="9"/>
  <c r="K39" i="9"/>
  <c r="J43" i="9"/>
  <c r="K23" i="9"/>
  <c r="J20" i="9"/>
  <c r="J89" i="9"/>
  <c r="K28" i="9"/>
  <c r="K82" i="9"/>
  <c r="K16" i="9"/>
  <c r="K32" i="9"/>
  <c r="K44" i="9"/>
  <c r="K24" i="9"/>
  <c r="J54" i="9"/>
  <c r="K56" i="9"/>
  <c r="K51" i="9"/>
  <c r="K6" i="9"/>
  <c r="K88" i="8"/>
  <c r="K6" i="8"/>
  <c r="K83" i="8"/>
  <c r="K87" i="7"/>
  <c r="K74" i="7"/>
  <c r="K14" i="7"/>
  <c r="K89" i="7"/>
  <c r="K91" i="7"/>
  <c r="K19" i="7"/>
  <c r="J54" i="7"/>
  <c r="K56" i="7"/>
  <c r="H82" i="6"/>
  <c r="K88" i="7"/>
  <c r="J38" i="7"/>
  <c r="K50" i="7"/>
  <c r="K22" i="7"/>
  <c r="K58" i="7"/>
  <c r="J41" i="7"/>
  <c r="K63" i="7"/>
  <c r="K20" i="7"/>
  <c r="K80" i="7"/>
  <c r="J4" i="7"/>
  <c r="J75" i="7"/>
  <c r="J33" i="7"/>
  <c r="K72" i="7"/>
  <c r="K24" i="7"/>
  <c r="K68" i="7"/>
  <c r="K36" i="7"/>
  <c r="K30" i="7"/>
  <c r="J10" i="7"/>
  <c r="K65" i="7"/>
  <c r="K79" i="7"/>
  <c r="K8" i="7"/>
  <c r="K81" i="7"/>
  <c r="K77" i="7"/>
  <c r="J5" i="7"/>
  <c r="K60" i="7"/>
  <c r="K90" i="7"/>
  <c r="J52" i="7"/>
  <c r="J62" i="7"/>
  <c r="K64" i="7"/>
  <c r="K55" i="7"/>
  <c r="K66" i="7"/>
  <c r="K86" i="7"/>
  <c r="K7" i="7"/>
  <c r="K78" i="7"/>
  <c r="K11" i="7"/>
  <c r="K44" i="7"/>
  <c r="K21" i="7"/>
  <c r="J96" i="7"/>
  <c r="J82" i="7"/>
  <c r="K28" i="7"/>
  <c r="K49" i="7"/>
  <c r="J32" i="7"/>
  <c r="J84" i="7"/>
  <c r="J9" i="7"/>
  <c r="J64" i="8"/>
  <c r="K75" i="8"/>
  <c r="J77" i="8"/>
  <c r="J17" i="8"/>
  <c r="K28" i="8"/>
  <c r="J46" i="8"/>
  <c r="K67" i="8"/>
  <c r="K19" i="8"/>
  <c r="J11" i="8"/>
  <c r="K24" i="8"/>
  <c r="J51" i="8"/>
  <c r="K84" i="8"/>
  <c r="J87" i="8"/>
  <c r="J5" i="8"/>
  <c r="K76" i="8"/>
  <c r="J9" i="8"/>
  <c r="K7" i="8"/>
  <c r="K40" i="8"/>
  <c r="J47" i="8"/>
  <c r="J15" i="8"/>
  <c r="K34" i="8"/>
  <c r="K18" i="8"/>
  <c r="J42" i="8"/>
  <c r="J63" i="8"/>
  <c r="K66" i="8"/>
  <c r="K68" i="8"/>
  <c r="J70" i="8"/>
  <c r="J69" i="8"/>
  <c r="J39" i="8"/>
  <c r="K92" i="8"/>
  <c r="J30" i="8"/>
  <c r="K8" i="8"/>
  <c r="K48" i="8"/>
  <c r="J88" i="8"/>
  <c r="K27" i="8"/>
  <c r="J13" i="8"/>
  <c r="J6" i="8"/>
  <c r="K33" i="8"/>
  <c r="J26" i="8"/>
  <c r="J89" i="8"/>
  <c r="K89" i="8"/>
  <c r="K53" i="8"/>
  <c r="K71" i="8"/>
  <c r="K93" i="8"/>
  <c r="K35" i="8"/>
  <c r="H50" i="6"/>
  <c r="H90" i="6"/>
  <c r="H30" i="6"/>
  <c r="H34" i="6"/>
  <c r="H64" i="6"/>
  <c r="H32" i="6"/>
  <c r="H83" i="6"/>
  <c r="H14" i="6"/>
  <c r="H51" i="6"/>
  <c r="H65" i="6"/>
  <c r="H68" i="6"/>
  <c r="H92" i="6"/>
  <c r="H41" i="6"/>
  <c r="H23" i="6"/>
  <c r="H15" i="6"/>
  <c r="H70" i="6"/>
  <c r="H66" i="6"/>
  <c r="H5" i="6"/>
  <c r="H25" i="6"/>
  <c r="H67" i="6"/>
  <c r="H31" i="6"/>
  <c r="H28" i="6"/>
  <c r="H55" i="6"/>
  <c r="K90" i="8"/>
  <c r="J90" i="8"/>
  <c r="H9" i="6"/>
  <c r="K6" i="7"/>
  <c r="J6" i="7"/>
  <c r="K27" i="7"/>
  <c r="J27" i="7"/>
  <c r="K48" i="7"/>
  <c r="J48" i="7"/>
  <c r="J40" i="7"/>
  <c r="K40" i="7"/>
  <c r="K57" i="7"/>
  <c r="J57" i="7"/>
  <c r="K41" i="8"/>
  <c r="J41" i="8"/>
  <c r="H49" i="6"/>
  <c r="K20" i="8"/>
  <c r="J20" i="8"/>
  <c r="J38" i="10"/>
  <c r="K38" i="10"/>
  <c r="G53" i="1"/>
  <c r="H13" i="6"/>
  <c r="K18" i="7"/>
  <c r="K72" i="8"/>
  <c r="J72" i="8"/>
  <c r="K29" i="7"/>
  <c r="J29" i="7"/>
  <c r="J71" i="7"/>
  <c r="K71" i="7"/>
  <c r="K94" i="7"/>
  <c r="J94" i="7"/>
  <c r="J17" i="7"/>
  <c r="K17" i="7"/>
  <c r="K14" i="8"/>
  <c r="J14" i="8"/>
  <c r="H4" i="6"/>
  <c r="K13" i="7"/>
  <c r="J13" i="7"/>
  <c r="K45" i="7"/>
  <c r="K67" i="7"/>
  <c r="J67" i="7"/>
  <c r="K46" i="7"/>
  <c r="J46" i="7"/>
  <c r="K53" i="7"/>
  <c r="J53" i="7"/>
  <c r="K21" i="8"/>
  <c r="J21" i="8"/>
  <c r="K37" i="7"/>
  <c r="J37" i="7"/>
  <c r="K43" i="7"/>
  <c r="J43" i="7"/>
  <c r="K37" i="8"/>
  <c r="J37" i="8"/>
  <c r="K65" i="8"/>
  <c r="J65" i="8"/>
  <c r="K29" i="8"/>
  <c r="J29" i="8"/>
  <c r="J12" i="9"/>
  <c r="K12" i="9"/>
  <c r="J51" i="7"/>
  <c r="K25" i="7"/>
  <c r="J25" i="7"/>
  <c r="K85" i="7"/>
  <c r="J85" i="7"/>
  <c r="K70" i="7"/>
  <c r="J70" i="7"/>
  <c r="K78" i="8"/>
  <c r="K38" i="8"/>
  <c r="J38" i="8"/>
  <c r="K12" i="8"/>
  <c r="J12" i="8"/>
  <c r="J76" i="7"/>
  <c r="K92" i="7"/>
  <c r="J92" i="7"/>
  <c r="K34" i="7"/>
  <c r="J34" i="7"/>
  <c r="K12" i="7"/>
  <c r="K47" i="7"/>
  <c r="K54" i="8"/>
  <c r="J54" i="8"/>
  <c r="K52" i="8"/>
  <c r="J52" i="8"/>
  <c r="K31" i="7"/>
  <c r="K73" i="7"/>
  <c r="J73" i="7"/>
  <c r="K35" i="7"/>
  <c r="J35" i="7"/>
  <c r="K55" i="8"/>
  <c r="J55" i="8"/>
  <c r="K80" i="8"/>
  <c r="J80" i="8"/>
  <c r="K16" i="8"/>
  <c r="J16" i="8"/>
  <c r="K72" i="9"/>
  <c r="J72" i="9"/>
  <c r="K16" i="7"/>
  <c r="K61" i="7"/>
  <c r="J61" i="7"/>
  <c r="K83" i="7"/>
  <c r="K93" i="7"/>
  <c r="K73" i="8"/>
  <c r="J73" i="8"/>
  <c r="K86" i="8"/>
  <c r="J86" i="8"/>
  <c r="K95" i="7"/>
  <c r="J95" i="7"/>
  <c r="K15" i="7"/>
  <c r="J15" i="7"/>
  <c r="K59" i="7"/>
  <c r="J59" i="7"/>
  <c r="K4" i="8"/>
  <c r="J4" i="8"/>
  <c r="K74" i="8"/>
  <c r="J74" i="8"/>
  <c r="K49" i="8"/>
  <c r="J49" i="8"/>
  <c r="K31" i="8"/>
  <c r="J31" i="8"/>
  <c r="K46" i="11"/>
  <c r="J46" i="11"/>
  <c r="J42" i="7"/>
  <c r="J23" i="7"/>
  <c r="J26" i="7"/>
  <c r="J39" i="7"/>
  <c r="K95" i="8"/>
  <c r="K82" i="8"/>
  <c r="K23" i="8"/>
  <c r="J36" i="8"/>
  <c r="J44" i="8"/>
  <c r="J56" i="8"/>
  <c r="J58" i="8"/>
  <c r="J60" i="8"/>
  <c r="J62" i="8"/>
  <c r="K25" i="8"/>
  <c r="K92" i="9"/>
  <c r="K8" i="9"/>
  <c r="K45" i="9"/>
  <c r="K37" i="9"/>
  <c r="K66" i="9"/>
  <c r="K17" i="11"/>
  <c r="J17" i="11"/>
  <c r="K83" i="11"/>
  <c r="J83" i="11"/>
  <c r="K43" i="11"/>
  <c r="J43" i="11"/>
  <c r="J93" i="9"/>
  <c r="K93" i="9"/>
  <c r="K36" i="9"/>
  <c r="K26" i="10"/>
  <c r="J26" i="10"/>
  <c r="K30" i="10"/>
  <c r="K20" i="10"/>
  <c r="J20" i="10"/>
  <c r="K22" i="10"/>
  <c r="K39" i="11"/>
  <c r="K55" i="11"/>
  <c r="J20" i="11"/>
  <c r="K45" i="11"/>
  <c r="J45" i="11"/>
  <c r="J31" i="11"/>
  <c r="K31" i="11"/>
  <c r="K84" i="10"/>
  <c r="J84" i="10"/>
  <c r="K48" i="10"/>
  <c r="K18" i="11"/>
  <c r="J18" i="11"/>
  <c r="J35" i="11"/>
  <c r="K35" i="11"/>
  <c r="K49" i="11"/>
  <c r="J49" i="11"/>
  <c r="K68" i="11"/>
  <c r="J68" i="11"/>
  <c r="J94" i="8"/>
  <c r="J10" i="8"/>
  <c r="J50" i="8"/>
  <c r="J81" i="8"/>
  <c r="J91" i="8"/>
  <c r="J79" i="8"/>
  <c r="J94" i="9"/>
  <c r="J33" i="9"/>
  <c r="K40" i="9"/>
  <c r="K5" i="9"/>
  <c r="K27" i="9"/>
  <c r="K63" i="10"/>
  <c r="J36" i="10"/>
  <c r="K69" i="10"/>
  <c r="K23" i="10"/>
  <c r="K86" i="11"/>
  <c r="J86" i="11"/>
  <c r="J69" i="7"/>
  <c r="J32" i="8"/>
  <c r="J85" i="8"/>
  <c r="J22" i="8"/>
  <c r="J43" i="8"/>
  <c r="J45" i="8"/>
  <c r="J57" i="8"/>
  <c r="J59" i="8"/>
  <c r="J61" i="8"/>
  <c r="J71" i="9"/>
  <c r="K77" i="9"/>
  <c r="J13" i="9"/>
  <c r="K13" i="9"/>
  <c r="J10" i="9"/>
  <c r="K30" i="9"/>
  <c r="J47" i="9"/>
  <c r="J64" i="9"/>
  <c r="K64" i="9"/>
  <c r="K59" i="9"/>
  <c r="K86" i="9"/>
  <c r="K13" i="10"/>
  <c r="J13" i="10"/>
  <c r="K64" i="10"/>
  <c r="J64" i="10"/>
  <c r="J80" i="10"/>
  <c r="K85" i="10"/>
  <c r="J85" i="10"/>
  <c r="J41" i="10"/>
  <c r="K46" i="10"/>
  <c r="J11" i="11"/>
  <c r="K37" i="11"/>
  <c r="K53" i="11"/>
  <c r="J56" i="11"/>
  <c r="K29" i="11"/>
  <c r="K19" i="11"/>
  <c r="K24" i="11"/>
  <c r="K60" i="11"/>
  <c r="J65" i="11"/>
  <c r="K17" i="9"/>
  <c r="K7" i="9"/>
  <c r="K65" i="9"/>
  <c r="K62" i="9"/>
  <c r="J12" i="10"/>
  <c r="J83" i="10"/>
  <c r="K47" i="11"/>
  <c r="J47" i="11"/>
  <c r="J22" i="11"/>
  <c r="K75" i="11"/>
  <c r="K70" i="11"/>
  <c r="J70" i="11"/>
  <c r="J21" i="9"/>
  <c r="K21" i="9"/>
  <c r="J7" i="10"/>
  <c r="K7" i="10"/>
  <c r="K65" i="10"/>
  <c r="J65" i="10"/>
  <c r="K5" i="11"/>
  <c r="J5" i="11"/>
  <c r="K7" i="11"/>
  <c r="J7" i="11"/>
  <c r="K58" i="11"/>
  <c r="J58" i="11"/>
  <c r="K90" i="9"/>
  <c r="J18" i="9"/>
  <c r="K57" i="9"/>
  <c r="K11" i="9"/>
  <c r="K88" i="9"/>
  <c r="K4" i="9"/>
  <c r="K63" i="9"/>
  <c r="K25" i="10"/>
  <c r="J25" i="10"/>
  <c r="K72" i="10"/>
  <c r="J59" i="10"/>
  <c r="J42" i="10"/>
  <c r="K32" i="10"/>
  <c r="K12" i="11"/>
  <c r="K54" i="11"/>
  <c r="K14" i="11"/>
  <c r="J64" i="11"/>
  <c r="K64" i="11"/>
  <c r="J63" i="11"/>
  <c r="K25" i="11"/>
  <c r="K62" i="10"/>
  <c r="K49" i="10"/>
  <c r="K19" i="10"/>
  <c r="K27" i="11"/>
  <c r="K82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1" authorId="0" shapeId="0" xr:uid="{00000000-0006-0000-0000-000001000000}">
      <text>
        <r>
          <rPr>
            <sz val="11"/>
            <color rgb="FF000000"/>
            <rFont val="Calibri"/>
            <family val="2"/>
            <scheme val="minor"/>
          </rPr>
          <t>======
ID#AAAAp2_ZTBQ
nobody    (2023-02-13 13:28:31)
Valor referente a densidade básica.
Não foi encontrada a sua densicade aparente</t>
        </r>
      </text>
    </comment>
    <comment ref="F73" authorId="0" shapeId="0" xr:uid="{00000000-0006-0000-0000-000002000000}">
      <text>
        <r>
          <rPr>
            <sz val="11"/>
            <color rgb="FF000000"/>
            <rFont val="Calibri"/>
            <family val="2"/>
            <scheme val="minor"/>
          </rPr>
          <t>======
ID#AAAAp2_ZTBw
Clarissa Carvalho    (2023-02-13 13:28:31)
densidade básica</t>
        </r>
      </text>
    </comment>
    <comment ref="F74" authorId="0" shapeId="0" xr:uid="{00000000-0006-0000-0000-000003000000}">
      <text>
        <r>
          <rPr>
            <sz val="11"/>
            <color rgb="FF000000"/>
            <rFont val="Calibri"/>
            <family val="2"/>
            <scheme val="minor"/>
          </rPr>
          <t>======
ID#AAAAp2_ZTBk
Clarissa Carvalho    (2023-02-13 13:28:31)
densidade básica</t>
        </r>
      </text>
    </comment>
    <comment ref="F79" authorId="0" shapeId="0" xr:uid="{00000000-0006-0000-0000-000004000000}">
      <text>
        <r>
          <rPr>
            <sz val="11"/>
            <color rgb="FF000000"/>
            <rFont val="Calibri"/>
            <family val="2"/>
            <scheme val="minor"/>
          </rPr>
          <t>======
ID#AAAAp2_ZTBM
Clarissa Carvalho    (2023-02-13 13:28:31)
densidade básica</t>
        </r>
      </text>
    </comment>
    <comment ref="F82" authorId="0" shapeId="0" xr:uid="{00000000-0006-0000-0000-000005000000}">
      <text>
        <r>
          <rPr>
            <sz val="11"/>
            <color rgb="FF000000"/>
            <rFont val="Calibri"/>
            <family val="2"/>
            <scheme val="minor"/>
          </rPr>
          <t>======
ID#AAAAp2_ZTBY
Clarissa Carvalho    (2023-02-13 13:28:31)
densidade básica</t>
        </r>
      </text>
    </comment>
    <comment ref="F96" authorId="0" shapeId="0" xr:uid="{00000000-0006-0000-0000-000006000000}">
      <text>
        <r>
          <rPr>
            <sz val="11"/>
            <color rgb="FF000000"/>
            <rFont val="Calibri"/>
            <family val="2"/>
            <scheme val="minor"/>
          </rPr>
          <t>======
ID#AAAAp2_ZTBI
Clarissa Carvalho    (2023-02-13 13:28:31)
densidade básica</t>
        </r>
      </text>
    </comment>
    <comment ref="F126" authorId="0" shapeId="0" xr:uid="{00000000-0006-0000-0000-000007000000}">
      <text>
        <r>
          <rPr>
            <sz val="11"/>
            <color rgb="FF000000"/>
            <rFont val="Calibri"/>
            <family val="2"/>
            <scheme val="minor"/>
          </rPr>
          <t>======
ID#AAAAp2_ZTB4
Clarissa Carvalho    (2023-02-13 13:28:31)
densidade básica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kJ95C6+Mh/OeVCtPznFbGxiH5a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22" authorId="0" shapeId="0" xr:uid="{00000000-0006-0000-0100-000001000000}">
      <text>
        <r>
          <rPr>
            <sz val="11"/>
            <color rgb="FF000000"/>
            <rFont val="Calibri"/>
            <family val="2"/>
            <scheme val="minor"/>
          </rPr>
          <t>======
ID#AAAAp2_ZTBg
Clarissa Carvalho    (2023-02-13 13:28:31)
densidade básica</t>
        </r>
      </text>
    </comment>
    <comment ref="F30" authorId="0" shapeId="0" xr:uid="{00000000-0006-0000-0100-000002000000}">
      <text>
        <r>
          <rPr>
            <sz val="11"/>
            <color rgb="FF000000"/>
            <rFont val="Calibri"/>
            <family val="2"/>
            <scheme val="minor"/>
          </rPr>
          <t>======
ID#AAAAp2_ZTB0
Clarissa Carvalho    (2023-02-13 13:28:31)
densidade básica</t>
        </r>
      </text>
    </comment>
    <comment ref="C57" authorId="0" shapeId="0" xr:uid="{00000000-0006-0000-0100-000003000000}">
      <text>
        <r>
          <rPr>
            <sz val="11"/>
            <color rgb="FF000000"/>
            <rFont val="Calibri"/>
            <family val="2"/>
            <scheme val="minor"/>
          </rPr>
          <t>======
ID#AAAAp2_ZTBs
Clarissa Carvalho    (2023-02-13 13:28:31)
Isso é um nome científico??</t>
        </r>
      </text>
    </comment>
    <comment ref="F64" authorId="0" shapeId="0" xr:uid="{00000000-0006-0000-0100-000004000000}">
      <text>
        <r>
          <rPr>
            <sz val="11"/>
            <color rgb="FF000000"/>
            <rFont val="Calibri"/>
            <family val="2"/>
            <scheme val="minor"/>
          </rPr>
          <t>======
ID#AAAAp2_ZTBo
Clarissa Carvalho    (2023-02-13 13:28:31)
densidade básica</t>
        </r>
      </text>
    </comment>
    <comment ref="F97" authorId="0" shapeId="0" xr:uid="{00000000-0006-0000-0100-000005000000}">
      <text>
        <r>
          <rPr>
            <sz val="11"/>
            <color rgb="FF000000"/>
            <rFont val="Calibri"/>
            <family val="2"/>
            <scheme val="minor"/>
          </rPr>
          <t>======
ID#AAAAp2_ZTBc
Clarissa Carvalho    (2023-02-13 13:28:31)
densidade básica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JKg7OcpukFQvr10iZA7lW33bN0Q=="/>
    </ext>
  </extLst>
</comments>
</file>

<file path=xl/sharedStrings.xml><?xml version="1.0" encoding="utf-8"?>
<sst xmlns="http://schemas.openxmlformats.org/spreadsheetml/2006/main" count="3076" uniqueCount="474">
  <si>
    <t>Local (plantio):</t>
  </si>
  <si>
    <t>Local: CSA</t>
  </si>
  <si>
    <t xml:space="preserve">Área (ha): </t>
  </si>
  <si>
    <t>Área: 4ha</t>
  </si>
  <si>
    <t>Plantio realizado em 2014</t>
  </si>
  <si>
    <t>Data: abr/2022</t>
  </si>
  <si>
    <t>PARCELA</t>
  </si>
  <si>
    <t>ESPÉCIE</t>
  </si>
  <si>
    <t xml:space="preserve">Nome cientifico </t>
  </si>
  <si>
    <t>ALTURA (m)</t>
  </si>
  <si>
    <t>CAP (cm)</t>
  </si>
  <si>
    <r>
      <rPr>
        <b/>
        <sz val="12"/>
        <color rgb="FF000000"/>
        <rFont val="Times New Roman"/>
        <family val="1"/>
      </rPr>
      <t>Densidade aparente (g.cm</t>
    </r>
    <r>
      <rPr>
        <b/>
        <vertAlign val="superscript"/>
        <sz val="12"/>
        <color rgb="FF000000"/>
        <rFont val="Times New Roman"/>
        <family val="1"/>
      </rPr>
      <t>3</t>
    </r>
    <r>
      <rPr>
        <b/>
        <sz val="12"/>
        <color rgb="FF000000"/>
        <rFont val="Times New Roman"/>
        <family val="1"/>
      </rPr>
      <t>)</t>
    </r>
  </si>
  <si>
    <t>Biomassa</t>
  </si>
  <si>
    <t>OBS</t>
  </si>
  <si>
    <t>fonte densidade</t>
  </si>
  <si>
    <t>Aldrago</t>
  </si>
  <si>
    <t>Pterocarpus violaceus</t>
  </si>
  <si>
    <t>artigo</t>
  </si>
  <si>
    <t>Amendoim-bravo</t>
  </si>
  <si>
    <t>Pterogyne nitens</t>
  </si>
  <si>
    <t>Angico vermelho</t>
  </si>
  <si>
    <t>Anadenanthera colubrina var. cebil</t>
  </si>
  <si>
    <t>espécies arbóreas vol.1</t>
  </si>
  <si>
    <t>Angico vermelho (31)</t>
  </si>
  <si>
    <t>Angico vermelho (33)</t>
  </si>
  <si>
    <t>Angico vermelho (34)</t>
  </si>
  <si>
    <t>Araça</t>
  </si>
  <si>
    <t>Psidium cattleyanum</t>
  </si>
  <si>
    <t>Aroeira-vermelha</t>
  </si>
  <si>
    <t>Schinus terebinthifolia</t>
  </si>
  <si>
    <t>espécies arbóreas vol. 1</t>
  </si>
  <si>
    <t>Árvore da chuva</t>
  </si>
  <si>
    <t>Samanea saman</t>
  </si>
  <si>
    <t>Babosa branca</t>
  </si>
  <si>
    <t>Cordia superba</t>
  </si>
  <si>
    <t>Bico-de-pato</t>
  </si>
  <si>
    <t>Machaerium hirtum</t>
  </si>
  <si>
    <t>Canafistula</t>
  </si>
  <si>
    <t>Peltophorum dubium</t>
  </si>
  <si>
    <t>espécies arvóreas vol.1</t>
  </si>
  <si>
    <t>Canafistula (ind 1)</t>
  </si>
  <si>
    <t>Castanha do Maranhão</t>
  </si>
  <si>
    <t>Pachira glabra</t>
  </si>
  <si>
    <t>Chuva-de-ouro</t>
  </si>
  <si>
    <t>Cassia ferruginea</t>
  </si>
  <si>
    <t>Goiaba</t>
  </si>
  <si>
    <t>Psidium guajava</t>
  </si>
  <si>
    <t>Guapuruvu</t>
  </si>
  <si>
    <t>Schizolobium parahyba</t>
  </si>
  <si>
    <t>indet 1</t>
  </si>
  <si>
    <t>indet 2</t>
  </si>
  <si>
    <t>indet 3</t>
  </si>
  <si>
    <t>indet 4</t>
  </si>
  <si>
    <t>Inga</t>
  </si>
  <si>
    <t>Inga edulis</t>
  </si>
  <si>
    <t>Inga (24)</t>
  </si>
  <si>
    <t>Inga vera</t>
  </si>
  <si>
    <t>espécies arbóreas vol.3</t>
  </si>
  <si>
    <t>Ipê-roxo</t>
  </si>
  <si>
    <t>Handroanthus impetiginosus</t>
  </si>
  <si>
    <t>Jabuticaba</t>
  </si>
  <si>
    <t>Plinia peruviana</t>
  </si>
  <si>
    <t>Jacarandá-com-espinho</t>
  </si>
  <si>
    <t>Machaerium nyctitans</t>
  </si>
  <si>
    <t>Jatobá</t>
  </si>
  <si>
    <t xml:space="preserve">Hymenaea courbaril </t>
  </si>
  <si>
    <t xml:space="preserve">Monjoleiro </t>
  </si>
  <si>
    <t>Senegalia polyphylla</t>
  </si>
  <si>
    <t>Monjoleiro (38)</t>
  </si>
  <si>
    <t>Monjoleiro (39)</t>
  </si>
  <si>
    <t>Orelha de negro</t>
  </si>
  <si>
    <t>Enterolobium contortisiliquum</t>
  </si>
  <si>
    <t>Pau d'alho</t>
  </si>
  <si>
    <t>Gallesia integrifolia</t>
  </si>
  <si>
    <t>Pau ferro</t>
  </si>
  <si>
    <t>Libidibia ferrea</t>
  </si>
  <si>
    <t>livro</t>
  </si>
  <si>
    <t>Pau formiga</t>
  </si>
  <si>
    <t>Triplaris Americana</t>
  </si>
  <si>
    <t>Pau jacaré</t>
  </si>
  <si>
    <t>Piptadenia Gonoacantha</t>
  </si>
  <si>
    <t xml:space="preserve">Pau sangue </t>
  </si>
  <si>
    <t>Pterocarpus rohrii</t>
  </si>
  <si>
    <t>espécies arbóreas vol. 3</t>
  </si>
  <si>
    <t>Pau-sangue</t>
  </si>
  <si>
    <t>Pitanga</t>
  </si>
  <si>
    <t>Eugenia uniflora</t>
  </si>
  <si>
    <t>espécies arbóreas vol.2</t>
  </si>
  <si>
    <t xml:space="preserve">Sabão de soldado </t>
  </si>
  <si>
    <t>Sapindus saponaria</t>
  </si>
  <si>
    <t>espécies arbóreas vol.5</t>
  </si>
  <si>
    <t>Senna multijuga</t>
  </si>
  <si>
    <t>Sibipiruna</t>
  </si>
  <si>
    <t>Caesalpinia pluviosa</t>
  </si>
  <si>
    <t>Urucum</t>
  </si>
  <si>
    <t>Bixa orellana</t>
  </si>
  <si>
    <t>Vinhático</t>
  </si>
  <si>
    <t>Plathymenia reticulata</t>
  </si>
  <si>
    <t>Resende/ Sítio São Jorge</t>
  </si>
  <si>
    <t>Plantio realizado em 2017</t>
  </si>
  <si>
    <t>3,14 há</t>
  </si>
  <si>
    <t>Data: 15/08/2022</t>
  </si>
  <si>
    <t>NOME VULGAR</t>
  </si>
  <si>
    <t>NOME CIENTÍFICO</t>
  </si>
  <si>
    <r>
      <rPr>
        <b/>
        <sz val="12"/>
        <color rgb="FF000000"/>
        <rFont val="Times New Roman"/>
        <family val="1"/>
      </rPr>
      <t>Densidade aparente (g.cm</t>
    </r>
    <r>
      <rPr>
        <b/>
        <vertAlign val="superscript"/>
        <sz val="12"/>
        <color rgb="FF000000"/>
        <rFont val="Times New Roman"/>
        <family val="1"/>
      </rPr>
      <t>3</t>
    </r>
    <r>
      <rPr>
        <b/>
        <sz val="12"/>
        <color rgb="FF000000"/>
        <rFont val="Times New Roman"/>
        <family val="1"/>
      </rPr>
      <t>)</t>
    </r>
  </si>
  <si>
    <t>OBS2</t>
  </si>
  <si>
    <t xml:space="preserve">Açoita cavalo </t>
  </si>
  <si>
    <t>Luehea divaricata</t>
  </si>
  <si>
    <t>Alecrim do campo</t>
  </si>
  <si>
    <t>Baccharis dracunculifolia</t>
  </si>
  <si>
    <t>sem folhas</t>
  </si>
  <si>
    <t xml:space="preserve">Alecrim do campo </t>
  </si>
  <si>
    <t>Angico cangalha</t>
  </si>
  <si>
    <t>Mimosa artemisiana Heringer &amp; Paula</t>
  </si>
  <si>
    <t xml:space="preserve">Angico Cangalha </t>
  </si>
  <si>
    <t xml:space="preserve">Angico vermelho </t>
  </si>
  <si>
    <t xml:space="preserve">Araçá </t>
  </si>
  <si>
    <t>Psidium cattleianum</t>
  </si>
  <si>
    <t>Aroeira</t>
  </si>
  <si>
    <t>Canela de velho</t>
  </si>
  <si>
    <t>Miconia albicans</t>
  </si>
  <si>
    <t xml:space="preserve">Canela de velho </t>
  </si>
  <si>
    <t>Capixingui</t>
  </si>
  <si>
    <t>Croton floribundus</t>
  </si>
  <si>
    <t>Capororoca</t>
  </si>
  <si>
    <t>Myrsine coreaceae</t>
  </si>
  <si>
    <t>Cutieira</t>
  </si>
  <si>
    <t>Joannesia princeps</t>
  </si>
  <si>
    <t>Embaúba</t>
  </si>
  <si>
    <t>Cecropia pachystachya</t>
  </si>
  <si>
    <t xml:space="preserve">Embaúba </t>
  </si>
  <si>
    <t>Goiaba-brava</t>
  </si>
  <si>
    <t>Myrcia tomentosa (Aubl.) DC.</t>
  </si>
  <si>
    <t xml:space="preserve">Guapuruvu </t>
  </si>
  <si>
    <t>Indet 1</t>
  </si>
  <si>
    <t>-</t>
  </si>
  <si>
    <t>Indet 2</t>
  </si>
  <si>
    <t xml:space="preserve"> -</t>
  </si>
  <si>
    <t>Indet 3</t>
  </si>
  <si>
    <t>Inga vera Willd.</t>
  </si>
  <si>
    <t xml:space="preserve">Ipê </t>
  </si>
  <si>
    <t>Handroanthus sp</t>
  </si>
  <si>
    <t xml:space="preserve">Jaborandi </t>
  </si>
  <si>
    <t>Pilocarpus microphyllus</t>
  </si>
  <si>
    <t>Jacarandá com espinho</t>
  </si>
  <si>
    <t>Machaerium nictitans</t>
  </si>
  <si>
    <t xml:space="preserve">Jacarandá da Bahia </t>
  </si>
  <si>
    <t>Dalbergia nigra</t>
  </si>
  <si>
    <t>Hymenaea courbaril</t>
  </si>
  <si>
    <t>Lobeira</t>
  </si>
  <si>
    <t>Solanum lycocarpum</t>
  </si>
  <si>
    <t>Maricá</t>
  </si>
  <si>
    <t>Mimosa bimucronata (DC.) O. Kuntze.</t>
  </si>
  <si>
    <t xml:space="preserve">Maricá </t>
  </si>
  <si>
    <t>Mexerico</t>
  </si>
  <si>
    <t>Melastomataceae Leandra</t>
  </si>
  <si>
    <t xml:space="preserve">Mexerico </t>
  </si>
  <si>
    <t>sem folhas/ final com fita</t>
  </si>
  <si>
    <t>Mircia falax</t>
  </si>
  <si>
    <t>Myrcia fallax (A.Rich.) DC.</t>
  </si>
  <si>
    <t>Mutambo</t>
  </si>
  <si>
    <t xml:space="preserve">Guazuma ulmifolia Lam.  </t>
  </si>
  <si>
    <t xml:space="preserve">Mutambo </t>
  </si>
  <si>
    <t>Myrcia fallax</t>
  </si>
  <si>
    <t>Paineira</t>
  </si>
  <si>
    <t>Chorisia speciosa A. St.-Hil.</t>
  </si>
  <si>
    <t>Pau cigarra</t>
  </si>
  <si>
    <t xml:space="preserve">Pau Jacaré </t>
  </si>
  <si>
    <t>Piptadenia gonoacantha</t>
  </si>
  <si>
    <t>Pororoca preta</t>
  </si>
  <si>
    <t>Rapanea ferruginea (Ruiz &amp; Pav.) Mez</t>
  </si>
  <si>
    <t xml:space="preserve">Pororoca preta </t>
  </si>
  <si>
    <t xml:space="preserve">Quaresmeira </t>
  </si>
  <si>
    <t>Pleroma granulosum</t>
  </si>
  <si>
    <t>espécies arbóreas vol.4</t>
  </si>
  <si>
    <t xml:space="preserve">Sangra d'água </t>
  </si>
  <si>
    <t>Croton urucurana Baill.</t>
  </si>
  <si>
    <t xml:space="preserve">Sibipiruna </t>
  </si>
  <si>
    <t>Caesalpinia pluviosa DC. var. pluviosa</t>
  </si>
  <si>
    <t xml:space="preserve">Tamanqueiro </t>
  </si>
  <si>
    <t>Aegiphila integrifolia</t>
  </si>
  <si>
    <t>Tataré</t>
  </si>
  <si>
    <t>Chloroleucon tortum</t>
  </si>
  <si>
    <t>Resende/ Sítio Santa Helena</t>
  </si>
  <si>
    <r>
      <rPr>
        <b/>
        <sz val="12"/>
        <color rgb="FF000000"/>
        <rFont val="Times New Roman"/>
        <family val="1"/>
      </rPr>
      <t>Densidade aparente (g.cm</t>
    </r>
    <r>
      <rPr>
        <b/>
        <vertAlign val="superscript"/>
        <sz val="12"/>
        <color rgb="FF000000"/>
        <rFont val="Times New Roman"/>
        <family val="1"/>
      </rPr>
      <t>3</t>
    </r>
    <r>
      <rPr>
        <b/>
        <sz val="12"/>
        <color rgb="FF000000"/>
        <rFont val="Times New Roman"/>
        <family val="1"/>
      </rPr>
      <t>)</t>
    </r>
  </si>
  <si>
    <t>Baixada</t>
  </si>
  <si>
    <t>Vassourao</t>
  </si>
  <si>
    <t>Piptocarpha axillaris</t>
  </si>
  <si>
    <t>Aroeira rosa</t>
  </si>
  <si>
    <t>Assa peixe</t>
  </si>
  <si>
    <t>Vernonia polyanthes Less.</t>
  </si>
  <si>
    <t>caduca</t>
  </si>
  <si>
    <t>Bombacopsis glabra (Pasq.) A.Robyns</t>
  </si>
  <si>
    <t>Psidium guajava L.</t>
  </si>
  <si>
    <t>Schizolobium paraybae</t>
  </si>
  <si>
    <t xml:space="preserve">sem folhas e com acúleos no tronco </t>
  </si>
  <si>
    <t>possível cabeludinha</t>
  </si>
  <si>
    <t>Ingá de metro</t>
  </si>
  <si>
    <t>Inga edulis Mart.</t>
  </si>
  <si>
    <t>Ipê roxo</t>
  </si>
  <si>
    <t xml:space="preserve">Leiteiro     </t>
  </si>
  <si>
    <t>Peschiera fuchsiifolia (A. DC.) Miers</t>
  </si>
  <si>
    <t>Jacarandá da Bahia</t>
  </si>
  <si>
    <t>Seneglia polyphylla</t>
  </si>
  <si>
    <t>Ceiba speciosa</t>
  </si>
  <si>
    <t>Senna multijulga</t>
  </si>
  <si>
    <t>Sangra d'água</t>
  </si>
  <si>
    <t>Schinus terebinthifolius Raddi</t>
  </si>
  <si>
    <t>Suinã</t>
  </si>
  <si>
    <t>Erythrina verna Vell.</t>
  </si>
  <si>
    <t>Chloroleucon tortum (Mart.) Pittier</t>
  </si>
  <si>
    <t>Tapiá</t>
  </si>
  <si>
    <t>Alchornea glandulosa Poepp. &amp; Endl.</t>
  </si>
  <si>
    <t>Quaresmeira</t>
  </si>
  <si>
    <t>Tibouchina sellowiana</t>
  </si>
  <si>
    <t xml:space="preserve">Indet </t>
  </si>
  <si>
    <t>Miguel Pereira</t>
  </si>
  <si>
    <t>Área (ha):</t>
  </si>
  <si>
    <t>Plantio realizado 2015-2016</t>
  </si>
  <si>
    <t>Data: 26/08/22</t>
  </si>
  <si>
    <t>Nome científico</t>
  </si>
  <si>
    <r>
      <rPr>
        <b/>
        <sz val="12"/>
        <color rgb="FF000000"/>
        <rFont val="Times New Roman"/>
        <family val="1"/>
      </rPr>
      <t>Densidade aparente (g.cm</t>
    </r>
    <r>
      <rPr>
        <b/>
        <vertAlign val="superscript"/>
        <sz val="12"/>
        <color rgb="FF000000"/>
        <rFont val="Times New Roman"/>
        <family val="1"/>
      </rPr>
      <t>3</t>
    </r>
    <r>
      <rPr>
        <b/>
        <sz val="12"/>
        <color rgb="FF000000"/>
        <rFont val="Times New Roman"/>
        <family val="1"/>
      </rPr>
      <t>)</t>
    </r>
  </si>
  <si>
    <t>Angico Cangalha</t>
  </si>
  <si>
    <t>Mimosa artemisiana</t>
  </si>
  <si>
    <t>Angico Vermelho</t>
  </si>
  <si>
    <t>10x10</t>
  </si>
  <si>
    <t>Aroeira Salsa</t>
  </si>
  <si>
    <t>Schinus molle</t>
  </si>
  <si>
    <t>Vernonanthura polyanthes</t>
  </si>
  <si>
    <t>Cambará</t>
  </si>
  <si>
    <t>Moquiniastrum polymorphum</t>
  </si>
  <si>
    <t>Inga branco</t>
  </si>
  <si>
    <t>Inga laurina</t>
  </si>
  <si>
    <t xml:space="preserve">Inga edulis </t>
  </si>
  <si>
    <t>Inga sp</t>
  </si>
  <si>
    <r>
      <rPr>
        <i/>
        <sz val="12"/>
        <color rgb="FF000000"/>
        <rFont val="Times New Roman"/>
        <family val="1"/>
      </rPr>
      <t xml:space="preserve">inga </t>
    </r>
    <r>
      <rPr>
        <sz val="12"/>
        <color rgb="FF000000"/>
        <rFont val="Times New Roman"/>
        <family val="1"/>
      </rPr>
      <t>sp</t>
    </r>
  </si>
  <si>
    <t xml:space="preserve">Ipê-amarelo </t>
  </si>
  <si>
    <t>Handroanthus albus</t>
  </si>
  <si>
    <t>Ipê-verde</t>
  </si>
  <si>
    <t>Cybistax antisyphilitica</t>
  </si>
  <si>
    <t>Mamica de porco</t>
  </si>
  <si>
    <t xml:space="preserve">Zanthoxylum rhoifolium </t>
  </si>
  <si>
    <t>Guazuma ulmifolia</t>
  </si>
  <si>
    <t>Pau viola</t>
  </si>
  <si>
    <t>Cytharexyllum myrianthum</t>
  </si>
  <si>
    <t>Bruno Pacielo</t>
  </si>
  <si>
    <t>Plantio realizado em 2018</t>
  </si>
  <si>
    <t>Data: 26/10/2022</t>
  </si>
  <si>
    <r>
      <rPr>
        <sz val="12"/>
        <color rgb="FF000000"/>
        <rFont val="Times New Roman"/>
        <family val="1"/>
      </rPr>
      <t>Densidade aparente (g.cm</t>
    </r>
    <r>
      <rPr>
        <vertAlign val="superscript"/>
        <sz val="12"/>
        <color rgb="FF000000"/>
        <rFont val="Times New Roman"/>
        <family val="1"/>
      </rPr>
      <t>3</t>
    </r>
    <r>
      <rPr>
        <sz val="12"/>
        <color rgb="FF000000"/>
        <rFont val="Times New Roman"/>
        <family val="1"/>
      </rPr>
      <t>)</t>
    </r>
  </si>
  <si>
    <t>Alecrim-do-campo</t>
  </si>
  <si>
    <t>Amendoim bravo</t>
  </si>
  <si>
    <t>Angico-vermelho</t>
  </si>
  <si>
    <t>Babosa-branca</t>
  </si>
  <si>
    <t>Cajá-mirim</t>
  </si>
  <si>
    <t>Spondias mombin</t>
  </si>
  <si>
    <t>Sem folhas</t>
  </si>
  <si>
    <t>Canela-de-velho</t>
  </si>
  <si>
    <t>Myrsine coriacea</t>
  </si>
  <si>
    <t>Carrapeta</t>
  </si>
  <si>
    <t>Guarea guidonia</t>
  </si>
  <si>
    <t>Embiruçu</t>
  </si>
  <si>
    <t>Pseudobombax grandiflorum</t>
  </si>
  <si>
    <t>indet</t>
  </si>
  <si>
    <t>sem folha</t>
  </si>
  <si>
    <t>Ingá-branco</t>
  </si>
  <si>
    <t xml:space="preserve">Inga-cipó </t>
  </si>
  <si>
    <t>Ipê-felpudo</t>
  </si>
  <si>
    <t>Zeyheria tuberculosa</t>
  </si>
  <si>
    <t>Jacarandá-da-Bahia</t>
  </si>
  <si>
    <t>Joá</t>
  </si>
  <si>
    <t>Solanum pseudoquina</t>
  </si>
  <si>
    <t>Lantana sp.</t>
  </si>
  <si>
    <t>não identificado</t>
  </si>
  <si>
    <t>Mamão-Jaracatiá</t>
  </si>
  <si>
    <t>Jacaratia spinosa</t>
  </si>
  <si>
    <t>Extremamente leve (valor não encontrado)</t>
  </si>
  <si>
    <t xml:space="preserve">Paineira </t>
  </si>
  <si>
    <t xml:space="preserve">Pau d'alho </t>
  </si>
  <si>
    <t>Pau-Brasil</t>
  </si>
  <si>
    <t>Paubrasilia echinata</t>
  </si>
  <si>
    <t>Pau-cigarra</t>
  </si>
  <si>
    <t>Pau-ferro</t>
  </si>
  <si>
    <t>Saboneteira</t>
  </si>
  <si>
    <t>Sapucaia</t>
  </si>
  <si>
    <t>Lecythis pisonis</t>
  </si>
  <si>
    <t>Tamboril</t>
  </si>
  <si>
    <t>Tarumã</t>
  </si>
  <si>
    <t>Citharexylum myrianthum</t>
  </si>
  <si>
    <t>Trema</t>
  </si>
  <si>
    <t>Trema micrantha</t>
  </si>
  <si>
    <t>Pai Veio 4</t>
  </si>
  <si>
    <t>Plantio realizado entre 2017-2019</t>
  </si>
  <si>
    <t>Data: 22/03/2023</t>
  </si>
  <si>
    <t>DAP (cm)</t>
  </si>
  <si>
    <r>
      <rPr>
        <b/>
        <sz val="12"/>
        <color theme="1"/>
        <rFont val="Times New Roman"/>
        <family val="1"/>
      </rPr>
      <t>Densidade aparente (g.cm</t>
    </r>
    <r>
      <rPr>
        <b/>
        <vertAlign val="superscript"/>
        <sz val="12"/>
        <color theme="1"/>
        <rFont val="Times New Roman"/>
        <family val="1"/>
      </rPr>
      <t>3</t>
    </r>
    <r>
      <rPr>
        <b/>
        <sz val="12"/>
        <color theme="1"/>
        <rFont val="Times New Roman"/>
        <family val="1"/>
      </rPr>
      <t>)</t>
    </r>
  </si>
  <si>
    <t>Araribá</t>
  </si>
  <si>
    <t>Centrolobium tomentosum</t>
  </si>
  <si>
    <t>Garapa</t>
  </si>
  <si>
    <t>Apuleia leiocarpa</t>
  </si>
  <si>
    <t>Genipapo</t>
  </si>
  <si>
    <t>Genipa americana</t>
  </si>
  <si>
    <t>Ingá-cipó</t>
  </si>
  <si>
    <t>Inga-Branco</t>
  </si>
  <si>
    <t>Ipê-amarelo</t>
  </si>
  <si>
    <t>Ipê-rosa</t>
  </si>
  <si>
    <t>Handroanthus heptaphyllus</t>
  </si>
  <si>
    <t>Jacarandá-bico-de-pato</t>
  </si>
  <si>
    <t>Não id 1</t>
  </si>
  <si>
    <t>Myrtaceae</t>
  </si>
  <si>
    <t>Não id 2</t>
  </si>
  <si>
    <t>conferir spp (jequitibá?)</t>
  </si>
  <si>
    <t>Não Id 3</t>
  </si>
  <si>
    <t>Não id 4</t>
  </si>
  <si>
    <t>Pau-jacaré</t>
  </si>
  <si>
    <t>Pau-rei</t>
  </si>
  <si>
    <t>Pterygota brasiliensis</t>
  </si>
  <si>
    <t>Pau-viola</t>
  </si>
  <si>
    <t>Citharexylum mirianthum</t>
  </si>
  <si>
    <t>Tamanqueiro</t>
  </si>
  <si>
    <t>Condominio- trilha 1</t>
  </si>
  <si>
    <t>ESTAÇÃO ECOLÓGICA DE GUAXINDIBA-AREA 1</t>
  </si>
  <si>
    <t>Plantio realizado em 2019</t>
  </si>
  <si>
    <t>Data: 04/12/2023</t>
  </si>
  <si>
    <t>Zanini 8,9857+0,0035*(DBH)^2*(H)</t>
  </si>
  <si>
    <t>Chave et al. (0,0673*(p*DBH^2*H)^0,976)</t>
  </si>
  <si>
    <t>Densidade pesquisada</t>
  </si>
  <si>
    <t>Média da densidade encontrada</t>
  </si>
  <si>
    <t>Angelim Pedra</t>
  </si>
  <si>
    <t>Andira anthelmia</t>
  </si>
  <si>
    <t>Angico-Branco</t>
  </si>
  <si>
    <t>Anadenanthera colubrina var. colubrina</t>
  </si>
  <si>
    <t>0,80 a 1,10</t>
  </si>
  <si>
    <t>Angico-Vermelho</t>
  </si>
  <si>
    <t>0,84 a 1,10 g . cm-3</t>
  </si>
  <si>
    <t xml:space="preserve">Aroeirinha </t>
  </si>
  <si>
    <t xml:space="preserve">Baba de boi </t>
  </si>
  <si>
    <t>Barbatimão</t>
  </si>
  <si>
    <t>Stryphnodendron adstringens</t>
  </si>
  <si>
    <t xml:space="preserve">Cajazinho do mato </t>
  </si>
  <si>
    <t>0,41 a 0,51</t>
  </si>
  <si>
    <t>Cambui Branco</t>
  </si>
  <si>
    <t>Hydrochorea pedicellaris</t>
  </si>
  <si>
    <t>Canafístula</t>
  </si>
  <si>
    <t xml:space="preserve">0,75 a 0,90 </t>
  </si>
  <si>
    <t>Cotieira</t>
  </si>
  <si>
    <t>0,47 a 0,59</t>
  </si>
  <si>
    <t>0,25 a 0,41</t>
  </si>
  <si>
    <t>0,75 a 1,00</t>
  </si>
  <si>
    <t xml:space="preserve">Apuleia leiocarpa </t>
  </si>
  <si>
    <t xml:space="preserve">Indet 1 (Guazuma) </t>
  </si>
  <si>
    <t>Coreácea (Rhamnus)</t>
  </si>
  <si>
    <t>Indet 4</t>
  </si>
  <si>
    <t>Ingá</t>
  </si>
  <si>
    <t xml:space="preserve">0,58  a 0,77 </t>
  </si>
  <si>
    <t xml:space="preserve">Ipê amarelo </t>
  </si>
  <si>
    <t>0,80 a 1,00</t>
  </si>
  <si>
    <t>Jenipapo</t>
  </si>
  <si>
    <t>0,62 a 0,71</t>
  </si>
  <si>
    <t>Jequitibá</t>
  </si>
  <si>
    <t>Carianina spp</t>
  </si>
  <si>
    <t>0,50 a 0,65</t>
  </si>
  <si>
    <t>Mimosa bimucronata</t>
  </si>
  <si>
    <t>0,55 a 0,70</t>
  </si>
  <si>
    <t xml:space="preserve">Guazuma ulmifolia </t>
  </si>
  <si>
    <t>0,50 a 0,68</t>
  </si>
  <si>
    <t xml:space="preserve">Orelha de burro </t>
  </si>
  <si>
    <t>Himatanthus lancifolius</t>
  </si>
  <si>
    <t>0,22 a 0,34</t>
  </si>
  <si>
    <t>Pata de vaca</t>
  </si>
  <si>
    <t>Bauhinia forficata</t>
  </si>
  <si>
    <r>
      <rPr>
        <i/>
        <sz val="11"/>
        <color rgb="FF000000"/>
        <rFont val="Times New Roman"/>
        <family val="1"/>
      </rPr>
      <t xml:space="preserve">Caesalpinia ferrea </t>
    </r>
    <r>
      <rPr>
        <sz val="11"/>
        <color rgb="FF000000"/>
        <rFont val="Times New Roman"/>
        <family val="1"/>
      </rPr>
      <t>var</t>
    </r>
    <r>
      <rPr>
        <i/>
        <sz val="11"/>
        <color rgb="FF000000"/>
        <rFont val="Times New Roman"/>
        <family val="1"/>
      </rPr>
      <t>. parviflora</t>
    </r>
  </si>
  <si>
    <t>0,99 a 1,27</t>
  </si>
  <si>
    <r>
      <rPr>
        <i/>
        <sz val="11"/>
        <color theme="1"/>
        <rFont val="Times New Roman"/>
        <family val="1"/>
      </rPr>
      <t xml:space="preserve">Caesalpinia ferrea </t>
    </r>
    <r>
      <rPr>
        <sz val="11"/>
        <color theme="1"/>
        <rFont val="Times New Roman"/>
        <family val="1"/>
      </rPr>
      <t>var</t>
    </r>
    <r>
      <rPr>
        <i/>
        <sz val="11"/>
        <color theme="1"/>
        <rFont val="Times New Roman"/>
        <family val="1"/>
      </rPr>
      <t>. parviflora</t>
    </r>
  </si>
  <si>
    <t>Caesalpinia ferrea var. parviflora</t>
  </si>
  <si>
    <t>Tápia</t>
  </si>
  <si>
    <t>Alchornea glandulosa</t>
  </si>
  <si>
    <t>Área 2- EEG</t>
  </si>
  <si>
    <t>Plantio realizado entre 2015-2016</t>
  </si>
  <si>
    <t>Açoita cavalo</t>
  </si>
  <si>
    <t>0,56 a 0,70</t>
  </si>
  <si>
    <t>Angico-Rosa</t>
  </si>
  <si>
    <t>Pseudopiptadenia contorta</t>
  </si>
  <si>
    <t>Araticum</t>
  </si>
  <si>
    <t>Annona crassiflora</t>
  </si>
  <si>
    <t>Cambuí-branco</t>
  </si>
  <si>
    <t>0,26 a 0,39</t>
  </si>
  <si>
    <t xml:space="preserve">0,54 a 0,58 </t>
  </si>
  <si>
    <t>Ingá laurina</t>
  </si>
  <si>
    <t>Ipê amarelo</t>
  </si>
  <si>
    <t xml:space="preserve">Jenipapo </t>
  </si>
  <si>
    <t xml:space="preserve">Pau ferro </t>
  </si>
  <si>
    <t>Senna</t>
  </si>
  <si>
    <t xml:space="preserve">0,45 a 0,51 </t>
  </si>
  <si>
    <t>Área 3- EEG (Poligono amarelo)</t>
  </si>
  <si>
    <t>Aroeirinha</t>
  </si>
  <si>
    <t>Cedro</t>
  </si>
  <si>
    <t>Cedrela fissilis</t>
  </si>
  <si>
    <t>Ingá-laurina</t>
  </si>
  <si>
    <t>Ipê-Amarelo</t>
  </si>
  <si>
    <t>Ipê-Felpudo</t>
  </si>
  <si>
    <t>0,75 a  0,8</t>
  </si>
  <si>
    <t>Ipê-Jardim</t>
  </si>
  <si>
    <t>Tecoma stans</t>
  </si>
  <si>
    <t>Ipê-mandioca</t>
  </si>
  <si>
    <t>Pau D'Alho</t>
  </si>
  <si>
    <t>0,58 a 0,66</t>
  </si>
  <si>
    <t>Pau-Ferro</t>
  </si>
  <si>
    <t xml:space="preserve">0,50 a 0,70 </t>
  </si>
  <si>
    <t>Área 4 EEG- Poligono verde</t>
  </si>
  <si>
    <t>Açoita-Cavalo</t>
  </si>
  <si>
    <t>Aderno</t>
  </si>
  <si>
    <t>Astronium graveolens</t>
  </si>
  <si>
    <t>Centrolobium microchaete</t>
  </si>
  <si>
    <t>0,70 a 0,85</t>
  </si>
  <si>
    <t>Cambuí</t>
  </si>
  <si>
    <t>0,47 a 0,61</t>
  </si>
  <si>
    <t>Copaíba</t>
  </si>
  <si>
    <t>Copaifera langsdorffii</t>
  </si>
  <si>
    <t>0,64 a 0,86</t>
  </si>
  <si>
    <t>Indet. 20</t>
  </si>
  <si>
    <r>
      <rPr>
        <sz val="11"/>
        <color theme="1"/>
        <rFont val="&quot;Times New Roman&quot;"/>
      </rPr>
      <t xml:space="preserve">Possivel </t>
    </r>
    <r>
      <rPr>
        <i/>
        <sz val="11"/>
        <color theme="1"/>
        <rFont val="&quot;Times New Roman&quot;"/>
      </rPr>
      <t>Albizia polycephala</t>
    </r>
  </si>
  <si>
    <r>
      <rPr>
        <sz val="11"/>
        <color theme="1"/>
        <rFont val="&quot;Times New Roman&quot;"/>
      </rPr>
      <t xml:space="preserve">Possivel </t>
    </r>
    <r>
      <rPr>
        <i/>
        <sz val="11"/>
        <color theme="1"/>
        <rFont val="&quot;Times New Roman&quot;"/>
      </rPr>
      <t>Albizia polycephala</t>
    </r>
  </si>
  <si>
    <r>
      <rPr>
        <sz val="11"/>
        <color theme="1"/>
        <rFont val="&quot;Times New Roman&quot;"/>
      </rPr>
      <t xml:space="preserve">Possivel </t>
    </r>
    <r>
      <rPr>
        <i/>
        <sz val="11"/>
        <color theme="1"/>
        <rFont val="&quot;Times New Roman&quot;"/>
      </rPr>
      <t>Albizia polycephala</t>
    </r>
  </si>
  <si>
    <r>
      <rPr>
        <sz val="11"/>
        <color theme="1"/>
        <rFont val="&quot;Times New Roman&quot;"/>
      </rPr>
      <t xml:space="preserve">Possivel </t>
    </r>
    <r>
      <rPr>
        <i/>
        <sz val="11"/>
        <color theme="1"/>
        <rFont val="&quot;Times New Roman&quot;"/>
      </rPr>
      <t>Albizia polycephala</t>
    </r>
  </si>
  <si>
    <r>
      <rPr>
        <sz val="11"/>
        <color theme="1"/>
        <rFont val="&quot;Times New Roman&quot;"/>
      </rPr>
      <t xml:space="preserve">Possivel </t>
    </r>
    <r>
      <rPr>
        <i/>
        <sz val="11"/>
        <color theme="1"/>
        <rFont val="&quot;Times New Roman&quot;"/>
      </rPr>
      <t>Albizia polycephala</t>
    </r>
  </si>
  <si>
    <t>Indet. 21</t>
  </si>
  <si>
    <t>Indet. 22</t>
  </si>
  <si>
    <t>Cariniana spp</t>
  </si>
  <si>
    <t>Solanum sp</t>
  </si>
  <si>
    <t>0,85 a 1,00</t>
  </si>
  <si>
    <t xml:space="preserve">0,33 a 0,44 </t>
  </si>
  <si>
    <t>Condominio (próximo à estrada principal/em frente ao polígono azul)</t>
  </si>
  <si>
    <t>Área 5- EEG</t>
  </si>
  <si>
    <t>Data: 05/12/2023</t>
  </si>
  <si>
    <t>Angelim-Pedra</t>
  </si>
  <si>
    <t xml:space="preserve">Angico-Rosa        </t>
  </si>
  <si>
    <t>Indet. 23</t>
  </si>
  <si>
    <t>Indet. 24</t>
  </si>
  <si>
    <t>Ipê de jardim</t>
  </si>
  <si>
    <t>Orelha de Burro</t>
  </si>
  <si>
    <t>Pau-Jacaré</t>
  </si>
  <si>
    <t>0,75 a 0,78</t>
  </si>
  <si>
    <t>Espécie</t>
  </si>
  <si>
    <t xml:space="preserve">Nome científico </t>
  </si>
  <si>
    <t xml:space="preserve">N° de individuos </t>
  </si>
  <si>
    <t>Altura (média)</t>
  </si>
  <si>
    <t>CAP (média)</t>
  </si>
  <si>
    <t>Densidade da madeira g.cm³</t>
  </si>
  <si>
    <t xml:space="preserve">média da densidade </t>
  </si>
  <si>
    <t>0,50-0,55</t>
  </si>
  <si>
    <t xml:space="preserve">Hymenea courbaril </t>
  </si>
  <si>
    <t>Gochnatia polymorpha</t>
  </si>
  <si>
    <t>0,60-0,78</t>
  </si>
  <si>
    <t xml:space="preserve">Angico-vermelho </t>
  </si>
  <si>
    <t xml:space="preserve">0,84 -1,10 </t>
  </si>
  <si>
    <t xml:space="preserve">Angico-branco </t>
  </si>
  <si>
    <t>0,80-1,10</t>
  </si>
  <si>
    <t>0,50-0,70</t>
  </si>
  <si>
    <t>Inga-vera</t>
  </si>
  <si>
    <t>0,58-0,77</t>
  </si>
  <si>
    <t>0,25-0,41</t>
  </si>
  <si>
    <t>0,50-0,68</t>
  </si>
  <si>
    <t>0,74-0,79</t>
  </si>
  <si>
    <t>Espécies com biomassa maior, porém &lt; 5 indivíduos</t>
  </si>
  <si>
    <t xml:space="preserve">  </t>
  </si>
  <si>
    <t>0,26-0,39</t>
  </si>
  <si>
    <t>0,33-0,44</t>
  </si>
  <si>
    <t>0,50 a 0,70</t>
  </si>
  <si>
    <t>AGB=0,0673*(p.D².H)^0,976</t>
  </si>
  <si>
    <t>nao encontrado</t>
  </si>
  <si>
    <t xml:space="preserve">Escolher as espécies com maior altura e maior numero de individuos </t>
  </si>
  <si>
    <t>Libidibia ferrea var. parviflora</t>
  </si>
  <si>
    <t>Marlimorimia contorta</t>
  </si>
  <si>
    <t>Cenostigma pluviosum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</si>
</sst>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#,##0.0000"/>
    <numFmt numFmtId="166" formatCode="d\.m"/>
    <numFmt numFmtId="167" formatCode="0.0000"/>
    <numFmt numFmtId="168" formatCode="#,##0.000"/>
  </numFmts>
  <fonts count="39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b/>
      <sz val="12"/>
      <color rgb="FF000000"/>
      <name val="Calibri"/>
      <family val="2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1"/>
      <color rgb="FF000000"/>
      <name val="Times New Roman"/>
      <family val="1"/>
    </font>
    <font>
      <i/>
      <sz val="12"/>
      <color theme="1"/>
      <name val="&quot;Times New Roman&quot;"/>
    </font>
    <font>
      <i/>
      <sz val="11"/>
      <color rgb="FF000000"/>
      <name val="Times New Roman"/>
      <family val="1"/>
    </font>
    <font>
      <i/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b/>
      <i/>
      <sz val="12"/>
      <color rgb="FFFF0000"/>
      <name val="Times New Roman"/>
      <family val="1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2"/>
      <color theme="1"/>
      <name val="Calibri"/>
      <family val="2"/>
    </font>
    <font>
      <b/>
      <sz val="12"/>
      <color theme="1"/>
      <name val="&quot;Times New Roman&quot;"/>
    </font>
    <font>
      <b/>
      <sz val="11"/>
      <color theme="1"/>
      <name val="Calibri"/>
      <family val="2"/>
    </font>
    <font>
      <sz val="12"/>
      <color theme="1"/>
      <name val="&quot;Times New Roman&quot;"/>
    </font>
    <font>
      <sz val="11"/>
      <color theme="1"/>
      <name val="&quot;Times New Roman&quot;"/>
    </font>
    <font>
      <i/>
      <sz val="11"/>
      <color theme="1"/>
      <name val="&quot;Times New Roman&quot;"/>
    </font>
    <font>
      <sz val="11"/>
      <color theme="1"/>
      <name val="Arial"/>
      <family val="2"/>
    </font>
    <font>
      <i/>
      <sz val="11"/>
      <color rgb="FF000000"/>
      <name val="&quot;Times New Roman&quot;"/>
    </font>
    <font>
      <i/>
      <sz val="11"/>
      <color theme="1"/>
      <name val="Calibri"/>
      <family val="2"/>
    </font>
    <font>
      <b/>
      <i/>
      <sz val="12"/>
      <color theme="1"/>
      <name val="&quot;Times New Roman&quot;"/>
    </font>
    <font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b/>
      <vertAlign val="superscript"/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b/>
      <vertAlign val="superscript"/>
      <sz val="12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18">
    <xf numFmtId="0" fontId="0" fillId="0" borderId="0" xfId="0"/>
    <xf numFmtId="0" fontId="1" fillId="0" borderId="0" xfId="0" applyFont="1"/>
    <xf numFmtId="0" fontId="2" fillId="0" borderId="0" xfId="0" applyFont="1"/>
    <xf numFmtId="2" fontId="3" fillId="0" borderId="0" xfId="0" applyNumberFormat="1" applyFont="1" applyAlignment="1">
      <alignment horizontal="center" vertical="center"/>
    </xf>
    <xf numFmtId="17" fontId="1" fillId="0" borderId="0" xfId="0" applyNumberFormat="1" applyFont="1" applyAlignment="1">
      <alignment horizontal="left" vertic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2" fontId="5" fillId="0" borderId="3" xfId="0" applyNumberFormat="1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/>
    <xf numFmtId="2" fontId="7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10" fillId="0" borderId="1" xfId="0" applyFont="1" applyBorder="1" applyAlignment="1">
      <alignment horizontal="center"/>
    </xf>
    <xf numFmtId="2" fontId="6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2" fillId="0" borderId="6" xfId="0" applyFont="1" applyBorder="1"/>
    <xf numFmtId="2" fontId="5" fillId="0" borderId="1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164" fontId="5" fillId="0" borderId="0" xfId="0" applyNumberFormat="1" applyFont="1" applyAlignment="1">
      <alignment horizontal="center" wrapText="1"/>
    </xf>
    <xf numFmtId="164" fontId="5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2" borderId="8" xfId="0" applyFont="1" applyFill="1" applyBorder="1" applyAlignment="1">
      <alignment horizontal="center" vertical="center" wrapText="1"/>
    </xf>
    <xf numFmtId="164" fontId="3" fillId="2" borderId="8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7" fontId="2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/>
    </xf>
    <xf numFmtId="2" fontId="5" fillId="2" borderId="1" xfId="0" applyNumberFormat="1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2" fontId="17" fillId="0" borderId="11" xfId="0" applyNumberFormat="1" applyFont="1" applyBorder="1" applyAlignment="1">
      <alignment horizontal="center" vertical="center" wrapText="1"/>
    </xf>
    <xf numFmtId="2" fontId="18" fillId="0" borderId="11" xfId="0" applyNumberFormat="1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2" fontId="17" fillId="0" borderId="4" xfId="0" applyNumberFormat="1" applyFont="1" applyBorder="1" applyAlignment="1">
      <alignment horizontal="center" vertical="center"/>
    </xf>
    <xf numFmtId="0" fontId="20" fillId="0" borderId="14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2" fontId="17" fillId="0" borderId="4" xfId="0" applyNumberFormat="1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/>
    </xf>
    <xf numFmtId="2" fontId="17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2" fontId="16" fillId="0" borderId="0" xfId="0" applyNumberFormat="1" applyFont="1"/>
    <xf numFmtId="0" fontId="14" fillId="0" borderId="0" xfId="0" applyFont="1"/>
    <xf numFmtId="2" fontId="14" fillId="0" borderId="0" xfId="0" applyNumberFormat="1" applyFont="1"/>
    <xf numFmtId="164" fontId="14" fillId="0" borderId="0" xfId="0" applyNumberFormat="1" applyFont="1"/>
    <xf numFmtId="17" fontId="14" fillId="0" borderId="16" xfId="0" applyNumberFormat="1" applyFont="1" applyBorder="1"/>
    <xf numFmtId="0" fontId="14" fillId="0" borderId="16" xfId="0" applyFont="1" applyBorder="1"/>
    <xf numFmtId="2" fontId="14" fillId="0" borderId="16" xfId="0" applyNumberFormat="1" applyFont="1" applyBorder="1"/>
    <xf numFmtId="164" fontId="14" fillId="0" borderId="16" xfId="0" applyNumberFormat="1" applyFont="1" applyBorder="1" applyAlignment="1">
      <alignment horizontal="center"/>
    </xf>
    <xf numFmtId="0" fontId="22" fillId="2" borderId="6" xfId="0" applyFont="1" applyFill="1" applyBorder="1" applyAlignment="1">
      <alignment horizontal="center"/>
    </xf>
    <xf numFmtId="0" fontId="23" fillId="2" borderId="2" xfId="0" applyFont="1" applyFill="1" applyBorder="1" applyAlignment="1">
      <alignment horizontal="center"/>
    </xf>
    <xf numFmtId="2" fontId="23" fillId="2" borderId="2" xfId="0" applyNumberFormat="1" applyFont="1" applyFill="1" applyBorder="1" applyAlignment="1">
      <alignment horizontal="center" wrapText="1"/>
    </xf>
    <xf numFmtId="0" fontId="24" fillId="0" borderId="2" xfId="0" applyFont="1" applyBorder="1"/>
    <xf numFmtId="164" fontId="24" fillId="0" borderId="2" xfId="0" applyNumberFormat="1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2" fontId="26" fillId="0" borderId="2" xfId="0" applyNumberFormat="1" applyFont="1" applyBorder="1" applyAlignment="1">
      <alignment horizontal="center"/>
    </xf>
    <xf numFmtId="2" fontId="25" fillId="0" borderId="2" xfId="0" applyNumberFormat="1" applyFont="1" applyBorder="1" applyAlignment="1">
      <alignment horizontal="center"/>
    </xf>
    <xf numFmtId="0" fontId="14" fillId="0" borderId="2" xfId="0" applyFont="1" applyBorder="1"/>
    <xf numFmtId="164" fontId="14" fillId="3" borderId="2" xfId="0" applyNumberFormat="1" applyFont="1" applyFill="1" applyBorder="1" applyAlignment="1">
      <alignment horizontal="center"/>
    </xf>
    <xf numFmtId="164" fontId="14" fillId="0" borderId="2" xfId="0" applyNumberFormat="1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165" fontId="14" fillId="0" borderId="2" xfId="0" applyNumberFormat="1" applyFont="1" applyBorder="1" applyAlignment="1">
      <alignment horizontal="center"/>
    </xf>
    <xf numFmtId="0" fontId="24" fillId="0" borderId="0" xfId="0" applyFont="1"/>
    <xf numFmtId="17" fontId="24" fillId="0" borderId="16" xfId="0" applyNumberFormat="1" applyFont="1" applyBorder="1"/>
    <xf numFmtId="0" fontId="24" fillId="0" borderId="16" xfId="0" applyFont="1" applyBorder="1"/>
    <xf numFmtId="0" fontId="24" fillId="0" borderId="2" xfId="0" applyFont="1" applyBorder="1" applyAlignment="1">
      <alignment horizontal="center"/>
    </xf>
    <xf numFmtId="2" fontId="14" fillId="0" borderId="2" xfId="0" applyNumberFormat="1" applyFont="1" applyBorder="1"/>
    <xf numFmtId="0" fontId="8" fillId="3" borderId="2" xfId="0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16" fillId="0" borderId="2" xfId="0" applyFont="1" applyBorder="1"/>
    <xf numFmtId="0" fontId="30" fillId="0" borderId="2" xfId="0" applyFont="1" applyBorder="1" applyAlignment="1">
      <alignment horizontal="center"/>
    </xf>
    <xf numFmtId="164" fontId="14" fillId="3" borderId="0" xfId="0" applyNumberFormat="1" applyFont="1" applyFill="1"/>
    <xf numFmtId="0" fontId="14" fillId="0" borderId="0" xfId="0" applyFont="1" applyAlignment="1">
      <alignment horizontal="center"/>
    </xf>
    <xf numFmtId="0" fontId="30" fillId="0" borderId="0" xfId="0" applyFont="1"/>
    <xf numFmtId="0" fontId="24" fillId="0" borderId="16" xfId="0" applyFont="1" applyBorder="1" applyAlignment="1">
      <alignment horizontal="center"/>
    </xf>
    <xf numFmtId="0" fontId="30" fillId="0" borderId="16" xfId="0" applyFont="1" applyBorder="1"/>
    <xf numFmtId="0" fontId="31" fillId="2" borderId="2" xfId="0" applyFont="1" applyFill="1" applyBorder="1" applyAlignment="1">
      <alignment horizontal="center"/>
    </xf>
    <xf numFmtId="0" fontId="27" fillId="3" borderId="2" xfId="0" applyFont="1" applyFill="1" applyBorder="1" applyAlignment="1">
      <alignment horizontal="center"/>
    </xf>
    <xf numFmtId="166" fontId="26" fillId="0" borderId="2" xfId="0" applyNumberFormat="1" applyFont="1" applyBorder="1" applyAlignment="1">
      <alignment horizontal="center"/>
    </xf>
    <xf numFmtId="0" fontId="30" fillId="0" borderId="2" xfId="0" applyFont="1" applyBorder="1"/>
    <xf numFmtId="0" fontId="21" fillId="0" borderId="2" xfId="0" applyFont="1" applyBorder="1" applyAlignment="1">
      <alignment horizontal="center"/>
    </xf>
    <xf numFmtId="0" fontId="32" fillId="0" borderId="0" xfId="0" applyFont="1"/>
    <xf numFmtId="0" fontId="2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3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3" fillId="0" borderId="6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164" fontId="7" fillId="0" borderId="6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/>
    </xf>
    <xf numFmtId="0" fontId="2" fillId="0" borderId="1" xfId="0" applyFont="1" applyBorder="1"/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7" xfId="0" applyFont="1" applyBorder="1"/>
    <xf numFmtId="0" fontId="2" fillId="0" borderId="4" xfId="0" applyFont="1" applyBorder="1"/>
    <xf numFmtId="2" fontId="2" fillId="0" borderId="0" xfId="0" applyNumberFormat="1" applyFont="1"/>
    <xf numFmtId="0" fontId="4" fillId="0" borderId="0" xfId="0" applyFont="1" applyAlignment="1">
      <alignment horizontal="center"/>
    </xf>
    <xf numFmtId="164" fontId="5" fillId="0" borderId="1" xfId="0" applyNumberFormat="1" applyFont="1" applyBorder="1" applyAlignment="1">
      <alignment horizontal="left" indent="3"/>
    </xf>
    <xf numFmtId="167" fontId="5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2" fontId="5" fillId="0" borderId="4" xfId="0" applyNumberFormat="1" applyFont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 wrapText="1"/>
    </xf>
    <xf numFmtId="164" fontId="25" fillId="0" borderId="2" xfId="0" applyNumberFormat="1" applyFont="1" applyBorder="1" applyAlignment="1">
      <alignment horizontal="center"/>
    </xf>
    <xf numFmtId="0" fontId="14" fillId="0" borderId="1" xfId="0" applyFont="1" applyBorder="1"/>
    <xf numFmtId="0" fontId="6" fillId="0" borderId="2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/>
    </xf>
    <xf numFmtId="168" fontId="38" fillId="0" borderId="0" xfId="0" applyNumberFormat="1" applyFont="1"/>
    <xf numFmtId="0" fontId="25" fillId="4" borderId="6" xfId="0" applyFont="1" applyFill="1" applyBorder="1" applyAlignment="1">
      <alignment horizontal="center"/>
    </xf>
    <xf numFmtId="0" fontId="25" fillId="4" borderId="2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14" fillId="4" borderId="2" xfId="0" applyFont="1" applyFill="1" applyBorder="1"/>
    <xf numFmtId="2" fontId="25" fillId="4" borderId="2" xfId="0" applyNumberFormat="1" applyFont="1" applyFill="1" applyBorder="1" applyAlignment="1">
      <alignment horizontal="center"/>
    </xf>
    <xf numFmtId="0" fontId="28" fillId="4" borderId="2" xfId="0" applyFont="1" applyFill="1" applyBorder="1" applyAlignment="1">
      <alignment horizontal="center"/>
    </xf>
    <xf numFmtId="0" fontId="14" fillId="4" borderId="2" xfId="0" applyFont="1" applyFill="1" applyBorder="1" applyAlignment="1">
      <alignment horizontal="center"/>
    </xf>
    <xf numFmtId="164" fontId="14" fillId="5" borderId="2" xfId="0" applyNumberFormat="1" applyFont="1" applyFill="1" applyBorder="1" applyAlignment="1">
      <alignment horizontal="center"/>
    </xf>
    <xf numFmtId="164" fontId="14" fillId="4" borderId="2" xfId="0" applyNumberFormat="1" applyFont="1" applyFill="1" applyBorder="1" applyAlignment="1">
      <alignment horizontal="center"/>
    </xf>
    <xf numFmtId="0" fontId="14" fillId="4" borderId="0" xfId="0" applyFont="1" applyFill="1"/>
    <xf numFmtId="0" fontId="0" fillId="4" borderId="0" xfId="0" applyFill="1"/>
    <xf numFmtId="0" fontId="29" fillId="4" borderId="2" xfId="0" applyFont="1" applyFill="1" applyBorder="1" applyAlignment="1">
      <alignment horizontal="center"/>
    </xf>
    <xf numFmtId="0" fontId="26" fillId="4" borderId="2" xfId="0" applyFont="1" applyFill="1" applyBorder="1" applyAlignment="1">
      <alignment horizontal="center"/>
    </xf>
    <xf numFmtId="2" fontId="26" fillId="4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00"/>
  <sheetViews>
    <sheetView topLeftCell="A172" workbookViewId="0">
      <selection activeCell="E155" sqref="E155"/>
    </sheetView>
  </sheetViews>
  <sheetFormatPr defaultColWidth="14.453125" defaultRowHeight="15" customHeight="1"/>
  <cols>
    <col min="1" max="1" width="16" customWidth="1"/>
    <col min="2" max="2" width="33.36328125" customWidth="1"/>
    <col min="3" max="3" width="41.90625" customWidth="1"/>
    <col min="4" max="4" width="17.453125" customWidth="1"/>
    <col min="5" max="5" width="13" customWidth="1"/>
    <col min="6" max="6" width="14.08984375" customWidth="1"/>
    <col min="7" max="7" width="32.6328125" customWidth="1"/>
    <col min="8" max="8" width="13" customWidth="1"/>
    <col min="9" max="9" width="32.6328125" customWidth="1"/>
  </cols>
  <sheetData>
    <row r="1" spans="1:9" ht="14.25" customHeight="1">
      <c r="A1" s="1" t="s">
        <v>0</v>
      </c>
      <c r="B1" s="2" t="s">
        <v>1</v>
      </c>
      <c r="C1" s="2"/>
      <c r="D1" s="2"/>
      <c r="E1" s="2"/>
      <c r="F1" s="3"/>
      <c r="G1" s="2"/>
      <c r="H1" s="2"/>
      <c r="I1" s="2"/>
    </row>
    <row r="2" spans="1:9" ht="14.25" customHeight="1">
      <c r="A2" s="4" t="s">
        <v>2</v>
      </c>
      <c r="B2" s="2" t="s">
        <v>3</v>
      </c>
      <c r="C2" s="1" t="s">
        <v>4</v>
      </c>
      <c r="D2" s="1" t="s">
        <v>5</v>
      </c>
      <c r="E2" s="2"/>
      <c r="F2" s="3"/>
      <c r="G2" s="2"/>
      <c r="H2" s="2"/>
      <c r="I2" s="2"/>
    </row>
    <row r="3" spans="1:9" ht="33" customHeight="1">
      <c r="A3" s="5" t="s">
        <v>6</v>
      </c>
      <c r="B3" s="6" t="s">
        <v>7</v>
      </c>
      <c r="C3" s="7" t="s">
        <v>8</v>
      </c>
      <c r="D3" s="7" t="s">
        <v>9</v>
      </c>
      <c r="E3" s="7" t="s">
        <v>10</v>
      </c>
      <c r="F3" s="8" t="s">
        <v>11</v>
      </c>
      <c r="G3" s="7" t="s">
        <v>12</v>
      </c>
      <c r="H3" s="7" t="s">
        <v>13</v>
      </c>
      <c r="I3" s="7" t="s">
        <v>14</v>
      </c>
    </row>
    <row r="4" spans="1:9" ht="15" customHeight="1">
      <c r="A4" s="9">
        <v>1</v>
      </c>
      <c r="B4" s="10" t="s">
        <v>94</v>
      </c>
      <c r="C4" s="11" t="s">
        <v>95</v>
      </c>
      <c r="D4" s="10">
        <v>4</v>
      </c>
      <c r="E4" s="12">
        <f>12.5/3.14</f>
        <v>3.9808917197452227</v>
      </c>
      <c r="F4" s="13"/>
      <c r="G4" s="14">
        <f t="shared" ref="G4:G35" si="0">0.0673*(F4*E4^2*D4)^0.976</f>
        <v>0</v>
      </c>
      <c r="H4" s="12"/>
      <c r="I4" s="15"/>
    </row>
    <row r="5" spans="1:9" ht="15" customHeight="1">
      <c r="A5" s="9">
        <v>1</v>
      </c>
      <c r="B5" s="10" t="s">
        <v>94</v>
      </c>
      <c r="C5" s="11" t="s">
        <v>95</v>
      </c>
      <c r="D5" s="10">
        <v>4</v>
      </c>
      <c r="E5" s="12">
        <f>SUM(11.5)/3.14</f>
        <v>3.6624203821656049</v>
      </c>
      <c r="F5" s="13"/>
      <c r="G5" s="14">
        <f t="shared" si="0"/>
        <v>0</v>
      </c>
      <c r="H5" s="12"/>
      <c r="I5" s="15"/>
    </row>
    <row r="6" spans="1:9" ht="15" customHeight="1">
      <c r="A6" s="9">
        <v>1</v>
      </c>
      <c r="B6" s="10" t="s">
        <v>94</v>
      </c>
      <c r="C6" s="11" t="s">
        <v>95</v>
      </c>
      <c r="D6" s="10">
        <v>4</v>
      </c>
      <c r="E6" s="12">
        <f>SUM(12.5)/3.14</f>
        <v>3.9808917197452227</v>
      </c>
      <c r="F6" s="13"/>
      <c r="G6" s="14">
        <f t="shared" si="0"/>
        <v>0</v>
      </c>
      <c r="H6" s="12"/>
      <c r="I6" s="15"/>
    </row>
    <row r="7" spans="1:9" ht="15" customHeight="1">
      <c r="A7" s="9">
        <v>1</v>
      </c>
      <c r="B7" s="10" t="s">
        <v>94</v>
      </c>
      <c r="C7" s="188" t="s">
        <v>95</v>
      </c>
      <c r="D7" s="10">
        <v>2.5</v>
      </c>
      <c r="E7" s="30">
        <f>SUM(7)/3.14</f>
        <v>2.2292993630573248</v>
      </c>
      <c r="F7" s="13"/>
      <c r="G7" s="14">
        <f t="shared" si="0"/>
        <v>0</v>
      </c>
      <c r="H7" s="12"/>
      <c r="I7" s="15"/>
    </row>
    <row r="8" spans="1:9" ht="15" customHeight="1">
      <c r="A8" s="9">
        <v>1</v>
      </c>
      <c r="B8" s="10" t="s">
        <v>92</v>
      </c>
      <c r="C8" s="188" t="s">
        <v>93</v>
      </c>
      <c r="D8" s="10">
        <v>7</v>
      </c>
      <c r="E8" s="12">
        <f>SUM(17.5)/3.14</f>
        <v>5.5732484076433115</v>
      </c>
      <c r="F8" s="13">
        <v>0.97799999999999998</v>
      </c>
      <c r="G8" s="14">
        <f t="shared" si="0"/>
        <v>12.583604833220205</v>
      </c>
      <c r="H8" s="12"/>
      <c r="I8" s="15" t="s">
        <v>57</v>
      </c>
    </row>
    <row r="9" spans="1:9" ht="15" customHeight="1">
      <c r="A9" s="9">
        <v>1</v>
      </c>
      <c r="B9" s="10" t="s">
        <v>92</v>
      </c>
      <c r="C9" s="188" t="s">
        <v>93</v>
      </c>
      <c r="D9" s="10">
        <v>6</v>
      </c>
      <c r="E9" s="12">
        <f>SUM(19,10,8.5)/3.14</f>
        <v>11.942675159235668</v>
      </c>
      <c r="F9" s="13">
        <v>0.97799999999999998</v>
      </c>
      <c r="G9" s="14">
        <f t="shared" si="0"/>
        <v>47.92518173657141</v>
      </c>
      <c r="H9" s="12"/>
      <c r="I9" s="15" t="s">
        <v>57</v>
      </c>
    </row>
    <row r="10" spans="1:9" ht="15" customHeight="1">
      <c r="A10" s="9">
        <v>1</v>
      </c>
      <c r="B10" s="10" t="s">
        <v>72</v>
      </c>
      <c r="C10" s="188" t="s">
        <v>73</v>
      </c>
      <c r="D10" s="10">
        <v>4</v>
      </c>
      <c r="E10" s="12">
        <f>SUM(6)/3.14</f>
        <v>1.910828025477707</v>
      </c>
      <c r="F10" s="13">
        <f>AVERAGE(0.58,0.66)</f>
        <v>0.62</v>
      </c>
      <c r="G10" s="14">
        <f t="shared" si="0"/>
        <v>0.57802213851753836</v>
      </c>
      <c r="H10" s="12"/>
      <c r="I10" s="15" t="s">
        <v>22</v>
      </c>
    </row>
    <row r="11" spans="1:9" ht="15" customHeight="1">
      <c r="A11" s="9">
        <v>1</v>
      </c>
      <c r="B11" s="10" t="s">
        <v>72</v>
      </c>
      <c r="C11" s="11" t="s">
        <v>73</v>
      </c>
      <c r="D11" s="10">
        <v>3</v>
      </c>
      <c r="E11" s="12">
        <f>SUM(5.5)/3.14</f>
        <v>1.7515923566878979</v>
      </c>
      <c r="F11" s="13">
        <f>AVERAGE(0.58,0.66)</f>
        <v>0.62</v>
      </c>
      <c r="G11" s="14">
        <f t="shared" si="0"/>
        <v>0.36833330902034894</v>
      </c>
      <c r="H11" s="12"/>
      <c r="I11" s="15" t="s">
        <v>22</v>
      </c>
    </row>
    <row r="12" spans="1:9" ht="15" customHeight="1">
      <c r="A12" s="9">
        <v>1</v>
      </c>
      <c r="B12" s="10" t="s">
        <v>58</v>
      </c>
      <c r="C12" s="11" t="s">
        <v>59</v>
      </c>
      <c r="D12" s="10">
        <v>4</v>
      </c>
      <c r="E12" s="12">
        <f>14/3.14</f>
        <v>4.4585987261146496</v>
      </c>
      <c r="F12" s="13">
        <f>AVERAGE(0.92, 1.08)</f>
        <v>1</v>
      </c>
      <c r="G12" s="14">
        <f t="shared" si="0"/>
        <v>4.8179342438726067</v>
      </c>
      <c r="H12" s="12"/>
      <c r="I12" s="15" t="s">
        <v>17</v>
      </c>
    </row>
    <row r="13" spans="1:9" ht="15" customHeight="1">
      <c r="A13" s="9">
        <v>1</v>
      </c>
      <c r="B13" s="10" t="s">
        <v>64</v>
      </c>
      <c r="C13" s="11" t="s">
        <v>65</v>
      </c>
      <c r="D13" s="10">
        <v>9</v>
      </c>
      <c r="E13" s="12">
        <f>SUM(29.5)/3.14</f>
        <v>9.3949044585987256</v>
      </c>
      <c r="F13" s="13">
        <v>0.94</v>
      </c>
      <c r="G13" s="14">
        <f t="shared" si="0"/>
        <v>42.876017617639</v>
      </c>
      <c r="H13" s="12"/>
      <c r="I13" s="15" t="s">
        <v>17</v>
      </c>
    </row>
    <row r="14" spans="1:9" ht="15" customHeight="1">
      <c r="A14" s="9">
        <v>1</v>
      </c>
      <c r="B14" s="10" t="s">
        <v>64</v>
      </c>
      <c r="C14" s="11" t="s">
        <v>65</v>
      </c>
      <c r="D14" s="10">
        <v>9</v>
      </c>
      <c r="E14" s="12">
        <f>SUM(40.5)/3.14</f>
        <v>12.898089171974522</v>
      </c>
      <c r="F14" s="13">
        <v>0.94</v>
      </c>
      <c r="G14" s="14">
        <f t="shared" si="0"/>
        <v>79.592852741811768</v>
      </c>
      <c r="H14" s="12"/>
      <c r="I14" s="15" t="s">
        <v>17</v>
      </c>
    </row>
    <row r="15" spans="1:9" ht="15" customHeight="1">
      <c r="A15" s="9">
        <v>1</v>
      </c>
      <c r="B15" s="10" t="s">
        <v>64</v>
      </c>
      <c r="C15" s="11" t="s">
        <v>65</v>
      </c>
      <c r="D15" s="10">
        <v>8</v>
      </c>
      <c r="E15" s="12">
        <f>SUM(13.5)/3.14</f>
        <v>4.2993630573248405</v>
      </c>
      <c r="F15" s="13">
        <v>0.94</v>
      </c>
      <c r="G15" s="14">
        <f t="shared" si="0"/>
        <v>8.3101434317973943</v>
      </c>
      <c r="H15" s="12"/>
      <c r="I15" s="15" t="s">
        <v>17</v>
      </c>
    </row>
    <row r="16" spans="1:9" ht="15" customHeight="1">
      <c r="A16" s="9">
        <v>1</v>
      </c>
      <c r="B16" s="9" t="s">
        <v>64</v>
      </c>
      <c r="C16" s="11" t="s">
        <v>65</v>
      </c>
      <c r="D16" s="10">
        <v>7</v>
      </c>
      <c r="E16" s="12">
        <f>15/3.14</f>
        <v>4.7770700636942669</v>
      </c>
      <c r="F16" s="13">
        <v>0.94</v>
      </c>
      <c r="G16" s="14">
        <f t="shared" si="0"/>
        <v>8.9603918225412169</v>
      </c>
      <c r="H16" s="12"/>
      <c r="I16" s="15" t="s">
        <v>17</v>
      </c>
    </row>
    <row r="17" spans="1:9" ht="15" customHeight="1">
      <c r="A17" s="9">
        <v>1</v>
      </c>
      <c r="B17" s="10" t="s">
        <v>53</v>
      </c>
      <c r="C17" s="11" t="s">
        <v>54</v>
      </c>
      <c r="D17" s="10">
        <v>9</v>
      </c>
      <c r="E17" s="12">
        <f>SUM(36.5,27.13,10.3)/3.14</f>
        <v>23.544585987261144</v>
      </c>
      <c r="F17" s="13">
        <v>0.76</v>
      </c>
      <c r="G17" s="14">
        <f t="shared" si="0"/>
        <v>209.39252066331991</v>
      </c>
      <c r="H17" s="12"/>
      <c r="I17" s="15" t="s">
        <v>17</v>
      </c>
    </row>
    <row r="18" spans="1:9" ht="15" customHeight="1">
      <c r="A18" s="9">
        <v>1</v>
      </c>
      <c r="B18" s="10" t="s">
        <v>53</v>
      </c>
      <c r="C18" s="11" t="s">
        <v>54</v>
      </c>
      <c r="D18" s="10">
        <v>9</v>
      </c>
      <c r="E18" s="12">
        <f>SUM(43,43.5,36.5,26.5)/3.14</f>
        <v>47.611464968152866</v>
      </c>
      <c r="F18" s="13">
        <v>0.76</v>
      </c>
      <c r="G18" s="14">
        <f t="shared" si="0"/>
        <v>827.79491549467025</v>
      </c>
      <c r="H18" s="12"/>
      <c r="I18" s="15" t="s">
        <v>17</v>
      </c>
    </row>
    <row r="19" spans="1:9" ht="15" customHeight="1">
      <c r="A19" s="9">
        <v>1</v>
      </c>
      <c r="B19" s="10" t="s">
        <v>53</v>
      </c>
      <c r="C19" s="11" t="s">
        <v>54</v>
      </c>
      <c r="D19" s="10">
        <v>8</v>
      </c>
      <c r="E19" s="12">
        <f>SUM(20.5,17,5)/3.14</f>
        <v>13.535031847133757</v>
      </c>
      <c r="F19" s="13">
        <v>0.76</v>
      </c>
      <c r="G19" s="14">
        <f t="shared" si="0"/>
        <v>63.345165625921261</v>
      </c>
      <c r="H19" s="12"/>
      <c r="I19" s="15" t="s">
        <v>17</v>
      </c>
    </row>
    <row r="20" spans="1:9" ht="15" customHeight="1">
      <c r="A20" s="9">
        <v>1</v>
      </c>
      <c r="B20" s="10" t="s">
        <v>53</v>
      </c>
      <c r="C20" s="11" t="s">
        <v>54</v>
      </c>
      <c r="D20" s="10">
        <v>8</v>
      </c>
      <c r="E20" s="12">
        <f>SUM(35,37,29,31.5,21.5)/3.14</f>
        <v>49.044585987261144</v>
      </c>
      <c r="F20" s="13">
        <v>0.76</v>
      </c>
      <c r="G20" s="14">
        <f t="shared" si="0"/>
        <v>781.87752873578529</v>
      </c>
      <c r="H20" s="12"/>
      <c r="I20" s="15" t="s">
        <v>17</v>
      </c>
    </row>
    <row r="21" spans="1:9" ht="15" customHeight="1">
      <c r="A21" s="9">
        <v>1</v>
      </c>
      <c r="B21" s="10" t="s">
        <v>41</v>
      </c>
      <c r="C21" s="11" t="s">
        <v>42</v>
      </c>
      <c r="D21" s="10">
        <v>6</v>
      </c>
      <c r="E21" s="12">
        <f>SUM(15.5)/3.14</f>
        <v>4.936305732484076</v>
      </c>
      <c r="F21" s="13">
        <v>0.374</v>
      </c>
      <c r="G21" s="14">
        <f t="shared" si="0"/>
        <v>3.3429830157478402</v>
      </c>
      <c r="H21" s="12"/>
      <c r="I21" s="15" t="s">
        <v>17</v>
      </c>
    </row>
    <row r="22" spans="1:9" ht="15" customHeight="1">
      <c r="A22" s="9">
        <v>1</v>
      </c>
      <c r="B22" s="10" t="s">
        <v>41</v>
      </c>
      <c r="C22" s="11" t="s">
        <v>42</v>
      </c>
      <c r="D22" s="10">
        <v>5</v>
      </c>
      <c r="E22" s="12">
        <f>11.5/3.14</f>
        <v>3.6624203821656049</v>
      </c>
      <c r="F22" s="13">
        <v>0.374</v>
      </c>
      <c r="G22" s="14">
        <f t="shared" si="0"/>
        <v>1.5624566742918691</v>
      </c>
      <c r="H22" s="12"/>
      <c r="I22" s="15" t="s">
        <v>17</v>
      </c>
    </row>
    <row r="23" spans="1:9" ht="15" customHeight="1">
      <c r="A23" s="9">
        <v>1</v>
      </c>
      <c r="B23" s="15" t="s">
        <v>37</v>
      </c>
      <c r="C23" s="11" t="s">
        <v>38</v>
      </c>
      <c r="D23" s="10">
        <v>6</v>
      </c>
      <c r="E23" s="12">
        <f>12/3.14</f>
        <v>3.8216560509554141</v>
      </c>
      <c r="F23" s="13">
        <f>AVERAGE(0.75,0.9)</f>
        <v>0.82499999999999996</v>
      </c>
      <c r="G23" s="14">
        <f t="shared" si="0"/>
        <v>4.3904077633046867</v>
      </c>
      <c r="H23" s="12"/>
      <c r="I23" s="15" t="s">
        <v>39</v>
      </c>
    </row>
    <row r="24" spans="1:9" ht="15" customHeight="1">
      <c r="A24" s="9">
        <v>1</v>
      </c>
      <c r="B24" s="10" t="s">
        <v>40</v>
      </c>
      <c r="C24" s="11" t="s">
        <v>38</v>
      </c>
      <c r="D24" s="10">
        <v>10.1</v>
      </c>
      <c r="E24" s="14">
        <f>SUM(57.5)/3.14</f>
        <v>18.312101910828027</v>
      </c>
      <c r="F24" s="13">
        <f>AVERAGE(0.75,0.9)</f>
        <v>0.82499999999999996</v>
      </c>
      <c r="G24" s="14">
        <f t="shared" si="0"/>
        <v>155.43783500295717</v>
      </c>
      <c r="H24" s="14"/>
      <c r="I24" s="15" t="s">
        <v>39</v>
      </c>
    </row>
    <row r="25" spans="1:9" ht="15" customHeight="1">
      <c r="A25" s="9">
        <v>1</v>
      </c>
      <c r="B25" s="10" t="s">
        <v>88</v>
      </c>
      <c r="C25" s="11" t="s">
        <v>89</v>
      </c>
      <c r="D25" s="10">
        <v>5</v>
      </c>
      <c r="E25" s="12">
        <f>SUM(8.5)/3.14</f>
        <v>2.7070063694267517</v>
      </c>
      <c r="F25" s="13">
        <f>AVERAGE(0.78,0.8)</f>
        <v>0.79</v>
      </c>
      <c r="G25" s="14">
        <f t="shared" si="0"/>
        <v>1.7968544499493031</v>
      </c>
      <c r="H25" s="12"/>
      <c r="I25" s="15" t="s">
        <v>90</v>
      </c>
    </row>
    <row r="26" spans="1:9" ht="15" customHeight="1">
      <c r="A26" s="9">
        <v>1</v>
      </c>
      <c r="B26" s="10" t="s">
        <v>88</v>
      </c>
      <c r="C26" s="11" t="s">
        <v>89</v>
      </c>
      <c r="D26" s="10">
        <v>5</v>
      </c>
      <c r="E26" s="12">
        <f>SUM(11)/3.14</f>
        <v>3.5031847133757958</v>
      </c>
      <c r="F26" s="13">
        <f>AVERAGE(0.78,0.8)</f>
        <v>0.79</v>
      </c>
      <c r="G26" s="14">
        <f t="shared" si="0"/>
        <v>2.972252342102442</v>
      </c>
      <c r="H26" s="12"/>
      <c r="I26" s="15" t="s">
        <v>90</v>
      </c>
    </row>
    <row r="27" spans="1:9" ht="15" customHeight="1">
      <c r="A27" s="9">
        <v>1</v>
      </c>
      <c r="B27" s="10" t="s">
        <v>88</v>
      </c>
      <c r="C27" s="11" t="s">
        <v>89</v>
      </c>
      <c r="D27" s="10">
        <v>5</v>
      </c>
      <c r="E27" s="12">
        <f>SUM(9,10.5)/3.14</f>
        <v>6.2101910828025479</v>
      </c>
      <c r="F27" s="13">
        <f>AVERAGE(0.78,0.8)</f>
        <v>0.79</v>
      </c>
      <c r="G27" s="14">
        <f t="shared" si="0"/>
        <v>9.0872969073306784</v>
      </c>
      <c r="H27" s="12"/>
      <c r="I27" s="15" t="s">
        <v>90</v>
      </c>
    </row>
    <row r="28" spans="1:9" ht="15" customHeight="1">
      <c r="A28" s="9">
        <v>1</v>
      </c>
      <c r="B28" s="10" t="s">
        <v>88</v>
      </c>
      <c r="C28" s="11" t="s">
        <v>89</v>
      </c>
      <c r="D28" s="10">
        <v>4</v>
      </c>
      <c r="E28" s="12">
        <f>10.5/3.14</f>
        <v>3.3439490445859872</v>
      </c>
      <c r="F28" s="13">
        <f>AVERAGE(0.78,0.8)</f>
        <v>0.79</v>
      </c>
      <c r="G28" s="14">
        <f t="shared" si="0"/>
        <v>2.1830540857527123</v>
      </c>
      <c r="H28" s="12"/>
      <c r="I28" s="15" t="s">
        <v>90</v>
      </c>
    </row>
    <row r="29" spans="1:9" ht="15" customHeight="1">
      <c r="A29" s="9">
        <v>1</v>
      </c>
      <c r="B29" s="10" t="s">
        <v>28</v>
      </c>
      <c r="C29" s="11" t="s">
        <v>29</v>
      </c>
      <c r="D29" s="10">
        <v>7</v>
      </c>
      <c r="E29" s="12">
        <f>SUM(18.5,15.8,14,14.3)/3.14</f>
        <v>19.936305732484072</v>
      </c>
      <c r="F29" s="13">
        <v>0.8</v>
      </c>
      <c r="G29" s="14">
        <f t="shared" si="0"/>
        <v>124.49531373115524</v>
      </c>
      <c r="H29" s="12"/>
      <c r="I29" s="15" t="s">
        <v>30</v>
      </c>
    </row>
    <row r="30" spans="1:9" ht="15" customHeight="1">
      <c r="A30" s="9">
        <v>1</v>
      </c>
      <c r="B30" s="9" t="s">
        <v>28</v>
      </c>
      <c r="C30" s="11" t="s">
        <v>29</v>
      </c>
      <c r="D30" s="9">
        <v>7</v>
      </c>
      <c r="E30" s="12">
        <f>SUM(11,9.5)/3.14</f>
        <v>6.5286624203821653</v>
      </c>
      <c r="F30" s="13">
        <v>0.8</v>
      </c>
      <c r="G30" s="14">
        <f t="shared" si="0"/>
        <v>14.085862423418133</v>
      </c>
      <c r="H30" s="12"/>
      <c r="I30" s="15" t="s">
        <v>30</v>
      </c>
    </row>
    <row r="31" spans="1:9" ht="15" customHeight="1">
      <c r="A31" s="9">
        <v>1</v>
      </c>
      <c r="B31" s="10" t="s">
        <v>28</v>
      </c>
      <c r="C31" s="11" t="s">
        <v>29</v>
      </c>
      <c r="D31" s="10">
        <v>4</v>
      </c>
      <c r="E31" s="12">
        <f>SUM(8.5,10.8,14.5)/3.14</f>
        <v>10.764331210191081</v>
      </c>
      <c r="F31" s="13">
        <v>0.8</v>
      </c>
      <c r="G31" s="14">
        <f t="shared" si="0"/>
        <v>21.651110123652288</v>
      </c>
      <c r="H31" s="12"/>
      <c r="I31" s="15" t="s">
        <v>30</v>
      </c>
    </row>
    <row r="32" spans="1:9" ht="15" customHeight="1">
      <c r="A32" s="9">
        <v>1</v>
      </c>
      <c r="B32" s="10" t="s">
        <v>66</v>
      </c>
      <c r="C32" s="11" t="s">
        <v>67</v>
      </c>
      <c r="D32" s="10">
        <v>10</v>
      </c>
      <c r="E32" s="12">
        <f>SUM(32.5 + 36)/ 3.14</f>
        <v>21.815286624203821</v>
      </c>
      <c r="F32" s="13">
        <f>AVERAGE(0.74,0.79)</f>
        <v>0.76500000000000001</v>
      </c>
      <c r="G32" s="14">
        <f t="shared" si="0"/>
        <v>201.2472467134632</v>
      </c>
      <c r="H32" s="12"/>
      <c r="I32" s="15" t="s">
        <v>57</v>
      </c>
    </row>
    <row r="33" spans="1:9" ht="15" customHeight="1">
      <c r="A33" s="9">
        <v>1</v>
      </c>
      <c r="B33" s="10" t="s">
        <v>66</v>
      </c>
      <c r="C33" s="11" t="s">
        <v>67</v>
      </c>
      <c r="D33" s="10">
        <v>10</v>
      </c>
      <c r="E33" s="12">
        <f>SUM(26.3,41.5)/3.14</f>
        <v>21.592356687898086</v>
      </c>
      <c r="F33" s="13">
        <f>AVERAGE(0.74,0.79)</f>
        <v>0.76500000000000001</v>
      </c>
      <c r="G33" s="14">
        <f t="shared" si="0"/>
        <v>197.25240830386102</v>
      </c>
      <c r="H33" s="12"/>
      <c r="I33" s="15" t="s">
        <v>57</v>
      </c>
    </row>
    <row r="34" spans="1:9" ht="15" customHeight="1">
      <c r="A34" s="9">
        <v>1</v>
      </c>
      <c r="B34" s="10" t="s">
        <v>66</v>
      </c>
      <c r="C34" s="11" t="s">
        <v>67</v>
      </c>
      <c r="D34" s="10">
        <v>10</v>
      </c>
      <c r="E34" s="12">
        <f>SUM(25.7+40+19.5)/3.14</f>
        <v>27.133757961783438</v>
      </c>
      <c r="F34" s="18">
        <f>AVERAGE(0.74,0.79)</f>
        <v>0.76500000000000001</v>
      </c>
      <c r="G34" s="14">
        <f t="shared" si="0"/>
        <v>308.09173001639795</v>
      </c>
      <c r="H34" s="12"/>
      <c r="I34" s="15" t="s">
        <v>57</v>
      </c>
    </row>
    <row r="35" spans="1:9" ht="15" customHeight="1">
      <c r="A35" s="9">
        <v>1</v>
      </c>
      <c r="B35" s="9" t="s">
        <v>77</v>
      </c>
      <c r="C35" s="11" t="s">
        <v>78</v>
      </c>
      <c r="D35" s="9">
        <v>9</v>
      </c>
      <c r="E35" s="189">
        <f>SUM(19.5)/3.14</f>
        <v>6.2101910828025479</v>
      </c>
      <c r="F35" s="13"/>
      <c r="G35" s="14">
        <f t="shared" si="0"/>
        <v>0</v>
      </c>
      <c r="H35" s="190"/>
      <c r="I35" s="15"/>
    </row>
    <row r="36" spans="1:9" ht="15" customHeight="1">
      <c r="A36" s="9">
        <v>1</v>
      </c>
      <c r="B36" s="10" t="s">
        <v>77</v>
      </c>
      <c r="C36" s="11" t="s">
        <v>78</v>
      </c>
      <c r="D36" s="10">
        <v>8.5</v>
      </c>
      <c r="E36" s="189">
        <f>23.5/3.14</f>
        <v>7.484076433121019</v>
      </c>
      <c r="F36" s="13"/>
      <c r="G36" s="14">
        <f t="shared" ref="G36:G67" si="1">0.0673*(F36*E36^2*D36)^0.976</f>
        <v>0</v>
      </c>
      <c r="H36" s="190"/>
      <c r="I36" s="15"/>
    </row>
    <row r="37" spans="1:9" ht="15" customHeight="1">
      <c r="A37" s="9">
        <v>1</v>
      </c>
      <c r="B37" s="10" t="s">
        <v>77</v>
      </c>
      <c r="C37" s="11" t="s">
        <v>78</v>
      </c>
      <c r="D37" s="10">
        <v>8.5</v>
      </c>
      <c r="E37" s="189">
        <f>SUM(17.5)/3.14</f>
        <v>5.5732484076433115</v>
      </c>
      <c r="F37" s="13"/>
      <c r="G37" s="14">
        <f t="shared" si="1"/>
        <v>0</v>
      </c>
      <c r="H37" s="190"/>
      <c r="I37" s="15"/>
    </row>
    <row r="38" spans="1:9" ht="15" customHeight="1">
      <c r="A38" s="9">
        <v>1</v>
      </c>
      <c r="B38" s="10" t="s">
        <v>77</v>
      </c>
      <c r="C38" s="11" t="s">
        <v>78</v>
      </c>
      <c r="D38" s="10">
        <v>4</v>
      </c>
      <c r="E38" s="189">
        <f>SUM(18.5)/3.14</f>
        <v>5.8917197452229297</v>
      </c>
      <c r="F38" s="13"/>
      <c r="G38" s="14">
        <f t="shared" si="1"/>
        <v>0</v>
      </c>
      <c r="H38" s="190"/>
      <c r="I38" s="15"/>
    </row>
    <row r="39" spans="1:9" ht="15" customHeight="1">
      <c r="A39" s="9">
        <v>1</v>
      </c>
      <c r="B39" s="10" t="s">
        <v>77</v>
      </c>
      <c r="C39" s="11" t="s">
        <v>78</v>
      </c>
      <c r="D39" s="10">
        <v>2.7</v>
      </c>
      <c r="E39" s="12">
        <f>6.5/3.14</f>
        <v>2.0700636942675157</v>
      </c>
      <c r="F39" s="19"/>
      <c r="G39" s="14">
        <f t="shared" si="1"/>
        <v>0</v>
      </c>
      <c r="H39" s="12"/>
      <c r="I39" s="15"/>
    </row>
    <row r="40" spans="1:9" ht="15" customHeight="1">
      <c r="A40" s="9">
        <v>2</v>
      </c>
      <c r="B40" s="10" t="s">
        <v>20</v>
      </c>
      <c r="C40" s="187" t="s">
        <v>21</v>
      </c>
      <c r="D40" s="10">
        <v>7</v>
      </c>
      <c r="E40" s="12">
        <f>SUM(18.5)/3.14</f>
        <v>5.8917197452229297</v>
      </c>
      <c r="F40" s="13">
        <f>AVERAGE(0.84, 1.1)</f>
        <v>0.97</v>
      </c>
      <c r="G40" s="14">
        <f t="shared" si="1"/>
        <v>13.913375452463992</v>
      </c>
      <c r="H40" s="12"/>
      <c r="I40" s="15" t="s">
        <v>22</v>
      </c>
    </row>
    <row r="41" spans="1:9" ht="15" customHeight="1">
      <c r="A41" s="9">
        <v>2</v>
      </c>
      <c r="B41" s="10" t="s">
        <v>94</v>
      </c>
      <c r="C41" s="11" t="s">
        <v>95</v>
      </c>
      <c r="D41" s="10">
        <v>5</v>
      </c>
      <c r="E41" s="12">
        <f>SUM(8+9.3)/3.14</f>
        <v>5.5095541401273884</v>
      </c>
      <c r="F41" s="13"/>
      <c r="G41" s="14">
        <f t="shared" si="1"/>
        <v>0</v>
      </c>
      <c r="H41" s="12"/>
      <c r="I41" s="15"/>
    </row>
    <row r="42" spans="1:9" ht="15" customHeight="1">
      <c r="A42" s="9">
        <v>2</v>
      </c>
      <c r="B42" s="15" t="s">
        <v>94</v>
      </c>
      <c r="C42" s="11" t="s">
        <v>95</v>
      </c>
      <c r="D42" s="15">
        <v>2.2999999999999998</v>
      </c>
      <c r="E42" s="12">
        <f>SUM(7+7)/3.14</f>
        <v>4.4585987261146496</v>
      </c>
      <c r="F42" s="13"/>
      <c r="G42" s="14">
        <f t="shared" si="1"/>
        <v>0</v>
      </c>
      <c r="H42" s="12"/>
      <c r="I42" s="15"/>
    </row>
    <row r="43" spans="1:9" ht="15" customHeight="1">
      <c r="A43" s="9">
        <v>2</v>
      </c>
      <c r="B43" s="10" t="s">
        <v>92</v>
      </c>
      <c r="C43" s="11" t="s">
        <v>93</v>
      </c>
      <c r="D43" s="10">
        <v>7</v>
      </c>
      <c r="E43" s="12">
        <f>SUM(13.5+15)/3.14</f>
        <v>9.0764331210191074</v>
      </c>
      <c r="F43" s="13">
        <v>0.97799999999999998</v>
      </c>
      <c r="G43" s="14">
        <f t="shared" si="1"/>
        <v>32.602579849518037</v>
      </c>
      <c r="H43" s="12"/>
      <c r="I43" s="15" t="s">
        <v>57</v>
      </c>
    </row>
    <row r="44" spans="1:9" ht="15" customHeight="1">
      <c r="A44" s="9">
        <v>2</v>
      </c>
      <c r="B44" s="10" t="s">
        <v>92</v>
      </c>
      <c r="C44" s="11" t="s">
        <v>93</v>
      </c>
      <c r="D44" s="10">
        <v>5.5</v>
      </c>
      <c r="E44" s="12">
        <f>SUM(12+9+6.5)/3.14</f>
        <v>8.7579617834394909</v>
      </c>
      <c r="F44" s="13">
        <v>0.97799999999999998</v>
      </c>
      <c r="G44" s="14">
        <f t="shared" si="1"/>
        <v>24.029819950826791</v>
      </c>
      <c r="H44" s="12"/>
      <c r="I44" s="15" t="s">
        <v>57</v>
      </c>
    </row>
    <row r="45" spans="1:9" ht="15" customHeight="1">
      <c r="A45" s="9">
        <v>2</v>
      </c>
      <c r="B45" s="10" t="s">
        <v>92</v>
      </c>
      <c r="C45" s="11" t="s">
        <v>93</v>
      </c>
      <c r="D45" s="10">
        <v>5</v>
      </c>
      <c r="E45" s="12">
        <f>SUM(9.5+6)/3.14</f>
        <v>4.936305732484076</v>
      </c>
      <c r="F45" s="13">
        <v>0.97799999999999998</v>
      </c>
      <c r="G45" s="14">
        <f t="shared" si="1"/>
        <v>7.1499221399524089</v>
      </c>
      <c r="H45" s="12"/>
      <c r="I45" s="15" t="s">
        <v>57</v>
      </c>
    </row>
    <row r="46" spans="1:9" ht="15" customHeight="1">
      <c r="A46" s="9">
        <v>2</v>
      </c>
      <c r="B46" s="10" t="s">
        <v>53</v>
      </c>
      <c r="C46" s="11" t="s">
        <v>54</v>
      </c>
      <c r="D46" s="10">
        <v>9</v>
      </c>
      <c r="E46" s="12">
        <f>SUM(35+33.5+37+35.5)/3.14</f>
        <v>44.904458598726116</v>
      </c>
      <c r="F46" s="13">
        <v>0.76</v>
      </c>
      <c r="G46" s="14">
        <f t="shared" si="1"/>
        <v>738.41218453430304</v>
      </c>
      <c r="H46" s="12"/>
      <c r="I46" s="15" t="s">
        <v>17</v>
      </c>
    </row>
    <row r="47" spans="1:9" ht="15" customHeight="1">
      <c r="A47" s="9">
        <v>2</v>
      </c>
      <c r="B47" s="10" t="s">
        <v>53</v>
      </c>
      <c r="C47" s="11" t="s">
        <v>54</v>
      </c>
      <c r="D47" s="10">
        <v>8</v>
      </c>
      <c r="E47" s="12">
        <f>SUM(25+32+25.5)/3.14</f>
        <v>26.273885350318469</v>
      </c>
      <c r="F47" s="13">
        <v>0.76</v>
      </c>
      <c r="G47" s="14">
        <f t="shared" si="1"/>
        <v>231.21520590017059</v>
      </c>
      <c r="H47" s="12"/>
      <c r="I47" s="15" t="s">
        <v>17</v>
      </c>
    </row>
    <row r="48" spans="1:9" ht="15" customHeight="1">
      <c r="A48" s="9">
        <v>2</v>
      </c>
      <c r="B48" s="10" t="s">
        <v>53</v>
      </c>
      <c r="C48" s="11" t="s">
        <v>54</v>
      </c>
      <c r="D48" s="10">
        <v>7</v>
      </c>
      <c r="E48" s="12">
        <f>SUM(29+31+42.5+24+21.5)/3.14</f>
        <v>47.133757961783438</v>
      </c>
      <c r="F48" s="13">
        <v>0.76</v>
      </c>
      <c r="G48" s="14">
        <f t="shared" si="1"/>
        <v>635.11009047025618</v>
      </c>
      <c r="H48" s="12"/>
      <c r="I48" s="15" t="s">
        <v>17</v>
      </c>
    </row>
    <row r="49" spans="1:9" ht="15" customHeight="1">
      <c r="A49" s="9">
        <v>2</v>
      </c>
      <c r="B49" s="15" t="s">
        <v>37</v>
      </c>
      <c r="C49" s="11" t="s">
        <v>38</v>
      </c>
      <c r="D49" s="10">
        <v>7</v>
      </c>
      <c r="E49" s="12">
        <f>SUM(10.5+9.5)/3.14</f>
        <v>6.3694267515923562</v>
      </c>
      <c r="F49" s="13">
        <f>AVERAGE(0.75,0.9)</f>
        <v>0.82499999999999996</v>
      </c>
      <c r="G49" s="14">
        <f t="shared" si="1"/>
        <v>13.832277197092955</v>
      </c>
      <c r="H49" s="12"/>
      <c r="I49" s="15" t="s">
        <v>39</v>
      </c>
    </row>
    <row r="50" spans="1:9" ht="15" customHeight="1">
      <c r="A50" s="9">
        <v>2</v>
      </c>
      <c r="B50" s="15" t="s">
        <v>37</v>
      </c>
      <c r="C50" s="11" t="s">
        <v>38</v>
      </c>
      <c r="D50" s="15">
        <v>6</v>
      </c>
      <c r="E50" s="12">
        <f>SUM(12)/3.14</f>
        <v>3.8216560509554141</v>
      </c>
      <c r="F50" s="13">
        <f>AVERAGE(0.75,0.9)</f>
        <v>0.82499999999999996</v>
      </c>
      <c r="G50" s="14">
        <f t="shared" si="1"/>
        <v>4.3904077633046867</v>
      </c>
      <c r="H50" s="12"/>
      <c r="I50" s="15" t="s">
        <v>39</v>
      </c>
    </row>
    <row r="51" spans="1:9" ht="15" customHeight="1">
      <c r="A51" s="9">
        <v>2</v>
      </c>
      <c r="B51" s="15" t="s">
        <v>37</v>
      </c>
      <c r="C51" s="11" t="s">
        <v>38</v>
      </c>
      <c r="D51" s="10">
        <v>5</v>
      </c>
      <c r="E51" s="12">
        <f>SUM(7.5+8.5)/3.14</f>
        <v>5.0955414012738851</v>
      </c>
      <c r="F51" s="13">
        <f>AVERAGE(0.75,0.9)</f>
        <v>0.82499999999999996</v>
      </c>
      <c r="G51" s="14">
        <f t="shared" si="1"/>
        <v>6.4432409932710568</v>
      </c>
      <c r="H51" s="12"/>
      <c r="I51" s="15" t="s">
        <v>39</v>
      </c>
    </row>
    <row r="52" spans="1:9" ht="15" customHeight="1">
      <c r="A52" s="9">
        <v>2</v>
      </c>
      <c r="B52" s="15" t="s">
        <v>37</v>
      </c>
      <c r="C52" s="11" t="s">
        <v>38</v>
      </c>
      <c r="D52" s="10">
        <v>5</v>
      </c>
      <c r="E52" s="12">
        <f>SUM(10.6)/3.14</f>
        <v>3.3757961783439487</v>
      </c>
      <c r="F52" s="13">
        <f>AVERAGE(0.75,0.9)</f>
        <v>0.82499999999999996</v>
      </c>
      <c r="G52" s="14">
        <f t="shared" si="1"/>
        <v>2.8844247818849786</v>
      </c>
      <c r="H52" s="12"/>
      <c r="I52" s="15" t="s">
        <v>39</v>
      </c>
    </row>
    <row r="53" spans="1:9" ht="15" customHeight="1">
      <c r="A53" s="9">
        <v>2</v>
      </c>
      <c r="B53" s="10" t="s">
        <v>96</v>
      </c>
      <c r="C53" s="17" t="s">
        <v>97</v>
      </c>
      <c r="D53" s="10">
        <v>10</v>
      </c>
      <c r="E53" s="12">
        <f>SUM(20.5)/3.14</f>
        <v>6.5286624203821653</v>
      </c>
      <c r="F53" s="13">
        <f>AVERAGE(0.5,0.55)</f>
        <v>0.52500000000000002</v>
      </c>
      <c r="G53" s="14">
        <f t="shared" si="1"/>
        <v>13.225966187652025</v>
      </c>
      <c r="H53" s="12"/>
      <c r="I53" s="15" t="s">
        <v>57</v>
      </c>
    </row>
    <row r="54" spans="1:9" ht="15" customHeight="1">
      <c r="A54" s="9">
        <v>2</v>
      </c>
      <c r="B54" s="15" t="s">
        <v>96</v>
      </c>
      <c r="C54" s="17" t="s">
        <v>97</v>
      </c>
      <c r="D54" s="15">
        <v>9</v>
      </c>
      <c r="E54" s="12">
        <f>SUM(28)/3.14</f>
        <v>8.9171974522292992</v>
      </c>
      <c r="F54" s="13">
        <f>AVERAGE(0.5,0.55)</f>
        <v>0.52500000000000002</v>
      </c>
      <c r="G54" s="14">
        <f t="shared" si="1"/>
        <v>21.93193942450484</v>
      </c>
      <c r="H54" s="12"/>
      <c r="I54" s="15" t="s">
        <v>57</v>
      </c>
    </row>
    <row r="55" spans="1:9" ht="15" customHeight="1">
      <c r="A55" s="9">
        <v>2</v>
      </c>
      <c r="B55" s="15" t="s">
        <v>96</v>
      </c>
      <c r="C55" s="17" t="s">
        <v>97</v>
      </c>
      <c r="D55" s="15">
        <v>9</v>
      </c>
      <c r="E55" s="12">
        <f>SUM(22.5)/3.14</f>
        <v>7.1656050955414008</v>
      </c>
      <c r="F55" s="13">
        <f>AVERAGE(0.5,0.55)</f>
        <v>0.52500000000000002</v>
      </c>
      <c r="G55" s="14">
        <f t="shared" si="1"/>
        <v>14.311489486892963</v>
      </c>
      <c r="H55" s="12"/>
      <c r="I55" s="15" t="s">
        <v>57</v>
      </c>
    </row>
    <row r="56" spans="1:9" ht="15" customHeight="1">
      <c r="A56" s="9">
        <v>2</v>
      </c>
      <c r="B56" s="10" t="s">
        <v>15</v>
      </c>
      <c r="C56" s="11" t="s">
        <v>16</v>
      </c>
      <c r="D56" s="10">
        <v>5</v>
      </c>
      <c r="E56" s="12">
        <f>SUM(8)/3.14</f>
        <v>2.5477707006369426</v>
      </c>
      <c r="F56" s="13">
        <v>0.55000000000000004</v>
      </c>
      <c r="G56" s="14">
        <f t="shared" si="1"/>
        <v>1.121059736645474</v>
      </c>
      <c r="H56" s="12"/>
      <c r="I56" s="15" t="s">
        <v>17</v>
      </c>
    </row>
    <row r="57" spans="1:9" ht="15" customHeight="1">
      <c r="A57" s="9">
        <v>2</v>
      </c>
      <c r="B57" s="10" t="s">
        <v>88</v>
      </c>
      <c r="C57" s="11" t="s">
        <v>89</v>
      </c>
      <c r="D57" s="10">
        <v>5</v>
      </c>
      <c r="E57" s="12">
        <f>SUM(13.5)/3.14</f>
        <v>4.2993630573248405</v>
      </c>
      <c r="F57" s="13">
        <f>AVERAGE(0.78,0.8)</f>
        <v>0.79</v>
      </c>
      <c r="G57" s="14">
        <f t="shared" si="1"/>
        <v>4.4330096083961772</v>
      </c>
      <c r="H57" s="12"/>
      <c r="I57" s="15" t="s">
        <v>90</v>
      </c>
    </row>
    <row r="58" spans="1:9" ht="15" customHeight="1">
      <c r="A58" s="9">
        <v>2</v>
      </c>
      <c r="B58" s="10" t="s">
        <v>88</v>
      </c>
      <c r="C58" s="11" t="s">
        <v>89</v>
      </c>
      <c r="D58" s="10">
        <v>3.5</v>
      </c>
      <c r="E58" s="12">
        <f>SUM(8.8)/3.14</f>
        <v>2.8025477707006372</v>
      </c>
      <c r="F58" s="13">
        <f>AVERAGE(0.78,0.8)</f>
        <v>0.79</v>
      </c>
      <c r="G58" s="14">
        <f t="shared" si="1"/>
        <v>1.3574786866984281</v>
      </c>
      <c r="H58" s="12"/>
      <c r="I58" s="15" t="s">
        <v>90</v>
      </c>
    </row>
    <row r="59" spans="1:9" ht="15" customHeight="1">
      <c r="A59" s="9">
        <v>2</v>
      </c>
      <c r="B59" s="10" t="s">
        <v>28</v>
      </c>
      <c r="C59" s="11" t="s">
        <v>29</v>
      </c>
      <c r="D59" s="10">
        <v>8</v>
      </c>
      <c r="E59" s="12">
        <f>SUM(11)/3.14</f>
        <v>3.5031847133757958</v>
      </c>
      <c r="F59" s="13">
        <v>0.8</v>
      </c>
      <c r="G59" s="14">
        <f t="shared" si="1"/>
        <v>4.7603465171945949</v>
      </c>
      <c r="H59" s="12"/>
      <c r="I59" s="15" t="s">
        <v>30</v>
      </c>
    </row>
    <row r="60" spans="1:9" ht="15" customHeight="1">
      <c r="A60" s="9">
        <v>2</v>
      </c>
      <c r="B60" s="10" t="s">
        <v>28</v>
      </c>
      <c r="C60" s="11" t="s">
        <v>29</v>
      </c>
      <c r="D60" s="10">
        <v>7</v>
      </c>
      <c r="E60" s="12">
        <f>SUM(8.4+12.5+10+16)/3.14</f>
        <v>14.936305732484076</v>
      </c>
      <c r="F60" s="13">
        <v>0.8</v>
      </c>
      <c r="G60" s="14">
        <f t="shared" si="1"/>
        <v>70.854802940164205</v>
      </c>
      <c r="H60" s="12"/>
      <c r="I60" s="15" t="s">
        <v>30</v>
      </c>
    </row>
    <row r="61" spans="1:9" ht="15" customHeight="1">
      <c r="A61" s="9">
        <v>2</v>
      </c>
      <c r="B61" s="10" t="s">
        <v>28</v>
      </c>
      <c r="C61" s="11" t="s">
        <v>29</v>
      </c>
      <c r="D61" s="10">
        <v>6.5</v>
      </c>
      <c r="E61" s="12">
        <f>SUM(15.5+10.5+11+11.5)/3.14</f>
        <v>15.445859872611464</v>
      </c>
      <c r="F61" s="13">
        <v>0.8</v>
      </c>
      <c r="G61" s="14">
        <f t="shared" si="1"/>
        <v>70.37129259651762</v>
      </c>
      <c r="H61" s="12"/>
      <c r="I61" s="15" t="s">
        <v>30</v>
      </c>
    </row>
    <row r="62" spans="1:9" ht="15" customHeight="1">
      <c r="A62" s="9">
        <v>2</v>
      </c>
      <c r="B62" s="10" t="s">
        <v>66</v>
      </c>
      <c r="C62" s="11" t="s">
        <v>67</v>
      </c>
      <c r="D62" s="10">
        <v>8</v>
      </c>
      <c r="E62" s="12">
        <f>SUM(32)/3.14</f>
        <v>10.19108280254777</v>
      </c>
      <c r="F62" s="13">
        <f>AVERAGE(0.74,0.79)</f>
        <v>0.76500000000000001</v>
      </c>
      <c r="G62" s="14">
        <f t="shared" si="1"/>
        <v>36.637896957009758</v>
      </c>
      <c r="H62" s="12"/>
      <c r="I62" s="15" t="s">
        <v>57</v>
      </c>
    </row>
    <row r="63" spans="1:9" ht="15" customHeight="1">
      <c r="A63" s="9">
        <v>2</v>
      </c>
      <c r="B63" s="10" t="s">
        <v>77</v>
      </c>
      <c r="C63" s="11" t="s">
        <v>78</v>
      </c>
      <c r="D63" s="10">
        <v>6.5</v>
      </c>
      <c r="E63" s="12">
        <f>SUM(15)/3.14</f>
        <v>4.7770700636942669</v>
      </c>
      <c r="F63" s="13"/>
      <c r="G63" s="14">
        <f t="shared" si="1"/>
        <v>0</v>
      </c>
      <c r="H63" s="12"/>
      <c r="I63" s="15"/>
    </row>
    <row r="64" spans="1:9" ht="15" customHeight="1">
      <c r="A64" s="9">
        <v>2</v>
      </c>
      <c r="B64" s="10" t="s">
        <v>77</v>
      </c>
      <c r="C64" s="11" t="s">
        <v>78</v>
      </c>
      <c r="D64" s="10">
        <v>6</v>
      </c>
      <c r="E64" s="12">
        <f>SUM(12.8)/3.14</f>
        <v>4.0764331210191083</v>
      </c>
      <c r="F64" s="13"/>
      <c r="G64" s="14">
        <f t="shared" si="1"/>
        <v>0</v>
      </c>
      <c r="H64" s="12"/>
      <c r="I64" s="15"/>
    </row>
    <row r="65" spans="1:9" ht="15" customHeight="1">
      <c r="A65" s="9">
        <v>2</v>
      </c>
      <c r="B65" s="10" t="s">
        <v>77</v>
      </c>
      <c r="C65" s="11" t="s">
        <v>78</v>
      </c>
      <c r="D65" s="10">
        <v>4.5</v>
      </c>
      <c r="E65" s="12">
        <f>SUM(13.8)/3.14</f>
        <v>4.3949044585987265</v>
      </c>
      <c r="F65" s="13"/>
      <c r="G65" s="14">
        <f t="shared" si="1"/>
        <v>0</v>
      </c>
      <c r="H65" s="12"/>
      <c r="I65" s="15"/>
    </row>
    <row r="66" spans="1:9" ht="15" customHeight="1">
      <c r="A66" s="9">
        <v>2</v>
      </c>
      <c r="B66" s="10" t="s">
        <v>49</v>
      </c>
      <c r="C66" s="11"/>
      <c r="D66" s="10">
        <v>7</v>
      </c>
      <c r="E66" s="12">
        <f>SUM(16+15)/3.14</f>
        <v>9.872611464968152</v>
      </c>
      <c r="F66" s="13"/>
      <c r="G66" s="14">
        <f t="shared" si="1"/>
        <v>0</v>
      </c>
      <c r="H66" s="12"/>
      <c r="I66" s="15"/>
    </row>
    <row r="67" spans="1:9" ht="15" customHeight="1">
      <c r="A67" s="9">
        <v>3</v>
      </c>
      <c r="B67" s="15" t="s">
        <v>94</v>
      </c>
      <c r="C67" s="11" t="s">
        <v>95</v>
      </c>
      <c r="D67" s="15">
        <v>4</v>
      </c>
      <c r="E67" s="14">
        <f>SUM(10)/3.14</f>
        <v>3.1847133757961781</v>
      </c>
      <c r="F67" s="13"/>
      <c r="G67" s="14">
        <f t="shared" si="1"/>
        <v>0</v>
      </c>
      <c r="H67" s="14"/>
      <c r="I67" s="15"/>
    </row>
    <row r="68" spans="1:9" ht="15" customHeight="1">
      <c r="A68" s="9">
        <v>3</v>
      </c>
      <c r="B68" s="10" t="s">
        <v>92</v>
      </c>
      <c r="C68" s="11" t="s">
        <v>93</v>
      </c>
      <c r="D68" s="15">
        <v>6</v>
      </c>
      <c r="E68" s="14">
        <f>SUM(8+7.2+6)/3.14</f>
        <v>6.7515923566878975</v>
      </c>
      <c r="F68" s="13">
        <v>0.97799999999999998</v>
      </c>
      <c r="G68" s="14">
        <f t="shared" ref="G68:G99" si="2">0.0673*(F68*E68^2*D68)^0.976</f>
        <v>15.742087947234403</v>
      </c>
      <c r="H68" s="14"/>
      <c r="I68" s="15" t="s">
        <v>57</v>
      </c>
    </row>
    <row r="69" spans="1:9" ht="15" customHeight="1">
      <c r="A69" s="9">
        <v>3</v>
      </c>
      <c r="B69" s="15" t="s">
        <v>64</v>
      </c>
      <c r="C69" s="11" t="s">
        <v>65</v>
      </c>
      <c r="D69" s="15">
        <v>7</v>
      </c>
      <c r="E69" s="14">
        <f>SUM(28)/3.14</f>
        <v>8.9171974522292992</v>
      </c>
      <c r="F69" s="13">
        <v>0.94</v>
      </c>
      <c r="G69" s="14">
        <f t="shared" si="2"/>
        <v>30.300468290730635</v>
      </c>
      <c r="H69" s="14"/>
      <c r="I69" s="15" t="s">
        <v>17</v>
      </c>
    </row>
    <row r="70" spans="1:9" ht="15" customHeight="1">
      <c r="A70" s="9">
        <v>3</v>
      </c>
      <c r="B70" s="10" t="s">
        <v>53</v>
      </c>
      <c r="C70" s="11" t="s">
        <v>54</v>
      </c>
      <c r="D70" s="15">
        <v>8</v>
      </c>
      <c r="E70" s="12">
        <f>SUM(32+25.5+38.5)/3.14</f>
        <v>30.573248407643312</v>
      </c>
      <c r="F70" s="13">
        <v>0.76</v>
      </c>
      <c r="G70" s="14">
        <f t="shared" si="2"/>
        <v>310.80767273682864</v>
      </c>
      <c r="H70" s="12"/>
      <c r="I70" s="15" t="s">
        <v>17</v>
      </c>
    </row>
    <row r="71" spans="1:9" ht="15" customHeight="1">
      <c r="A71" s="9">
        <v>3</v>
      </c>
      <c r="B71" s="10" t="s">
        <v>53</v>
      </c>
      <c r="C71" s="11" t="s">
        <v>54</v>
      </c>
      <c r="D71" s="15">
        <v>7</v>
      </c>
      <c r="E71" s="14">
        <f>SUM(16+25+40)/3.14</f>
        <v>25.796178343949045</v>
      </c>
      <c r="F71" s="13">
        <v>0.76</v>
      </c>
      <c r="G71" s="14">
        <f t="shared" si="2"/>
        <v>195.8217381632395</v>
      </c>
      <c r="H71" s="14"/>
      <c r="I71" s="15" t="s">
        <v>17</v>
      </c>
    </row>
    <row r="72" spans="1:9" ht="15" customHeight="1">
      <c r="A72" s="9">
        <v>3</v>
      </c>
      <c r="B72" s="10" t="s">
        <v>53</v>
      </c>
      <c r="C72" s="11" t="s">
        <v>54</v>
      </c>
      <c r="D72" s="15">
        <v>5</v>
      </c>
      <c r="E72" s="14">
        <f>SUM(9.5+8.5)/3.14</f>
        <v>5.7324840764331206</v>
      </c>
      <c r="F72" s="13">
        <v>0.76</v>
      </c>
      <c r="G72" s="14">
        <f t="shared" si="2"/>
        <v>7.4846088957414008</v>
      </c>
      <c r="H72" s="14"/>
      <c r="I72" s="15" t="s">
        <v>17</v>
      </c>
    </row>
    <row r="73" spans="1:9" ht="15" customHeight="1">
      <c r="A73" s="9">
        <v>3</v>
      </c>
      <c r="B73" s="15" t="s">
        <v>35</v>
      </c>
      <c r="C73" s="17" t="s">
        <v>36</v>
      </c>
      <c r="D73" s="15">
        <v>6</v>
      </c>
      <c r="E73" s="14">
        <f>SUM(12.7)/3.14</f>
        <v>4.0445859872611463</v>
      </c>
      <c r="F73" s="13">
        <v>0.372</v>
      </c>
      <c r="G73" s="14">
        <f t="shared" si="2"/>
        <v>2.2540252884445193</v>
      </c>
      <c r="H73" s="14"/>
      <c r="I73" s="15" t="s">
        <v>17</v>
      </c>
    </row>
    <row r="74" spans="1:9" ht="15" customHeight="1">
      <c r="A74" s="9">
        <v>3</v>
      </c>
      <c r="B74" s="15" t="s">
        <v>62</v>
      </c>
      <c r="C74" s="17" t="s">
        <v>63</v>
      </c>
      <c r="D74" s="15">
        <v>6</v>
      </c>
      <c r="E74" s="14">
        <f>SUM(13.8)/3.14</f>
        <v>4.3949044585987265</v>
      </c>
      <c r="F74" s="13">
        <v>0.63400000000000001</v>
      </c>
      <c r="G74" s="14">
        <f t="shared" si="2"/>
        <v>4.4603311552767444</v>
      </c>
      <c r="H74" s="14"/>
      <c r="I74" s="15" t="s">
        <v>17</v>
      </c>
    </row>
    <row r="75" spans="1:9" ht="15" customHeight="1">
      <c r="A75" s="9">
        <v>3</v>
      </c>
      <c r="B75" s="15" t="s">
        <v>62</v>
      </c>
      <c r="C75" s="17" t="s">
        <v>63</v>
      </c>
      <c r="D75" s="15">
        <v>5</v>
      </c>
      <c r="E75" s="14">
        <f>SUM(6.5+11.8)/3.14</f>
        <v>5.8280254777070066</v>
      </c>
      <c r="F75" s="13">
        <v>0.63400000000000001</v>
      </c>
      <c r="G75" s="14">
        <f t="shared" si="2"/>
        <v>6.4765952689674124</v>
      </c>
      <c r="H75" s="14"/>
      <c r="I75" s="15" t="s">
        <v>17</v>
      </c>
    </row>
    <row r="76" spans="1:9" ht="15" customHeight="1">
      <c r="A76" s="9">
        <v>3</v>
      </c>
      <c r="B76" s="15" t="s">
        <v>37</v>
      </c>
      <c r="C76" s="11" t="s">
        <v>38</v>
      </c>
      <c r="D76" s="10">
        <v>9</v>
      </c>
      <c r="E76" s="12">
        <f>SUM(31)/3.14</f>
        <v>9.872611464968152</v>
      </c>
      <c r="F76" s="13">
        <f>AVERAGE(0.75,0.9)</f>
        <v>0.82499999999999996</v>
      </c>
      <c r="G76" s="14">
        <f t="shared" si="2"/>
        <v>41.585905328402859</v>
      </c>
      <c r="H76" s="12"/>
      <c r="I76" s="15" t="s">
        <v>39</v>
      </c>
    </row>
    <row r="77" spans="1:9" ht="15" customHeight="1">
      <c r="A77" s="9">
        <v>3</v>
      </c>
      <c r="B77" s="15" t="s">
        <v>37</v>
      </c>
      <c r="C77" s="11" t="s">
        <v>38</v>
      </c>
      <c r="D77" s="15">
        <v>8</v>
      </c>
      <c r="E77" s="14">
        <f>SUM(18)/3.14</f>
        <v>5.7324840764331206</v>
      </c>
      <c r="F77" s="13">
        <f>AVERAGE(0.75,0.9)</f>
        <v>0.82499999999999996</v>
      </c>
      <c r="G77" s="14">
        <f t="shared" si="2"/>
        <v>12.828480023279017</v>
      </c>
      <c r="H77" s="14"/>
      <c r="I77" s="15" t="s">
        <v>39</v>
      </c>
    </row>
    <row r="78" spans="1:9" ht="15" customHeight="1">
      <c r="A78" s="9">
        <v>3</v>
      </c>
      <c r="B78" s="15" t="s">
        <v>37</v>
      </c>
      <c r="C78" s="11" t="s">
        <v>38</v>
      </c>
      <c r="D78" s="15">
        <v>6</v>
      </c>
      <c r="E78" s="14">
        <f>SUM(18+12)/3.14</f>
        <v>9.5541401273885338</v>
      </c>
      <c r="F78" s="13">
        <f>AVERAGE(0.75,0.9)</f>
        <v>0.82499999999999996</v>
      </c>
      <c r="G78" s="14">
        <f t="shared" si="2"/>
        <v>26.259336867138416</v>
      </c>
      <c r="H78" s="14"/>
      <c r="I78" s="15" t="s">
        <v>39</v>
      </c>
    </row>
    <row r="79" spans="1:9" ht="15" customHeight="1">
      <c r="A79" s="9">
        <v>3</v>
      </c>
      <c r="B79" s="15" t="s">
        <v>45</v>
      </c>
      <c r="C79" s="17" t="s">
        <v>46</v>
      </c>
      <c r="D79" s="15">
        <v>6</v>
      </c>
      <c r="E79" s="14">
        <f>SUM(16.5+15.5+8.7)/3.14</f>
        <v>12.961783439490446</v>
      </c>
      <c r="F79" s="13">
        <v>0.8</v>
      </c>
      <c r="G79" s="14">
        <f t="shared" si="2"/>
        <v>46.21980678793782</v>
      </c>
      <c r="H79" s="14"/>
      <c r="I79" s="15" t="s">
        <v>17</v>
      </c>
    </row>
    <row r="80" spans="1:9" ht="15" customHeight="1">
      <c r="A80" s="9">
        <v>3</v>
      </c>
      <c r="B80" s="15" t="s">
        <v>84</v>
      </c>
      <c r="C80" s="17" t="s">
        <v>82</v>
      </c>
      <c r="D80" s="15">
        <v>3.5</v>
      </c>
      <c r="E80" s="14">
        <f>SUM(7)/3.14</f>
        <v>2.2292993630573248</v>
      </c>
      <c r="F80" s="13">
        <v>0.55000000000000004</v>
      </c>
      <c r="G80" s="14">
        <f t="shared" si="2"/>
        <v>0.60987967686906364</v>
      </c>
      <c r="H80" s="14"/>
      <c r="I80" s="15" t="s">
        <v>83</v>
      </c>
    </row>
    <row r="81" spans="1:9" ht="15" customHeight="1">
      <c r="A81" s="9">
        <v>3</v>
      </c>
      <c r="B81" s="15" t="s">
        <v>18</v>
      </c>
      <c r="C81" s="11" t="s">
        <v>19</v>
      </c>
      <c r="D81" s="15">
        <v>8</v>
      </c>
      <c r="E81" s="14">
        <f>SUM(26.5)/3.14</f>
        <v>8.4394904458598727</v>
      </c>
      <c r="F81" s="13"/>
      <c r="G81" s="14">
        <f t="shared" si="2"/>
        <v>0</v>
      </c>
      <c r="H81" s="14"/>
      <c r="I81" s="15"/>
    </row>
    <row r="82" spans="1:9" ht="15" customHeight="1">
      <c r="A82" s="9">
        <v>3</v>
      </c>
      <c r="B82" s="15" t="s">
        <v>31</v>
      </c>
      <c r="C82" s="17" t="s">
        <v>32</v>
      </c>
      <c r="D82" s="15">
        <v>8</v>
      </c>
      <c r="E82" s="14">
        <f>SUM(47)/3.14</f>
        <v>14.968152866242038</v>
      </c>
      <c r="F82" s="13">
        <v>0.47</v>
      </c>
      <c r="G82" s="14">
        <f t="shared" si="2"/>
        <v>48.231053311569667</v>
      </c>
      <c r="H82" s="14"/>
      <c r="I82" s="15" t="s">
        <v>17</v>
      </c>
    </row>
    <row r="83" spans="1:9" ht="15" customHeight="1">
      <c r="A83" s="9">
        <v>3</v>
      </c>
      <c r="B83" s="15" t="s">
        <v>31</v>
      </c>
      <c r="C83" s="17" t="s">
        <v>32</v>
      </c>
      <c r="D83" s="15">
        <v>5.5</v>
      </c>
      <c r="E83" s="14">
        <f>SUM(16.5)/3.14</f>
        <v>5.2547770700636942</v>
      </c>
      <c r="F83" s="13">
        <v>0.47</v>
      </c>
      <c r="G83" s="14">
        <f t="shared" si="2"/>
        <v>4.336092563253434</v>
      </c>
      <c r="H83" s="14"/>
      <c r="I83" s="15" t="s">
        <v>17</v>
      </c>
    </row>
    <row r="84" spans="1:9" ht="15" customHeight="1">
      <c r="A84" s="9">
        <v>3</v>
      </c>
      <c r="B84" s="15" t="s">
        <v>28</v>
      </c>
      <c r="C84" s="11" t="s">
        <v>29</v>
      </c>
      <c r="D84" s="15">
        <v>9</v>
      </c>
      <c r="E84" s="14">
        <f>SUM(15.5+18.5)/3.14</f>
        <v>10.828025477707007</v>
      </c>
      <c r="F84" s="13">
        <v>0.8</v>
      </c>
      <c r="G84" s="14">
        <f t="shared" si="2"/>
        <v>48.329438979705323</v>
      </c>
      <c r="H84" s="14"/>
      <c r="I84" s="15" t="s">
        <v>30</v>
      </c>
    </row>
    <row r="85" spans="1:9" ht="15" customHeight="1">
      <c r="A85" s="9">
        <v>3</v>
      </c>
      <c r="B85" s="15" t="s">
        <v>28</v>
      </c>
      <c r="C85" s="11" t="s">
        <v>29</v>
      </c>
      <c r="D85" s="15">
        <v>8</v>
      </c>
      <c r="E85" s="14">
        <f>SUM(23.8+17.5)/3.14</f>
        <v>13.152866242038215</v>
      </c>
      <c r="F85" s="13">
        <v>0.8</v>
      </c>
      <c r="G85" s="14">
        <f t="shared" si="2"/>
        <v>62.975923756703942</v>
      </c>
      <c r="H85" s="14"/>
      <c r="I85" s="15" t="s">
        <v>30</v>
      </c>
    </row>
    <row r="86" spans="1:9" ht="15" customHeight="1">
      <c r="A86" s="9">
        <v>3</v>
      </c>
      <c r="B86" s="15" t="s">
        <v>28</v>
      </c>
      <c r="C86" s="11" t="s">
        <v>29</v>
      </c>
      <c r="D86" s="15">
        <v>8</v>
      </c>
      <c r="E86" s="14">
        <f>SUM(17.8+24.1)/3.14</f>
        <v>13.343949044585989</v>
      </c>
      <c r="F86" s="13">
        <v>0.8</v>
      </c>
      <c r="G86" s="14">
        <f t="shared" si="2"/>
        <v>64.774164313105658</v>
      </c>
      <c r="H86" s="14"/>
      <c r="I86" s="15" t="s">
        <v>30</v>
      </c>
    </row>
    <row r="87" spans="1:9" ht="15" customHeight="1">
      <c r="A87" s="9">
        <v>3</v>
      </c>
      <c r="B87" s="15" t="s">
        <v>28</v>
      </c>
      <c r="C87" s="11" t="s">
        <v>29</v>
      </c>
      <c r="D87" s="15">
        <v>6.5</v>
      </c>
      <c r="E87" s="14">
        <f>SUM(22.5+36.5+23+12.8+15+13.8)/3.14</f>
        <v>39.36305732484076</v>
      </c>
      <c r="F87" s="13">
        <v>0.8</v>
      </c>
      <c r="G87" s="14">
        <f t="shared" si="2"/>
        <v>436.96606371778398</v>
      </c>
      <c r="H87" s="14"/>
      <c r="I87" s="15" t="s">
        <v>30</v>
      </c>
    </row>
    <row r="88" spans="1:9" ht="15" customHeight="1">
      <c r="A88" s="9">
        <v>3</v>
      </c>
      <c r="B88" s="15" t="s">
        <v>28</v>
      </c>
      <c r="C88" s="11" t="s">
        <v>29</v>
      </c>
      <c r="D88" s="15">
        <v>6</v>
      </c>
      <c r="E88" s="14">
        <f>SUM(11+12.5+11)/3.14</f>
        <v>10.987261146496815</v>
      </c>
      <c r="F88" s="13">
        <v>0.8</v>
      </c>
      <c r="G88" s="14">
        <f t="shared" si="2"/>
        <v>33.475163929213799</v>
      </c>
      <c r="H88" s="14"/>
      <c r="I88" s="15" t="s">
        <v>30</v>
      </c>
    </row>
    <row r="89" spans="1:9" ht="15" customHeight="1">
      <c r="A89" s="9">
        <v>3</v>
      </c>
      <c r="B89" s="10" t="s">
        <v>66</v>
      </c>
      <c r="C89" s="11" t="s">
        <v>67</v>
      </c>
      <c r="D89" s="15">
        <v>9</v>
      </c>
      <c r="E89" s="14">
        <f>SUM(44+47)/3.14</f>
        <v>28.980891719745223</v>
      </c>
      <c r="F89" s="13">
        <f>AVERAGE(0.74,0.79)</f>
        <v>0.76500000000000001</v>
      </c>
      <c r="G89" s="14">
        <f t="shared" si="2"/>
        <v>316.11961105149896</v>
      </c>
      <c r="H89" s="14"/>
      <c r="I89" s="15" t="s">
        <v>57</v>
      </c>
    </row>
    <row r="90" spans="1:9" ht="15" customHeight="1">
      <c r="A90" s="9">
        <v>3</v>
      </c>
      <c r="B90" s="15" t="s">
        <v>68</v>
      </c>
      <c r="C90" s="11" t="s">
        <v>67</v>
      </c>
      <c r="D90" s="15">
        <v>10.4</v>
      </c>
      <c r="E90" s="14">
        <f>SUM(42.4)/3.14</f>
        <v>13.503184713375795</v>
      </c>
      <c r="F90" s="13">
        <f>AVERAGE(0.74,0.79)</f>
        <v>0.76500000000000001</v>
      </c>
      <c r="G90" s="14">
        <f t="shared" si="2"/>
        <v>81.979382575244841</v>
      </c>
      <c r="H90" s="14"/>
      <c r="I90" s="15" t="s">
        <v>57</v>
      </c>
    </row>
    <row r="91" spans="1:9" ht="15" customHeight="1">
      <c r="A91" s="9">
        <v>3</v>
      </c>
      <c r="B91" s="10" t="s">
        <v>69</v>
      </c>
      <c r="C91" s="11" t="s">
        <v>67</v>
      </c>
      <c r="D91" s="10">
        <v>9.1</v>
      </c>
      <c r="E91" s="14">
        <f>SUM(46.7)/3.14</f>
        <v>14.872611464968154</v>
      </c>
      <c r="F91" s="13">
        <f>AVERAGE(0.74,0.79)</f>
        <v>0.76500000000000001</v>
      </c>
      <c r="G91" s="14">
        <f t="shared" si="2"/>
        <v>86.894622666180553</v>
      </c>
      <c r="H91" s="14"/>
      <c r="I91" s="15" t="s">
        <v>57</v>
      </c>
    </row>
    <row r="92" spans="1:9" ht="15" customHeight="1">
      <c r="A92" s="9">
        <v>3</v>
      </c>
      <c r="B92" s="15" t="s">
        <v>77</v>
      </c>
      <c r="C92" s="11" t="s">
        <v>78</v>
      </c>
      <c r="D92" s="15">
        <v>6</v>
      </c>
      <c r="E92" s="14">
        <f>SUM(13.8)/3.14</f>
        <v>4.3949044585987265</v>
      </c>
      <c r="F92" s="13"/>
      <c r="G92" s="14">
        <f t="shared" si="2"/>
        <v>0</v>
      </c>
      <c r="H92" s="14"/>
      <c r="I92" s="15"/>
    </row>
    <row r="93" spans="1:9" ht="15" customHeight="1">
      <c r="A93" s="9">
        <v>4</v>
      </c>
      <c r="B93" s="15" t="s">
        <v>94</v>
      </c>
      <c r="C93" s="11" t="s">
        <v>95</v>
      </c>
      <c r="D93" s="15">
        <v>4.5</v>
      </c>
      <c r="E93" s="14">
        <f>SUM(21+10.5+10.2+10)/3.14</f>
        <v>16.464968152866241</v>
      </c>
      <c r="F93" s="13"/>
      <c r="G93" s="14">
        <f t="shared" si="2"/>
        <v>0</v>
      </c>
      <c r="H93" s="14"/>
      <c r="I93" s="15"/>
    </row>
    <row r="94" spans="1:9" ht="15" customHeight="1">
      <c r="A94" s="9">
        <v>4</v>
      </c>
      <c r="B94" s="15" t="s">
        <v>94</v>
      </c>
      <c r="C94" s="11" t="s">
        <v>95</v>
      </c>
      <c r="D94" s="15">
        <v>4</v>
      </c>
      <c r="E94" s="14">
        <f>SUM(14)/3.14</f>
        <v>4.4585987261146496</v>
      </c>
      <c r="F94" s="13"/>
      <c r="G94" s="14">
        <f t="shared" si="2"/>
        <v>0</v>
      </c>
      <c r="H94" s="14"/>
      <c r="I94" s="15"/>
    </row>
    <row r="95" spans="1:9" ht="15" customHeight="1">
      <c r="A95" s="9">
        <v>4</v>
      </c>
      <c r="B95" s="15" t="s">
        <v>94</v>
      </c>
      <c r="C95" s="11" t="s">
        <v>95</v>
      </c>
      <c r="D95" s="15">
        <v>3.2</v>
      </c>
      <c r="E95" s="14">
        <f>SUM(10+7)/3.14</f>
        <v>5.4140127388535033</v>
      </c>
      <c r="F95" s="13"/>
      <c r="G95" s="14">
        <f t="shared" si="2"/>
        <v>0</v>
      </c>
      <c r="H95" s="14"/>
      <c r="I95" s="15"/>
    </row>
    <row r="96" spans="1:9" ht="15" customHeight="1">
      <c r="A96" s="9">
        <v>4</v>
      </c>
      <c r="B96" s="15" t="s">
        <v>43</v>
      </c>
      <c r="C96" s="17" t="s">
        <v>44</v>
      </c>
      <c r="D96" s="15">
        <v>9</v>
      </c>
      <c r="E96" s="14">
        <f>SUM(53.5)/3.14</f>
        <v>17.038216560509554</v>
      </c>
      <c r="F96" s="13">
        <v>0.629</v>
      </c>
      <c r="G96" s="14">
        <f t="shared" si="2"/>
        <v>92.593114586866491</v>
      </c>
      <c r="H96" s="14"/>
      <c r="I96" s="15" t="s">
        <v>17</v>
      </c>
    </row>
    <row r="97" spans="1:9" ht="15" customHeight="1">
      <c r="A97" s="9">
        <v>4</v>
      </c>
      <c r="B97" s="15" t="s">
        <v>70</v>
      </c>
      <c r="C97" s="17" t="s">
        <v>71</v>
      </c>
      <c r="D97" s="15">
        <v>7</v>
      </c>
      <c r="E97" s="14">
        <f>SUM(35.5)/3.14</f>
        <v>11.305732484076433</v>
      </c>
      <c r="F97" s="13">
        <f>AVERAGE(0.37,0.6)</f>
        <v>0.48499999999999999</v>
      </c>
      <c r="G97" s="14">
        <f t="shared" si="2"/>
        <v>25.243743592451452</v>
      </c>
      <c r="H97" s="14"/>
      <c r="I97" s="15" t="s">
        <v>22</v>
      </c>
    </row>
    <row r="98" spans="1:9" ht="15" customHeight="1">
      <c r="A98" s="9">
        <v>4</v>
      </c>
      <c r="B98" s="10" t="s">
        <v>53</v>
      </c>
      <c r="C98" s="11" t="s">
        <v>54</v>
      </c>
      <c r="D98" s="15">
        <v>8</v>
      </c>
      <c r="E98" s="14">
        <f>SUM(44+33.5+17.5+20.5)/3.14</f>
        <v>36.783439490445858</v>
      </c>
      <c r="F98" s="13">
        <v>0.76</v>
      </c>
      <c r="G98" s="14">
        <f t="shared" si="2"/>
        <v>445.9214029783999</v>
      </c>
      <c r="H98" s="14"/>
      <c r="I98" s="15" t="s">
        <v>17</v>
      </c>
    </row>
    <row r="99" spans="1:9" ht="15" customHeight="1">
      <c r="A99" s="9">
        <v>4</v>
      </c>
      <c r="B99" s="15" t="s">
        <v>55</v>
      </c>
      <c r="C99" s="11" t="s">
        <v>54</v>
      </c>
      <c r="D99" s="15">
        <v>6.1</v>
      </c>
      <c r="E99" s="14">
        <f>SUM(37+27.5+31+55.7)/3.14</f>
        <v>48.152866242038208</v>
      </c>
      <c r="F99" s="13">
        <v>0.76</v>
      </c>
      <c r="G99" s="14">
        <f t="shared" si="2"/>
        <v>578.96121706994325</v>
      </c>
      <c r="H99" s="14"/>
      <c r="I99" s="15" t="s">
        <v>17</v>
      </c>
    </row>
    <row r="100" spans="1:9" ht="15" customHeight="1">
      <c r="A100" s="9">
        <v>4</v>
      </c>
      <c r="B100" s="15" t="s">
        <v>74</v>
      </c>
      <c r="C100" s="17" t="s">
        <v>75</v>
      </c>
      <c r="D100" s="15">
        <v>8</v>
      </c>
      <c r="E100" s="14">
        <f>SUM(24.5+25)/3.14</f>
        <v>15.764331210191083</v>
      </c>
      <c r="F100" s="13">
        <v>1.08</v>
      </c>
      <c r="G100" s="14">
        <f t="shared" ref="G100:G131" si="3">0.0673*(F100*E100^2*D100)^0.976</f>
        <v>120.2029571921328</v>
      </c>
      <c r="H100" s="14"/>
      <c r="I100" s="15" t="s">
        <v>76</v>
      </c>
    </row>
    <row r="101" spans="1:9" ht="15" customHeight="1">
      <c r="A101" s="9">
        <v>4</v>
      </c>
      <c r="B101" s="15" t="s">
        <v>35</v>
      </c>
      <c r="C101" s="17" t="s">
        <v>36</v>
      </c>
      <c r="D101" s="15">
        <v>6</v>
      </c>
      <c r="E101" s="14">
        <f>SUM(10.5+19)/3.14</f>
        <v>9.3949044585987256</v>
      </c>
      <c r="F101" s="13">
        <v>0.372</v>
      </c>
      <c r="G101" s="14">
        <f t="shared" si="3"/>
        <v>11.679560376879799</v>
      </c>
      <c r="H101" s="14"/>
      <c r="I101" s="15" t="s">
        <v>17</v>
      </c>
    </row>
    <row r="102" spans="1:9" ht="15" customHeight="1">
      <c r="A102" s="9">
        <v>4</v>
      </c>
      <c r="B102" s="15" t="s">
        <v>35</v>
      </c>
      <c r="C102" s="17" t="s">
        <v>36</v>
      </c>
      <c r="D102" s="15">
        <v>5.5</v>
      </c>
      <c r="E102" s="14">
        <f>SUM(12.5+8+13)/3.14</f>
        <v>10.668789808917197</v>
      </c>
      <c r="F102" s="13">
        <v>0.372</v>
      </c>
      <c r="G102" s="14">
        <f t="shared" si="3"/>
        <v>13.751173093045841</v>
      </c>
      <c r="H102" s="14"/>
      <c r="I102" s="15" t="s">
        <v>17</v>
      </c>
    </row>
    <row r="103" spans="1:9" ht="15" customHeight="1">
      <c r="A103" s="9">
        <v>4</v>
      </c>
      <c r="B103" s="10" t="s">
        <v>41</v>
      </c>
      <c r="C103" s="11" t="s">
        <v>42</v>
      </c>
      <c r="D103" s="15">
        <v>5</v>
      </c>
      <c r="E103" s="14">
        <f>SUM(13)/3.14</f>
        <v>4.1401273885350314</v>
      </c>
      <c r="F103" s="13">
        <v>0.374</v>
      </c>
      <c r="G103" s="14">
        <f t="shared" si="3"/>
        <v>1.9849209834388111</v>
      </c>
      <c r="H103" s="14"/>
      <c r="I103" s="15" t="s">
        <v>17</v>
      </c>
    </row>
    <row r="104" spans="1:9" ht="15" customHeight="1">
      <c r="A104" s="9">
        <v>4</v>
      </c>
      <c r="B104" s="15" t="s">
        <v>37</v>
      </c>
      <c r="C104" s="11" t="s">
        <v>38</v>
      </c>
      <c r="D104" s="15">
        <v>12</v>
      </c>
      <c r="E104" s="14">
        <f>SUM(51)/3.14</f>
        <v>16.242038216560509</v>
      </c>
      <c r="F104" s="13">
        <f>AVERAGE(0.75,0.9)</f>
        <v>0.82499999999999996</v>
      </c>
      <c r="G104" s="14">
        <f t="shared" si="3"/>
        <v>145.52088419116689</v>
      </c>
      <c r="H104" s="14"/>
      <c r="I104" s="15" t="s">
        <v>39</v>
      </c>
    </row>
    <row r="105" spans="1:9" ht="15" customHeight="1">
      <c r="A105" s="9">
        <v>4</v>
      </c>
      <c r="B105" s="15" t="s">
        <v>37</v>
      </c>
      <c r="C105" s="11" t="s">
        <v>38</v>
      </c>
      <c r="D105" s="15">
        <v>9</v>
      </c>
      <c r="E105" s="14">
        <f>SUM(29.7)/3.14</f>
        <v>9.4585987261146496</v>
      </c>
      <c r="F105" s="13">
        <f>AVERAGE(0.75,0.9)</f>
        <v>0.82499999999999996</v>
      </c>
      <c r="G105" s="14">
        <f t="shared" si="3"/>
        <v>38.249760770964407</v>
      </c>
      <c r="H105" s="14"/>
      <c r="I105" s="15" t="s">
        <v>39</v>
      </c>
    </row>
    <row r="106" spans="1:9" ht="15" customHeight="1">
      <c r="A106" s="9">
        <v>4</v>
      </c>
      <c r="B106" s="15" t="s">
        <v>37</v>
      </c>
      <c r="C106" s="11" t="s">
        <v>38</v>
      </c>
      <c r="D106" s="15">
        <v>7</v>
      </c>
      <c r="E106" s="14">
        <f>SUM(22+10.5)/3.14</f>
        <v>10.350318471337578</v>
      </c>
      <c r="F106" s="13">
        <f>AVERAGE(0.75,0.9)</f>
        <v>0.82499999999999996</v>
      </c>
      <c r="G106" s="14">
        <f t="shared" si="3"/>
        <v>35.684486583568322</v>
      </c>
      <c r="H106" s="14"/>
      <c r="I106" s="15" t="s">
        <v>39</v>
      </c>
    </row>
    <row r="107" spans="1:9" ht="15" customHeight="1">
      <c r="A107" s="9">
        <v>4</v>
      </c>
      <c r="B107" s="15" t="s">
        <v>79</v>
      </c>
      <c r="C107" s="17" t="s">
        <v>80</v>
      </c>
      <c r="D107" s="15">
        <v>9</v>
      </c>
      <c r="E107" s="14">
        <f>SUM(48.5+39)/3.14</f>
        <v>27.866242038216559</v>
      </c>
      <c r="F107" s="13">
        <f>AVERAGE(0.54,0.58)</f>
        <v>0.56000000000000005</v>
      </c>
      <c r="G107" s="14">
        <f t="shared" si="3"/>
        <v>215.96347863249687</v>
      </c>
      <c r="H107" s="14"/>
      <c r="I107" s="15" t="s">
        <v>22</v>
      </c>
    </row>
    <row r="108" spans="1:9" ht="15" customHeight="1">
      <c r="A108" s="9">
        <v>4</v>
      </c>
      <c r="B108" s="15" t="s">
        <v>79</v>
      </c>
      <c r="C108" s="17" t="s">
        <v>80</v>
      </c>
      <c r="D108" s="15">
        <v>8.5</v>
      </c>
      <c r="E108" s="14">
        <f>SUM(51+36+49+40)/3.14</f>
        <v>56.050955414012734</v>
      </c>
      <c r="F108" s="13">
        <f>AVERAGE(0.54,0.58)</f>
        <v>0.56000000000000005</v>
      </c>
      <c r="G108" s="14">
        <f t="shared" si="3"/>
        <v>799.08596821801518</v>
      </c>
      <c r="H108" s="14"/>
      <c r="I108" s="15" t="s">
        <v>22</v>
      </c>
    </row>
    <row r="109" spans="1:9" ht="15" customHeight="1">
      <c r="A109" s="9">
        <v>4</v>
      </c>
      <c r="B109" s="15" t="s">
        <v>28</v>
      </c>
      <c r="C109" s="11" t="s">
        <v>29</v>
      </c>
      <c r="D109" s="15">
        <v>6.5</v>
      </c>
      <c r="E109" s="14">
        <f>SUM(23.5+16+14.5+20+18)/3.14</f>
        <v>29.29936305732484</v>
      </c>
      <c r="F109" s="13">
        <v>0.8</v>
      </c>
      <c r="G109" s="14">
        <f t="shared" si="3"/>
        <v>245.55087924544191</v>
      </c>
      <c r="H109" s="14"/>
      <c r="I109" s="15" t="s">
        <v>30</v>
      </c>
    </row>
    <row r="110" spans="1:9" ht="15" customHeight="1">
      <c r="A110" s="9">
        <v>4</v>
      </c>
      <c r="B110" s="15" t="s">
        <v>77</v>
      </c>
      <c r="C110" s="11" t="s">
        <v>78</v>
      </c>
      <c r="D110" s="15">
        <v>8</v>
      </c>
      <c r="E110" s="14">
        <f>SUM(34.5)/3.14</f>
        <v>10.987261146496815</v>
      </c>
      <c r="F110" s="13"/>
      <c r="G110" s="14">
        <f t="shared" si="3"/>
        <v>0</v>
      </c>
      <c r="H110" s="14"/>
      <c r="I110" s="15"/>
    </row>
    <row r="111" spans="1:9" ht="15" customHeight="1">
      <c r="A111" s="9">
        <v>4</v>
      </c>
      <c r="B111" s="15" t="s">
        <v>77</v>
      </c>
      <c r="C111" s="11" t="s">
        <v>78</v>
      </c>
      <c r="D111" s="15">
        <v>6</v>
      </c>
      <c r="E111" s="14">
        <f>SUM(28)/3.14</f>
        <v>8.9171974522292992</v>
      </c>
      <c r="F111" s="13"/>
      <c r="G111" s="14">
        <f t="shared" si="3"/>
        <v>0</v>
      </c>
      <c r="H111" s="14"/>
      <c r="I111" s="15"/>
    </row>
    <row r="112" spans="1:9" ht="15" customHeight="1">
      <c r="A112" s="9">
        <v>5</v>
      </c>
      <c r="B112" s="15" t="s">
        <v>23</v>
      </c>
      <c r="C112" s="187" t="s">
        <v>21</v>
      </c>
      <c r="D112" s="15">
        <v>10.199999999999999</v>
      </c>
      <c r="E112" s="12">
        <f>SUM(63)/3.14</f>
        <v>20.063694267515924</v>
      </c>
      <c r="F112" s="13">
        <f>AVERAGE(0.84, 1.1)</f>
        <v>0.97</v>
      </c>
      <c r="G112" s="14">
        <f t="shared" si="3"/>
        <v>219.68688150012187</v>
      </c>
      <c r="H112" s="12"/>
      <c r="I112" s="15" t="s">
        <v>22</v>
      </c>
    </row>
    <row r="113" spans="1:9" ht="15" customHeight="1">
      <c r="A113" s="9">
        <v>5</v>
      </c>
      <c r="B113" s="15" t="s">
        <v>24</v>
      </c>
      <c r="C113" s="187" t="s">
        <v>21</v>
      </c>
      <c r="D113" s="15">
        <v>8.6</v>
      </c>
      <c r="E113" s="12">
        <f>SUM(92.6
)/3.14</f>
        <v>29.490445859872608</v>
      </c>
      <c r="F113" s="13">
        <f>AVERAGE(0.84, 1.1)</f>
        <v>0.97</v>
      </c>
      <c r="G113" s="14">
        <f t="shared" si="3"/>
        <v>394.45070648599085</v>
      </c>
      <c r="H113" s="12"/>
      <c r="I113" s="15" t="s">
        <v>22</v>
      </c>
    </row>
    <row r="114" spans="1:9" ht="15" customHeight="1">
      <c r="A114" s="9">
        <v>5</v>
      </c>
      <c r="B114" s="15" t="s">
        <v>25</v>
      </c>
      <c r="C114" s="187" t="s">
        <v>21</v>
      </c>
      <c r="D114" s="15">
        <v>8.1</v>
      </c>
      <c r="E114" s="12">
        <f>SUM(74.7)/3.14</f>
        <v>23.789808917197451</v>
      </c>
      <c r="F114" s="13">
        <f>AVERAGE(0.84, 1.1)</f>
        <v>0.97</v>
      </c>
      <c r="G114" s="14">
        <f t="shared" si="3"/>
        <v>244.62497652971624</v>
      </c>
      <c r="H114" s="12"/>
      <c r="I114" s="15" t="s">
        <v>22</v>
      </c>
    </row>
    <row r="115" spans="1:9" ht="15" customHeight="1">
      <c r="A115" s="9">
        <v>5</v>
      </c>
      <c r="B115" s="15" t="s">
        <v>94</v>
      </c>
      <c r="C115" s="11" t="s">
        <v>95</v>
      </c>
      <c r="D115" s="15">
        <v>5</v>
      </c>
      <c r="E115" s="14">
        <f>SUM(11.5+11.2+16.3+10.5+10.3)/3.14</f>
        <v>19.044585987261144</v>
      </c>
      <c r="F115" s="13"/>
      <c r="G115" s="14">
        <f t="shared" si="3"/>
        <v>0</v>
      </c>
      <c r="H115" s="14"/>
      <c r="I115" s="15"/>
    </row>
    <row r="116" spans="1:9" ht="15" customHeight="1">
      <c r="A116" s="9">
        <v>5</v>
      </c>
      <c r="B116" s="10" t="s">
        <v>92</v>
      </c>
      <c r="C116" s="11" t="s">
        <v>93</v>
      </c>
      <c r="D116" s="15">
        <v>6.5</v>
      </c>
      <c r="E116" s="14">
        <f>SUM(19.5+7.5)/3.14</f>
        <v>8.598726114649681</v>
      </c>
      <c r="F116" s="13">
        <v>0.97799999999999998</v>
      </c>
      <c r="G116" s="14">
        <f t="shared" si="3"/>
        <v>27.290067959497286</v>
      </c>
      <c r="H116" s="14"/>
      <c r="I116" s="15" t="s">
        <v>57</v>
      </c>
    </row>
    <row r="117" spans="1:9" ht="15" customHeight="1">
      <c r="A117" s="9">
        <v>5</v>
      </c>
      <c r="B117" s="15" t="s">
        <v>70</v>
      </c>
      <c r="C117" s="17" t="s">
        <v>71</v>
      </c>
      <c r="D117" s="15">
        <v>8</v>
      </c>
      <c r="E117" s="14">
        <f>SUM(37.5)/3.14</f>
        <v>11.942675159235668</v>
      </c>
      <c r="F117" s="13">
        <f>AVERAGE(0.37,0.6)</f>
        <v>0.48499999999999999</v>
      </c>
      <c r="G117" s="14">
        <f t="shared" si="3"/>
        <v>32.004952720591831</v>
      </c>
      <c r="H117" s="14"/>
      <c r="I117" s="15" t="s">
        <v>22</v>
      </c>
    </row>
    <row r="118" spans="1:9" ht="15" customHeight="1">
      <c r="A118" s="9">
        <v>5</v>
      </c>
      <c r="B118" s="15" t="s">
        <v>70</v>
      </c>
      <c r="C118" s="17" t="s">
        <v>71</v>
      </c>
      <c r="D118" s="15">
        <v>5.5</v>
      </c>
      <c r="E118" s="14">
        <f>SUM(24)/3.14</f>
        <v>7.6433121019108281</v>
      </c>
      <c r="F118" s="13">
        <f>AVERAGE(0.37,0.6)</f>
        <v>0.48499999999999999</v>
      </c>
      <c r="G118" s="14">
        <f t="shared" si="3"/>
        <v>9.2909186362589615</v>
      </c>
      <c r="H118" s="14"/>
      <c r="I118" s="15" t="s">
        <v>22</v>
      </c>
    </row>
    <row r="119" spans="1:9" ht="15" customHeight="1">
      <c r="A119" s="9">
        <v>5</v>
      </c>
      <c r="B119" s="15" t="s">
        <v>58</v>
      </c>
      <c r="C119" s="11" t="s">
        <v>59</v>
      </c>
      <c r="D119" s="15">
        <v>6</v>
      </c>
      <c r="E119" s="14">
        <f>SUM(14.5+9.5)/3.14</f>
        <v>7.6433121019108281</v>
      </c>
      <c r="F119" s="13">
        <f>AVERAGE(0.92, 1.08)</f>
        <v>1</v>
      </c>
      <c r="G119" s="14">
        <f t="shared" si="3"/>
        <v>20.495397956792313</v>
      </c>
      <c r="H119" s="14"/>
      <c r="I119" s="15" t="s">
        <v>17</v>
      </c>
    </row>
    <row r="120" spans="1:9" ht="15" customHeight="1">
      <c r="A120" s="9">
        <v>5</v>
      </c>
      <c r="B120" s="15" t="s">
        <v>58</v>
      </c>
      <c r="C120" s="11" t="s">
        <v>59</v>
      </c>
      <c r="D120" s="15">
        <v>2.7</v>
      </c>
      <c r="E120" s="14">
        <f>SUM(11.5)/3.14</f>
        <v>3.6624203821656049</v>
      </c>
      <c r="F120" s="13">
        <f>AVERAGE(0.92, 1.08)</f>
        <v>1</v>
      </c>
      <c r="G120" s="14">
        <f t="shared" si="3"/>
        <v>2.2361534852696474</v>
      </c>
      <c r="H120" s="14"/>
      <c r="I120" s="15" t="s">
        <v>17</v>
      </c>
    </row>
    <row r="121" spans="1:9" ht="15" customHeight="1">
      <c r="A121" s="9">
        <v>5</v>
      </c>
      <c r="B121" s="15" t="s">
        <v>64</v>
      </c>
      <c r="C121" s="11" t="s">
        <v>65</v>
      </c>
      <c r="D121" s="15">
        <v>8</v>
      </c>
      <c r="E121" s="14">
        <f>SUM(27)/3.14</f>
        <v>8.598726114649681</v>
      </c>
      <c r="F121" s="13">
        <v>0.94</v>
      </c>
      <c r="G121" s="14">
        <f t="shared" si="3"/>
        <v>32.152820149097181</v>
      </c>
      <c r="H121" s="14"/>
      <c r="I121" s="15" t="s">
        <v>17</v>
      </c>
    </row>
    <row r="122" spans="1:9" ht="15" customHeight="1">
      <c r="A122" s="9">
        <v>5</v>
      </c>
      <c r="B122" s="15" t="s">
        <v>56</v>
      </c>
      <c r="C122" s="11" t="s">
        <v>56</v>
      </c>
      <c r="D122" s="15">
        <v>5.5</v>
      </c>
      <c r="E122" s="14">
        <f>SUM(15+17.5+13)/3.14</f>
        <v>14.490445859872612</v>
      </c>
      <c r="F122" s="13">
        <f>AVERAGE(0.58, 0.77)</f>
        <v>0.67500000000000004</v>
      </c>
      <c r="G122" s="14">
        <f t="shared" si="3"/>
        <v>44.713751070429105</v>
      </c>
      <c r="H122" s="14"/>
      <c r="I122" s="15" t="s">
        <v>57</v>
      </c>
    </row>
    <row r="123" spans="1:9" ht="15" customHeight="1">
      <c r="A123" s="9">
        <v>5</v>
      </c>
      <c r="B123" s="15" t="s">
        <v>35</v>
      </c>
      <c r="C123" s="17" t="s">
        <v>36</v>
      </c>
      <c r="D123" s="15">
        <v>5.5</v>
      </c>
      <c r="E123" s="14">
        <f>SUM(13+11+8.6+8.2)/3.14</f>
        <v>12.993630573248407</v>
      </c>
      <c r="F123" s="13">
        <v>0.372</v>
      </c>
      <c r="G123" s="14">
        <f t="shared" si="3"/>
        <v>20.205096259177441</v>
      </c>
      <c r="H123" s="14"/>
      <c r="I123" s="15" t="s">
        <v>17</v>
      </c>
    </row>
    <row r="124" spans="1:9" ht="15" customHeight="1">
      <c r="A124" s="9">
        <v>5</v>
      </c>
      <c r="B124" s="15" t="s">
        <v>37</v>
      </c>
      <c r="C124" s="11" t="s">
        <v>38</v>
      </c>
      <c r="D124" s="15">
        <v>6.5</v>
      </c>
      <c r="E124" s="14">
        <f>SUM(18)/3.14</f>
        <v>5.7324840764331206</v>
      </c>
      <c r="F124" s="13">
        <f>AVERAGE(0.75,0.9)</f>
        <v>0.82499999999999996</v>
      </c>
      <c r="G124" s="14">
        <f t="shared" si="3"/>
        <v>10.475211757004953</v>
      </c>
      <c r="H124" s="14"/>
      <c r="I124" s="15" t="s">
        <v>39</v>
      </c>
    </row>
    <row r="125" spans="1:9" ht="15" customHeight="1">
      <c r="A125" s="9">
        <v>5</v>
      </c>
      <c r="B125" s="15" t="s">
        <v>79</v>
      </c>
      <c r="C125" s="17" t="s">
        <v>80</v>
      </c>
      <c r="D125" s="15">
        <v>9</v>
      </c>
      <c r="E125" s="14">
        <f>SUM(41.5+15+16.5)/3.14</f>
        <v>23.248407643312103</v>
      </c>
      <c r="F125" s="13">
        <f>AVERAGE(0.54,0.58)</f>
        <v>0.56000000000000005</v>
      </c>
      <c r="G125" s="14">
        <f t="shared" si="3"/>
        <v>151.63058751378369</v>
      </c>
      <c r="H125" s="14"/>
      <c r="I125" s="15" t="s">
        <v>22</v>
      </c>
    </row>
    <row r="126" spans="1:9" ht="15" customHeight="1">
      <c r="A126" s="9">
        <v>5</v>
      </c>
      <c r="B126" s="15" t="s">
        <v>60</v>
      </c>
      <c r="C126" s="17" t="s">
        <v>61</v>
      </c>
      <c r="D126" s="15">
        <v>2.5</v>
      </c>
      <c r="E126" s="14">
        <f>SUM(6.5+6)/3.14</f>
        <v>3.9808917197452227</v>
      </c>
      <c r="F126" s="13">
        <v>0.81</v>
      </c>
      <c r="G126" s="14">
        <f t="shared" si="3"/>
        <v>1.9872273855975096</v>
      </c>
      <c r="H126" s="14"/>
      <c r="I126" s="15" t="s">
        <v>17</v>
      </c>
    </row>
    <row r="127" spans="1:9" ht="15" customHeight="1">
      <c r="A127" s="9">
        <v>5</v>
      </c>
      <c r="B127" s="15" t="s">
        <v>81</v>
      </c>
      <c r="C127" s="17" t="s">
        <v>82</v>
      </c>
      <c r="D127" s="15">
        <v>6</v>
      </c>
      <c r="E127" s="14">
        <f>SUM(12.5)/3.14</f>
        <v>3.9808917197452227</v>
      </c>
      <c r="F127" s="13">
        <v>0.55000000000000004</v>
      </c>
      <c r="G127" s="14">
        <f t="shared" si="3"/>
        <v>3.2007101118588515</v>
      </c>
      <c r="H127" s="14"/>
      <c r="I127" s="15" t="s">
        <v>83</v>
      </c>
    </row>
    <row r="128" spans="1:9" ht="15" customHeight="1">
      <c r="A128" s="9">
        <v>5</v>
      </c>
      <c r="B128" s="15" t="s">
        <v>88</v>
      </c>
      <c r="C128" s="11" t="s">
        <v>89</v>
      </c>
      <c r="D128" s="15">
        <v>6</v>
      </c>
      <c r="E128" s="14">
        <f>SUM(21+15)/3.14</f>
        <v>11.464968152866241</v>
      </c>
      <c r="F128" s="13">
        <f>AVERAGE(0.78,0.8)</f>
        <v>0.79</v>
      </c>
      <c r="G128" s="14">
        <f t="shared" si="3"/>
        <v>35.931101753403624</v>
      </c>
      <c r="H128" s="14"/>
      <c r="I128" s="15" t="s">
        <v>90</v>
      </c>
    </row>
    <row r="129" spans="1:9" ht="15" customHeight="1">
      <c r="A129" s="9">
        <v>5</v>
      </c>
      <c r="B129" s="10" t="s">
        <v>66</v>
      </c>
      <c r="C129" s="11" t="s">
        <v>67</v>
      </c>
      <c r="D129" s="15">
        <v>10</v>
      </c>
      <c r="E129" s="14">
        <f>SUM(50.3+55.7)/3.14</f>
        <v>33.757961783439491</v>
      </c>
      <c r="F129" s="13">
        <f>AVERAGE(0.74,0.79)</f>
        <v>0.76500000000000001</v>
      </c>
      <c r="G129" s="14">
        <f t="shared" si="3"/>
        <v>471.90980499897836</v>
      </c>
      <c r="H129" s="14"/>
      <c r="I129" s="15" t="s">
        <v>57</v>
      </c>
    </row>
    <row r="130" spans="1:9" ht="15" customHeight="1">
      <c r="A130" s="9">
        <v>5</v>
      </c>
      <c r="B130" s="15" t="s">
        <v>50</v>
      </c>
      <c r="C130" s="17"/>
      <c r="D130" s="15">
        <v>9</v>
      </c>
      <c r="E130" s="14">
        <f>SUM(38.5+41)/3.14</f>
        <v>25.318471337579616</v>
      </c>
      <c r="F130" s="13"/>
      <c r="G130" s="14">
        <f t="shared" si="3"/>
        <v>0</v>
      </c>
      <c r="H130" s="14"/>
      <c r="I130" s="15"/>
    </row>
    <row r="131" spans="1:9" ht="15" customHeight="1">
      <c r="A131" s="9">
        <v>5</v>
      </c>
      <c r="B131" s="15" t="s">
        <v>51</v>
      </c>
      <c r="C131" s="17"/>
      <c r="D131" s="15">
        <v>9</v>
      </c>
      <c r="E131" s="14">
        <f>SUM(64)/3.14</f>
        <v>20.38216560509554</v>
      </c>
      <c r="F131" s="13"/>
      <c r="G131" s="14">
        <f t="shared" si="3"/>
        <v>0</v>
      </c>
      <c r="H131" s="14"/>
      <c r="I131" s="15"/>
    </row>
    <row r="132" spans="1:9" ht="15" customHeight="1">
      <c r="A132" s="9">
        <v>6</v>
      </c>
      <c r="B132" s="15" t="s">
        <v>33</v>
      </c>
      <c r="C132" s="17" t="s">
        <v>34</v>
      </c>
      <c r="D132" s="15">
        <v>4</v>
      </c>
      <c r="E132" s="14">
        <f>SUM(8)/3.14</f>
        <v>2.5477707006369426</v>
      </c>
      <c r="F132" s="13"/>
      <c r="G132" s="14">
        <f t="shared" ref="G132:G163" si="4">0.0673*(F132*E132^2*D132)^0.976</f>
        <v>0</v>
      </c>
      <c r="H132" s="14"/>
      <c r="I132" s="15"/>
    </row>
    <row r="133" spans="1:9" ht="15" customHeight="1">
      <c r="A133" s="9">
        <v>6</v>
      </c>
      <c r="B133" s="15" t="s">
        <v>85</v>
      </c>
      <c r="C133" s="17" t="s">
        <v>86</v>
      </c>
      <c r="D133" s="15">
        <v>4</v>
      </c>
      <c r="E133" s="14">
        <f>SUM(14)/3.14</f>
        <v>4.4585987261146496</v>
      </c>
      <c r="F133" s="9">
        <v>0.74</v>
      </c>
      <c r="G133" s="14">
        <f t="shared" si="4"/>
        <v>3.5911291716177871</v>
      </c>
      <c r="H133" s="14"/>
      <c r="I133" s="15" t="s">
        <v>87</v>
      </c>
    </row>
    <row r="134" spans="1:9" ht="15" customHeight="1">
      <c r="A134" s="9">
        <v>6</v>
      </c>
      <c r="B134" s="15" t="s">
        <v>58</v>
      </c>
      <c r="C134" s="11" t="s">
        <v>59</v>
      </c>
      <c r="D134" s="15">
        <v>6.5</v>
      </c>
      <c r="E134" s="14">
        <f>SUM(27.5)/3.14</f>
        <v>8.7579617834394909</v>
      </c>
      <c r="F134" s="13">
        <f>AVERAGE(0.92, 1.08)</f>
        <v>1</v>
      </c>
      <c r="G134" s="14">
        <f t="shared" si="4"/>
        <v>28.906083017413014</v>
      </c>
      <c r="H134" s="14"/>
      <c r="I134" s="15" t="s">
        <v>17</v>
      </c>
    </row>
    <row r="135" spans="1:9" ht="15" customHeight="1">
      <c r="A135" s="9">
        <v>6</v>
      </c>
      <c r="B135" s="15" t="s">
        <v>58</v>
      </c>
      <c r="C135" s="11" t="s">
        <v>59</v>
      </c>
      <c r="D135" s="15">
        <v>5</v>
      </c>
      <c r="E135" s="14">
        <f>SUM(9.8)/3.14</f>
        <v>3.121019108280255</v>
      </c>
      <c r="F135" s="13">
        <f>AVERAGE(0.92, 1.08)</f>
        <v>1</v>
      </c>
      <c r="G135" s="14">
        <f t="shared" si="4"/>
        <v>2.9859079504550192</v>
      </c>
      <c r="H135" s="14"/>
      <c r="I135" s="15" t="s">
        <v>17</v>
      </c>
    </row>
    <row r="136" spans="1:9" ht="15" customHeight="1">
      <c r="A136" s="9">
        <v>6</v>
      </c>
      <c r="B136" s="15" t="s">
        <v>58</v>
      </c>
      <c r="C136" s="11" t="s">
        <v>59</v>
      </c>
      <c r="D136" s="15">
        <v>4.5</v>
      </c>
      <c r="E136" s="14">
        <f>SUM(10)/3.14</f>
        <v>3.1847133757961781</v>
      </c>
      <c r="F136" s="13">
        <f>AVERAGE(0.92, 1.08)</f>
        <v>1</v>
      </c>
      <c r="G136" s="14">
        <f t="shared" si="4"/>
        <v>2.8024882772741613</v>
      </c>
      <c r="H136" s="14"/>
      <c r="I136" s="15" t="s">
        <v>17</v>
      </c>
    </row>
    <row r="137" spans="1:9" ht="15" customHeight="1">
      <c r="A137" s="9">
        <v>6</v>
      </c>
      <c r="B137" s="10" t="s">
        <v>53</v>
      </c>
      <c r="C137" s="11" t="s">
        <v>54</v>
      </c>
      <c r="D137" s="15">
        <v>8</v>
      </c>
      <c r="E137" s="14">
        <f>SUM(36+18.5+22.5+28+32)/3.14</f>
        <v>43.630573248407643</v>
      </c>
      <c r="F137" s="13">
        <v>0.76</v>
      </c>
      <c r="G137" s="14">
        <f t="shared" si="4"/>
        <v>622.26708813296307</v>
      </c>
      <c r="H137" s="14"/>
      <c r="I137" s="15" t="s">
        <v>17</v>
      </c>
    </row>
    <row r="138" spans="1:9" ht="15" customHeight="1">
      <c r="A138" s="9">
        <v>6</v>
      </c>
      <c r="B138" s="10" t="s">
        <v>53</v>
      </c>
      <c r="C138" s="11" t="s">
        <v>54</v>
      </c>
      <c r="D138" s="15">
        <v>8</v>
      </c>
      <c r="E138" s="14">
        <f>SUM(31+16+28+16)/3.14</f>
        <v>28.980891719745223</v>
      </c>
      <c r="F138" s="13">
        <v>0.76</v>
      </c>
      <c r="G138" s="14">
        <f t="shared" si="4"/>
        <v>279.99294102315918</v>
      </c>
      <c r="H138" s="14"/>
      <c r="I138" s="15" t="s">
        <v>17</v>
      </c>
    </row>
    <row r="139" spans="1:9" ht="15" customHeight="1">
      <c r="A139" s="9">
        <v>6</v>
      </c>
      <c r="B139" s="15" t="s">
        <v>37</v>
      </c>
      <c r="C139" s="11" t="s">
        <v>38</v>
      </c>
      <c r="D139" s="15">
        <v>5</v>
      </c>
      <c r="E139" s="14">
        <f>SUM(27.5)/3.14</f>
        <v>8.7579617834394909</v>
      </c>
      <c r="F139" s="13">
        <f>AVERAGE(0.75,0.9)</f>
        <v>0.82499999999999996</v>
      </c>
      <c r="G139" s="14">
        <f t="shared" si="4"/>
        <v>18.545544446823353</v>
      </c>
      <c r="H139" s="14"/>
      <c r="I139" s="15" t="s">
        <v>39</v>
      </c>
    </row>
    <row r="140" spans="1:9" ht="15" customHeight="1">
      <c r="A140" s="9">
        <v>6</v>
      </c>
      <c r="B140" s="15" t="s">
        <v>37</v>
      </c>
      <c r="C140" s="11" t="s">
        <v>38</v>
      </c>
      <c r="D140" s="15">
        <v>3.5</v>
      </c>
      <c r="E140" s="14">
        <f>SUM(10+9.5)/3.14</f>
        <v>6.2101910828025479</v>
      </c>
      <c r="F140" s="13">
        <f>AVERAGE(0.75,0.9)</f>
        <v>0.82499999999999996</v>
      </c>
      <c r="G140" s="14">
        <f t="shared" si="4"/>
        <v>6.693070778350628</v>
      </c>
      <c r="H140" s="14"/>
      <c r="I140" s="15" t="s">
        <v>39</v>
      </c>
    </row>
    <row r="141" spans="1:9" ht="15" customHeight="1">
      <c r="A141" s="9">
        <v>6</v>
      </c>
      <c r="B141" s="15" t="s">
        <v>26</v>
      </c>
      <c r="C141" s="17" t="s">
        <v>27</v>
      </c>
      <c r="D141" s="15">
        <v>5</v>
      </c>
      <c r="E141" s="14">
        <f>SUM(11+8.5+10)/3.14</f>
        <v>9.3949044585987256</v>
      </c>
      <c r="F141" s="13"/>
      <c r="G141" s="14">
        <f t="shared" si="4"/>
        <v>0</v>
      </c>
      <c r="H141" s="14"/>
      <c r="I141" s="15"/>
    </row>
    <row r="142" spans="1:9" ht="15" customHeight="1">
      <c r="A142" s="9">
        <v>6</v>
      </c>
      <c r="B142" s="15" t="s">
        <v>18</v>
      </c>
      <c r="C142" s="11" t="s">
        <v>19</v>
      </c>
      <c r="D142" s="15">
        <v>4.5</v>
      </c>
      <c r="E142" s="14">
        <f>SUM(9.5)/3.14</f>
        <v>3.0254777070063694</v>
      </c>
      <c r="F142" s="13"/>
      <c r="G142" s="14">
        <f t="shared" si="4"/>
        <v>0</v>
      </c>
      <c r="H142" s="14"/>
      <c r="I142" s="15"/>
    </row>
    <row r="143" spans="1:9" ht="15" customHeight="1">
      <c r="A143" s="9">
        <v>6</v>
      </c>
      <c r="B143" s="15" t="s">
        <v>88</v>
      </c>
      <c r="C143" s="11" t="s">
        <v>89</v>
      </c>
      <c r="D143" s="15">
        <v>7</v>
      </c>
      <c r="E143" s="14">
        <f>SUM(13.5+14+9.5)/3.14</f>
        <v>11.783439490445859</v>
      </c>
      <c r="F143" s="13">
        <f>AVERAGE(0.78,0.8)</f>
        <v>0.79</v>
      </c>
      <c r="G143" s="14">
        <f t="shared" si="4"/>
        <v>44.059329601056042</v>
      </c>
      <c r="H143" s="14"/>
      <c r="I143" s="15" t="s">
        <v>90</v>
      </c>
    </row>
    <row r="144" spans="1:9" ht="15" customHeight="1">
      <c r="A144" s="9">
        <v>6</v>
      </c>
      <c r="B144" s="15" t="s">
        <v>88</v>
      </c>
      <c r="C144" s="11" t="s">
        <v>89</v>
      </c>
      <c r="D144" s="15">
        <v>6</v>
      </c>
      <c r="E144" s="14">
        <f>SUM(14.5+14.5)/3.14</f>
        <v>9.2356687898089174</v>
      </c>
      <c r="F144" s="13">
        <f>AVERAGE(0.78,0.8)</f>
        <v>0.79</v>
      </c>
      <c r="G144" s="14">
        <f t="shared" si="4"/>
        <v>23.559655979971687</v>
      </c>
      <c r="H144" s="14"/>
      <c r="I144" s="15" t="s">
        <v>90</v>
      </c>
    </row>
    <row r="145" spans="1:9" ht="15" customHeight="1">
      <c r="A145" s="9">
        <v>6</v>
      </c>
      <c r="B145" s="15" t="s">
        <v>28</v>
      </c>
      <c r="C145" s="11" t="s">
        <v>29</v>
      </c>
      <c r="D145" s="15">
        <v>8</v>
      </c>
      <c r="E145" s="14">
        <f>SUM(19+21.5+18.5+20+20.3+20.5+16)/3.14</f>
        <v>43.248407643312106</v>
      </c>
      <c r="F145" s="13">
        <v>0.8</v>
      </c>
      <c r="G145" s="14">
        <f t="shared" si="4"/>
        <v>643.07317917580133</v>
      </c>
      <c r="H145" s="14"/>
      <c r="I145" s="15" t="s">
        <v>30</v>
      </c>
    </row>
    <row r="146" spans="1:9" ht="15" customHeight="1">
      <c r="A146" s="9">
        <v>6</v>
      </c>
      <c r="B146" s="15" t="s">
        <v>28</v>
      </c>
      <c r="C146" s="11" t="s">
        <v>29</v>
      </c>
      <c r="D146" s="15">
        <v>8</v>
      </c>
      <c r="E146" s="14">
        <f>SUM(29.5+43.5+33+32)/3.14</f>
        <v>43.949044585987259</v>
      </c>
      <c r="F146" s="13">
        <v>0.8</v>
      </c>
      <c r="G146" s="14">
        <f t="shared" si="4"/>
        <v>663.56584268746644</v>
      </c>
      <c r="H146" s="14"/>
      <c r="I146" s="15" t="s">
        <v>30</v>
      </c>
    </row>
    <row r="147" spans="1:9" ht="15" customHeight="1">
      <c r="A147" s="9">
        <v>6</v>
      </c>
      <c r="B147" s="15" t="s">
        <v>28</v>
      </c>
      <c r="C147" s="11" t="s">
        <v>29</v>
      </c>
      <c r="D147" s="15">
        <v>8</v>
      </c>
      <c r="E147" s="14">
        <f>SUM(23+21.5+14+21.5+22.6)/3.14</f>
        <v>32.675159235668787</v>
      </c>
      <c r="F147" s="13">
        <v>0.8</v>
      </c>
      <c r="G147" s="14">
        <f t="shared" si="4"/>
        <v>372.04861660159685</v>
      </c>
      <c r="H147" s="14"/>
      <c r="I147" s="15" t="s">
        <v>30</v>
      </c>
    </row>
    <row r="148" spans="1:9" ht="15" customHeight="1">
      <c r="A148" s="9">
        <v>6</v>
      </c>
      <c r="B148" s="15" t="s">
        <v>28</v>
      </c>
      <c r="C148" s="11" t="s">
        <v>29</v>
      </c>
      <c r="D148" s="15">
        <v>6.5</v>
      </c>
      <c r="E148" s="14">
        <f>SUM(15+22+10)/3.14</f>
        <v>14.968152866242038</v>
      </c>
      <c r="F148" s="13">
        <v>0.8</v>
      </c>
      <c r="G148" s="14">
        <f t="shared" si="4"/>
        <v>66.185472441465848</v>
      </c>
      <c r="H148" s="14"/>
      <c r="I148" s="15" t="s">
        <v>30</v>
      </c>
    </row>
    <row r="149" spans="1:9" ht="15" customHeight="1">
      <c r="A149" s="9">
        <v>6</v>
      </c>
      <c r="B149" s="15" t="s">
        <v>47</v>
      </c>
      <c r="C149" s="17" t="s">
        <v>48</v>
      </c>
      <c r="D149" s="15">
        <v>12</v>
      </c>
      <c r="E149" s="14">
        <f>SUM(51)/3.14</f>
        <v>16.242038216560509</v>
      </c>
      <c r="F149" s="13">
        <f>AVERAGE(0.32,0.4)</f>
        <v>0.36</v>
      </c>
      <c r="G149" s="14">
        <f t="shared" si="4"/>
        <v>64.776504964593329</v>
      </c>
      <c r="H149" s="14"/>
      <c r="I149" s="15" t="s">
        <v>30</v>
      </c>
    </row>
    <row r="150" spans="1:9" ht="15" customHeight="1">
      <c r="A150" s="9">
        <v>6</v>
      </c>
      <c r="B150" s="10" t="s">
        <v>66</v>
      </c>
      <c r="C150" s="11" t="s">
        <v>67</v>
      </c>
      <c r="D150" s="15">
        <v>9</v>
      </c>
      <c r="E150" s="14">
        <f>SUM(22.5+35)/3.14</f>
        <v>18.312101910828027</v>
      </c>
      <c r="F150" s="13">
        <f>AVERAGE(0.74,0.79)</f>
        <v>0.76500000000000001</v>
      </c>
      <c r="G150" s="14">
        <f t="shared" si="4"/>
        <v>129.02512067842042</v>
      </c>
      <c r="H150" s="14"/>
      <c r="I150" s="15" t="s">
        <v>57</v>
      </c>
    </row>
    <row r="151" spans="1:9" ht="15" customHeight="1">
      <c r="A151" s="9">
        <v>6</v>
      </c>
      <c r="B151" s="15" t="s">
        <v>77</v>
      </c>
      <c r="C151" s="11" t="s">
        <v>78</v>
      </c>
      <c r="D151" s="15">
        <v>7</v>
      </c>
      <c r="E151" s="14">
        <f>SUM(31.5)/3.14</f>
        <v>10.031847133757962</v>
      </c>
      <c r="F151" s="13"/>
      <c r="G151" s="14">
        <f t="shared" si="4"/>
        <v>0</v>
      </c>
      <c r="H151" s="14"/>
      <c r="I151" s="15"/>
    </row>
    <row r="152" spans="1:9" ht="15" customHeight="1">
      <c r="A152" s="9">
        <v>6</v>
      </c>
      <c r="B152" s="15" t="s">
        <v>77</v>
      </c>
      <c r="C152" s="11" t="s">
        <v>78</v>
      </c>
      <c r="D152" s="15">
        <v>6.5</v>
      </c>
      <c r="E152" s="14">
        <f>SUM(25.5)/3.14</f>
        <v>8.1210191082802545</v>
      </c>
      <c r="F152" s="13"/>
      <c r="G152" s="14">
        <f t="shared" si="4"/>
        <v>0</v>
      </c>
      <c r="H152" s="14"/>
      <c r="I152" s="15"/>
    </row>
    <row r="153" spans="1:9" ht="15" customHeight="1">
      <c r="A153" s="9">
        <v>6</v>
      </c>
      <c r="B153" s="15" t="s">
        <v>77</v>
      </c>
      <c r="C153" s="11" t="s">
        <v>78</v>
      </c>
      <c r="D153" s="15">
        <v>6</v>
      </c>
      <c r="E153" s="14">
        <f>SUM(25)/3.14</f>
        <v>7.9617834394904454</v>
      </c>
      <c r="F153" s="13"/>
      <c r="G153" s="14">
        <f t="shared" si="4"/>
        <v>0</v>
      </c>
      <c r="H153" s="14"/>
      <c r="I153" s="15"/>
    </row>
    <row r="154" spans="1:9" ht="15" customHeight="1">
      <c r="A154" s="9">
        <v>6</v>
      </c>
      <c r="B154" s="15" t="s">
        <v>77</v>
      </c>
      <c r="C154" s="11" t="s">
        <v>78</v>
      </c>
      <c r="D154" s="15">
        <v>4.5</v>
      </c>
      <c r="E154" s="14">
        <f>SUM(13.5)/3.14</f>
        <v>4.2993630573248405</v>
      </c>
      <c r="F154" s="13"/>
      <c r="G154" s="14">
        <f t="shared" si="4"/>
        <v>0</v>
      </c>
      <c r="H154" s="14"/>
      <c r="I154" s="15"/>
    </row>
    <row r="155" spans="1:9" ht="15" customHeight="1">
      <c r="A155" s="9">
        <v>6</v>
      </c>
      <c r="B155" s="15" t="s">
        <v>52</v>
      </c>
      <c r="C155" s="17"/>
      <c r="D155" s="15">
        <v>5</v>
      </c>
      <c r="E155" s="14">
        <f>SUM(15.5)/3.14</f>
        <v>4.936305732484076</v>
      </c>
      <c r="F155" s="13"/>
      <c r="G155" s="14">
        <f t="shared" si="4"/>
        <v>0</v>
      </c>
      <c r="H155" s="14"/>
      <c r="I155" s="15"/>
    </row>
    <row r="156" spans="1:9" ht="15" customHeight="1">
      <c r="A156" s="9">
        <v>7</v>
      </c>
      <c r="B156" s="10" t="s">
        <v>92</v>
      </c>
      <c r="C156" s="11" t="s">
        <v>93</v>
      </c>
      <c r="D156" s="15">
        <v>5</v>
      </c>
      <c r="E156" s="14">
        <f>SUM(11)/3.14</f>
        <v>3.5031847133757958</v>
      </c>
      <c r="F156" s="13">
        <v>0.97799999999999998</v>
      </c>
      <c r="G156" s="14">
        <f t="shared" si="4"/>
        <v>3.6607692866267971</v>
      </c>
      <c r="H156" s="14"/>
      <c r="I156" s="15" t="s">
        <v>57</v>
      </c>
    </row>
    <row r="157" spans="1:9" ht="15" customHeight="1">
      <c r="A157" s="9">
        <v>7</v>
      </c>
      <c r="B157" s="10" t="s">
        <v>92</v>
      </c>
      <c r="C157" s="11" t="s">
        <v>93</v>
      </c>
      <c r="D157" s="15">
        <v>4</v>
      </c>
      <c r="E157" s="14">
        <f>SUM(9.2+7.5)/3.14</f>
        <v>5.3184713375796173</v>
      </c>
      <c r="F157" s="13">
        <v>0.97799999999999998</v>
      </c>
      <c r="G157" s="14">
        <f t="shared" si="4"/>
        <v>6.6516933054833576</v>
      </c>
      <c r="H157" s="14"/>
      <c r="I157" s="15" t="s">
        <v>57</v>
      </c>
    </row>
    <row r="158" spans="1:9" ht="15" customHeight="1">
      <c r="A158" s="9">
        <v>7</v>
      </c>
      <c r="B158" s="15" t="s">
        <v>33</v>
      </c>
      <c r="C158" s="17" t="s">
        <v>34</v>
      </c>
      <c r="D158" s="15">
        <v>3</v>
      </c>
      <c r="E158" s="14">
        <f>SUM(15)/3.14</f>
        <v>4.7770700636942669</v>
      </c>
      <c r="F158" s="13"/>
      <c r="G158" s="14">
        <f t="shared" si="4"/>
        <v>0</v>
      </c>
      <c r="H158" s="14"/>
      <c r="I158" s="15"/>
    </row>
    <row r="159" spans="1:9" ht="15" customHeight="1">
      <c r="A159" s="9">
        <v>7</v>
      </c>
      <c r="B159" s="15" t="s">
        <v>33</v>
      </c>
      <c r="C159" s="17" t="s">
        <v>34</v>
      </c>
      <c r="D159" s="15">
        <v>2.2999999999999998</v>
      </c>
      <c r="E159" s="14">
        <f>SUM(7+5.5)/3.14</f>
        <v>3.9808917197452227</v>
      </c>
      <c r="F159" s="13"/>
      <c r="G159" s="14">
        <f t="shared" si="4"/>
        <v>0</v>
      </c>
      <c r="H159" s="14"/>
      <c r="I159" s="15"/>
    </row>
    <row r="160" spans="1:9" ht="15" customHeight="1">
      <c r="A160" s="9">
        <v>7</v>
      </c>
      <c r="B160" s="15" t="s">
        <v>58</v>
      </c>
      <c r="C160" s="11" t="s">
        <v>59</v>
      </c>
      <c r="D160" s="15">
        <v>6</v>
      </c>
      <c r="E160" s="14">
        <f>SUM(8.5)/3.14</f>
        <v>2.7070063694267517</v>
      </c>
      <c r="F160" s="13">
        <f>AVERAGE(0.92, 1.08)</f>
        <v>1</v>
      </c>
      <c r="G160" s="14">
        <f t="shared" si="4"/>
        <v>2.7021518723333551</v>
      </c>
      <c r="H160" s="14"/>
      <c r="I160" s="15" t="s">
        <v>17</v>
      </c>
    </row>
    <row r="161" spans="1:9" ht="15" customHeight="1">
      <c r="A161" s="9">
        <v>7</v>
      </c>
      <c r="B161" s="15" t="s">
        <v>64</v>
      </c>
      <c r="C161" s="11" t="s">
        <v>65</v>
      </c>
      <c r="D161" s="15">
        <v>5</v>
      </c>
      <c r="E161" s="14">
        <f>SUM(11)/3.14</f>
        <v>3.5031847133757958</v>
      </c>
      <c r="F161" s="13">
        <v>0.94</v>
      </c>
      <c r="G161" s="14">
        <f t="shared" si="4"/>
        <v>3.5218789268492556</v>
      </c>
      <c r="H161" s="14"/>
      <c r="I161" s="15" t="s">
        <v>17</v>
      </c>
    </row>
    <row r="162" spans="1:9" ht="15" customHeight="1">
      <c r="A162" s="9">
        <v>7</v>
      </c>
      <c r="B162" s="15" t="s">
        <v>64</v>
      </c>
      <c r="C162" s="11" t="s">
        <v>65</v>
      </c>
      <c r="D162" s="15">
        <v>4</v>
      </c>
      <c r="E162" s="14">
        <f>SUM(11)/3.14</f>
        <v>3.5031847133757958</v>
      </c>
      <c r="F162" s="13">
        <v>0.94</v>
      </c>
      <c r="G162" s="14">
        <f t="shared" si="4"/>
        <v>2.8326326015803764</v>
      </c>
      <c r="H162" s="14"/>
      <c r="I162" s="15" t="s">
        <v>17</v>
      </c>
    </row>
    <row r="163" spans="1:9" ht="15" customHeight="1">
      <c r="A163" s="9">
        <v>7</v>
      </c>
      <c r="B163" s="10" t="s">
        <v>53</v>
      </c>
      <c r="C163" s="11" t="s">
        <v>54</v>
      </c>
      <c r="D163" s="15">
        <v>9</v>
      </c>
      <c r="E163" s="14">
        <f>SUM(48.5+31.5+32.5+49+17.5)/3.14</f>
        <v>57.00636942675159</v>
      </c>
      <c r="F163" s="13">
        <v>0.76</v>
      </c>
      <c r="G163" s="14">
        <f t="shared" si="4"/>
        <v>1176.5008978267363</v>
      </c>
      <c r="H163" s="14"/>
      <c r="I163" s="15" t="s">
        <v>17</v>
      </c>
    </row>
    <row r="164" spans="1:9" ht="15" customHeight="1">
      <c r="A164" s="9">
        <v>7</v>
      </c>
      <c r="B164" s="10" t="s">
        <v>53</v>
      </c>
      <c r="C164" s="11" t="s">
        <v>54</v>
      </c>
      <c r="D164" s="15">
        <v>9</v>
      </c>
      <c r="E164" s="14">
        <f>SUM(35+30+16)/3.14</f>
        <v>25.796178343949045</v>
      </c>
      <c r="F164" s="13">
        <v>0.76</v>
      </c>
      <c r="G164" s="14">
        <f t="shared" ref="G164:G190" si="5">0.0673*(F164*E164^2*D164)^0.976</f>
        <v>250.2568094013709</v>
      </c>
      <c r="H164" s="14"/>
      <c r="I164" s="15" t="s">
        <v>17</v>
      </c>
    </row>
    <row r="165" spans="1:9" ht="15" customHeight="1">
      <c r="A165" s="9">
        <v>7</v>
      </c>
      <c r="B165" s="10" t="s">
        <v>53</v>
      </c>
      <c r="C165" s="11" t="s">
        <v>54</v>
      </c>
      <c r="D165" s="15">
        <v>8.5</v>
      </c>
      <c r="E165" s="14">
        <f>SUM(36.5+25)/3.14</f>
        <v>19.585987261146496</v>
      </c>
      <c r="F165" s="13">
        <v>0.76</v>
      </c>
      <c r="G165" s="14">
        <f t="shared" si="5"/>
        <v>138.25458876277861</v>
      </c>
      <c r="H165" s="14"/>
      <c r="I165" s="15" t="s">
        <v>17</v>
      </c>
    </row>
    <row r="166" spans="1:9" ht="15" customHeight="1">
      <c r="A166" s="9">
        <v>7</v>
      </c>
      <c r="B166" s="10" t="s">
        <v>53</v>
      </c>
      <c r="C166" s="11" t="s">
        <v>54</v>
      </c>
      <c r="D166" s="15">
        <v>8</v>
      </c>
      <c r="E166" s="14">
        <f>SUM(40.5+31.5+47+34)/3.14</f>
        <v>48.726114649681527</v>
      </c>
      <c r="F166" s="13">
        <v>0.76</v>
      </c>
      <c r="G166" s="14">
        <f t="shared" si="5"/>
        <v>771.99761300458715</v>
      </c>
      <c r="H166" s="14"/>
      <c r="I166" s="15" t="s">
        <v>17</v>
      </c>
    </row>
    <row r="167" spans="1:9" ht="15" customHeight="1">
      <c r="A167" s="9">
        <v>7</v>
      </c>
      <c r="B167" s="10" t="s">
        <v>53</v>
      </c>
      <c r="C167" s="11" t="s">
        <v>54</v>
      </c>
      <c r="D167" s="15">
        <v>7</v>
      </c>
      <c r="E167" s="14">
        <f>SUM(30+34+26.5)/3.14</f>
        <v>28.821656050955411</v>
      </c>
      <c r="F167" s="13">
        <v>0.76</v>
      </c>
      <c r="G167" s="14">
        <f t="shared" si="5"/>
        <v>243.15106208772977</v>
      </c>
      <c r="H167" s="14"/>
      <c r="I167" s="15" t="s">
        <v>17</v>
      </c>
    </row>
    <row r="168" spans="1:9" ht="15" customHeight="1">
      <c r="A168" s="9">
        <v>7</v>
      </c>
      <c r="B168" s="10" t="s">
        <v>53</v>
      </c>
      <c r="C168" s="11" t="s">
        <v>54</v>
      </c>
      <c r="D168" s="15">
        <v>6</v>
      </c>
      <c r="E168" s="14">
        <f>SUM(14.5)/3.14</f>
        <v>4.6178343949044587</v>
      </c>
      <c r="F168" s="13">
        <v>0.76</v>
      </c>
      <c r="G168" s="14">
        <f t="shared" si="5"/>
        <v>5.8633850856007479</v>
      </c>
      <c r="H168" s="14"/>
      <c r="I168" s="15" t="s">
        <v>17</v>
      </c>
    </row>
    <row r="169" spans="1:9" ht="15" customHeight="1">
      <c r="A169" s="9">
        <v>7</v>
      </c>
      <c r="B169" s="10" t="s">
        <v>53</v>
      </c>
      <c r="C169" s="11" t="s">
        <v>54</v>
      </c>
      <c r="D169" s="15">
        <v>6</v>
      </c>
      <c r="E169" s="14">
        <f>SUM(16.3+39.5+32+17)/3.14</f>
        <v>33.375796178343947</v>
      </c>
      <c r="F169" s="13">
        <v>0.76</v>
      </c>
      <c r="G169" s="14">
        <f t="shared" si="5"/>
        <v>278.55008886931324</v>
      </c>
      <c r="H169" s="14"/>
      <c r="I169" s="15" t="s">
        <v>17</v>
      </c>
    </row>
    <row r="170" spans="1:9" ht="15" customHeight="1">
      <c r="A170" s="9">
        <v>7</v>
      </c>
      <c r="B170" s="10" t="s">
        <v>53</v>
      </c>
      <c r="C170" s="11" t="s">
        <v>54</v>
      </c>
      <c r="D170" s="15">
        <v>5</v>
      </c>
      <c r="E170" s="14">
        <f>SUM(25.5+24.5)/3.14</f>
        <v>15.923566878980891</v>
      </c>
      <c r="F170" s="13">
        <v>0.76</v>
      </c>
      <c r="G170" s="14">
        <f t="shared" si="5"/>
        <v>54.987836154794607</v>
      </c>
      <c r="H170" s="14"/>
      <c r="I170" s="15" t="s">
        <v>17</v>
      </c>
    </row>
    <row r="171" spans="1:9" ht="15" customHeight="1">
      <c r="A171" s="9">
        <v>7</v>
      </c>
      <c r="B171" s="15" t="s">
        <v>35</v>
      </c>
      <c r="C171" s="17" t="s">
        <v>36</v>
      </c>
      <c r="D171" s="15">
        <v>5</v>
      </c>
      <c r="E171" s="14">
        <f>SUM(21.5)/3.14</f>
        <v>6.8471337579617835</v>
      </c>
      <c r="F171" s="13">
        <v>0.372</v>
      </c>
      <c r="G171" s="14">
        <f t="shared" si="5"/>
        <v>5.2719696145186372</v>
      </c>
      <c r="H171" s="14"/>
      <c r="I171" s="15" t="s">
        <v>17</v>
      </c>
    </row>
    <row r="172" spans="1:9" ht="15" customHeight="1">
      <c r="A172" s="9">
        <v>7</v>
      </c>
      <c r="B172" s="15" t="s">
        <v>35</v>
      </c>
      <c r="C172" s="17" t="s">
        <v>36</v>
      </c>
      <c r="D172" s="15">
        <v>5</v>
      </c>
      <c r="E172" s="14">
        <f>SUM(39)/3.14</f>
        <v>12.420382165605096</v>
      </c>
      <c r="F172" s="13">
        <v>0.372</v>
      </c>
      <c r="G172" s="14">
        <f t="shared" si="5"/>
        <v>16.858197508033104</v>
      </c>
      <c r="H172" s="14"/>
      <c r="I172" s="15" t="s">
        <v>17</v>
      </c>
    </row>
    <row r="173" spans="1:9" ht="15" customHeight="1">
      <c r="A173" s="9">
        <v>7</v>
      </c>
      <c r="B173" s="15" t="s">
        <v>37</v>
      </c>
      <c r="C173" s="11" t="s">
        <v>38</v>
      </c>
      <c r="D173" s="15">
        <v>10</v>
      </c>
      <c r="E173" s="14">
        <f>SUM(23)/3.14</f>
        <v>7.3248407643312099</v>
      </c>
      <c r="F173" s="13">
        <f>AVERAGE(0.75,0.9)</f>
        <v>0.82499999999999996</v>
      </c>
      <c r="G173" s="14">
        <f t="shared" si="5"/>
        <v>25.737133832681614</v>
      </c>
      <c r="H173" s="14"/>
      <c r="I173" s="15" t="s">
        <v>39</v>
      </c>
    </row>
    <row r="174" spans="1:9" ht="15" customHeight="1">
      <c r="A174" s="9">
        <v>7</v>
      </c>
      <c r="B174" s="15" t="s">
        <v>37</v>
      </c>
      <c r="C174" s="11" t="s">
        <v>38</v>
      </c>
      <c r="D174" s="15">
        <v>8.5</v>
      </c>
      <c r="E174" s="14">
        <f>SUM(17)/3.14</f>
        <v>5.4140127388535033</v>
      </c>
      <c r="F174" s="13">
        <f>AVERAGE(0.75,0.9)</f>
        <v>0.82499999999999996</v>
      </c>
      <c r="G174" s="14">
        <f t="shared" si="5"/>
        <v>12.173532260760968</v>
      </c>
      <c r="H174" s="14"/>
      <c r="I174" s="15" t="s">
        <v>39</v>
      </c>
    </row>
    <row r="175" spans="1:9" ht="15" customHeight="1">
      <c r="A175" s="9">
        <v>7</v>
      </c>
      <c r="B175" s="15" t="s">
        <v>37</v>
      </c>
      <c r="C175" s="11" t="s">
        <v>38</v>
      </c>
      <c r="D175" s="15">
        <v>7</v>
      </c>
      <c r="E175" s="14">
        <f>SUM(11.2)/3.14</f>
        <v>3.5668789808917194</v>
      </c>
      <c r="F175" s="13">
        <f>AVERAGE(0.75,0.9)</f>
        <v>0.82499999999999996</v>
      </c>
      <c r="G175" s="14">
        <f t="shared" si="5"/>
        <v>4.4602244314646011</v>
      </c>
      <c r="H175" s="14"/>
      <c r="I175" s="15" t="s">
        <v>39</v>
      </c>
    </row>
    <row r="176" spans="1:9" ht="15" customHeight="1">
      <c r="A176" s="9">
        <v>7</v>
      </c>
      <c r="B176" s="15" t="s">
        <v>37</v>
      </c>
      <c r="C176" s="11" t="s">
        <v>38</v>
      </c>
      <c r="D176" s="15">
        <v>5</v>
      </c>
      <c r="E176" s="14">
        <f>SUM(11.5)/3.14</f>
        <v>3.6624203821656049</v>
      </c>
      <c r="F176" s="13">
        <f>AVERAGE(0.75,0.9)</f>
        <v>0.82499999999999996</v>
      </c>
      <c r="G176" s="14">
        <f t="shared" si="5"/>
        <v>3.3817722303099469</v>
      </c>
      <c r="H176" s="14"/>
      <c r="I176" s="15" t="s">
        <v>39</v>
      </c>
    </row>
    <row r="177" spans="1:9" ht="15" customHeight="1">
      <c r="A177" s="9">
        <v>7</v>
      </c>
      <c r="B177" s="15" t="s">
        <v>96</v>
      </c>
      <c r="C177" s="17" t="s">
        <v>97</v>
      </c>
      <c r="D177" s="15">
        <v>10</v>
      </c>
      <c r="E177" s="14">
        <f>SUM(33.5)/3.14</f>
        <v>10.668789808917197</v>
      </c>
      <c r="F177" s="13">
        <f>AVERAGE(0.5,0.55)</f>
        <v>0.52500000000000002</v>
      </c>
      <c r="G177" s="14">
        <f t="shared" si="5"/>
        <v>34.496206159097291</v>
      </c>
      <c r="H177" s="14"/>
      <c r="I177" s="15" t="s">
        <v>57</v>
      </c>
    </row>
    <row r="178" spans="1:9" ht="15" customHeight="1">
      <c r="A178" s="9">
        <v>7</v>
      </c>
      <c r="B178" s="15" t="s">
        <v>96</v>
      </c>
      <c r="C178" s="17" t="s">
        <v>97</v>
      </c>
      <c r="D178" s="15">
        <v>9</v>
      </c>
      <c r="E178" s="14">
        <f>SUM(42)/3.14</f>
        <v>13.375796178343949</v>
      </c>
      <c r="F178" s="13">
        <f>AVERAGE(0.5,0.55)</f>
        <v>0.52500000000000002</v>
      </c>
      <c r="G178" s="14">
        <f t="shared" si="5"/>
        <v>48.39574451418806</v>
      </c>
      <c r="H178" s="14"/>
      <c r="I178" s="15" t="s">
        <v>57</v>
      </c>
    </row>
    <row r="179" spans="1:9" ht="15" customHeight="1">
      <c r="A179" s="9">
        <v>7</v>
      </c>
      <c r="B179" s="15" t="s">
        <v>28</v>
      </c>
      <c r="C179" s="11" t="s">
        <v>29</v>
      </c>
      <c r="D179" s="15">
        <v>7</v>
      </c>
      <c r="E179" s="14">
        <f>SUM(12.5+15+12)/3.14</f>
        <v>12.579617834394904</v>
      </c>
      <c r="F179" s="13">
        <v>0.8</v>
      </c>
      <c r="G179" s="14">
        <f t="shared" si="5"/>
        <v>50.675429261850709</v>
      </c>
      <c r="H179" s="14"/>
      <c r="I179" s="15" t="s">
        <v>30</v>
      </c>
    </row>
    <row r="180" spans="1:9" ht="15" customHeight="1">
      <c r="A180" s="9">
        <v>7</v>
      </c>
      <c r="B180" s="15" t="s">
        <v>28</v>
      </c>
      <c r="C180" s="11" t="s">
        <v>29</v>
      </c>
      <c r="D180" s="15">
        <v>6</v>
      </c>
      <c r="E180" s="14">
        <f>SUM(16+13+17.5)/3.14</f>
        <v>14.808917197452228</v>
      </c>
      <c r="F180" s="13">
        <v>0.8</v>
      </c>
      <c r="G180" s="14">
        <f t="shared" si="5"/>
        <v>59.94707575929597</v>
      </c>
      <c r="H180" s="14"/>
      <c r="I180" s="15" t="s">
        <v>30</v>
      </c>
    </row>
    <row r="181" spans="1:9" ht="15" customHeight="1">
      <c r="A181" s="9">
        <v>7</v>
      </c>
      <c r="B181" s="15" t="s">
        <v>28</v>
      </c>
      <c r="C181" s="11" t="s">
        <v>29</v>
      </c>
      <c r="D181" s="15">
        <v>6</v>
      </c>
      <c r="E181" s="14">
        <f>SUM(19+12.1+9.5)/3.14</f>
        <v>12.929936305732484</v>
      </c>
      <c r="F181" s="13">
        <v>0.8</v>
      </c>
      <c r="G181" s="14">
        <f t="shared" si="5"/>
        <v>45.998392679402897</v>
      </c>
      <c r="H181" s="14"/>
      <c r="I181" s="15" t="s">
        <v>30</v>
      </c>
    </row>
    <row r="182" spans="1:9" ht="15" customHeight="1">
      <c r="A182" s="9">
        <v>7</v>
      </c>
      <c r="B182" s="15" t="s">
        <v>28</v>
      </c>
      <c r="C182" s="11" t="s">
        <v>29</v>
      </c>
      <c r="D182" s="15">
        <v>5.5</v>
      </c>
      <c r="E182" s="14">
        <f>SUM(9.8)/3.14</f>
        <v>3.121019108280255</v>
      </c>
      <c r="F182" s="13">
        <v>0.8</v>
      </c>
      <c r="G182" s="14">
        <f t="shared" si="5"/>
        <v>2.6356728514932732</v>
      </c>
      <c r="H182" s="14"/>
      <c r="I182" s="15" t="s">
        <v>30</v>
      </c>
    </row>
    <row r="183" spans="1:9" ht="15" customHeight="1">
      <c r="A183" s="9">
        <v>7</v>
      </c>
      <c r="B183" s="15" t="s">
        <v>28</v>
      </c>
      <c r="C183" s="11" t="s">
        <v>29</v>
      </c>
      <c r="D183" s="15">
        <v>4.5</v>
      </c>
      <c r="E183" s="14">
        <f>SUM(13+13)/3.14</f>
        <v>8.2802547770700627</v>
      </c>
      <c r="F183" s="13">
        <v>0.8</v>
      </c>
      <c r="G183" s="14">
        <f t="shared" si="5"/>
        <v>14.554175488654982</v>
      </c>
      <c r="H183" s="14"/>
      <c r="I183" s="15" t="s">
        <v>30</v>
      </c>
    </row>
    <row r="184" spans="1:9" ht="15" customHeight="1">
      <c r="A184" s="9">
        <v>7</v>
      </c>
      <c r="B184" s="15" t="s">
        <v>47</v>
      </c>
      <c r="C184" s="17" t="s">
        <v>48</v>
      </c>
      <c r="D184" s="15">
        <v>8</v>
      </c>
      <c r="E184" s="14">
        <f>SUM(43)/3.14</f>
        <v>13.694267515923567</v>
      </c>
      <c r="F184" s="13">
        <f>AVERAGE(0.32,0.4)</f>
        <v>0.36</v>
      </c>
      <c r="G184" s="14">
        <f t="shared" si="5"/>
        <v>31.254019913661821</v>
      </c>
      <c r="H184" s="14"/>
      <c r="I184" s="15" t="s">
        <v>30</v>
      </c>
    </row>
    <row r="185" spans="1:9" ht="15" customHeight="1">
      <c r="A185" s="9">
        <v>7</v>
      </c>
      <c r="B185" s="10" t="s">
        <v>66</v>
      </c>
      <c r="C185" s="11" t="s">
        <v>67</v>
      </c>
      <c r="D185" s="15">
        <v>8</v>
      </c>
      <c r="E185" s="14">
        <f>SUM(58.5)/3.14</f>
        <v>18.630573248407643</v>
      </c>
      <c r="F185" s="13">
        <f>AVERAGE(0.74,0.79)</f>
        <v>0.76500000000000001</v>
      </c>
      <c r="G185" s="14">
        <f t="shared" si="5"/>
        <v>118.95043368717143</v>
      </c>
      <c r="H185" s="14"/>
      <c r="I185" s="15" t="s">
        <v>57</v>
      </c>
    </row>
    <row r="186" spans="1:9" ht="15" customHeight="1">
      <c r="A186" s="9">
        <v>7</v>
      </c>
      <c r="B186" s="15" t="s">
        <v>91</v>
      </c>
      <c r="C186" s="17" t="s">
        <v>91</v>
      </c>
      <c r="D186" s="15">
        <v>6</v>
      </c>
      <c r="E186" s="14">
        <f>SUM(15.5+17)/3.14</f>
        <v>10.350318471337578</v>
      </c>
      <c r="F186" s="13">
        <f>AVERAGE(0.45,0.51)</f>
        <v>0.48</v>
      </c>
      <c r="G186" s="14">
        <f t="shared" si="5"/>
        <v>18.095549674377878</v>
      </c>
      <c r="H186" s="14"/>
      <c r="I186" s="15" t="s">
        <v>22</v>
      </c>
    </row>
    <row r="187" spans="1:9" ht="15" customHeight="1">
      <c r="A187" s="9">
        <v>7</v>
      </c>
      <c r="B187" s="15" t="s">
        <v>77</v>
      </c>
      <c r="C187" s="11" t="s">
        <v>78</v>
      </c>
      <c r="D187" s="15">
        <v>7</v>
      </c>
      <c r="E187" s="14">
        <f>SUM(16+10.5)/3.14</f>
        <v>8.4394904458598727</v>
      </c>
      <c r="F187" s="13"/>
      <c r="G187" s="14">
        <f t="shared" si="5"/>
        <v>0</v>
      </c>
      <c r="H187" s="14"/>
      <c r="I187" s="15"/>
    </row>
    <row r="188" spans="1:9" ht="15" customHeight="1">
      <c r="A188" s="9">
        <v>7</v>
      </c>
      <c r="B188" s="15" t="s">
        <v>77</v>
      </c>
      <c r="C188" s="11" t="s">
        <v>78</v>
      </c>
      <c r="D188" s="15">
        <v>6</v>
      </c>
      <c r="E188" s="14">
        <f>SUM(14.7)/3.14</f>
        <v>4.6815286624203818</v>
      </c>
      <c r="F188" s="13"/>
      <c r="G188" s="14">
        <f t="shared" si="5"/>
        <v>0</v>
      </c>
      <c r="H188" s="14"/>
      <c r="I188" s="15"/>
    </row>
    <row r="189" spans="1:9" ht="15" customHeight="1">
      <c r="A189" s="9">
        <v>7</v>
      </c>
      <c r="B189" s="15" t="s">
        <v>77</v>
      </c>
      <c r="C189" s="11" t="s">
        <v>78</v>
      </c>
      <c r="D189" s="15">
        <v>6</v>
      </c>
      <c r="E189" s="14">
        <f>SUM(11.9)/3.14</f>
        <v>3.7898089171974521</v>
      </c>
      <c r="F189" s="13"/>
      <c r="G189" s="14">
        <f t="shared" si="5"/>
        <v>0</v>
      </c>
      <c r="H189" s="14"/>
      <c r="I189" s="15"/>
    </row>
    <row r="190" spans="1:9" ht="15" customHeight="1">
      <c r="A190" s="9">
        <v>7</v>
      </c>
      <c r="B190" s="15" t="s">
        <v>77</v>
      </c>
      <c r="C190" s="11" t="s">
        <v>78</v>
      </c>
      <c r="D190" s="15">
        <v>5</v>
      </c>
      <c r="E190" s="14">
        <f>SUM(15.5)/3.14</f>
        <v>4.936305732484076</v>
      </c>
      <c r="F190" s="13"/>
      <c r="G190" s="14">
        <f t="shared" si="5"/>
        <v>0</v>
      </c>
      <c r="H190" s="14"/>
      <c r="I190" s="15"/>
    </row>
    <row r="191" spans="1:9" ht="14.25" customHeight="1">
      <c r="A191" s="20"/>
      <c r="B191" s="21"/>
      <c r="C191" s="21"/>
      <c r="D191" s="21"/>
      <c r="E191" s="22"/>
      <c r="F191" s="3"/>
      <c r="G191" s="21"/>
      <c r="H191" s="22"/>
      <c r="I191" s="21"/>
    </row>
    <row r="192" spans="1:9" ht="14.25" customHeight="1">
      <c r="A192" s="20"/>
      <c r="B192" s="21"/>
      <c r="C192" s="21"/>
      <c r="D192" s="21"/>
      <c r="E192" s="22"/>
      <c r="F192" s="3"/>
      <c r="G192" s="21"/>
      <c r="H192" s="22"/>
      <c r="I192" s="21"/>
    </row>
    <row r="193" spans="1:9" ht="14.25" customHeight="1">
      <c r="A193" s="20"/>
      <c r="B193" s="21"/>
      <c r="C193" s="21"/>
      <c r="D193" s="21"/>
      <c r="E193" s="22"/>
      <c r="F193" s="3"/>
      <c r="G193" s="21"/>
      <c r="H193" s="22"/>
      <c r="I193" s="21"/>
    </row>
    <row r="194" spans="1:9" ht="14.25" customHeight="1">
      <c r="A194" s="20"/>
      <c r="B194" s="21"/>
      <c r="C194" s="21"/>
      <c r="D194" s="21"/>
      <c r="E194" s="22"/>
      <c r="F194" s="3"/>
      <c r="G194" s="21"/>
      <c r="H194" s="22"/>
      <c r="I194" s="21"/>
    </row>
    <row r="195" spans="1:9" ht="14.25" customHeight="1">
      <c r="A195" s="20"/>
      <c r="B195" s="21"/>
      <c r="C195" s="21"/>
      <c r="D195" s="21"/>
      <c r="E195" s="22"/>
      <c r="F195" s="3"/>
      <c r="G195" s="21"/>
      <c r="H195" s="22"/>
      <c r="I195" s="21"/>
    </row>
    <row r="196" spans="1:9" ht="14.25" customHeight="1">
      <c r="A196" s="20"/>
      <c r="B196" s="21"/>
      <c r="C196" s="21"/>
      <c r="D196" s="21"/>
      <c r="E196" s="22"/>
      <c r="F196" s="3"/>
      <c r="G196" s="21"/>
      <c r="H196" s="22"/>
      <c r="I196" s="21"/>
    </row>
    <row r="197" spans="1:9" ht="14.25" customHeight="1">
      <c r="A197" s="20"/>
      <c r="B197" s="21"/>
      <c r="C197" s="21"/>
      <c r="D197" s="21"/>
      <c r="E197" s="22"/>
      <c r="F197" s="3"/>
      <c r="G197" s="21"/>
      <c r="H197" s="22"/>
      <c r="I197" s="21"/>
    </row>
    <row r="198" spans="1:9" ht="14.25" customHeight="1">
      <c r="A198" s="20"/>
      <c r="B198" s="21"/>
      <c r="C198" s="21"/>
      <c r="D198" s="21"/>
      <c r="E198" s="22"/>
      <c r="F198" s="3"/>
      <c r="G198" s="21"/>
      <c r="H198" s="22"/>
      <c r="I198" s="21"/>
    </row>
    <row r="199" spans="1:9" ht="14.25" customHeight="1">
      <c r="A199" s="20"/>
      <c r="B199" s="21"/>
      <c r="C199" s="21"/>
      <c r="D199" s="21"/>
      <c r="E199" s="22"/>
      <c r="F199" s="3"/>
      <c r="G199" s="21"/>
      <c r="H199" s="22"/>
      <c r="I199" s="21"/>
    </row>
    <row r="200" spans="1:9" ht="14.25" customHeight="1">
      <c r="A200" s="20"/>
      <c r="B200" s="21"/>
      <c r="C200" s="21"/>
      <c r="D200" s="21"/>
      <c r="E200" s="22"/>
      <c r="F200" s="3"/>
      <c r="G200" s="21"/>
      <c r="H200" s="22"/>
      <c r="I200" s="21"/>
    </row>
    <row r="201" spans="1:9" ht="14.25" customHeight="1">
      <c r="A201" s="20"/>
      <c r="B201" s="21"/>
      <c r="C201" s="21"/>
      <c r="D201" s="21"/>
      <c r="E201" s="22"/>
      <c r="F201" s="3"/>
      <c r="G201" s="21"/>
      <c r="H201" s="22"/>
      <c r="I201" s="21"/>
    </row>
    <row r="202" spans="1:9" ht="14.25" customHeight="1">
      <c r="A202" s="20"/>
      <c r="B202" s="21"/>
      <c r="C202" s="21"/>
      <c r="D202" s="21"/>
      <c r="E202" s="22"/>
      <c r="F202" s="3"/>
      <c r="G202" s="21"/>
      <c r="H202" s="22"/>
      <c r="I202" s="21"/>
    </row>
    <row r="203" spans="1:9" ht="14.25" customHeight="1">
      <c r="A203" s="20"/>
      <c r="B203" s="21"/>
      <c r="C203" s="21"/>
      <c r="D203" s="21"/>
      <c r="E203" s="22"/>
      <c r="F203" s="3"/>
      <c r="G203" s="21"/>
      <c r="H203" s="22"/>
      <c r="I203" s="21"/>
    </row>
    <row r="204" spans="1:9" ht="14.25" customHeight="1">
      <c r="A204" s="20"/>
      <c r="B204" s="21"/>
      <c r="C204" s="21"/>
      <c r="D204" s="21"/>
      <c r="E204" s="22"/>
      <c r="F204" s="3"/>
      <c r="G204" s="21"/>
      <c r="H204" s="22"/>
      <c r="I204" s="21"/>
    </row>
    <row r="205" spans="1:9" ht="14.25" customHeight="1">
      <c r="A205" s="20"/>
      <c r="B205" s="21"/>
      <c r="C205" s="21"/>
      <c r="D205" s="21"/>
      <c r="E205" s="22"/>
      <c r="F205" s="3"/>
      <c r="G205" s="21"/>
      <c r="H205" s="22"/>
      <c r="I205" s="21"/>
    </row>
    <row r="206" spans="1:9" ht="14.25" customHeight="1">
      <c r="A206" s="20"/>
      <c r="B206" s="21"/>
      <c r="C206" s="21"/>
      <c r="D206" s="21"/>
      <c r="E206" s="22"/>
      <c r="F206" s="3"/>
      <c r="G206" s="21"/>
      <c r="H206" s="22"/>
      <c r="I206" s="21"/>
    </row>
    <row r="207" spans="1:9" ht="14.25" customHeight="1">
      <c r="A207" s="20"/>
      <c r="B207" s="21"/>
      <c r="C207" s="21"/>
      <c r="D207" s="21"/>
      <c r="E207" s="22"/>
      <c r="F207" s="3"/>
      <c r="G207" s="21"/>
      <c r="H207" s="22"/>
      <c r="I207" s="21"/>
    </row>
    <row r="208" spans="1:9" ht="14.25" customHeight="1">
      <c r="A208" s="20"/>
      <c r="B208" s="21"/>
      <c r="C208" s="21"/>
      <c r="D208" s="21"/>
      <c r="E208" s="22"/>
      <c r="F208" s="3"/>
      <c r="G208" s="21"/>
      <c r="H208" s="22"/>
      <c r="I208" s="21"/>
    </row>
    <row r="209" spans="1:9" ht="14.25" customHeight="1">
      <c r="A209" s="20"/>
      <c r="B209" s="21"/>
      <c r="C209" s="21"/>
      <c r="D209" s="21"/>
      <c r="E209" s="22"/>
      <c r="F209" s="3"/>
      <c r="G209" s="21"/>
      <c r="H209" s="22"/>
      <c r="I209" s="21"/>
    </row>
    <row r="210" spans="1:9" ht="14.25" customHeight="1">
      <c r="A210" s="20"/>
      <c r="B210" s="21"/>
      <c r="C210" s="21"/>
      <c r="D210" s="21"/>
      <c r="E210" s="22"/>
      <c r="F210" s="3"/>
      <c r="G210" s="21"/>
      <c r="H210" s="22"/>
      <c r="I210" s="21"/>
    </row>
    <row r="211" spans="1:9" ht="14.25" customHeight="1">
      <c r="A211" s="20"/>
      <c r="B211" s="21"/>
      <c r="C211" s="21"/>
      <c r="D211" s="21"/>
      <c r="E211" s="22"/>
      <c r="F211" s="3"/>
      <c r="G211" s="21"/>
      <c r="H211" s="22"/>
      <c r="I211" s="21"/>
    </row>
    <row r="212" spans="1:9" ht="14.25" customHeight="1">
      <c r="A212" s="20"/>
      <c r="B212" s="21"/>
      <c r="C212" s="21"/>
      <c r="D212" s="21"/>
      <c r="E212" s="22"/>
      <c r="F212" s="3"/>
      <c r="G212" s="21"/>
      <c r="H212" s="22"/>
      <c r="I212" s="21"/>
    </row>
    <row r="213" spans="1:9" ht="14.25" customHeight="1">
      <c r="A213" s="20"/>
      <c r="B213" s="21"/>
      <c r="C213" s="21"/>
      <c r="D213" s="21"/>
      <c r="E213" s="22"/>
      <c r="F213" s="3"/>
      <c r="G213" s="21"/>
      <c r="H213" s="22"/>
      <c r="I213" s="21"/>
    </row>
    <row r="214" spans="1:9" ht="14.25" customHeight="1">
      <c r="A214" s="20"/>
      <c r="B214" s="21"/>
      <c r="C214" s="21"/>
      <c r="D214" s="21"/>
      <c r="E214" s="22"/>
      <c r="F214" s="3"/>
      <c r="G214" s="21"/>
      <c r="H214" s="22"/>
      <c r="I214" s="21"/>
    </row>
    <row r="215" spans="1:9" ht="14.25" customHeight="1">
      <c r="A215" s="20"/>
      <c r="B215" s="21"/>
      <c r="C215" s="21"/>
      <c r="D215" s="21"/>
      <c r="E215" s="22"/>
      <c r="F215" s="3"/>
      <c r="G215" s="21"/>
      <c r="H215" s="22"/>
      <c r="I215" s="21"/>
    </row>
    <row r="216" spans="1:9" ht="14.25" customHeight="1">
      <c r="A216" s="20"/>
      <c r="B216" s="21"/>
      <c r="C216" s="21"/>
      <c r="D216" s="21"/>
      <c r="E216" s="22"/>
      <c r="F216" s="3"/>
      <c r="G216" s="21"/>
      <c r="H216" s="22"/>
      <c r="I216" s="21"/>
    </row>
    <row r="217" spans="1:9" ht="14.25" customHeight="1">
      <c r="A217" s="20"/>
      <c r="B217" s="21"/>
      <c r="C217" s="21"/>
      <c r="D217" s="21"/>
      <c r="E217" s="22"/>
      <c r="F217" s="3"/>
      <c r="G217" s="21"/>
      <c r="H217" s="22"/>
      <c r="I217" s="21"/>
    </row>
    <row r="218" spans="1:9" ht="14.25" customHeight="1">
      <c r="A218" s="20"/>
      <c r="B218" s="21"/>
      <c r="C218" s="21"/>
      <c r="D218" s="21"/>
      <c r="E218" s="22"/>
      <c r="F218" s="3"/>
      <c r="G218" s="21"/>
      <c r="H218" s="22"/>
      <c r="I218" s="21"/>
    </row>
    <row r="219" spans="1:9" ht="14.25" customHeight="1">
      <c r="A219" s="20"/>
      <c r="B219" s="21"/>
      <c r="C219" s="21"/>
      <c r="D219" s="21"/>
      <c r="E219" s="22"/>
      <c r="F219" s="3"/>
      <c r="G219" s="21"/>
      <c r="H219" s="22"/>
      <c r="I219" s="21"/>
    </row>
    <row r="220" spans="1:9" ht="14.25" customHeight="1">
      <c r="F220" s="3"/>
    </row>
    <row r="221" spans="1:9" ht="14.25" customHeight="1">
      <c r="F221" s="3"/>
    </row>
    <row r="222" spans="1:9" ht="14.25" customHeight="1">
      <c r="F222" s="3"/>
    </row>
    <row r="223" spans="1:9" ht="14.25" customHeight="1">
      <c r="F223" s="3"/>
    </row>
    <row r="224" spans="1:9" ht="14.25" customHeight="1">
      <c r="F224" s="3"/>
    </row>
    <row r="225" spans="6:6" ht="14.25" customHeight="1">
      <c r="F225" s="3"/>
    </row>
    <row r="226" spans="6:6" ht="14.25" customHeight="1">
      <c r="F226" s="3"/>
    </row>
    <row r="227" spans="6:6" ht="14.25" customHeight="1">
      <c r="F227" s="3"/>
    </row>
    <row r="228" spans="6:6" ht="14.25" customHeight="1">
      <c r="F228" s="3"/>
    </row>
    <row r="229" spans="6:6" ht="14.25" customHeight="1">
      <c r="F229" s="3"/>
    </row>
    <row r="230" spans="6:6" ht="14.25" customHeight="1">
      <c r="F230" s="3"/>
    </row>
    <row r="231" spans="6:6" ht="14.25" customHeight="1">
      <c r="F231" s="3"/>
    </row>
    <row r="232" spans="6:6" ht="14.25" customHeight="1">
      <c r="F232" s="3"/>
    </row>
    <row r="233" spans="6:6" ht="14.25" customHeight="1">
      <c r="F233" s="3"/>
    </row>
    <row r="234" spans="6:6" ht="14.25" customHeight="1">
      <c r="F234" s="3"/>
    </row>
    <row r="235" spans="6:6" ht="14.25" customHeight="1">
      <c r="F235" s="3"/>
    </row>
    <row r="236" spans="6:6" ht="14.25" customHeight="1">
      <c r="F236" s="3"/>
    </row>
    <row r="237" spans="6:6" ht="14.25" customHeight="1">
      <c r="F237" s="3"/>
    </row>
    <row r="238" spans="6:6" ht="14.25" customHeight="1">
      <c r="F238" s="3"/>
    </row>
    <row r="239" spans="6:6" ht="14.25" customHeight="1">
      <c r="F239" s="3"/>
    </row>
    <row r="240" spans="6:6" ht="14.25" customHeight="1">
      <c r="F240" s="3"/>
    </row>
    <row r="241" spans="6:6" ht="14.25" customHeight="1">
      <c r="F241" s="3"/>
    </row>
    <row r="242" spans="6:6" ht="14.25" customHeight="1">
      <c r="F242" s="3"/>
    </row>
    <row r="243" spans="6:6" ht="14.25" customHeight="1">
      <c r="F243" s="3"/>
    </row>
    <row r="244" spans="6:6" ht="14.25" customHeight="1">
      <c r="F244" s="3"/>
    </row>
    <row r="245" spans="6:6" ht="14.25" customHeight="1">
      <c r="F245" s="3"/>
    </row>
    <row r="246" spans="6:6" ht="14.25" customHeight="1">
      <c r="F246" s="3"/>
    </row>
    <row r="247" spans="6:6" ht="14.25" customHeight="1">
      <c r="F247" s="3"/>
    </row>
    <row r="248" spans="6:6" ht="14.25" customHeight="1">
      <c r="F248" s="3"/>
    </row>
    <row r="249" spans="6:6" ht="14.25" customHeight="1">
      <c r="F249" s="3"/>
    </row>
    <row r="250" spans="6:6" ht="14.25" customHeight="1">
      <c r="F250" s="3"/>
    </row>
    <row r="251" spans="6:6" ht="14.25" customHeight="1">
      <c r="F251" s="3"/>
    </row>
    <row r="252" spans="6:6" ht="14.25" customHeight="1">
      <c r="F252" s="3"/>
    </row>
    <row r="253" spans="6:6" ht="14.25" customHeight="1">
      <c r="F253" s="3"/>
    </row>
    <row r="254" spans="6:6" ht="14.25" customHeight="1">
      <c r="F254" s="3"/>
    </row>
    <row r="255" spans="6:6" ht="14.25" customHeight="1">
      <c r="F255" s="3"/>
    </row>
    <row r="256" spans="6:6" ht="14.25" customHeight="1">
      <c r="F256" s="3"/>
    </row>
    <row r="257" spans="6:6" ht="14.25" customHeight="1">
      <c r="F257" s="3"/>
    </row>
    <row r="258" spans="6:6" ht="14.25" customHeight="1">
      <c r="F258" s="3"/>
    </row>
    <row r="259" spans="6:6" ht="14.25" customHeight="1">
      <c r="F259" s="3"/>
    </row>
    <row r="260" spans="6:6" ht="14.25" customHeight="1">
      <c r="F260" s="3"/>
    </row>
    <row r="261" spans="6:6" ht="14.25" customHeight="1">
      <c r="F261" s="3"/>
    </row>
    <row r="262" spans="6:6" ht="14.25" customHeight="1">
      <c r="F262" s="3"/>
    </row>
    <row r="263" spans="6:6" ht="14.25" customHeight="1">
      <c r="F263" s="3"/>
    </row>
    <row r="264" spans="6:6" ht="14.25" customHeight="1">
      <c r="F264" s="3"/>
    </row>
    <row r="265" spans="6:6" ht="14.25" customHeight="1">
      <c r="F265" s="3"/>
    </row>
    <row r="266" spans="6:6" ht="14.25" customHeight="1">
      <c r="F266" s="3"/>
    </row>
    <row r="267" spans="6:6" ht="14.25" customHeight="1">
      <c r="F267" s="3"/>
    </row>
    <row r="268" spans="6:6" ht="14.25" customHeight="1">
      <c r="F268" s="3"/>
    </row>
    <row r="269" spans="6:6" ht="14.25" customHeight="1">
      <c r="F269" s="3"/>
    </row>
    <row r="270" spans="6:6" ht="14.25" customHeight="1">
      <c r="F270" s="3"/>
    </row>
    <row r="271" spans="6:6" ht="14.25" customHeight="1">
      <c r="F271" s="3"/>
    </row>
    <row r="272" spans="6:6" ht="14.25" customHeight="1">
      <c r="F272" s="3"/>
    </row>
    <row r="273" spans="6:6" ht="14.25" customHeight="1">
      <c r="F273" s="3"/>
    </row>
    <row r="274" spans="6:6" ht="14.25" customHeight="1">
      <c r="F274" s="3"/>
    </row>
    <row r="275" spans="6:6" ht="14.25" customHeight="1">
      <c r="F275" s="3"/>
    </row>
    <row r="276" spans="6:6" ht="14.25" customHeight="1">
      <c r="F276" s="3"/>
    </row>
    <row r="277" spans="6:6" ht="14.25" customHeight="1">
      <c r="F277" s="3"/>
    </row>
    <row r="278" spans="6:6" ht="14.25" customHeight="1">
      <c r="F278" s="3"/>
    </row>
    <row r="279" spans="6:6" ht="14.25" customHeight="1">
      <c r="F279" s="3"/>
    </row>
    <row r="280" spans="6:6" ht="14.25" customHeight="1">
      <c r="F280" s="3"/>
    </row>
    <row r="281" spans="6:6" ht="14.25" customHeight="1">
      <c r="F281" s="3"/>
    </row>
    <row r="282" spans="6:6" ht="14.25" customHeight="1">
      <c r="F282" s="3"/>
    </row>
    <row r="283" spans="6:6" ht="14.25" customHeight="1">
      <c r="F283" s="3"/>
    </row>
    <row r="284" spans="6:6" ht="14.25" customHeight="1">
      <c r="F284" s="3"/>
    </row>
    <row r="285" spans="6:6" ht="14.25" customHeight="1">
      <c r="F285" s="3"/>
    </row>
    <row r="286" spans="6:6" ht="14.25" customHeight="1">
      <c r="F286" s="3"/>
    </row>
    <row r="287" spans="6:6" ht="14.25" customHeight="1">
      <c r="F287" s="3"/>
    </row>
    <row r="288" spans="6:6" ht="14.25" customHeight="1">
      <c r="F288" s="3"/>
    </row>
    <row r="289" spans="6:6" ht="14.25" customHeight="1">
      <c r="F289" s="3"/>
    </row>
    <row r="290" spans="6:6" ht="14.25" customHeight="1">
      <c r="F290" s="3"/>
    </row>
    <row r="291" spans="6:6" ht="14.25" customHeight="1">
      <c r="F291" s="3"/>
    </row>
    <row r="292" spans="6:6" ht="14.25" customHeight="1">
      <c r="F292" s="3"/>
    </row>
    <row r="293" spans="6:6" ht="14.25" customHeight="1">
      <c r="F293" s="3"/>
    </row>
    <row r="294" spans="6:6" ht="14.25" customHeight="1">
      <c r="F294" s="3"/>
    </row>
    <row r="295" spans="6:6" ht="14.25" customHeight="1">
      <c r="F295" s="3"/>
    </row>
    <row r="296" spans="6:6" ht="14.25" customHeight="1">
      <c r="F296" s="3"/>
    </row>
    <row r="297" spans="6:6" ht="14.25" customHeight="1">
      <c r="F297" s="3"/>
    </row>
    <row r="298" spans="6:6" ht="14.25" customHeight="1">
      <c r="F298" s="3"/>
    </row>
    <row r="299" spans="6:6" ht="14.25" customHeight="1">
      <c r="F299" s="3"/>
    </row>
    <row r="300" spans="6:6" ht="14.25" customHeight="1">
      <c r="F300" s="3"/>
    </row>
    <row r="301" spans="6:6" ht="14.25" customHeight="1">
      <c r="F301" s="3"/>
    </row>
    <row r="302" spans="6:6" ht="14.25" customHeight="1">
      <c r="F302" s="3"/>
    </row>
    <row r="303" spans="6:6" ht="14.25" customHeight="1">
      <c r="F303" s="3"/>
    </row>
    <row r="304" spans="6:6" ht="14.25" customHeight="1">
      <c r="F304" s="3"/>
    </row>
    <row r="305" spans="6:6" ht="14.25" customHeight="1">
      <c r="F305" s="3"/>
    </row>
    <row r="306" spans="6:6" ht="14.25" customHeight="1">
      <c r="F306" s="3"/>
    </row>
    <row r="307" spans="6:6" ht="14.25" customHeight="1">
      <c r="F307" s="3"/>
    </row>
    <row r="308" spans="6:6" ht="14.25" customHeight="1">
      <c r="F308" s="3"/>
    </row>
    <row r="309" spans="6:6" ht="14.25" customHeight="1">
      <c r="F309" s="3"/>
    </row>
    <row r="310" spans="6:6" ht="14.25" customHeight="1">
      <c r="F310" s="3"/>
    </row>
    <row r="311" spans="6:6" ht="14.25" customHeight="1">
      <c r="F311" s="3"/>
    </row>
    <row r="312" spans="6:6" ht="14.25" customHeight="1">
      <c r="F312" s="3"/>
    </row>
    <row r="313" spans="6:6" ht="14.25" customHeight="1">
      <c r="F313" s="3"/>
    </row>
    <row r="314" spans="6:6" ht="14.25" customHeight="1">
      <c r="F314" s="3"/>
    </row>
    <row r="315" spans="6:6" ht="14.25" customHeight="1">
      <c r="F315" s="3"/>
    </row>
    <row r="316" spans="6:6" ht="14.25" customHeight="1">
      <c r="F316" s="3"/>
    </row>
    <row r="317" spans="6:6" ht="14.25" customHeight="1">
      <c r="F317" s="3"/>
    </row>
    <row r="318" spans="6:6" ht="14.25" customHeight="1">
      <c r="F318" s="3"/>
    </row>
    <row r="319" spans="6:6" ht="14.25" customHeight="1">
      <c r="F319" s="3"/>
    </row>
    <row r="320" spans="6:6" ht="14.25" customHeight="1">
      <c r="F320" s="3"/>
    </row>
    <row r="321" spans="6:6" ht="14.25" customHeight="1">
      <c r="F321" s="3"/>
    </row>
    <row r="322" spans="6:6" ht="14.25" customHeight="1">
      <c r="F322" s="3"/>
    </row>
    <row r="323" spans="6:6" ht="14.25" customHeight="1">
      <c r="F323" s="3"/>
    </row>
    <row r="324" spans="6:6" ht="14.25" customHeight="1">
      <c r="F324" s="3"/>
    </row>
    <row r="325" spans="6:6" ht="14.25" customHeight="1">
      <c r="F325" s="3"/>
    </row>
    <row r="326" spans="6:6" ht="14.25" customHeight="1">
      <c r="F326" s="3"/>
    </row>
    <row r="327" spans="6:6" ht="14.25" customHeight="1">
      <c r="F327" s="3"/>
    </row>
    <row r="328" spans="6:6" ht="14.25" customHeight="1">
      <c r="F328" s="3"/>
    </row>
    <row r="329" spans="6:6" ht="14.25" customHeight="1">
      <c r="F329" s="3"/>
    </row>
    <row r="330" spans="6:6" ht="14.25" customHeight="1">
      <c r="F330" s="3"/>
    </row>
    <row r="331" spans="6:6" ht="14.25" customHeight="1">
      <c r="F331" s="3"/>
    </row>
    <row r="332" spans="6:6" ht="14.25" customHeight="1">
      <c r="F332" s="3"/>
    </row>
    <row r="333" spans="6:6" ht="14.25" customHeight="1">
      <c r="F333" s="3"/>
    </row>
    <row r="334" spans="6:6" ht="14.25" customHeight="1">
      <c r="F334" s="3"/>
    </row>
    <row r="335" spans="6:6" ht="14.25" customHeight="1">
      <c r="F335" s="3"/>
    </row>
    <row r="336" spans="6:6" ht="14.25" customHeight="1">
      <c r="F336" s="3"/>
    </row>
    <row r="337" spans="6:6" ht="14.25" customHeight="1">
      <c r="F337" s="3"/>
    </row>
    <row r="338" spans="6:6" ht="14.25" customHeight="1">
      <c r="F338" s="3"/>
    </row>
    <row r="339" spans="6:6" ht="14.25" customHeight="1">
      <c r="F339" s="3"/>
    </row>
    <row r="340" spans="6:6" ht="14.25" customHeight="1">
      <c r="F340" s="3"/>
    </row>
    <row r="341" spans="6:6" ht="14.25" customHeight="1">
      <c r="F341" s="3"/>
    </row>
    <row r="342" spans="6:6" ht="14.25" customHeight="1">
      <c r="F342" s="3"/>
    </row>
    <row r="343" spans="6:6" ht="14.25" customHeight="1">
      <c r="F343" s="3"/>
    </row>
    <row r="344" spans="6:6" ht="14.25" customHeight="1">
      <c r="F344" s="3"/>
    </row>
    <row r="345" spans="6:6" ht="14.25" customHeight="1">
      <c r="F345" s="3"/>
    </row>
    <row r="346" spans="6:6" ht="14.25" customHeight="1">
      <c r="F346" s="3"/>
    </row>
    <row r="347" spans="6:6" ht="14.25" customHeight="1">
      <c r="F347" s="3"/>
    </row>
    <row r="348" spans="6:6" ht="14.25" customHeight="1">
      <c r="F348" s="3"/>
    </row>
    <row r="349" spans="6:6" ht="14.25" customHeight="1">
      <c r="F349" s="3"/>
    </row>
    <row r="350" spans="6:6" ht="14.25" customHeight="1">
      <c r="F350" s="3"/>
    </row>
    <row r="351" spans="6:6" ht="14.25" customHeight="1">
      <c r="F351" s="3"/>
    </row>
    <row r="352" spans="6:6" ht="14.25" customHeight="1">
      <c r="F352" s="3"/>
    </row>
    <row r="353" spans="6:6" ht="14.25" customHeight="1">
      <c r="F353" s="3"/>
    </row>
    <row r="354" spans="6:6" ht="14.25" customHeight="1">
      <c r="F354" s="3"/>
    </row>
    <row r="355" spans="6:6" ht="14.25" customHeight="1">
      <c r="F355" s="3"/>
    </row>
    <row r="356" spans="6:6" ht="14.25" customHeight="1">
      <c r="F356" s="3"/>
    </row>
    <row r="357" spans="6:6" ht="14.25" customHeight="1">
      <c r="F357" s="3"/>
    </row>
    <row r="358" spans="6:6" ht="14.25" customHeight="1">
      <c r="F358" s="3"/>
    </row>
    <row r="359" spans="6:6" ht="14.25" customHeight="1">
      <c r="F359" s="3"/>
    </row>
    <row r="360" spans="6:6" ht="14.25" customHeight="1">
      <c r="F360" s="3"/>
    </row>
    <row r="361" spans="6:6" ht="14.25" customHeight="1">
      <c r="F361" s="3"/>
    </row>
    <row r="362" spans="6:6" ht="14.25" customHeight="1">
      <c r="F362" s="3"/>
    </row>
    <row r="363" spans="6:6" ht="14.25" customHeight="1">
      <c r="F363" s="3"/>
    </row>
    <row r="364" spans="6:6" ht="14.25" customHeight="1">
      <c r="F364" s="3"/>
    </row>
    <row r="365" spans="6:6" ht="14.25" customHeight="1">
      <c r="F365" s="3"/>
    </row>
    <row r="366" spans="6:6" ht="14.25" customHeight="1">
      <c r="F366" s="3"/>
    </row>
    <row r="367" spans="6:6" ht="14.25" customHeight="1">
      <c r="F367" s="3"/>
    </row>
    <row r="368" spans="6:6" ht="14.25" customHeight="1">
      <c r="F368" s="3"/>
    </row>
    <row r="369" spans="6:6" ht="14.25" customHeight="1">
      <c r="F369" s="3"/>
    </row>
    <row r="370" spans="6:6" ht="14.25" customHeight="1">
      <c r="F370" s="3"/>
    </row>
    <row r="371" spans="6:6" ht="14.25" customHeight="1">
      <c r="F371" s="3"/>
    </row>
    <row r="372" spans="6:6" ht="14.25" customHeight="1">
      <c r="F372" s="3"/>
    </row>
    <row r="373" spans="6:6" ht="14.25" customHeight="1">
      <c r="F373" s="3"/>
    </row>
    <row r="374" spans="6:6" ht="14.25" customHeight="1">
      <c r="F374" s="3"/>
    </row>
    <row r="375" spans="6:6" ht="14.25" customHeight="1">
      <c r="F375" s="3"/>
    </row>
    <row r="376" spans="6:6" ht="14.25" customHeight="1">
      <c r="F376" s="3"/>
    </row>
    <row r="377" spans="6:6" ht="14.25" customHeight="1">
      <c r="F377" s="3"/>
    </row>
    <row r="378" spans="6:6" ht="14.25" customHeight="1">
      <c r="F378" s="3"/>
    </row>
    <row r="379" spans="6:6" ht="14.25" customHeight="1">
      <c r="F379" s="3"/>
    </row>
    <row r="380" spans="6:6" ht="14.25" customHeight="1">
      <c r="F380" s="3"/>
    </row>
    <row r="381" spans="6:6" ht="14.25" customHeight="1">
      <c r="F381" s="3"/>
    </row>
    <row r="382" spans="6:6" ht="14.25" customHeight="1">
      <c r="F382" s="3"/>
    </row>
    <row r="383" spans="6:6" ht="14.25" customHeight="1">
      <c r="F383" s="3"/>
    </row>
    <row r="384" spans="6:6" ht="14.25" customHeight="1">
      <c r="F384" s="3"/>
    </row>
    <row r="385" spans="6:6" ht="14.25" customHeight="1">
      <c r="F385" s="3"/>
    </row>
    <row r="386" spans="6:6" ht="14.25" customHeight="1">
      <c r="F386" s="3"/>
    </row>
    <row r="387" spans="6:6" ht="14.25" customHeight="1">
      <c r="F387" s="3"/>
    </row>
    <row r="388" spans="6:6" ht="14.25" customHeight="1">
      <c r="F388" s="3"/>
    </row>
    <row r="389" spans="6:6" ht="14.25" customHeight="1">
      <c r="F389" s="3"/>
    </row>
    <row r="390" spans="6:6" ht="14.25" customHeight="1">
      <c r="F390" s="3"/>
    </row>
    <row r="391" spans="6:6" ht="15.75" customHeight="1">
      <c r="F391" s="3"/>
    </row>
    <row r="392" spans="6:6" ht="15.75" customHeight="1">
      <c r="F392" s="3"/>
    </row>
    <row r="393" spans="6:6" ht="15.75" customHeight="1">
      <c r="F393" s="3"/>
    </row>
    <row r="394" spans="6:6" ht="15.75" customHeight="1">
      <c r="F394" s="3"/>
    </row>
    <row r="395" spans="6:6" ht="15.75" customHeight="1">
      <c r="F395" s="3"/>
    </row>
    <row r="396" spans="6:6" ht="15.75" customHeight="1">
      <c r="F396" s="3"/>
    </row>
    <row r="397" spans="6:6" ht="15.75" customHeight="1">
      <c r="F397" s="3"/>
    </row>
    <row r="398" spans="6:6" ht="15.75" customHeight="1">
      <c r="F398" s="3"/>
    </row>
    <row r="399" spans="6:6" ht="15.75" customHeight="1">
      <c r="F399" s="3"/>
    </row>
    <row r="400" spans="6:6" ht="15.75" customHeight="1">
      <c r="F400" s="3"/>
    </row>
    <row r="401" spans="6:6" ht="15.75" customHeight="1">
      <c r="F401" s="3"/>
    </row>
    <row r="402" spans="6:6" ht="15.75" customHeight="1">
      <c r="F402" s="3"/>
    </row>
    <row r="403" spans="6:6" ht="15.75" customHeight="1">
      <c r="F403" s="3"/>
    </row>
    <row r="404" spans="6:6" ht="15.75" customHeight="1">
      <c r="F404" s="3"/>
    </row>
    <row r="405" spans="6:6" ht="15.75" customHeight="1">
      <c r="F405" s="3"/>
    </row>
    <row r="406" spans="6:6" ht="15.75" customHeight="1">
      <c r="F406" s="3"/>
    </row>
    <row r="407" spans="6:6" ht="15.75" customHeight="1">
      <c r="F407" s="3"/>
    </row>
    <row r="408" spans="6:6" ht="15.75" customHeight="1">
      <c r="F408" s="3"/>
    </row>
    <row r="409" spans="6:6" ht="15.75" customHeight="1">
      <c r="F409" s="3"/>
    </row>
    <row r="410" spans="6:6" ht="15.75" customHeight="1">
      <c r="F410" s="3"/>
    </row>
    <row r="411" spans="6:6" ht="15.75" customHeight="1">
      <c r="F411" s="3"/>
    </row>
    <row r="412" spans="6:6" ht="15.75" customHeight="1">
      <c r="F412" s="3"/>
    </row>
    <row r="413" spans="6:6" ht="15.75" customHeight="1">
      <c r="F413" s="3"/>
    </row>
    <row r="414" spans="6:6" ht="15.75" customHeight="1">
      <c r="F414" s="3"/>
    </row>
    <row r="415" spans="6:6" ht="15.75" customHeight="1">
      <c r="F415" s="3"/>
    </row>
    <row r="416" spans="6:6" ht="15.75" customHeight="1">
      <c r="F416" s="3"/>
    </row>
    <row r="417" spans="6:6" ht="15.75" customHeight="1">
      <c r="F417" s="3"/>
    </row>
    <row r="418" spans="6:6" ht="15.75" customHeight="1">
      <c r="F418" s="3"/>
    </row>
    <row r="419" spans="6:6" ht="15.75" customHeight="1">
      <c r="F419" s="3"/>
    </row>
    <row r="420" spans="6:6" ht="15.75" customHeight="1">
      <c r="F420" s="3"/>
    </row>
    <row r="421" spans="6:6" ht="15.75" customHeight="1">
      <c r="F421" s="3"/>
    </row>
    <row r="422" spans="6:6" ht="15.75" customHeight="1">
      <c r="F422" s="3"/>
    </row>
    <row r="423" spans="6:6" ht="15.75" customHeight="1">
      <c r="F423" s="3"/>
    </row>
    <row r="424" spans="6:6" ht="15.75" customHeight="1">
      <c r="F424" s="3"/>
    </row>
    <row r="425" spans="6:6" ht="15.75" customHeight="1">
      <c r="F425" s="3"/>
    </row>
    <row r="426" spans="6:6" ht="15.75" customHeight="1">
      <c r="F426" s="3"/>
    </row>
    <row r="427" spans="6:6" ht="15.75" customHeight="1">
      <c r="F427" s="3"/>
    </row>
    <row r="428" spans="6:6" ht="15.75" customHeight="1">
      <c r="F428" s="3"/>
    </row>
    <row r="429" spans="6:6" ht="15.75" customHeight="1">
      <c r="F429" s="3"/>
    </row>
    <row r="430" spans="6:6" ht="15.75" customHeight="1">
      <c r="F430" s="3"/>
    </row>
    <row r="431" spans="6:6" ht="15.75" customHeight="1">
      <c r="F431" s="3"/>
    </row>
    <row r="432" spans="6:6" ht="15.75" customHeight="1">
      <c r="F432" s="3"/>
    </row>
    <row r="433" spans="6:6" ht="15.75" customHeight="1">
      <c r="F433" s="3"/>
    </row>
    <row r="434" spans="6:6" ht="15.75" customHeight="1">
      <c r="F434" s="3"/>
    </row>
    <row r="435" spans="6:6" ht="15.75" customHeight="1">
      <c r="F435" s="3"/>
    </row>
    <row r="436" spans="6:6" ht="15.75" customHeight="1">
      <c r="F436" s="3"/>
    </row>
    <row r="437" spans="6:6" ht="15.75" customHeight="1">
      <c r="F437" s="3"/>
    </row>
    <row r="438" spans="6:6" ht="15.75" customHeight="1">
      <c r="F438" s="3"/>
    </row>
    <row r="439" spans="6:6" ht="15.75" customHeight="1">
      <c r="F439" s="3"/>
    </row>
    <row r="440" spans="6:6" ht="15.75" customHeight="1">
      <c r="F440" s="3"/>
    </row>
    <row r="441" spans="6:6" ht="15.75" customHeight="1">
      <c r="F441" s="3"/>
    </row>
    <row r="442" spans="6:6" ht="15.75" customHeight="1">
      <c r="F442" s="3"/>
    </row>
    <row r="443" spans="6:6" ht="15.75" customHeight="1">
      <c r="F443" s="3"/>
    </row>
    <row r="444" spans="6:6" ht="15.75" customHeight="1">
      <c r="F444" s="3"/>
    </row>
    <row r="445" spans="6:6" ht="15.75" customHeight="1">
      <c r="F445" s="3"/>
    </row>
    <row r="446" spans="6:6" ht="15.75" customHeight="1">
      <c r="F446" s="3"/>
    </row>
    <row r="447" spans="6:6" ht="15.75" customHeight="1">
      <c r="F447" s="3"/>
    </row>
    <row r="448" spans="6:6" ht="15.75" customHeight="1">
      <c r="F448" s="3"/>
    </row>
    <row r="449" spans="6:6" ht="15.75" customHeight="1">
      <c r="F449" s="3"/>
    </row>
    <row r="450" spans="6:6" ht="15.75" customHeight="1">
      <c r="F450" s="3"/>
    </row>
    <row r="451" spans="6:6" ht="15.75" customHeight="1">
      <c r="F451" s="3"/>
    </row>
    <row r="452" spans="6:6" ht="15.75" customHeight="1">
      <c r="F452" s="3"/>
    </row>
    <row r="453" spans="6:6" ht="15.75" customHeight="1">
      <c r="F453" s="3"/>
    </row>
    <row r="454" spans="6:6" ht="15.75" customHeight="1">
      <c r="F454" s="3"/>
    </row>
    <row r="455" spans="6:6" ht="15.75" customHeight="1">
      <c r="F455" s="3"/>
    </row>
    <row r="456" spans="6:6" ht="15.75" customHeight="1">
      <c r="F456" s="3"/>
    </row>
    <row r="457" spans="6:6" ht="15.75" customHeight="1">
      <c r="F457" s="3"/>
    </row>
    <row r="458" spans="6:6" ht="15.75" customHeight="1">
      <c r="F458" s="3"/>
    </row>
    <row r="459" spans="6:6" ht="15.75" customHeight="1">
      <c r="F459" s="3"/>
    </row>
    <row r="460" spans="6:6" ht="15.75" customHeight="1">
      <c r="F460" s="3"/>
    </row>
    <row r="461" spans="6:6" ht="15.75" customHeight="1">
      <c r="F461" s="3"/>
    </row>
    <row r="462" spans="6:6" ht="15.75" customHeight="1">
      <c r="F462" s="3"/>
    </row>
    <row r="463" spans="6:6" ht="15.75" customHeight="1">
      <c r="F463" s="3"/>
    </row>
    <row r="464" spans="6:6" ht="15.75" customHeight="1">
      <c r="F464" s="3"/>
    </row>
    <row r="465" spans="6:6" ht="15.75" customHeight="1">
      <c r="F465" s="3"/>
    </row>
    <row r="466" spans="6:6" ht="15.75" customHeight="1">
      <c r="F466" s="3"/>
    </row>
    <row r="467" spans="6:6" ht="15.75" customHeight="1">
      <c r="F467" s="3"/>
    </row>
    <row r="468" spans="6:6" ht="15.75" customHeight="1">
      <c r="F468" s="3"/>
    </row>
    <row r="469" spans="6:6" ht="15.75" customHeight="1">
      <c r="F469" s="3"/>
    </row>
    <row r="470" spans="6:6" ht="15.75" customHeight="1">
      <c r="F470" s="3"/>
    </row>
    <row r="471" spans="6:6" ht="15.75" customHeight="1">
      <c r="F471" s="3"/>
    </row>
    <row r="472" spans="6:6" ht="15.75" customHeight="1">
      <c r="F472" s="3"/>
    </row>
    <row r="473" spans="6:6" ht="15.75" customHeight="1">
      <c r="F473" s="3"/>
    </row>
    <row r="474" spans="6:6" ht="15.75" customHeight="1">
      <c r="F474" s="3"/>
    </row>
    <row r="475" spans="6:6" ht="15.75" customHeight="1">
      <c r="F475" s="3"/>
    </row>
    <row r="476" spans="6:6" ht="15.75" customHeight="1">
      <c r="F476" s="3"/>
    </row>
    <row r="477" spans="6:6" ht="15.75" customHeight="1">
      <c r="F477" s="3"/>
    </row>
    <row r="478" spans="6:6" ht="15.75" customHeight="1">
      <c r="F478" s="3"/>
    </row>
    <row r="479" spans="6:6" ht="15.75" customHeight="1">
      <c r="F479" s="3"/>
    </row>
    <row r="480" spans="6:6" ht="15.75" customHeight="1">
      <c r="F480" s="3"/>
    </row>
    <row r="481" spans="6:6" ht="15.75" customHeight="1">
      <c r="F481" s="3"/>
    </row>
    <row r="482" spans="6:6" ht="15.75" customHeight="1">
      <c r="F482" s="3"/>
    </row>
    <row r="483" spans="6:6" ht="15.75" customHeight="1">
      <c r="F483" s="3"/>
    </row>
    <row r="484" spans="6:6" ht="15.75" customHeight="1">
      <c r="F484" s="3"/>
    </row>
    <row r="485" spans="6:6" ht="15.75" customHeight="1">
      <c r="F485" s="3"/>
    </row>
    <row r="486" spans="6:6" ht="15.75" customHeight="1">
      <c r="F486" s="3"/>
    </row>
    <row r="487" spans="6:6" ht="15.75" customHeight="1">
      <c r="F487" s="3"/>
    </row>
    <row r="488" spans="6:6" ht="15.75" customHeight="1">
      <c r="F488" s="3"/>
    </row>
    <row r="489" spans="6:6" ht="15.75" customHeight="1">
      <c r="F489" s="3"/>
    </row>
    <row r="490" spans="6:6" ht="15.75" customHeight="1">
      <c r="F490" s="3"/>
    </row>
    <row r="491" spans="6:6" ht="15.75" customHeight="1">
      <c r="F491" s="3"/>
    </row>
    <row r="492" spans="6:6" ht="15.75" customHeight="1">
      <c r="F492" s="3"/>
    </row>
    <row r="493" spans="6:6" ht="15.75" customHeight="1">
      <c r="F493" s="3"/>
    </row>
    <row r="494" spans="6:6" ht="15.75" customHeight="1">
      <c r="F494" s="3"/>
    </row>
    <row r="495" spans="6:6" ht="15.75" customHeight="1">
      <c r="F495" s="3"/>
    </row>
    <row r="496" spans="6:6" ht="15.75" customHeight="1">
      <c r="F496" s="3"/>
    </row>
    <row r="497" spans="6:6" ht="15.75" customHeight="1">
      <c r="F497" s="3"/>
    </row>
    <row r="498" spans="6:6" ht="15.75" customHeight="1">
      <c r="F498" s="3"/>
    </row>
    <row r="499" spans="6:6" ht="15.75" customHeight="1">
      <c r="F499" s="3"/>
    </row>
    <row r="500" spans="6:6" ht="15.75" customHeight="1">
      <c r="F500" s="3"/>
    </row>
    <row r="501" spans="6:6" ht="15.75" customHeight="1">
      <c r="F501" s="3"/>
    </row>
    <row r="502" spans="6:6" ht="15.75" customHeight="1">
      <c r="F502" s="3"/>
    </row>
    <row r="503" spans="6:6" ht="15.75" customHeight="1">
      <c r="F503" s="3"/>
    </row>
    <row r="504" spans="6:6" ht="15.75" customHeight="1">
      <c r="F504" s="3"/>
    </row>
    <row r="505" spans="6:6" ht="15.75" customHeight="1">
      <c r="F505" s="3"/>
    </row>
    <row r="506" spans="6:6" ht="15.75" customHeight="1">
      <c r="F506" s="3"/>
    </row>
    <row r="507" spans="6:6" ht="15.75" customHeight="1">
      <c r="F507" s="3"/>
    </row>
    <row r="508" spans="6:6" ht="15.75" customHeight="1">
      <c r="F508" s="3"/>
    </row>
    <row r="509" spans="6:6" ht="15.75" customHeight="1">
      <c r="F509" s="3"/>
    </row>
    <row r="510" spans="6:6" ht="15.75" customHeight="1">
      <c r="F510" s="3"/>
    </row>
    <row r="511" spans="6:6" ht="15.75" customHeight="1">
      <c r="F511" s="3"/>
    </row>
    <row r="512" spans="6:6" ht="15.75" customHeight="1">
      <c r="F512" s="3"/>
    </row>
    <row r="513" spans="6:6" ht="15.75" customHeight="1">
      <c r="F513" s="3"/>
    </row>
    <row r="514" spans="6:6" ht="15.75" customHeight="1">
      <c r="F514" s="3"/>
    </row>
    <row r="515" spans="6:6" ht="15.75" customHeight="1">
      <c r="F515" s="3"/>
    </row>
    <row r="516" spans="6:6" ht="15.75" customHeight="1">
      <c r="F516" s="3"/>
    </row>
    <row r="517" spans="6:6" ht="15.75" customHeight="1">
      <c r="F517" s="3"/>
    </row>
    <row r="518" spans="6:6" ht="15.75" customHeight="1">
      <c r="F518" s="3"/>
    </row>
    <row r="519" spans="6:6" ht="15.75" customHeight="1">
      <c r="F519" s="3"/>
    </row>
    <row r="520" spans="6:6" ht="15.75" customHeight="1">
      <c r="F520" s="3"/>
    </row>
    <row r="521" spans="6:6" ht="15.75" customHeight="1">
      <c r="F521" s="3"/>
    </row>
    <row r="522" spans="6:6" ht="15.75" customHeight="1">
      <c r="F522" s="3"/>
    </row>
    <row r="523" spans="6:6" ht="15.75" customHeight="1">
      <c r="F523" s="3"/>
    </row>
    <row r="524" spans="6:6" ht="15.75" customHeight="1">
      <c r="F524" s="3"/>
    </row>
    <row r="525" spans="6:6" ht="15.75" customHeight="1">
      <c r="F525" s="3"/>
    </row>
    <row r="526" spans="6:6" ht="15.75" customHeight="1">
      <c r="F526" s="3"/>
    </row>
    <row r="527" spans="6:6" ht="15.75" customHeight="1">
      <c r="F527" s="3"/>
    </row>
    <row r="528" spans="6:6" ht="15.75" customHeight="1">
      <c r="F528" s="3"/>
    </row>
    <row r="529" spans="6:6" ht="15.75" customHeight="1">
      <c r="F529" s="3"/>
    </row>
    <row r="530" spans="6:6" ht="15.75" customHeight="1">
      <c r="F530" s="3"/>
    </row>
    <row r="531" spans="6:6" ht="15.75" customHeight="1">
      <c r="F531" s="3"/>
    </row>
    <row r="532" spans="6:6" ht="15.75" customHeight="1">
      <c r="F532" s="3"/>
    </row>
    <row r="533" spans="6:6" ht="15.75" customHeight="1">
      <c r="F533" s="3"/>
    </row>
    <row r="534" spans="6:6" ht="15.75" customHeight="1">
      <c r="F534" s="3"/>
    </row>
    <row r="535" spans="6:6" ht="15.75" customHeight="1">
      <c r="F535" s="3"/>
    </row>
    <row r="536" spans="6:6" ht="15.75" customHeight="1">
      <c r="F536" s="3"/>
    </row>
    <row r="537" spans="6:6" ht="15.75" customHeight="1">
      <c r="F537" s="3"/>
    </row>
    <row r="538" spans="6:6" ht="15.75" customHeight="1">
      <c r="F538" s="3"/>
    </row>
    <row r="539" spans="6:6" ht="15.75" customHeight="1">
      <c r="F539" s="3"/>
    </row>
    <row r="540" spans="6:6" ht="15.75" customHeight="1">
      <c r="F540" s="3"/>
    </row>
    <row r="541" spans="6:6" ht="15.75" customHeight="1">
      <c r="F541" s="3"/>
    </row>
    <row r="542" spans="6:6" ht="15.75" customHeight="1">
      <c r="F542" s="3"/>
    </row>
    <row r="543" spans="6:6" ht="15.75" customHeight="1">
      <c r="F543" s="3"/>
    </row>
    <row r="544" spans="6:6" ht="15.75" customHeight="1">
      <c r="F544" s="3"/>
    </row>
    <row r="545" spans="6:6" ht="15.75" customHeight="1">
      <c r="F545" s="3"/>
    </row>
    <row r="546" spans="6:6" ht="15.75" customHeight="1">
      <c r="F546" s="3"/>
    </row>
    <row r="547" spans="6:6" ht="15.75" customHeight="1">
      <c r="F547" s="3"/>
    </row>
    <row r="548" spans="6:6" ht="15.75" customHeight="1">
      <c r="F548" s="3"/>
    </row>
    <row r="549" spans="6:6" ht="15.75" customHeight="1">
      <c r="F549" s="3"/>
    </row>
    <row r="550" spans="6:6" ht="15.75" customHeight="1">
      <c r="F550" s="3"/>
    </row>
    <row r="551" spans="6:6" ht="15.75" customHeight="1">
      <c r="F551" s="3"/>
    </row>
    <row r="552" spans="6:6" ht="15.75" customHeight="1">
      <c r="F552" s="3"/>
    </row>
    <row r="553" spans="6:6" ht="15.75" customHeight="1">
      <c r="F553" s="3"/>
    </row>
    <row r="554" spans="6:6" ht="15.75" customHeight="1">
      <c r="F554" s="3"/>
    </row>
    <row r="555" spans="6:6" ht="15.75" customHeight="1">
      <c r="F555" s="3"/>
    </row>
    <row r="556" spans="6:6" ht="15.75" customHeight="1">
      <c r="F556" s="3"/>
    </row>
    <row r="557" spans="6:6" ht="15.75" customHeight="1">
      <c r="F557" s="3"/>
    </row>
    <row r="558" spans="6:6" ht="15.75" customHeight="1">
      <c r="F558" s="3"/>
    </row>
    <row r="559" spans="6:6" ht="15.75" customHeight="1">
      <c r="F559" s="3"/>
    </row>
    <row r="560" spans="6:6" ht="15.75" customHeight="1">
      <c r="F560" s="3"/>
    </row>
    <row r="561" spans="6:6" ht="15.75" customHeight="1">
      <c r="F561" s="3"/>
    </row>
    <row r="562" spans="6:6" ht="15.75" customHeight="1">
      <c r="F562" s="3"/>
    </row>
    <row r="563" spans="6:6" ht="15.75" customHeight="1">
      <c r="F563" s="3"/>
    </row>
    <row r="564" spans="6:6" ht="15.75" customHeight="1">
      <c r="F564" s="3"/>
    </row>
    <row r="565" spans="6:6" ht="15.75" customHeight="1">
      <c r="F565" s="3"/>
    </row>
    <row r="566" spans="6:6" ht="15.75" customHeight="1">
      <c r="F566" s="3"/>
    </row>
    <row r="567" spans="6:6" ht="15.75" customHeight="1">
      <c r="F567" s="3"/>
    </row>
    <row r="568" spans="6:6" ht="15.75" customHeight="1">
      <c r="F568" s="3"/>
    </row>
    <row r="569" spans="6:6" ht="15.75" customHeight="1">
      <c r="F569" s="3"/>
    </row>
    <row r="570" spans="6:6" ht="15.75" customHeight="1">
      <c r="F570" s="3"/>
    </row>
    <row r="571" spans="6:6" ht="15.75" customHeight="1">
      <c r="F571" s="3"/>
    </row>
    <row r="572" spans="6:6" ht="15.75" customHeight="1">
      <c r="F572" s="3"/>
    </row>
    <row r="573" spans="6:6" ht="15.75" customHeight="1">
      <c r="F573" s="3"/>
    </row>
    <row r="574" spans="6:6" ht="15.75" customHeight="1">
      <c r="F574" s="3"/>
    </row>
    <row r="575" spans="6:6" ht="15.75" customHeight="1">
      <c r="F575" s="3"/>
    </row>
    <row r="576" spans="6:6" ht="15.75" customHeight="1">
      <c r="F576" s="3"/>
    </row>
    <row r="577" spans="6:6" ht="15.75" customHeight="1">
      <c r="F577" s="3"/>
    </row>
    <row r="578" spans="6:6" ht="15.75" customHeight="1">
      <c r="F578" s="3"/>
    </row>
    <row r="579" spans="6:6" ht="15.75" customHeight="1">
      <c r="F579" s="3"/>
    </row>
    <row r="580" spans="6:6" ht="15.75" customHeight="1">
      <c r="F580" s="3"/>
    </row>
    <row r="581" spans="6:6" ht="15.75" customHeight="1">
      <c r="F581" s="3"/>
    </row>
    <row r="582" spans="6:6" ht="15.75" customHeight="1">
      <c r="F582" s="3"/>
    </row>
    <row r="583" spans="6:6" ht="15.75" customHeight="1">
      <c r="F583" s="3"/>
    </row>
    <row r="584" spans="6:6" ht="15.75" customHeight="1">
      <c r="F584" s="3"/>
    </row>
    <row r="585" spans="6:6" ht="15.75" customHeight="1">
      <c r="F585" s="3"/>
    </row>
    <row r="586" spans="6:6" ht="15.75" customHeight="1">
      <c r="F586" s="3"/>
    </row>
    <row r="587" spans="6:6" ht="15.75" customHeight="1">
      <c r="F587" s="3"/>
    </row>
    <row r="588" spans="6:6" ht="15.75" customHeight="1">
      <c r="F588" s="3"/>
    </row>
    <row r="589" spans="6:6" ht="15.75" customHeight="1">
      <c r="F589" s="3"/>
    </row>
    <row r="590" spans="6:6" ht="15.75" customHeight="1">
      <c r="F590" s="3"/>
    </row>
    <row r="591" spans="6:6" ht="15.75" customHeight="1">
      <c r="F591" s="3"/>
    </row>
    <row r="592" spans="6:6" ht="15.75" customHeight="1">
      <c r="F592" s="3"/>
    </row>
    <row r="593" spans="6:6" ht="15.75" customHeight="1">
      <c r="F593" s="3"/>
    </row>
    <row r="594" spans="6:6" ht="15.75" customHeight="1">
      <c r="F594" s="3"/>
    </row>
    <row r="595" spans="6:6" ht="15.75" customHeight="1">
      <c r="F595" s="3"/>
    </row>
    <row r="596" spans="6:6" ht="15.75" customHeight="1">
      <c r="F596" s="3"/>
    </row>
    <row r="597" spans="6:6" ht="15.75" customHeight="1">
      <c r="F597" s="3"/>
    </row>
    <row r="598" spans="6:6" ht="15.75" customHeight="1">
      <c r="F598" s="3"/>
    </row>
    <row r="599" spans="6:6" ht="15.75" customHeight="1">
      <c r="F599" s="3"/>
    </row>
    <row r="600" spans="6:6" ht="15.75" customHeight="1">
      <c r="F600" s="3"/>
    </row>
    <row r="601" spans="6:6" ht="15.75" customHeight="1">
      <c r="F601" s="3"/>
    </row>
    <row r="602" spans="6:6" ht="15.75" customHeight="1">
      <c r="F602" s="3"/>
    </row>
    <row r="603" spans="6:6" ht="15.75" customHeight="1">
      <c r="F603" s="3"/>
    </row>
    <row r="604" spans="6:6" ht="15.75" customHeight="1">
      <c r="F604" s="3"/>
    </row>
    <row r="605" spans="6:6" ht="15.75" customHeight="1">
      <c r="F605" s="3"/>
    </row>
    <row r="606" spans="6:6" ht="15.75" customHeight="1">
      <c r="F606" s="3"/>
    </row>
    <row r="607" spans="6:6" ht="15.75" customHeight="1">
      <c r="F607" s="3"/>
    </row>
    <row r="608" spans="6:6" ht="15.75" customHeight="1">
      <c r="F608" s="3"/>
    </row>
    <row r="609" spans="6:6" ht="15.75" customHeight="1">
      <c r="F609" s="3"/>
    </row>
    <row r="610" spans="6:6" ht="15.75" customHeight="1">
      <c r="F610" s="3"/>
    </row>
    <row r="611" spans="6:6" ht="15.75" customHeight="1">
      <c r="F611" s="3"/>
    </row>
    <row r="612" spans="6:6" ht="15.75" customHeight="1">
      <c r="F612" s="3"/>
    </row>
    <row r="613" spans="6:6" ht="15.75" customHeight="1">
      <c r="F613" s="3"/>
    </row>
    <row r="614" spans="6:6" ht="15.75" customHeight="1">
      <c r="F614" s="3"/>
    </row>
    <row r="615" spans="6:6" ht="15.75" customHeight="1">
      <c r="F615" s="3"/>
    </row>
    <row r="616" spans="6:6" ht="15.75" customHeight="1">
      <c r="F616" s="3"/>
    </row>
    <row r="617" spans="6:6" ht="15.75" customHeight="1">
      <c r="F617" s="3"/>
    </row>
    <row r="618" spans="6:6" ht="15.75" customHeight="1">
      <c r="F618" s="3"/>
    </row>
    <row r="619" spans="6:6" ht="15.75" customHeight="1">
      <c r="F619" s="3"/>
    </row>
    <row r="620" spans="6:6" ht="15.75" customHeight="1">
      <c r="F620" s="3"/>
    </row>
    <row r="621" spans="6:6" ht="15.75" customHeight="1">
      <c r="F621" s="3"/>
    </row>
    <row r="622" spans="6:6" ht="15.75" customHeight="1">
      <c r="F622" s="3"/>
    </row>
    <row r="623" spans="6:6" ht="15.75" customHeight="1">
      <c r="F623" s="3"/>
    </row>
    <row r="624" spans="6:6" ht="15.75" customHeight="1">
      <c r="F624" s="3"/>
    </row>
    <row r="625" spans="6:6" ht="15.75" customHeight="1">
      <c r="F625" s="3"/>
    </row>
    <row r="626" spans="6:6" ht="15.75" customHeight="1">
      <c r="F626" s="3"/>
    </row>
    <row r="627" spans="6:6" ht="15.75" customHeight="1">
      <c r="F627" s="3"/>
    </row>
    <row r="628" spans="6:6" ht="15.75" customHeight="1">
      <c r="F628" s="3"/>
    </row>
    <row r="629" spans="6:6" ht="15.75" customHeight="1">
      <c r="F629" s="3"/>
    </row>
    <row r="630" spans="6:6" ht="15.75" customHeight="1">
      <c r="F630" s="3"/>
    </row>
    <row r="631" spans="6:6" ht="15.75" customHeight="1">
      <c r="F631" s="3"/>
    </row>
    <row r="632" spans="6:6" ht="15.75" customHeight="1">
      <c r="F632" s="3"/>
    </row>
    <row r="633" spans="6:6" ht="15.75" customHeight="1">
      <c r="F633" s="3"/>
    </row>
    <row r="634" spans="6:6" ht="15.75" customHeight="1">
      <c r="F634" s="3"/>
    </row>
    <row r="635" spans="6:6" ht="15.75" customHeight="1">
      <c r="F635" s="3"/>
    </row>
    <row r="636" spans="6:6" ht="15.75" customHeight="1">
      <c r="F636" s="3"/>
    </row>
    <row r="637" spans="6:6" ht="15.75" customHeight="1">
      <c r="F637" s="3"/>
    </row>
    <row r="638" spans="6:6" ht="15.75" customHeight="1">
      <c r="F638" s="3"/>
    </row>
    <row r="639" spans="6:6" ht="15.75" customHeight="1">
      <c r="F639" s="3"/>
    </row>
    <row r="640" spans="6:6" ht="15.75" customHeight="1">
      <c r="F640" s="3"/>
    </row>
    <row r="641" spans="6:6" ht="15.75" customHeight="1">
      <c r="F641" s="3"/>
    </row>
    <row r="642" spans="6:6" ht="15.75" customHeight="1">
      <c r="F642" s="3"/>
    </row>
    <row r="643" spans="6:6" ht="15.75" customHeight="1">
      <c r="F643" s="3"/>
    </row>
    <row r="644" spans="6:6" ht="15.75" customHeight="1">
      <c r="F644" s="3"/>
    </row>
    <row r="645" spans="6:6" ht="15.75" customHeight="1">
      <c r="F645" s="3"/>
    </row>
    <row r="646" spans="6:6" ht="15.75" customHeight="1">
      <c r="F646" s="3"/>
    </row>
    <row r="647" spans="6:6" ht="15.75" customHeight="1">
      <c r="F647" s="3"/>
    </row>
    <row r="648" spans="6:6" ht="15.75" customHeight="1">
      <c r="F648" s="3"/>
    </row>
    <row r="649" spans="6:6" ht="15.75" customHeight="1">
      <c r="F649" s="3"/>
    </row>
    <row r="650" spans="6:6" ht="15.75" customHeight="1">
      <c r="F650" s="3"/>
    </row>
    <row r="651" spans="6:6" ht="15.75" customHeight="1">
      <c r="F651" s="3"/>
    </row>
    <row r="652" spans="6:6" ht="15.75" customHeight="1">
      <c r="F652" s="3"/>
    </row>
    <row r="653" spans="6:6" ht="15.75" customHeight="1">
      <c r="F653" s="3"/>
    </row>
    <row r="654" spans="6:6" ht="15.75" customHeight="1">
      <c r="F654" s="3"/>
    </row>
    <row r="655" spans="6:6" ht="15.75" customHeight="1">
      <c r="F655" s="3"/>
    </row>
    <row r="656" spans="6:6" ht="15.75" customHeight="1">
      <c r="F656" s="3"/>
    </row>
    <row r="657" spans="6:6" ht="15.75" customHeight="1">
      <c r="F657" s="3"/>
    </row>
    <row r="658" spans="6:6" ht="15.75" customHeight="1">
      <c r="F658" s="3"/>
    </row>
    <row r="659" spans="6:6" ht="15.75" customHeight="1">
      <c r="F659" s="3"/>
    </row>
    <row r="660" spans="6:6" ht="15.75" customHeight="1">
      <c r="F660" s="3"/>
    </row>
    <row r="661" spans="6:6" ht="15.75" customHeight="1">
      <c r="F661" s="3"/>
    </row>
    <row r="662" spans="6:6" ht="15.75" customHeight="1">
      <c r="F662" s="3"/>
    </row>
    <row r="663" spans="6:6" ht="15.75" customHeight="1">
      <c r="F663" s="3"/>
    </row>
    <row r="664" spans="6:6" ht="15.75" customHeight="1">
      <c r="F664" s="3"/>
    </row>
    <row r="665" spans="6:6" ht="15.75" customHeight="1">
      <c r="F665" s="3"/>
    </row>
    <row r="666" spans="6:6" ht="15.75" customHeight="1">
      <c r="F666" s="3"/>
    </row>
    <row r="667" spans="6:6" ht="15.75" customHeight="1">
      <c r="F667" s="3"/>
    </row>
    <row r="668" spans="6:6" ht="15.75" customHeight="1">
      <c r="F668" s="3"/>
    </row>
    <row r="669" spans="6:6" ht="15.75" customHeight="1">
      <c r="F669" s="3"/>
    </row>
    <row r="670" spans="6:6" ht="15.75" customHeight="1">
      <c r="F670" s="3"/>
    </row>
    <row r="671" spans="6:6" ht="15.75" customHeight="1">
      <c r="F671" s="3"/>
    </row>
    <row r="672" spans="6:6" ht="15.75" customHeight="1">
      <c r="F672" s="3"/>
    </row>
    <row r="673" spans="6:6" ht="15.75" customHeight="1">
      <c r="F673" s="3"/>
    </row>
    <row r="674" spans="6:6" ht="15.75" customHeight="1">
      <c r="F674" s="3"/>
    </row>
    <row r="675" spans="6:6" ht="15.75" customHeight="1">
      <c r="F675" s="3"/>
    </row>
    <row r="676" spans="6:6" ht="15.75" customHeight="1">
      <c r="F676" s="3"/>
    </row>
    <row r="677" spans="6:6" ht="15.75" customHeight="1">
      <c r="F677" s="3"/>
    </row>
    <row r="678" spans="6:6" ht="15.75" customHeight="1">
      <c r="F678" s="3"/>
    </row>
    <row r="679" spans="6:6" ht="15.75" customHeight="1">
      <c r="F679" s="3"/>
    </row>
    <row r="680" spans="6:6" ht="15.75" customHeight="1">
      <c r="F680" s="3"/>
    </row>
    <row r="681" spans="6:6" ht="15.75" customHeight="1">
      <c r="F681" s="3"/>
    </row>
    <row r="682" spans="6:6" ht="15.75" customHeight="1">
      <c r="F682" s="3"/>
    </row>
    <row r="683" spans="6:6" ht="15.75" customHeight="1">
      <c r="F683" s="3"/>
    </row>
    <row r="684" spans="6:6" ht="15.75" customHeight="1">
      <c r="F684" s="3"/>
    </row>
    <row r="685" spans="6:6" ht="15.75" customHeight="1">
      <c r="F685" s="3"/>
    </row>
    <row r="686" spans="6:6" ht="15.75" customHeight="1">
      <c r="F686" s="3"/>
    </row>
    <row r="687" spans="6:6" ht="15.75" customHeight="1">
      <c r="F687" s="3"/>
    </row>
    <row r="688" spans="6:6" ht="15.75" customHeight="1">
      <c r="F688" s="3"/>
    </row>
    <row r="689" spans="6:6" ht="15.75" customHeight="1">
      <c r="F689" s="3"/>
    </row>
    <row r="690" spans="6:6" ht="15.75" customHeight="1">
      <c r="F690" s="3"/>
    </row>
    <row r="691" spans="6:6" ht="15.75" customHeight="1">
      <c r="F691" s="3"/>
    </row>
    <row r="692" spans="6:6" ht="15.75" customHeight="1">
      <c r="F692" s="3"/>
    </row>
    <row r="693" spans="6:6" ht="15.75" customHeight="1">
      <c r="F693" s="3"/>
    </row>
    <row r="694" spans="6:6" ht="15.75" customHeight="1">
      <c r="F694" s="3"/>
    </row>
    <row r="695" spans="6:6" ht="15.75" customHeight="1">
      <c r="F695" s="3"/>
    </row>
    <row r="696" spans="6:6" ht="15.75" customHeight="1">
      <c r="F696" s="3"/>
    </row>
    <row r="697" spans="6:6" ht="15.75" customHeight="1">
      <c r="F697" s="3"/>
    </row>
    <row r="698" spans="6:6" ht="15.75" customHeight="1">
      <c r="F698" s="3"/>
    </row>
    <row r="699" spans="6:6" ht="15.75" customHeight="1">
      <c r="F699" s="3"/>
    </row>
    <row r="700" spans="6:6" ht="15.75" customHeight="1">
      <c r="F700" s="3"/>
    </row>
    <row r="701" spans="6:6" ht="15.75" customHeight="1">
      <c r="F701" s="3"/>
    </row>
    <row r="702" spans="6:6" ht="15.75" customHeight="1">
      <c r="F702" s="3"/>
    </row>
    <row r="703" spans="6:6" ht="15.75" customHeight="1">
      <c r="F703" s="3"/>
    </row>
    <row r="704" spans="6:6" ht="15.75" customHeight="1">
      <c r="F704" s="3"/>
    </row>
    <row r="705" spans="6:6" ht="15.75" customHeight="1">
      <c r="F705" s="3"/>
    </row>
    <row r="706" spans="6:6" ht="15.75" customHeight="1">
      <c r="F706" s="3"/>
    </row>
    <row r="707" spans="6:6" ht="15.75" customHeight="1">
      <c r="F707" s="3"/>
    </row>
    <row r="708" spans="6:6" ht="15.75" customHeight="1">
      <c r="F708" s="3"/>
    </row>
    <row r="709" spans="6:6" ht="15.75" customHeight="1">
      <c r="F709" s="3"/>
    </row>
    <row r="710" spans="6:6" ht="15.75" customHeight="1">
      <c r="F710" s="3"/>
    </row>
    <row r="711" spans="6:6" ht="15.75" customHeight="1">
      <c r="F711" s="3"/>
    </row>
    <row r="712" spans="6:6" ht="15.75" customHeight="1">
      <c r="F712" s="3"/>
    </row>
    <row r="713" spans="6:6" ht="15.75" customHeight="1">
      <c r="F713" s="3"/>
    </row>
    <row r="714" spans="6:6" ht="15.75" customHeight="1">
      <c r="F714" s="3"/>
    </row>
    <row r="715" spans="6:6" ht="15.75" customHeight="1">
      <c r="F715" s="3"/>
    </row>
    <row r="716" spans="6:6" ht="15.75" customHeight="1">
      <c r="F716" s="3"/>
    </row>
    <row r="717" spans="6:6" ht="15.75" customHeight="1">
      <c r="F717" s="3"/>
    </row>
    <row r="718" spans="6:6" ht="15.75" customHeight="1">
      <c r="F718" s="3"/>
    </row>
    <row r="719" spans="6:6" ht="15.75" customHeight="1">
      <c r="F719" s="3"/>
    </row>
    <row r="720" spans="6:6" ht="15.75" customHeight="1">
      <c r="F720" s="3"/>
    </row>
    <row r="721" spans="6:6" ht="15.75" customHeight="1">
      <c r="F721" s="3"/>
    </row>
    <row r="722" spans="6:6" ht="15.75" customHeight="1">
      <c r="F722" s="3"/>
    </row>
    <row r="723" spans="6:6" ht="15.75" customHeight="1">
      <c r="F723" s="3"/>
    </row>
    <row r="724" spans="6:6" ht="15.75" customHeight="1">
      <c r="F724" s="3"/>
    </row>
    <row r="725" spans="6:6" ht="15.75" customHeight="1">
      <c r="F725" s="3"/>
    </row>
    <row r="726" spans="6:6" ht="15.75" customHeight="1">
      <c r="F726" s="3"/>
    </row>
    <row r="727" spans="6:6" ht="15.75" customHeight="1">
      <c r="F727" s="3"/>
    </row>
    <row r="728" spans="6:6" ht="15.75" customHeight="1">
      <c r="F728" s="3"/>
    </row>
    <row r="729" spans="6:6" ht="15.75" customHeight="1">
      <c r="F729" s="3"/>
    </row>
    <row r="730" spans="6:6" ht="15.75" customHeight="1">
      <c r="F730" s="3"/>
    </row>
    <row r="731" spans="6:6" ht="15.75" customHeight="1">
      <c r="F731" s="3"/>
    </row>
    <row r="732" spans="6:6" ht="15.75" customHeight="1">
      <c r="F732" s="3"/>
    </row>
    <row r="733" spans="6:6" ht="15.75" customHeight="1">
      <c r="F733" s="3"/>
    </row>
    <row r="734" spans="6:6" ht="15.75" customHeight="1">
      <c r="F734" s="3"/>
    </row>
    <row r="735" spans="6:6" ht="15.75" customHeight="1">
      <c r="F735" s="3"/>
    </row>
    <row r="736" spans="6:6" ht="15.75" customHeight="1">
      <c r="F736" s="3"/>
    </row>
    <row r="737" spans="6:6" ht="15.75" customHeight="1">
      <c r="F737" s="3"/>
    </row>
    <row r="738" spans="6:6" ht="15.75" customHeight="1">
      <c r="F738" s="3"/>
    </row>
    <row r="739" spans="6:6" ht="15.75" customHeight="1">
      <c r="F739" s="3"/>
    </row>
    <row r="740" spans="6:6" ht="15.75" customHeight="1">
      <c r="F740" s="3"/>
    </row>
    <row r="741" spans="6:6" ht="15.75" customHeight="1">
      <c r="F741" s="3"/>
    </row>
    <row r="742" spans="6:6" ht="15.75" customHeight="1">
      <c r="F742" s="3"/>
    </row>
    <row r="743" spans="6:6" ht="15.75" customHeight="1">
      <c r="F743" s="3"/>
    </row>
    <row r="744" spans="6:6" ht="15.75" customHeight="1">
      <c r="F744" s="3"/>
    </row>
    <row r="745" spans="6:6" ht="15.75" customHeight="1">
      <c r="F745" s="3"/>
    </row>
    <row r="746" spans="6:6" ht="15.75" customHeight="1">
      <c r="F746" s="3"/>
    </row>
    <row r="747" spans="6:6" ht="15.75" customHeight="1">
      <c r="F747" s="3"/>
    </row>
    <row r="748" spans="6:6" ht="15.75" customHeight="1">
      <c r="F748" s="3"/>
    </row>
    <row r="749" spans="6:6" ht="15.75" customHeight="1">
      <c r="F749" s="3"/>
    </row>
    <row r="750" spans="6:6" ht="15.75" customHeight="1">
      <c r="F750" s="3"/>
    </row>
    <row r="751" spans="6:6" ht="15.75" customHeight="1">
      <c r="F751" s="3"/>
    </row>
    <row r="752" spans="6:6" ht="15.75" customHeight="1">
      <c r="F752" s="3"/>
    </row>
    <row r="753" spans="6:6" ht="15.75" customHeight="1">
      <c r="F753" s="3"/>
    </row>
    <row r="754" spans="6:6" ht="15.75" customHeight="1">
      <c r="F754" s="3"/>
    </row>
    <row r="755" spans="6:6" ht="15.75" customHeight="1">
      <c r="F755" s="3"/>
    </row>
    <row r="756" spans="6:6" ht="15.75" customHeight="1">
      <c r="F756" s="3"/>
    </row>
    <row r="757" spans="6:6" ht="15.75" customHeight="1">
      <c r="F757" s="3"/>
    </row>
    <row r="758" spans="6:6" ht="15.75" customHeight="1">
      <c r="F758" s="3"/>
    </row>
    <row r="759" spans="6:6" ht="15.75" customHeight="1">
      <c r="F759" s="3"/>
    </row>
    <row r="760" spans="6:6" ht="15.75" customHeight="1">
      <c r="F760" s="3"/>
    </row>
    <row r="761" spans="6:6" ht="15.75" customHeight="1">
      <c r="F761" s="3"/>
    </row>
    <row r="762" spans="6:6" ht="15.75" customHeight="1">
      <c r="F762" s="3"/>
    </row>
    <row r="763" spans="6:6" ht="15.75" customHeight="1">
      <c r="F763" s="3"/>
    </row>
    <row r="764" spans="6:6" ht="15.75" customHeight="1">
      <c r="F764" s="3"/>
    </row>
    <row r="765" spans="6:6" ht="15.75" customHeight="1">
      <c r="F765" s="3"/>
    </row>
    <row r="766" spans="6:6" ht="15.75" customHeight="1">
      <c r="F766" s="3"/>
    </row>
    <row r="767" spans="6:6" ht="15.75" customHeight="1">
      <c r="F767" s="3"/>
    </row>
    <row r="768" spans="6:6" ht="15.75" customHeight="1">
      <c r="F768" s="3"/>
    </row>
    <row r="769" spans="6:6" ht="15.75" customHeight="1">
      <c r="F769" s="3"/>
    </row>
    <row r="770" spans="6:6" ht="15.75" customHeight="1">
      <c r="F770" s="3"/>
    </row>
    <row r="771" spans="6:6" ht="15.75" customHeight="1">
      <c r="F771" s="3"/>
    </row>
    <row r="772" spans="6:6" ht="15.75" customHeight="1">
      <c r="F772" s="3"/>
    </row>
    <row r="773" spans="6:6" ht="15.75" customHeight="1">
      <c r="F773" s="3"/>
    </row>
    <row r="774" spans="6:6" ht="15.75" customHeight="1">
      <c r="F774" s="3"/>
    </row>
    <row r="775" spans="6:6" ht="15.75" customHeight="1">
      <c r="F775" s="3"/>
    </row>
    <row r="776" spans="6:6" ht="15.75" customHeight="1">
      <c r="F776" s="3"/>
    </row>
    <row r="777" spans="6:6" ht="15.75" customHeight="1">
      <c r="F777" s="3"/>
    </row>
    <row r="778" spans="6:6" ht="15.75" customHeight="1">
      <c r="F778" s="3"/>
    </row>
    <row r="779" spans="6:6" ht="15.75" customHeight="1">
      <c r="F779" s="3"/>
    </row>
    <row r="780" spans="6:6" ht="15.75" customHeight="1">
      <c r="F780" s="3"/>
    </row>
    <row r="781" spans="6:6" ht="15.75" customHeight="1">
      <c r="F781" s="3"/>
    </row>
    <row r="782" spans="6:6" ht="15.75" customHeight="1">
      <c r="F782" s="3"/>
    </row>
    <row r="783" spans="6:6" ht="15.75" customHeight="1">
      <c r="F783" s="3"/>
    </row>
    <row r="784" spans="6:6" ht="15.75" customHeight="1">
      <c r="F784" s="3"/>
    </row>
    <row r="785" spans="6:6" ht="15.75" customHeight="1">
      <c r="F785" s="3"/>
    </row>
    <row r="786" spans="6:6" ht="15.75" customHeight="1">
      <c r="F786" s="3"/>
    </row>
    <row r="787" spans="6:6" ht="15.75" customHeight="1">
      <c r="F787" s="3"/>
    </row>
    <row r="788" spans="6:6" ht="15.75" customHeight="1">
      <c r="F788" s="3"/>
    </row>
    <row r="789" spans="6:6" ht="15.75" customHeight="1">
      <c r="F789" s="3"/>
    </row>
    <row r="790" spans="6:6" ht="15.75" customHeight="1">
      <c r="F790" s="3"/>
    </row>
    <row r="791" spans="6:6" ht="15.75" customHeight="1">
      <c r="F791" s="3"/>
    </row>
    <row r="792" spans="6:6" ht="15.75" customHeight="1">
      <c r="F792" s="3"/>
    </row>
    <row r="793" spans="6:6" ht="15.75" customHeight="1">
      <c r="F793" s="3"/>
    </row>
    <row r="794" spans="6:6" ht="15.75" customHeight="1">
      <c r="F794" s="3"/>
    </row>
    <row r="795" spans="6:6" ht="15.75" customHeight="1">
      <c r="F795" s="3"/>
    </row>
    <row r="796" spans="6:6" ht="15.75" customHeight="1">
      <c r="F796" s="3"/>
    </row>
    <row r="797" spans="6:6" ht="15.75" customHeight="1">
      <c r="F797" s="3"/>
    </row>
    <row r="798" spans="6:6" ht="15.75" customHeight="1">
      <c r="F798" s="3"/>
    </row>
    <row r="799" spans="6:6" ht="15.75" customHeight="1">
      <c r="F799" s="3"/>
    </row>
    <row r="800" spans="6:6" ht="15.75" customHeight="1">
      <c r="F800" s="3"/>
    </row>
    <row r="801" spans="6:6" ht="15.75" customHeight="1">
      <c r="F801" s="3"/>
    </row>
    <row r="802" spans="6:6" ht="15.75" customHeight="1">
      <c r="F802" s="3"/>
    </row>
    <row r="803" spans="6:6" ht="15.75" customHeight="1">
      <c r="F803" s="3"/>
    </row>
    <row r="804" spans="6:6" ht="15.75" customHeight="1">
      <c r="F804" s="3"/>
    </row>
    <row r="805" spans="6:6" ht="15.75" customHeight="1">
      <c r="F805" s="3"/>
    </row>
    <row r="806" spans="6:6" ht="15.75" customHeight="1">
      <c r="F806" s="3"/>
    </row>
    <row r="807" spans="6:6" ht="15.75" customHeight="1">
      <c r="F807" s="3"/>
    </row>
    <row r="808" spans="6:6" ht="15.75" customHeight="1">
      <c r="F808" s="3"/>
    </row>
    <row r="809" spans="6:6" ht="15.75" customHeight="1">
      <c r="F809" s="3"/>
    </row>
    <row r="810" spans="6:6" ht="15.75" customHeight="1">
      <c r="F810" s="3"/>
    </row>
    <row r="811" spans="6:6" ht="15.75" customHeight="1">
      <c r="F811" s="3"/>
    </row>
    <row r="812" spans="6:6" ht="15.75" customHeight="1">
      <c r="F812" s="3"/>
    </row>
    <row r="813" spans="6:6" ht="15.75" customHeight="1">
      <c r="F813" s="3"/>
    </row>
    <row r="814" spans="6:6" ht="15.75" customHeight="1">
      <c r="F814" s="3"/>
    </row>
    <row r="815" spans="6:6" ht="15.75" customHeight="1">
      <c r="F815" s="3"/>
    </row>
    <row r="816" spans="6:6" ht="15.75" customHeight="1">
      <c r="F816" s="3"/>
    </row>
    <row r="817" spans="6:6" ht="15.75" customHeight="1">
      <c r="F817" s="3"/>
    </row>
    <row r="818" spans="6:6" ht="15.75" customHeight="1">
      <c r="F818" s="3"/>
    </row>
    <row r="819" spans="6:6" ht="15.75" customHeight="1">
      <c r="F819" s="3"/>
    </row>
    <row r="820" spans="6:6" ht="15.75" customHeight="1">
      <c r="F820" s="3"/>
    </row>
    <row r="821" spans="6:6" ht="15.75" customHeight="1">
      <c r="F821" s="3"/>
    </row>
    <row r="822" spans="6:6" ht="15.75" customHeight="1">
      <c r="F822" s="3"/>
    </row>
    <row r="823" spans="6:6" ht="15.75" customHeight="1">
      <c r="F823" s="3"/>
    </row>
    <row r="824" spans="6:6" ht="15.75" customHeight="1">
      <c r="F824" s="3"/>
    </row>
    <row r="825" spans="6:6" ht="15.75" customHeight="1">
      <c r="F825" s="3"/>
    </row>
    <row r="826" spans="6:6" ht="15.75" customHeight="1">
      <c r="F826" s="3"/>
    </row>
    <row r="827" spans="6:6" ht="15.75" customHeight="1">
      <c r="F827" s="3"/>
    </row>
    <row r="828" spans="6:6" ht="15.75" customHeight="1">
      <c r="F828" s="3"/>
    </row>
    <row r="829" spans="6:6" ht="15.75" customHeight="1">
      <c r="F829" s="3"/>
    </row>
    <row r="830" spans="6:6" ht="15.75" customHeight="1">
      <c r="F830" s="3"/>
    </row>
    <row r="831" spans="6:6" ht="15.75" customHeight="1">
      <c r="F831" s="3"/>
    </row>
    <row r="832" spans="6:6" ht="15.75" customHeight="1">
      <c r="F832" s="3"/>
    </row>
    <row r="833" spans="6:6" ht="15.75" customHeight="1">
      <c r="F833" s="3"/>
    </row>
    <row r="834" spans="6:6" ht="15.75" customHeight="1">
      <c r="F834" s="3"/>
    </row>
    <row r="835" spans="6:6" ht="15.75" customHeight="1">
      <c r="F835" s="3"/>
    </row>
    <row r="836" spans="6:6" ht="15.75" customHeight="1">
      <c r="F836" s="3"/>
    </row>
    <row r="837" spans="6:6" ht="15.75" customHeight="1">
      <c r="F837" s="3"/>
    </row>
    <row r="838" spans="6:6" ht="15.75" customHeight="1">
      <c r="F838" s="3"/>
    </row>
    <row r="839" spans="6:6" ht="15.75" customHeight="1">
      <c r="F839" s="3"/>
    </row>
    <row r="840" spans="6:6" ht="15.75" customHeight="1">
      <c r="F840" s="3"/>
    </row>
    <row r="841" spans="6:6" ht="15.75" customHeight="1">
      <c r="F841" s="3"/>
    </row>
    <row r="842" spans="6:6" ht="15.75" customHeight="1">
      <c r="F842" s="3"/>
    </row>
    <row r="843" spans="6:6" ht="15.75" customHeight="1">
      <c r="F843" s="3"/>
    </row>
    <row r="844" spans="6:6" ht="15.75" customHeight="1">
      <c r="F844" s="3"/>
    </row>
    <row r="845" spans="6:6" ht="15.75" customHeight="1">
      <c r="F845" s="3"/>
    </row>
    <row r="846" spans="6:6" ht="15.75" customHeight="1">
      <c r="F846" s="3"/>
    </row>
    <row r="847" spans="6:6" ht="15.75" customHeight="1">
      <c r="F847" s="3"/>
    </row>
    <row r="848" spans="6:6" ht="15.75" customHeight="1">
      <c r="F848" s="3"/>
    </row>
    <row r="849" spans="6:6" ht="15.75" customHeight="1">
      <c r="F849" s="3"/>
    </row>
    <row r="850" spans="6:6" ht="15.75" customHeight="1">
      <c r="F850" s="3"/>
    </row>
    <row r="851" spans="6:6" ht="15.75" customHeight="1">
      <c r="F851" s="3"/>
    </row>
    <row r="852" spans="6:6" ht="15.75" customHeight="1">
      <c r="F852" s="3"/>
    </row>
    <row r="853" spans="6:6" ht="15.75" customHeight="1">
      <c r="F853" s="3"/>
    </row>
    <row r="854" spans="6:6" ht="15.75" customHeight="1">
      <c r="F854" s="3"/>
    </row>
    <row r="855" spans="6:6" ht="15.75" customHeight="1">
      <c r="F855" s="3"/>
    </row>
    <row r="856" spans="6:6" ht="15.75" customHeight="1">
      <c r="F856" s="3"/>
    </row>
    <row r="857" spans="6:6" ht="15.75" customHeight="1">
      <c r="F857" s="3"/>
    </row>
    <row r="858" spans="6:6" ht="15.75" customHeight="1">
      <c r="F858" s="3"/>
    </row>
    <row r="859" spans="6:6" ht="15.75" customHeight="1">
      <c r="F859" s="3"/>
    </row>
    <row r="860" spans="6:6" ht="15.75" customHeight="1">
      <c r="F860" s="3"/>
    </row>
    <row r="861" spans="6:6" ht="15.75" customHeight="1">
      <c r="F861" s="3"/>
    </row>
    <row r="862" spans="6:6" ht="15.75" customHeight="1">
      <c r="F862" s="3"/>
    </row>
    <row r="863" spans="6:6" ht="15.75" customHeight="1">
      <c r="F863" s="3"/>
    </row>
    <row r="864" spans="6:6" ht="15.75" customHeight="1">
      <c r="F864" s="3"/>
    </row>
    <row r="865" spans="6:6" ht="15.75" customHeight="1">
      <c r="F865" s="3"/>
    </row>
    <row r="866" spans="6:6" ht="15.75" customHeight="1">
      <c r="F866" s="3"/>
    </row>
    <row r="867" spans="6:6" ht="15.75" customHeight="1">
      <c r="F867" s="3"/>
    </row>
    <row r="868" spans="6:6" ht="15.75" customHeight="1">
      <c r="F868" s="3"/>
    </row>
    <row r="869" spans="6:6" ht="15.75" customHeight="1">
      <c r="F869" s="3"/>
    </row>
    <row r="870" spans="6:6" ht="15.75" customHeight="1">
      <c r="F870" s="3"/>
    </row>
    <row r="871" spans="6:6" ht="15.75" customHeight="1">
      <c r="F871" s="3"/>
    </row>
    <row r="872" spans="6:6" ht="15.75" customHeight="1">
      <c r="F872" s="3"/>
    </row>
    <row r="873" spans="6:6" ht="15.75" customHeight="1">
      <c r="F873" s="3"/>
    </row>
    <row r="874" spans="6:6" ht="15.75" customHeight="1">
      <c r="F874" s="3"/>
    </row>
    <row r="875" spans="6:6" ht="15.75" customHeight="1">
      <c r="F875" s="3"/>
    </row>
    <row r="876" spans="6:6" ht="15.75" customHeight="1">
      <c r="F876" s="3"/>
    </row>
    <row r="877" spans="6:6" ht="15.75" customHeight="1">
      <c r="F877" s="3"/>
    </row>
    <row r="878" spans="6:6" ht="15.75" customHeight="1">
      <c r="F878" s="3"/>
    </row>
    <row r="879" spans="6:6" ht="15.75" customHeight="1">
      <c r="F879" s="3"/>
    </row>
    <row r="880" spans="6:6" ht="15.75" customHeight="1">
      <c r="F880" s="3"/>
    </row>
    <row r="881" spans="6:6" ht="15.75" customHeight="1">
      <c r="F881" s="3"/>
    </row>
    <row r="882" spans="6:6" ht="15.75" customHeight="1">
      <c r="F882" s="3"/>
    </row>
    <row r="883" spans="6:6" ht="15.75" customHeight="1">
      <c r="F883" s="3"/>
    </row>
    <row r="884" spans="6:6" ht="15.75" customHeight="1">
      <c r="F884" s="3"/>
    </row>
    <row r="885" spans="6:6" ht="15.75" customHeight="1">
      <c r="F885" s="3"/>
    </row>
    <row r="886" spans="6:6" ht="15.75" customHeight="1">
      <c r="F886" s="3"/>
    </row>
    <row r="887" spans="6:6" ht="15.75" customHeight="1">
      <c r="F887" s="3"/>
    </row>
    <row r="888" spans="6:6" ht="15.75" customHeight="1">
      <c r="F888" s="3"/>
    </row>
    <row r="889" spans="6:6" ht="15.75" customHeight="1">
      <c r="F889" s="3"/>
    </row>
    <row r="890" spans="6:6" ht="15.75" customHeight="1">
      <c r="F890" s="3"/>
    </row>
    <row r="891" spans="6:6" ht="15.75" customHeight="1">
      <c r="F891" s="3"/>
    </row>
    <row r="892" spans="6:6" ht="15.75" customHeight="1">
      <c r="F892" s="3"/>
    </row>
    <row r="893" spans="6:6" ht="15.75" customHeight="1">
      <c r="F893" s="3"/>
    </row>
    <row r="894" spans="6:6" ht="15.75" customHeight="1">
      <c r="F894" s="3"/>
    </row>
    <row r="895" spans="6:6" ht="15.75" customHeight="1">
      <c r="F895" s="3"/>
    </row>
    <row r="896" spans="6:6" ht="15.75" customHeight="1">
      <c r="F896" s="3"/>
    </row>
    <row r="897" spans="6:6" ht="15.75" customHeight="1">
      <c r="F897" s="3"/>
    </row>
    <row r="898" spans="6:6" ht="15.75" customHeight="1">
      <c r="F898" s="3"/>
    </row>
    <row r="899" spans="6:6" ht="15.75" customHeight="1">
      <c r="F899" s="3"/>
    </row>
    <row r="900" spans="6:6" ht="15.75" customHeight="1">
      <c r="F900" s="3"/>
    </row>
    <row r="901" spans="6:6" ht="15.75" customHeight="1">
      <c r="F901" s="3"/>
    </row>
    <row r="902" spans="6:6" ht="15.75" customHeight="1">
      <c r="F902" s="3"/>
    </row>
    <row r="903" spans="6:6" ht="15.75" customHeight="1">
      <c r="F903" s="3"/>
    </row>
    <row r="904" spans="6:6" ht="15.75" customHeight="1">
      <c r="F904" s="3"/>
    </row>
    <row r="905" spans="6:6" ht="15.75" customHeight="1">
      <c r="F905" s="3"/>
    </row>
    <row r="906" spans="6:6" ht="15.75" customHeight="1">
      <c r="F906" s="3"/>
    </row>
    <row r="907" spans="6:6" ht="15.75" customHeight="1">
      <c r="F907" s="3"/>
    </row>
    <row r="908" spans="6:6" ht="15.75" customHeight="1">
      <c r="F908" s="3"/>
    </row>
    <row r="909" spans="6:6" ht="15.75" customHeight="1">
      <c r="F909" s="3"/>
    </row>
    <row r="910" spans="6:6" ht="15.75" customHeight="1">
      <c r="F910" s="3"/>
    </row>
    <row r="911" spans="6:6" ht="15.75" customHeight="1">
      <c r="F911" s="3"/>
    </row>
    <row r="912" spans="6:6" ht="15.75" customHeight="1">
      <c r="F912" s="3"/>
    </row>
    <row r="913" spans="6:6" ht="15.75" customHeight="1">
      <c r="F913" s="3"/>
    </row>
    <row r="914" spans="6:6" ht="15.75" customHeight="1">
      <c r="F914" s="3"/>
    </row>
    <row r="915" spans="6:6" ht="15.75" customHeight="1">
      <c r="F915" s="3"/>
    </row>
    <row r="916" spans="6:6" ht="15.75" customHeight="1">
      <c r="F916" s="3"/>
    </row>
    <row r="917" spans="6:6" ht="15.75" customHeight="1">
      <c r="F917" s="3"/>
    </row>
    <row r="918" spans="6:6" ht="15.75" customHeight="1">
      <c r="F918" s="3"/>
    </row>
    <row r="919" spans="6:6" ht="15.75" customHeight="1">
      <c r="F919" s="3"/>
    </row>
    <row r="920" spans="6:6" ht="15.75" customHeight="1">
      <c r="F920" s="3"/>
    </row>
    <row r="921" spans="6:6" ht="15.75" customHeight="1">
      <c r="F921" s="3"/>
    </row>
    <row r="922" spans="6:6" ht="15.75" customHeight="1">
      <c r="F922" s="3"/>
    </row>
    <row r="923" spans="6:6" ht="15.75" customHeight="1">
      <c r="F923" s="3"/>
    </row>
    <row r="924" spans="6:6" ht="15.75" customHeight="1">
      <c r="F924" s="3"/>
    </row>
    <row r="925" spans="6:6" ht="15.75" customHeight="1">
      <c r="F925" s="3"/>
    </row>
    <row r="926" spans="6:6" ht="15.75" customHeight="1">
      <c r="F926" s="3"/>
    </row>
    <row r="927" spans="6:6" ht="15.75" customHeight="1">
      <c r="F927" s="3"/>
    </row>
    <row r="928" spans="6:6" ht="15.75" customHeight="1">
      <c r="F928" s="3"/>
    </row>
    <row r="929" spans="6:6" ht="15.75" customHeight="1">
      <c r="F929" s="3"/>
    </row>
    <row r="930" spans="6:6" ht="15.75" customHeight="1">
      <c r="F930" s="3"/>
    </row>
    <row r="931" spans="6:6" ht="15.75" customHeight="1">
      <c r="F931" s="3"/>
    </row>
    <row r="932" spans="6:6" ht="15.75" customHeight="1">
      <c r="F932" s="3"/>
    </row>
    <row r="933" spans="6:6" ht="15.75" customHeight="1">
      <c r="F933" s="3"/>
    </row>
    <row r="934" spans="6:6" ht="15.75" customHeight="1">
      <c r="F934" s="3"/>
    </row>
    <row r="935" spans="6:6" ht="15.75" customHeight="1">
      <c r="F935" s="3"/>
    </row>
    <row r="936" spans="6:6" ht="15.75" customHeight="1">
      <c r="F936" s="3"/>
    </row>
    <row r="937" spans="6:6" ht="15.75" customHeight="1">
      <c r="F937" s="3"/>
    </row>
    <row r="938" spans="6:6" ht="15.75" customHeight="1">
      <c r="F938" s="3"/>
    </row>
    <row r="939" spans="6:6" ht="15.75" customHeight="1">
      <c r="F939" s="3"/>
    </row>
    <row r="940" spans="6:6" ht="15.75" customHeight="1">
      <c r="F940" s="3"/>
    </row>
    <row r="941" spans="6:6" ht="15.75" customHeight="1">
      <c r="F941" s="3"/>
    </row>
    <row r="942" spans="6:6" ht="15.75" customHeight="1">
      <c r="F942" s="3"/>
    </row>
    <row r="943" spans="6:6" ht="15.75" customHeight="1">
      <c r="F943" s="3"/>
    </row>
    <row r="944" spans="6:6" ht="15.75" customHeight="1">
      <c r="F944" s="3"/>
    </row>
    <row r="945" spans="6:6" ht="15.75" customHeight="1">
      <c r="F945" s="3"/>
    </row>
    <row r="946" spans="6:6" ht="15.75" customHeight="1">
      <c r="F946" s="3"/>
    </row>
    <row r="947" spans="6:6" ht="15.75" customHeight="1">
      <c r="F947" s="3"/>
    </row>
    <row r="948" spans="6:6" ht="15.75" customHeight="1">
      <c r="F948" s="3"/>
    </row>
    <row r="949" spans="6:6" ht="15.75" customHeight="1">
      <c r="F949" s="3"/>
    </row>
    <row r="950" spans="6:6" ht="15.75" customHeight="1">
      <c r="F950" s="3"/>
    </row>
    <row r="951" spans="6:6" ht="15.75" customHeight="1">
      <c r="F951" s="3"/>
    </row>
    <row r="952" spans="6:6" ht="15.75" customHeight="1">
      <c r="F952" s="3"/>
    </row>
    <row r="953" spans="6:6" ht="15.75" customHeight="1">
      <c r="F953" s="3"/>
    </row>
    <row r="954" spans="6:6" ht="15.75" customHeight="1">
      <c r="F954" s="3"/>
    </row>
    <row r="955" spans="6:6" ht="15.75" customHeight="1">
      <c r="F955" s="3"/>
    </row>
    <row r="956" spans="6:6" ht="15.75" customHeight="1">
      <c r="F956" s="3"/>
    </row>
    <row r="957" spans="6:6" ht="15.75" customHeight="1">
      <c r="F957" s="3"/>
    </row>
    <row r="958" spans="6:6" ht="15.75" customHeight="1">
      <c r="F958" s="3"/>
    </row>
    <row r="959" spans="6:6" ht="15.75" customHeight="1">
      <c r="F959" s="3"/>
    </row>
    <row r="960" spans="6:6" ht="15.75" customHeight="1">
      <c r="F960" s="3"/>
    </row>
    <row r="961" spans="6:6" ht="15.75" customHeight="1">
      <c r="F961" s="3"/>
    </row>
    <row r="962" spans="6:6" ht="15.75" customHeight="1">
      <c r="F962" s="3"/>
    </row>
    <row r="963" spans="6:6" ht="15.75" customHeight="1">
      <c r="F963" s="3"/>
    </row>
    <row r="964" spans="6:6" ht="15.75" customHeight="1">
      <c r="F964" s="3"/>
    </row>
    <row r="965" spans="6:6" ht="15.75" customHeight="1">
      <c r="F965" s="3"/>
    </row>
    <row r="966" spans="6:6" ht="15.75" customHeight="1">
      <c r="F966" s="3"/>
    </row>
    <row r="967" spans="6:6" ht="15.75" customHeight="1">
      <c r="F967" s="3"/>
    </row>
    <row r="968" spans="6:6" ht="15.75" customHeight="1">
      <c r="F968" s="3"/>
    </row>
    <row r="969" spans="6:6" ht="15.75" customHeight="1">
      <c r="F969" s="3"/>
    </row>
    <row r="970" spans="6:6" ht="15.75" customHeight="1">
      <c r="F970" s="3"/>
    </row>
    <row r="971" spans="6:6" ht="15.75" customHeight="1">
      <c r="F971" s="3"/>
    </row>
    <row r="972" spans="6:6" ht="15.75" customHeight="1">
      <c r="F972" s="3"/>
    </row>
    <row r="973" spans="6:6" ht="15.75" customHeight="1">
      <c r="F973" s="3"/>
    </row>
    <row r="974" spans="6:6" ht="15.75" customHeight="1">
      <c r="F974" s="3"/>
    </row>
    <row r="975" spans="6:6" ht="15.75" customHeight="1">
      <c r="F975" s="3"/>
    </row>
    <row r="976" spans="6:6" ht="15.75" customHeight="1">
      <c r="F976" s="3"/>
    </row>
    <row r="977" spans="6:6" ht="15.75" customHeight="1">
      <c r="F977" s="3"/>
    </row>
    <row r="978" spans="6:6" ht="15.75" customHeight="1">
      <c r="F978" s="3"/>
    </row>
    <row r="979" spans="6:6" ht="15.75" customHeight="1">
      <c r="F979" s="3"/>
    </row>
    <row r="980" spans="6:6" ht="15.75" customHeight="1">
      <c r="F980" s="3"/>
    </row>
    <row r="981" spans="6:6" ht="15.75" customHeight="1">
      <c r="F981" s="3"/>
    </row>
    <row r="982" spans="6:6" ht="15.75" customHeight="1">
      <c r="F982" s="3"/>
    </row>
    <row r="983" spans="6:6" ht="15.75" customHeight="1">
      <c r="F983" s="3"/>
    </row>
    <row r="984" spans="6:6" ht="15.75" customHeight="1">
      <c r="F984" s="3"/>
    </row>
    <row r="985" spans="6:6" ht="15.75" customHeight="1">
      <c r="F985" s="3"/>
    </row>
    <row r="986" spans="6:6" ht="15.75" customHeight="1">
      <c r="F986" s="3"/>
    </row>
    <row r="987" spans="6:6" ht="15.75" customHeight="1">
      <c r="F987" s="3"/>
    </row>
    <row r="988" spans="6:6" ht="15.75" customHeight="1">
      <c r="F988" s="3"/>
    </row>
    <row r="989" spans="6:6" ht="15.75" customHeight="1">
      <c r="F989" s="3"/>
    </row>
    <row r="990" spans="6:6" ht="15.75" customHeight="1">
      <c r="F990" s="3"/>
    </row>
    <row r="991" spans="6:6" ht="15.75" customHeight="1">
      <c r="F991" s="3"/>
    </row>
    <row r="992" spans="6:6" ht="15.75" customHeight="1">
      <c r="F992" s="3"/>
    </row>
    <row r="993" spans="6:6" ht="15.75" customHeight="1">
      <c r="F993" s="3"/>
    </row>
    <row r="994" spans="6:6" ht="15.75" customHeight="1">
      <c r="F994" s="3"/>
    </row>
    <row r="995" spans="6:6" ht="15.75" customHeight="1">
      <c r="F995" s="3"/>
    </row>
    <row r="996" spans="6:6" ht="15.75" customHeight="1">
      <c r="F996" s="3"/>
    </row>
    <row r="997" spans="6:6" ht="15.75" customHeight="1">
      <c r="F997" s="3"/>
    </row>
    <row r="998" spans="6:6" ht="15.75" customHeight="1">
      <c r="F998" s="3"/>
    </row>
    <row r="999" spans="6:6" ht="15.75" customHeight="1">
      <c r="F999" s="3"/>
    </row>
    <row r="1000" spans="6:6" ht="15.75" customHeight="1">
      <c r="F1000" s="3"/>
    </row>
  </sheetData>
  <autoFilter ref="A3:I3" xr:uid="{00000000-0009-0000-0000-000000000000}">
    <sortState xmlns:xlrd2="http://schemas.microsoft.com/office/spreadsheetml/2017/richdata2" ref="A4:I190">
      <sortCondition ref="A3"/>
    </sortState>
  </autoFilter>
  <pageMargins left="0.7" right="0.7" top="0.75" bottom="0.75" header="0" footer="0"/>
  <pageSetup paperSize="9" fitToHeight="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C1" workbookViewId="0">
      <selection activeCell="E88" sqref="E88:E102"/>
    </sheetView>
  </sheetViews>
  <sheetFormatPr defaultColWidth="14.453125" defaultRowHeight="15" customHeight="1"/>
  <cols>
    <col min="1" max="1" width="16" customWidth="1"/>
    <col min="2" max="2" width="24.54296875" customWidth="1"/>
    <col min="3" max="3" width="51" customWidth="1"/>
    <col min="4" max="4" width="17.36328125" customWidth="1"/>
    <col min="5" max="5" width="18" bestFit="1" customWidth="1"/>
    <col min="6" max="6" width="14.453125" customWidth="1"/>
    <col min="9" max="9" width="23.54296875" customWidth="1"/>
    <col min="10" max="10" width="32.6328125" customWidth="1"/>
  </cols>
  <sheetData>
    <row r="1" spans="1:10" ht="14.25" customHeight="1">
      <c r="A1" s="1" t="s">
        <v>0</v>
      </c>
      <c r="B1" s="1"/>
      <c r="C1" s="23" t="s">
        <v>98</v>
      </c>
      <c r="D1" s="2"/>
      <c r="E1" s="2"/>
      <c r="F1" s="24"/>
      <c r="I1" s="25"/>
      <c r="J1" s="2"/>
    </row>
    <row r="2" spans="1:10" ht="14.25" customHeight="1">
      <c r="A2" s="4" t="s">
        <v>2</v>
      </c>
      <c r="B2" s="26" t="s">
        <v>99</v>
      </c>
      <c r="C2" s="23" t="s">
        <v>100</v>
      </c>
      <c r="D2" s="1" t="s">
        <v>101</v>
      </c>
      <c r="E2" s="2"/>
      <c r="F2" s="24"/>
      <c r="I2" s="25"/>
      <c r="J2" s="2"/>
    </row>
    <row r="3" spans="1:10" ht="53.25" customHeight="1">
      <c r="A3" s="27" t="s">
        <v>6</v>
      </c>
      <c r="B3" s="27" t="s">
        <v>102</v>
      </c>
      <c r="C3" s="27" t="s">
        <v>103</v>
      </c>
      <c r="D3" s="27" t="s">
        <v>9</v>
      </c>
      <c r="E3" s="27" t="s">
        <v>10</v>
      </c>
      <c r="F3" s="28" t="s">
        <v>104</v>
      </c>
      <c r="G3" s="27" t="s">
        <v>12</v>
      </c>
      <c r="H3" s="27" t="s">
        <v>13</v>
      </c>
      <c r="I3" s="27" t="s">
        <v>14</v>
      </c>
      <c r="J3" s="27" t="s">
        <v>105</v>
      </c>
    </row>
    <row r="4" spans="1:10" ht="15" customHeight="1">
      <c r="A4" s="9">
        <v>1</v>
      </c>
      <c r="B4" s="9" t="s">
        <v>128</v>
      </c>
      <c r="C4" s="29" t="s">
        <v>129</v>
      </c>
      <c r="D4" s="10">
        <v>8</v>
      </c>
      <c r="E4" s="30">
        <f>SUM(24.1)/3.14</f>
        <v>7.6751592356687901</v>
      </c>
      <c r="F4" s="10">
        <f>AVERAGE(0.25,0.41)</f>
        <v>0.32999999999999996</v>
      </c>
      <c r="G4" s="30">
        <f t="shared" ref="G4:G37" si="0">0.0673*(F4*E4^2*D4)^0.976</f>
        <v>9.2723772110168188</v>
      </c>
      <c r="H4" s="31"/>
      <c r="I4" s="10" t="s">
        <v>87</v>
      </c>
      <c r="J4" s="15"/>
    </row>
    <row r="5" spans="1:10" ht="15" customHeight="1">
      <c r="A5" s="9">
        <v>1</v>
      </c>
      <c r="B5" s="9" t="s">
        <v>122</v>
      </c>
      <c r="C5" s="29" t="s">
        <v>123</v>
      </c>
      <c r="D5" s="10">
        <v>7.5</v>
      </c>
      <c r="E5" s="12">
        <f>SUM(29+27+16.5)/3.14</f>
        <v>23.089171974522291</v>
      </c>
      <c r="F5" s="10">
        <f>AVERAGE(0.5,0.6)</f>
        <v>0.55000000000000004</v>
      </c>
      <c r="G5" s="30">
        <f t="shared" si="0"/>
        <v>123.03876351951861</v>
      </c>
      <c r="H5" s="31"/>
      <c r="I5" s="10" t="s">
        <v>22</v>
      </c>
      <c r="J5" s="15"/>
    </row>
    <row r="6" spans="1:10" ht="15" customHeight="1">
      <c r="A6" s="9">
        <v>1</v>
      </c>
      <c r="B6" s="9" t="s">
        <v>70</v>
      </c>
      <c r="C6" s="29" t="s">
        <v>71</v>
      </c>
      <c r="D6" s="10">
        <v>6.3</v>
      </c>
      <c r="E6" s="12">
        <f>SUM(29.5)/3.14</f>
        <v>9.3949044585987256</v>
      </c>
      <c r="F6" s="13">
        <f>AVERAGE(0.37,0.6)</f>
        <v>0.48499999999999999</v>
      </c>
      <c r="G6" s="30">
        <f t="shared" si="0"/>
        <v>15.868697431184696</v>
      </c>
      <c r="H6" s="31"/>
      <c r="I6" s="10"/>
      <c r="J6" s="15"/>
    </row>
    <row r="7" spans="1:10" ht="15" customHeight="1">
      <c r="A7" s="9">
        <v>1</v>
      </c>
      <c r="B7" s="9" t="s">
        <v>70</v>
      </c>
      <c r="C7" s="29" t="s">
        <v>71</v>
      </c>
      <c r="D7" s="15">
        <v>5.5</v>
      </c>
      <c r="E7" s="12">
        <f>SUM(26.6)/3.14</f>
        <v>8.4713375796178347</v>
      </c>
      <c r="F7" s="13">
        <f>AVERAGE(0.37,0.6)</f>
        <v>0.48499999999999999</v>
      </c>
      <c r="G7" s="30">
        <f t="shared" si="0"/>
        <v>11.356781434656366</v>
      </c>
      <c r="H7" s="31"/>
      <c r="I7" s="10"/>
      <c r="J7" s="15"/>
    </row>
    <row r="8" spans="1:10" ht="15" customHeight="1">
      <c r="A8" s="9">
        <v>1</v>
      </c>
      <c r="B8" s="9" t="s">
        <v>160</v>
      </c>
      <c r="C8" s="29" t="s">
        <v>161</v>
      </c>
      <c r="D8" s="10">
        <v>6.5</v>
      </c>
      <c r="E8" s="30">
        <f>SUM(28.5)/3.14</f>
        <v>9.0764331210191074</v>
      </c>
      <c r="F8" s="10">
        <f>AVERAGE(0.5,0.68)</f>
        <v>0.59000000000000008</v>
      </c>
      <c r="G8" s="30">
        <f t="shared" si="0"/>
        <v>18.519129020250279</v>
      </c>
      <c r="H8" s="31"/>
      <c r="I8" s="10" t="s">
        <v>87</v>
      </c>
      <c r="J8" s="15"/>
    </row>
    <row r="9" spans="1:10" ht="15" customHeight="1">
      <c r="A9" s="9">
        <v>1</v>
      </c>
      <c r="B9" s="9" t="s">
        <v>160</v>
      </c>
      <c r="C9" s="29" t="s">
        <v>161</v>
      </c>
      <c r="D9" s="10">
        <v>3.5</v>
      </c>
      <c r="E9" s="30">
        <f>SUM(15.5)/3.14</f>
        <v>4.936305732484076</v>
      </c>
      <c r="F9" s="10">
        <f>AVERAGE(0.5,0.68)</f>
        <v>0.59000000000000008</v>
      </c>
      <c r="G9" s="30">
        <f t="shared" si="0"/>
        <v>3.0824627754896237</v>
      </c>
      <c r="H9" s="31"/>
      <c r="I9" s="10" t="s">
        <v>87</v>
      </c>
      <c r="J9" s="15"/>
    </row>
    <row r="10" spans="1:10" ht="15" customHeight="1">
      <c r="A10" s="9">
        <v>1</v>
      </c>
      <c r="B10" s="9" t="s">
        <v>56</v>
      </c>
      <c r="C10" s="29" t="s">
        <v>139</v>
      </c>
      <c r="D10" s="15">
        <v>6</v>
      </c>
      <c r="E10" s="30">
        <f>SUM(12.4)/3.14</f>
        <v>3.9490445859872612</v>
      </c>
      <c r="F10" s="10">
        <f>AVERAGE(0.58,0.77)</f>
        <v>0.67500000000000004</v>
      </c>
      <c r="G10" s="30">
        <f t="shared" si="0"/>
        <v>3.8480758445549572</v>
      </c>
      <c r="H10" s="31"/>
      <c r="I10" s="10" t="s">
        <v>57</v>
      </c>
      <c r="J10" s="15"/>
    </row>
    <row r="11" spans="1:10" ht="15" customHeight="1">
      <c r="A11" s="9">
        <v>1</v>
      </c>
      <c r="B11" s="9" t="s">
        <v>56</v>
      </c>
      <c r="C11" s="29" t="s">
        <v>139</v>
      </c>
      <c r="D11" s="10">
        <v>5.5</v>
      </c>
      <c r="E11" s="30">
        <f>SUM(19.8+18+16.4+13.3)/3.14</f>
        <v>21.496815286624201</v>
      </c>
      <c r="F11" s="10">
        <f>AVERAGE(0.58,0.77)</f>
        <v>0.67500000000000004</v>
      </c>
      <c r="G11" s="30">
        <f t="shared" si="0"/>
        <v>96.561459855678066</v>
      </c>
      <c r="H11" s="31"/>
      <c r="I11" s="10" t="s">
        <v>57</v>
      </c>
      <c r="J11" s="15"/>
    </row>
    <row r="12" spans="1:10" ht="15" customHeight="1">
      <c r="A12" s="9">
        <v>1</v>
      </c>
      <c r="B12" s="9" t="s">
        <v>119</v>
      </c>
      <c r="C12" s="29" t="s">
        <v>120</v>
      </c>
      <c r="D12" s="10">
        <v>2.2000000000000002</v>
      </c>
      <c r="E12" s="12">
        <f>SUM(7.9+6.5)/3.14</f>
        <v>4.5859872611464967</v>
      </c>
      <c r="F12" s="10">
        <v>0.68</v>
      </c>
      <c r="G12" s="30">
        <f t="shared" si="0"/>
        <v>1.9492395339353223</v>
      </c>
      <c r="H12" s="15" t="s">
        <v>17</v>
      </c>
      <c r="I12" s="10"/>
      <c r="J12" s="15"/>
    </row>
    <row r="13" spans="1:10" ht="15" customHeight="1">
      <c r="A13" s="9">
        <v>1</v>
      </c>
      <c r="B13" s="9" t="s">
        <v>119</v>
      </c>
      <c r="C13" s="29" t="s">
        <v>120</v>
      </c>
      <c r="D13" s="10">
        <v>1.3</v>
      </c>
      <c r="E13" s="12">
        <f>SUM(3.5)/3.14</f>
        <v>1.1146496815286624</v>
      </c>
      <c r="F13" s="10">
        <v>0.68</v>
      </c>
      <c r="G13" s="30">
        <f t="shared" si="0"/>
        <v>7.3750781115264549E-2</v>
      </c>
      <c r="H13" s="15" t="s">
        <v>17</v>
      </c>
      <c r="I13" s="10"/>
      <c r="J13" s="15"/>
    </row>
    <row r="14" spans="1:10" ht="15" customHeight="1">
      <c r="A14" s="9">
        <v>1</v>
      </c>
      <c r="B14" s="9" t="s">
        <v>112</v>
      </c>
      <c r="C14" s="29" t="s">
        <v>113</v>
      </c>
      <c r="D14" s="10">
        <v>10</v>
      </c>
      <c r="E14" s="30">
        <f>SUM(40.2+47+43.3+36)/3.14</f>
        <v>53.025477707006367</v>
      </c>
      <c r="F14" s="10"/>
      <c r="G14" s="30">
        <f t="shared" si="0"/>
        <v>0</v>
      </c>
      <c r="H14" s="31"/>
      <c r="I14" s="10"/>
      <c r="J14" s="15"/>
    </row>
    <row r="15" spans="1:10" ht="15" customHeight="1">
      <c r="A15" s="9">
        <v>1</v>
      </c>
      <c r="B15" s="9" t="s">
        <v>112</v>
      </c>
      <c r="C15" s="29" t="s">
        <v>113</v>
      </c>
      <c r="D15" s="15">
        <v>9</v>
      </c>
      <c r="E15" s="30">
        <f>SUM(45.6+20+39)/3.14</f>
        <v>33.312101910828019</v>
      </c>
      <c r="F15" s="10"/>
      <c r="G15" s="30">
        <f t="shared" si="0"/>
        <v>0</v>
      </c>
      <c r="H15" s="31"/>
      <c r="I15" s="10"/>
      <c r="J15" s="15"/>
    </row>
    <row r="16" spans="1:10" ht="15" customHeight="1">
      <c r="A16" s="9">
        <v>1</v>
      </c>
      <c r="B16" s="9" t="s">
        <v>112</v>
      </c>
      <c r="C16" s="29" t="s">
        <v>113</v>
      </c>
      <c r="D16" s="15">
        <v>9</v>
      </c>
      <c r="E16" s="30">
        <f>SUM(17.5)/3.14</f>
        <v>5.5732484076433115</v>
      </c>
      <c r="F16" s="10"/>
      <c r="G16" s="30">
        <f t="shared" si="0"/>
        <v>0</v>
      </c>
      <c r="H16" s="31"/>
      <c r="I16" s="10"/>
      <c r="J16" s="15"/>
    </row>
    <row r="17" spans="1:10" ht="15.5">
      <c r="A17" s="9">
        <v>1</v>
      </c>
      <c r="B17" s="9" t="s">
        <v>151</v>
      </c>
      <c r="C17" s="29" t="s">
        <v>152</v>
      </c>
      <c r="D17" s="15">
        <v>6.5</v>
      </c>
      <c r="E17" s="12">
        <f>SUM(13.5+19.6+8.5)/3.14</f>
        <v>13.248407643312103</v>
      </c>
      <c r="F17" s="10"/>
      <c r="G17" s="30">
        <f t="shared" si="0"/>
        <v>0</v>
      </c>
      <c r="H17" s="31"/>
      <c r="I17" s="10"/>
      <c r="J17" s="15"/>
    </row>
    <row r="18" spans="1:10" ht="15.5">
      <c r="A18" s="9">
        <v>1</v>
      </c>
      <c r="B18" s="9" t="s">
        <v>131</v>
      </c>
      <c r="C18" s="29" t="s">
        <v>132</v>
      </c>
      <c r="D18" s="15">
        <v>3.5</v>
      </c>
      <c r="E18" s="12">
        <f>SUM(2.5+10+8.5)/3.14</f>
        <v>6.6878980891719744</v>
      </c>
      <c r="F18" s="10">
        <v>0.72</v>
      </c>
      <c r="G18" s="30">
        <f t="shared" si="0"/>
        <v>6.7724745596267546</v>
      </c>
      <c r="H18" s="31"/>
      <c r="I18" s="10"/>
      <c r="J18" s="15"/>
    </row>
    <row r="19" spans="1:10" ht="15.5">
      <c r="A19" s="9">
        <v>1</v>
      </c>
      <c r="B19" s="9" t="s">
        <v>169</v>
      </c>
      <c r="C19" s="29" t="s">
        <v>170</v>
      </c>
      <c r="D19" s="15">
        <v>7</v>
      </c>
      <c r="E19" s="12">
        <f>SUM(44.9)/3.14</f>
        <v>14.29936305732484</v>
      </c>
      <c r="F19" s="10">
        <f>AVERAGE(0.5,0.88)</f>
        <v>0.69</v>
      </c>
      <c r="G19" s="30">
        <f t="shared" si="0"/>
        <v>56.328170831625563</v>
      </c>
      <c r="H19" s="31"/>
      <c r="I19" s="10" t="s">
        <v>22</v>
      </c>
      <c r="J19" s="15"/>
    </row>
    <row r="20" spans="1:10" ht="15.75" customHeight="1">
      <c r="A20" s="9">
        <v>2</v>
      </c>
      <c r="B20" s="9" t="s">
        <v>136</v>
      </c>
      <c r="C20" s="29" t="s">
        <v>137</v>
      </c>
      <c r="D20" s="10">
        <v>7.5</v>
      </c>
      <c r="E20" s="12">
        <v>21.8</v>
      </c>
      <c r="F20" s="10"/>
      <c r="G20" s="30">
        <f t="shared" si="0"/>
        <v>0</v>
      </c>
      <c r="H20" s="31"/>
      <c r="I20" s="10"/>
      <c r="J20" s="15"/>
    </row>
    <row r="21" spans="1:10" ht="15.75" customHeight="1">
      <c r="A21" s="9">
        <v>2</v>
      </c>
      <c r="B21" s="9" t="s">
        <v>138</v>
      </c>
      <c r="C21" s="29" t="s">
        <v>137</v>
      </c>
      <c r="D21" s="10">
        <v>4.5</v>
      </c>
      <c r="E21" s="12">
        <f>SUM(20.5)/3.14</f>
        <v>6.5286624203821653</v>
      </c>
      <c r="F21" s="10"/>
      <c r="G21" s="30">
        <f t="shared" si="0"/>
        <v>0</v>
      </c>
      <c r="H21" s="31"/>
      <c r="I21" s="10"/>
      <c r="J21" s="15"/>
    </row>
    <row r="22" spans="1:10" ht="15.75" customHeight="1">
      <c r="A22" s="9">
        <v>2</v>
      </c>
      <c r="B22" s="9" t="s">
        <v>179</v>
      </c>
      <c r="C22" s="29" t="s">
        <v>180</v>
      </c>
      <c r="D22" s="10">
        <v>7</v>
      </c>
      <c r="E22" s="30">
        <f>SUM(29)/3.14</f>
        <v>9.2356687898089174</v>
      </c>
      <c r="F22" s="10">
        <v>0.42</v>
      </c>
      <c r="G22" s="30">
        <f t="shared" si="0"/>
        <v>14.781424095533103</v>
      </c>
      <c r="H22" s="31"/>
      <c r="I22" s="10" t="s">
        <v>17</v>
      </c>
      <c r="J22" s="15"/>
    </row>
    <row r="23" spans="1:10" ht="15.75" customHeight="1">
      <c r="A23" s="9">
        <v>2</v>
      </c>
      <c r="B23" s="9" t="s">
        <v>179</v>
      </c>
      <c r="C23" s="29" t="s">
        <v>180</v>
      </c>
      <c r="D23" s="15">
        <v>6</v>
      </c>
      <c r="E23" s="30">
        <f>SUM(21.5)/3.14</f>
        <v>6.8471337579617835</v>
      </c>
      <c r="F23" s="10">
        <v>0.42</v>
      </c>
      <c r="G23" s="30">
        <f t="shared" si="0"/>
        <v>7.0907992932918269</v>
      </c>
      <c r="H23" s="31"/>
      <c r="I23" s="10"/>
      <c r="J23" s="15"/>
    </row>
    <row r="24" spans="1:10" ht="15.75" customHeight="1">
      <c r="A24" s="9">
        <v>2</v>
      </c>
      <c r="B24" s="10" t="s">
        <v>179</v>
      </c>
      <c r="C24" s="29" t="s">
        <v>180</v>
      </c>
      <c r="D24" s="15">
        <v>5</v>
      </c>
      <c r="E24" s="30">
        <f>SUM(22.5)/3.14</f>
        <v>7.1656050955414008</v>
      </c>
      <c r="F24" s="10">
        <v>0.42</v>
      </c>
      <c r="G24" s="30">
        <f t="shared" si="0"/>
        <v>6.4856677720694025</v>
      </c>
      <c r="H24" s="31"/>
      <c r="I24" s="10"/>
      <c r="J24" s="15"/>
    </row>
    <row r="25" spans="1:10" ht="15.75" customHeight="1">
      <c r="A25" s="9">
        <v>2</v>
      </c>
      <c r="B25" s="10" t="s">
        <v>179</v>
      </c>
      <c r="C25" s="29" t="s">
        <v>180</v>
      </c>
      <c r="D25" s="10">
        <v>4.5</v>
      </c>
      <c r="E25" s="30">
        <f>SUM(15+14)/3.14</f>
        <v>9.2356687898089174</v>
      </c>
      <c r="F25" s="10">
        <v>0.42</v>
      </c>
      <c r="G25" s="30">
        <f t="shared" si="0"/>
        <v>9.6036429219739574</v>
      </c>
      <c r="H25" s="31"/>
      <c r="I25" s="10"/>
      <c r="J25" s="15"/>
    </row>
    <row r="26" spans="1:10" ht="15.75" customHeight="1">
      <c r="A26" s="9">
        <v>2</v>
      </c>
      <c r="B26" s="9" t="s">
        <v>115</v>
      </c>
      <c r="C26" s="29" t="s">
        <v>21</v>
      </c>
      <c r="D26" s="15">
        <v>8</v>
      </c>
      <c r="E26" s="12">
        <f>SUM(52)/3.14</f>
        <v>16.560509554140125</v>
      </c>
      <c r="F26" s="13">
        <f>AVERAGE(0.84,1.1)</f>
        <v>0.97</v>
      </c>
      <c r="G26" s="30">
        <f t="shared" si="0"/>
        <v>119.165889178659</v>
      </c>
      <c r="H26" s="31"/>
      <c r="I26" s="10"/>
      <c r="J26" s="15"/>
    </row>
    <row r="27" spans="1:10" ht="15.75" customHeight="1">
      <c r="A27" s="9">
        <v>2</v>
      </c>
      <c r="B27" s="9" t="s">
        <v>128</v>
      </c>
      <c r="C27" s="29" t="s">
        <v>129</v>
      </c>
      <c r="D27" s="10">
        <v>8</v>
      </c>
      <c r="E27" s="30">
        <f>SUM(48)/3.14</f>
        <v>15.286624203821656</v>
      </c>
      <c r="F27" s="10">
        <f>AVERAGE(0.25,0.41)</f>
        <v>0.32999999999999996</v>
      </c>
      <c r="G27" s="30">
        <f t="shared" si="0"/>
        <v>35.585798817906706</v>
      </c>
      <c r="H27" s="31"/>
      <c r="I27" s="10" t="s">
        <v>87</v>
      </c>
      <c r="J27" s="15"/>
    </row>
    <row r="28" spans="1:10" ht="15.75" customHeight="1">
      <c r="A28" s="9">
        <v>2</v>
      </c>
      <c r="B28" s="9" t="s">
        <v>140</v>
      </c>
      <c r="C28" s="29" t="s">
        <v>141</v>
      </c>
      <c r="D28" s="10">
        <v>5.5</v>
      </c>
      <c r="E28" s="12">
        <f>SUM(18+10.5)/3.14</f>
        <v>9.0764331210191074</v>
      </c>
      <c r="F28" s="10">
        <v>1.05</v>
      </c>
      <c r="G28" s="30">
        <f t="shared" si="0"/>
        <v>27.614698045028391</v>
      </c>
      <c r="H28" s="31"/>
      <c r="I28" s="10" t="s">
        <v>87</v>
      </c>
      <c r="J28" s="31"/>
    </row>
    <row r="29" spans="1:10" ht="15.75" customHeight="1">
      <c r="A29" s="9">
        <v>2</v>
      </c>
      <c r="B29" s="9" t="s">
        <v>64</v>
      </c>
      <c r="C29" s="29" t="s">
        <v>148</v>
      </c>
      <c r="D29" s="10">
        <v>2</v>
      </c>
      <c r="E29" s="12">
        <v>4.0999999999999996</v>
      </c>
      <c r="F29" s="13">
        <v>0.94</v>
      </c>
      <c r="G29" s="30">
        <f t="shared" si="0"/>
        <v>1.9577048350321586</v>
      </c>
      <c r="H29" s="31"/>
      <c r="I29" s="10"/>
      <c r="J29" s="15" t="s">
        <v>110</v>
      </c>
    </row>
    <row r="30" spans="1:10" ht="15.75" customHeight="1">
      <c r="A30" s="9">
        <v>2</v>
      </c>
      <c r="B30" s="9" t="s">
        <v>119</v>
      </c>
      <c r="C30" s="29" t="s">
        <v>120</v>
      </c>
      <c r="D30" s="15">
        <v>2.6</v>
      </c>
      <c r="E30" s="12">
        <f>SUM(7.5)/3.14</f>
        <v>2.3885350318471334</v>
      </c>
      <c r="F30" s="10">
        <v>0.68</v>
      </c>
      <c r="G30" s="30">
        <f t="shared" si="0"/>
        <v>0.64220053605990834</v>
      </c>
      <c r="H30" s="15" t="s">
        <v>17</v>
      </c>
      <c r="I30" s="10"/>
      <c r="J30" s="15"/>
    </row>
    <row r="31" spans="1:10" ht="15.75" customHeight="1">
      <c r="A31" s="9">
        <v>2</v>
      </c>
      <c r="B31" s="9" t="s">
        <v>119</v>
      </c>
      <c r="C31" s="29" t="s">
        <v>120</v>
      </c>
      <c r="D31" s="15">
        <v>2.2000000000000002</v>
      </c>
      <c r="E31" s="12">
        <f>SUM(6)/3.14</f>
        <v>1.910828025477707</v>
      </c>
      <c r="F31" s="10">
        <v>0.68</v>
      </c>
      <c r="G31" s="30">
        <f t="shared" si="0"/>
        <v>0.35293348717625977</v>
      </c>
      <c r="H31" s="15" t="s">
        <v>17</v>
      </c>
      <c r="I31" s="10"/>
      <c r="J31" s="15"/>
    </row>
    <row r="32" spans="1:10" ht="15.75" customHeight="1">
      <c r="A32" s="9">
        <v>2</v>
      </c>
      <c r="B32" s="9" t="s">
        <v>119</v>
      </c>
      <c r="C32" s="29" t="s">
        <v>120</v>
      </c>
      <c r="D32" s="10">
        <v>1.45</v>
      </c>
      <c r="E32" s="12">
        <f>SUM(1.45)/3.14</f>
        <v>0.46178343949044581</v>
      </c>
      <c r="F32" s="10">
        <v>0.68</v>
      </c>
      <c r="G32" s="30">
        <f t="shared" si="0"/>
        <v>1.4690027220338926E-2</v>
      </c>
      <c r="H32" s="15" t="s">
        <v>17</v>
      </c>
      <c r="I32" s="10"/>
      <c r="J32" s="15"/>
    </row>
    <row r="33" spans="1:10" ht="15.75" customHeight="1">
      <c r="A33" s="9">
        <v>2</v>
      </c>
      <c r="B33" s="9" t="s">
        <v>121</v>
      </c>
      <c r="C33" s="29" t="s">
        <v>120</v>
      </c>
      <c r="D33" s="15">
        <v>2.2000000000000002</v>
      </c>
      <c r="E33" s="12">
        <f>SUM(5)/3.14</f>
        <v>1.592356687898089</v>
      </c>
      <c r="F33" s="10">
        <v>0.68</v>
      </c>
      <c r="G33" s="30">
        <f t="shared" si="0"/>
        <v>0.2472470251598213</v>
      </c>
      <c r="H33" s="15" t="s">
        <v>17</v>
      </c>
      <c r="I33" s="10"/>
      <c r="J33" s="15"/>
    </row>
    <row r="34" spans="1:10" ht="15.75" customHeight="1">
      <c r="A34" s="9">
        <v>2</v>
      </c>
      <c r="B34" s="9" t="s">
        <v>167</v>
      </c>
      <c r="C34" s="29" t="s">
        <v>168</v>
      </c>
      <c r="D34" s="10">
        <v>9</v>
      </c>
      <c r="E34" s="12">
        <f>SUM(31.5+53+52.5)/3.14</f>
        <v>43.630573248407643</v>
      </c>
      <c r="F34" s="13">
        <f>AVERAGE(0.54,0.58)</f>
        <v>0.56000000000000005</v>
      </c>
      <c r="G34" s="30">
        <f t="shared" si="0"/>
        <v>518.15434207578278</v>
      </c>
      <c r="H34" s="31"/>
      <c r="I34" s="10"/>
      <c r="J34" s="15"/>
    </row>
    <row r="35" spans="1:10" ht="15.75" customHeight="1">
      <c r="A35" s="9">
        <v>2</v>
      </c>
      <c r="B35" s="10" t="s">
        <v>118</v>
      </c>
      <c r="C35" s="11" t="s">
        <v>29</v>
      </c>
      <c r="D35" s="10">
        <v>4.5</v>
      </c>
      <c r="E35" s="12">
        <f>SUM(11)/3.14</f>
        <v>3.5031847133757958</v>
      </c>
      <c r="F35" s="13">
        <v>0.8</v>
      </c>
      <c r="G35" s="30">
        <f t="shared" si="0"/>
        <v>2.7149269797317284</v>
      </c>
      <c r="H35" s="31"/>
      <c r="I35" s="10"/>
      <c r="J35" s="15"/>
    </row>
    <row r="36" spans="1:10" ht="15.75" customHeight="1">
      <c r="A36" s="9">
        <v>2</v>
      </c>
      <c r="B36" s="9" t="s">
        <v>118</v>
      </c>
      <c r="C36" s="11" t="s">
        <v>29</v>
      </c>
      <c r="D36" s="10">
        <v>1.8</v>
      </c>
      <c r="E36" s="12">
        <f>SUM(3.5)/3.14</f>
        <v>1.1146496815286624</v>
      </c>
      <c r="F36" s="13">
        <v>0.8</v>
      </c>
      <c r="G36" s="30">
        <f t="shared" si="0"/>
        <v>0.11873834901831015</v>
      </c>
      <c r="H36" s="31"/>
      <c r="I36" s="10"/>
      <c r="J36" s="15"/>
    </row>
    <row r="37" spans="1:10" ht="15.75" customHeight="1">
      <c r="A37" s="9">
        <v>2</v>
      </c>
      <c r="B37" s="9" t="s">
        <v>149</v>
      </c>
      <c r="C37" s="29" t="s">
        <v>150</v>
      </c>
      <c r="D37" s="10">
        <v>6</v>
      </c>
      <c r="E37" s="12">
        <f>SUM(24.8+23+24.3+14.6+15+16)/3.14</f>
        <v>37.484076433121011</v>
      </c>
      <c r="F37" s="10"/>
      <c r="G37" s="30">
        <f t="shared" si="0"/>
        <v>0</v>
      </c>
      <c r="H37" s="31"/>
      <c r="I37" s="10"/>
      <c r="J37" s="15"/>
    </row>
    <row r="38" spans="1:10" ht="15.75" customHeight="1">
      <c r="A38" s="9">
        <v>3</v>
      </c>
      <c r="B38" s="9" t="s">
        <v>179</v>
      </c>
      <c r="C38" s="29" t="s">
        <v>180</v>
      </c>
      <c r="D38" s="15">
        <v>7</v>
      </c>
      <c r="E38" s="30">
        <f>SUM(12.8+20)/3.14</f>
        <v>10.445859872611464</v>
      </c>
      <c r="F38" s="10">
        <v>0.42</v>
      </c>
      <c r="G38" s="30">
        <f>0.0673*(F38*(E38)^2*D38)^0.976</f>
        <v>18.797544801901928</v>
      </c>
      <c r="H38" s="31"/>
      <c r="I38" s="10"/>
      <c r="J38" s="15"/>
    </row>
    <row r="39" spans="1:10" ht="15.75" customHeight="1">
      <c r="A39" s="9">
        <v>3</v>
      </c>
      <c r="B39" s="9" t="s">
        <v>108</v>
      </c>
      <c r="C39" s="29" t="s">
        <v>109</v>
      </c>
      <c r="D39" s="15">
        <v>1.9</v>
      </c>
      <c r="E39" s="12">
        <f>SUM(5.9)/3.14</f>
        <v>1.8789808917197452</v>
      </c>
      <c r="F39" s="10"/>
      <c r="G39" s="30">
        <f t="shared" ref="G39:G70" si="1">0.0673*(F39*E39^2*D39)^0.976</f>
        <v>0</v>
      </c>
      <c r="H39" s="31"/>
      <c r="I39" s="10"/>
      <c r="J39" s="15" t="s">
        <v>110</v>
      </c>
    </row>
    <row r="40" spans="1:10" ht="15.75" customHeight="1">
      <c r="A40" s="9">
        <v>3</v>
      </c>
      <c r="B40" s="9" t="s">
        <v>108</v>
      </c>
      <c r="C40" s="29" t="s">
        <v>109</v>
      </c>
      <c r="D40" s="15">
        <v>1.8</v>
      </c>
      <c r="E40" s="12">
        <f>SUM(4.6)/3.14</f>
        <v>1.4649681528662419</v>
      </c>
      <c r="F40" s="10"/>
      <c r="G40" s="30">
        <f t="shared" si="1"/>
        <v>0</v>
      </c>
      <c r="H40" s="31"/>
      <c r="I40" s="10"/>
      <c r="J40" s="15"/>
    </row>
    <row r="41" spans="1:10" ht="15.75" customHeight="1">
      <c r="A41" s="9">
        <v>3</v>
      </c>
      <c r="B41" s="10" t="s">
        <v>111</v>
      </c>
      <c r="C41" s="29" t="s">
        <v>109</v>
      </c>
      <c r="D41" s="10">
        <v>2.5</v>
      </c>
      <c r="E41" s="12">
        <f>SUM(6)/3.14</f>
        <v>1.910828025477707</v>
      </c>
      <c r="F41" s="10"/>
      <c r="G41" s="30">
        <f t="shared" si="1"/>
        <v>0</v>
      </c>
      <c r="H41" s="31"/>
      <c r="I41" s="10"/>
      <c r="J41" s="15"/>
    </row>
    <row r="42" spans="1:10" ht="15.75" customHeight="1">
      <c r="A42" s="9">
        <v>3</v>
      </c>
      <c r="B42" s="9" t="s">
        <v>128</v>
      </c>
      <c r="C42" s="29" t="s">
        <v>129</v>
      </c>
      <c r="D42" s="10">
        <v>7</v>
      </c>
      <c r="E42" s="30">
        <f>SUM(40.6)/3.14</f>
        <v>12.929936305732484</v>
      </c>
      <c r="F42" s="10">
        <f>AVERAGE(0.25,0.41)</f>
        <v>0.32999999999999996</v>
      </c>
      <c r="G42" s="30">
        <f t="shared" si="1"/>
        <v>22.528719155067112</v>
      </c>
      <c r="H42" s="31"/>
      <c r="I42" s="10" t="s">
        <v>87</v>
      </c>
      <c r="J42" s="15"/>
    </row>
    <row r="43" spans="1:10" ht="15.75" customHeight="1">
      <c r="A43" s="9">
        <v>3</v>
      </c>
      <c r="B43" s="9" t="s">
        <v>128</v>
      </c>
      <c r="C43" s="29" t="s">
        <v>129</v>
      </c>
      <c r="D43" s="15">
        <v>2</v>
      </c>
      <c r="E43" s="30">
        <f>SUM(6.4)/3.14</f>
        <v>2.0382165605095541</v>
      </c>
      <c r="F43" s="10">
        <f>AVERAGE(0.25,0.41)</f>
        <v>0.32999999999999996</v>
      </c>
      <c r="G43" s="30">
        <f t="shared" si="1"/>
        <v>0.18011363100821359</v>
      </c>
      <c r="H43" s="31"/>
      <c r="I43" s="10" t="s">
        <v>87</v>
      </c>
      <c r="J43" s="15"/>
    </row>
    <row r="44" spans="1:10" ht="15.75" customHeight="1">
      <c r="A44" s="9">
        <v>3</v>
      </c>
      <c r="B44" s="9" t="s">
        <v>130</v>
      </c>
      <c r="C44" s="29" t="s">
        <v>129</v>
      </c>
      <c r="D44" s="10">
        <v>7</v>
      </c>
      <c r="E44" s="30">
        <f>SUM(19)/3.14</f>
        <v>6.0509554140127388</v>
      </c>
      <c r="F44" s="10">
        <f>AVERAGE(0.25,0.41)</f>
        <v>0.32999999999999996</v>
      </c>
      <c r="G44" s="30">
        <f t="shared" si="1"/>
        <v>5.1170623954369781</v>
      </c>
      <c r="H44" s="31"/>
      <c r="I44" s="10" t="s">
        <v>87</v>
      </c>
      <c r="J44" s="15"/>
    </row>
    <row r="45" spans="1:10" ht="15.75" customHeight="1">
      <c r="A45" s="9">
        <v>3</v>
      </c>
      <c r="B45" s="9" t="s">
        <v>130</v>
      </c>
      <c r="C45" s="29" t="s">
        <v>129</v>
      </c>
      <c r="D45" s="10">
        <v>5.5</v>
      </c>
      <c r="E45" s="30">
        <f>SUM(8.8)/3.14</f>
        <v>2.8025477707006372</v>
      </c>
      <c r="F45" s="10">
        <f>AVERAGE(0.25,0.41)</f>
        <v>0.32999999999999996</v>
      </c>
      <c r="G45" s="30">
        <f t="shared" si="1"/>
        <v>0.90012361872881153</v>
      </c>
      <c r="H45" s="31"/>
      <c r="I45" s="10" t="s">
        <v>87</v>
      </c>
      <c r="J45" s="15"/>
    </row>
    <row r="46" spans="1:10" ht="15.75" customHeight="1">
      <c r="A46" s="9">
        <v>3</v>
      </c>
      <c r="B46" s="9" t="s">
        <v>177</v>
      </c>
      <c r="C46" s="29" t="s">
        <v>473</v>
      </c>
      <c r="D46" s="15">
        <v>2.7</v>
      </c>
      <c r="E46" s="12">
        <f>SUM(14.5+13.3+10.5)/3.14</f>
        <v>12.197452229299362</v>
      </c>
      <c r="F46" s="33">
        <v>0.77700000000000002</v>
      </c>
      <c r="G46" s="30">
        <f t="shared" si="1"/>
        <v>18.300979988741894</v>
      </c>
      <c r="H46" s="31"/>
      <c r="I46" s="10" t="s">
        <v>17</v>
      </c>
      <c r="J46" s="15" t="s">
        <v>110</v>
      </c>
    </row>
    <row r="47" spans="1:10" ht="15.75" customHeight="1">
      <c r="A47" s="9">
        <v>3</v>
      </c>
      <c r="B47" s="9" t="s">
        <v>181</v>
      </c>
      <c r="C47" s="29" t="s">
        <v>182</v>
      </c>
      <c r="D47" s="15">
        <v>1.75</v>
      </c>
      <c r="E47" s="12">
        <f>SUM(6.5+6)/3.14</f>
        <v>3.9808917197452227</v>
      </c>
      <c r="F47" s="10"/>
      <c r="G47" s="30">
        <f t="shared" si="1"/>
        <v>0</v>
      </c>
      <c r="H47" s="31"/>
      <c r="I47" s="10"/>
      <c r="J47" s="15"/>
    </row>
    <row r="48" spans="1:10" ht="15.75" customHeight="1">
      <c r="A48" s="9">
        <v>3</v>
      </c>
      <c r="B48" s="9" t="s">
        <v>146</v>
      </c>
      <c r="C48" s="29" t="s">
        <v>147</v>
      </c>
      <c r="D48" s="10">
        <v>4.7</v>
      </c>
      <c r="E48" s="12">
        <f>SUM(14.8)/3.14</f>
        <v>4.7133757961783438</v>
      </c>
      <c r="F48" s="10">
        <f>AVERAGE(0.8,1)</f>
        <v>0.9</v>
      </c>
      <c r="G48" s="30">
        <f t="shared" si="1"/>
        <v>5.6711019954427142</v>
      </c>
      <c r="H48" s="31"/>
      <c r="I48" s="10" t="s">
        <v>22</v>
      </c>
      <c r="J48" s="15"/>
    </row>
    <row r="49" spans="1:10" ht="15.75" customHeight="1">
      <c r="A49" s="9">
        <v>3</v>
      </c>
      <c r="B49" s="9" t="s">
        <v>160</v>
      </c>
      <c r="C49" s="29" t="s">
        <v>161</v>
      </c>
      <c r="D49" s="15">
        <v>2</v>
      </c>
      <c r="E49" s="30">
        <f>SUM(10.1)/3.14</f>
        <v>3.2165605095541401</v>
      </c>
      <c r="F49" s="10">
        <f>AVERAGE(0.5,0.68)</f>
        <v>0.59000000000000008</v>
      </c>
      <c r="G49" s="30">
        <f t="shared" si="1"/>
        <v>0.77374980386337</v>
      </c>
      <c r="H49" s="31"/>
      <c r="I49" s="10" t="s">
        <v>87</v>
      </c>
      <c r="J49" s="15"/>
    </row>
    <row r="50" spans="1:10" ht="15.75" customHeight="1">
      <c r="A50" s="9">
        <v>3</v>
      </c>
      <c r="B50" s="10" t="s">
        <v>56</v>
      </c>
      <c r="C50" s="29" t="s">
        <v>139</v>
      </c>
      <c r="D50" s="10">
        <v>7.5</v>
      </c>
      <c r="E50" s="30">
        <f>SUM(14.6+19.3)/3.14</f>
        <v>10.796178343949043</v>
      </c>
      <c r="F50" s="10">
        <f>AVERAGE(0.58,0.77)</f>
        <v>0.67500000000000004</v>
      </c>
      <c r="G50" s="30">
        <f t="shared" si="1"/>
        <v>34.073635827129159</v>
      </c>
      <c r="H50" s="31"/>
      <c r="I50" s="10" t="s">
        <v>57</v>
      </c>
      <c r="J50" s="15"/>
    </row>
    <row r="51" spans="1:10" ht="15.75" customHeight="1">
      <c r="A51" s="9">
        <v>3</v>
      </c>
      <c r="B51" s="9" t="s">
        <v>56</v>
      </c>
      <c r="C51" s="29" t="s">
        <v>139</v>
      </c>
      <c r="D51" s="10">
        <v>6.8</v>
      </c>
      <c r="E51" s="30">
        <f>SUM(16.6+14)/3.14</f>
        <v>9.7452229299363058</v>
      </c>
      <c r="F51" s="10">
        <f>AVERAGE(0.58,0.77)</f>
        <v>0.67500000000000004</v>
      </c>
      <c r="G51" s="30">
        <f t="shared" si="1"/>
        <v>25.355127382795146</v>
      </c>
      <c r="H51" s="31"/>
      <c r="I51" s="10" t="s">
        <v>57</v>
      </c>
      <c r="J51" s="15"/>
    </row>
    <row r="52" spans="1:10" ht="15.75" customHeight="1">
      <c r="A52" s="9">
        <v>3</v>
      </c>
      <c r="B52" s="9" t="s">
        <v>56</v>
      </c>
      <c r="C52" s="29" t="s">
        <v>139</v>
      </c>
      <c r="D52" s="10">
        <v>2.8</v>
      </c>
      <c r="E52" s="30">
        <f>SUM(8+6)/3.14</f>
        <v>4.4585987261146496</v>
      </c>
      <c r="F52" s="10">
        <f>AVERAGE(0.58,0.77)</f>
        <v>0.67500000000000004</v>
      </c>
      <c r="G52" s="30">
        <f t="shared" si="1"/>
        <v>2.3178057594830048</v>
      </c>
      <c r="H52" s="31"/>
      <c r="I52" s="10" t="s">
        <v>57</v>
      </c>
      <c r="J52" s="15"/>
    </row>
    <row r="53" spans="1:10" ht="15.75" customHeight="1">
      <c r="A53" s="9">
        <v>3</v>
      </c>
      <c r="B53" s="9" t="s">
        <v>56</v>
      </c>
      <c r="C53" s="29" t="s">
        <v>139</v>
      </c>
      <c r="D53" s="15">
        <v>2.5</v>
      </c>
      <c r="E53" s="30">
        <f>SUM(7)/3.14</f>
        <v>2.2292993630573248</v>
      </c>
      <c r="F53" s="10">
        <f>AVERAGE(0.58,0.77)</f>
        <v>0.67500000000000004</v>
      </c>
      <c r="G53" s="30">
        <f t="shared" si="1"/>
        <v>0.53632704333463355</v>
      </c>
      <c r="H53" s="31"/>
      <c r="I53" s="10" t="s">
        <v>57</v>
      </c>
      <c r="J53" s="15" t="s">
        <v>110</v>
      </c>
    </row>
    <row r="54" spans="1:10" ht="15.75" customHeight="1">
      <c r="A54" s="9">
        <v>3</v>
      </c>
      <c r="B54" s="9" t="s">
        <v>154</v>
      </c>
      <c r="C54" s="29" t="s">
        <v>155</v>
      </c>
      <c r="D54" s="15">
        <v>1.5</v>
      </c>
      <c r="E54" s="12">
        <f>SUM(4)/3.14</f>
        <v>1.2738853503184713</v>
      </c>
      <c r="F54" s="10"/>
      <c r="G54" s="30">
        <f t="shared" si="1"/>
        <v>0</v>
      </c>
      <c r="H54" s="31"/>
      <c r="I54" s="10"/>
      <c r="J54" s="15"/>
    </row>
    <row r="55" spans="1:10" ht="15.75" customHeight="1">
      <c r="A55" s="9">
        <v>3</v>
      </c>
      <c r="B55" s="9" t="s">
        <v>154</v>
      </c>
      <c r="C55" s="29" t="s">
        <v>155</v>
      </c>
      <c r="D55" s="15">
        <v>1.4</v>
      </c>
      <c r="E55" s="12">
        <f>SUM(4)/3.14</f>
        <v>1.2738853503184713</v>
      </c>
      <c r="F55" s="10"/>
      <c r="G55" s="30">
        <f t="shared" si="1"/>
        <v>0</v>
      </c>
      <c r="H55" s="31"/>
      <c r="I55" s="10"/>
      <c r="J55" s="15"/>
    </row>
    <row r="56" spans="1:10" ht="15.75" customHeight="1">
      <c r="A56" s="9">
        <v>3</v>
      </c>
      <c r="B56" s="9" t="s">
        <v>154</v>
      </c>
      <c r="C56" s="29" t="s">
        <v>155</v>
      </c>
      <c r="D56" s="15">
        <v>1.4</v>
      </c>
      <c r="E56" s="12">
        <f>SUM(5)/3.14</f>
        <v>1.592356687898089</v>
      </c>
      <c r="F56" s="10"/>
      <c r="G56" s="30">
        <f t="shared" si="1"/>
        <v>0</v>
      </c>
      <c r="H56" s="31"/>
      <c r="I56" s="10"/>
      <c r="J56" s="15"/>
    </row>
    <row r="57" spans="1:10" ht="15.75" customHeight="1">
      <c r="A57" s="9">
        <v>3</v>
      </c>
      <c r="B57" s="9" t="s">
        <v>156</v>
      </c>
      <c r="C57" s="29" t="s">
        <v>155</v>
      </c>
      <c r="D57" s="10">
        <v>1.6</v>
      </c>
      <c r="E57" s="12">
        <f>SUM(3.5)/3.14</f>
        <v>1.1146496815286624</v>
      </c>
      <c r="F57" s="10"/>
      <c r="G57" s="30">
        <f t="shared" si="1"/>
        <v>0</v>
      </c>
      <c r="H57" s="31"/>
      <c r="I57" s="10"/>
      <c r="J57" s="15"/>
    </row>
    <row r="58" spans="1:10" ht="15.75" customHeight="1">
      <c r="A58" s="9">
        <v>3</v>
      </c>
      <c r="B58" s="9" t="s">
        <v>156</v>
      </c>
      <c r="C58" s="29" t="s">
        <v>155</v>
      </c>
      <c r="D58" s="15">
        <v>1.5</v>
      </c>
      <c r="E58" s="12">
        <f>SUM(4)/3.14</f>
        <v>1.2738853503184713</v>
      </c>
      <c r="F58" s="10"/>
      <c r="G58" s="30">
        <f t="shared" si="1"/>
        <v>0</v>
      </c>
      <c r="H58" s="31"/>
      <c r="I58" s="10"/>
      <c r="J58" s="15" t="s">
        <v>157</v>
      </c>
    </row>
    <row r="59" spans="1:10" ht="15.75" customHeight="1">
      <c r="A59" s="9">
        <v>3</v>
      </c>
      <c r="B59" s="9" t="s">
        <v>121</v>
      </c>
      <c r="C59" s="29" t="s">
        <v>120</v>
      </c>
      <c r="D59" s="10">
        <v>1.8</v>
      </c>
      <c r="E59" s="12">
        <f>SUM(5.8)/3.14</f>
        <v>1.8471337579617833</v>
      </c>
      <c r="F59" s="10">
        <v>0.68</v>
      </c>
      <c r="G59" s="30">
        <f t="shared" si="1"/>
        <v>0.27157794541547253</v>
      </c>
      <c r="H59" s="15" t="s">
        <v>17</v>
      </c>
      <c r="I59" s="10"/>
      <c r="J59" s="15"/>
    </row>
    <row r="60" spans="1:10" ht="15.75" customHeight="1">
      <c r="A60" s="9">
        <v>3</v>
      </c>
      <c r="B60" s="9" t="s">
        <v>121</v>
      </c>
      <c r="C60" s="29" t="s">
        <v>120</v>
      </c>
      <c r="D60" s="15">
        <v>1.6</v>
      </c>
      <c r="E60" s="12">
        <f>SUM(5)/3.14</f>
        <v>1.592356687898089</v>
      </c>
      <c r="F60" s="10">
        <v>0.68</v>
      </c>
      <c r="G60" s="30">
        <f t="shared" si="1"/>
        <v>0.18119559753499409</v>
      </c>
      <c r="H60" s="15" t="s">
        <v>17</v>
      </c>
      <c r="I60" s="10"/>
      <c r="J60" s="15"/>
    </row>
    <row r="61" spans="1:10" ht="15.75" customHeight="1">
      <c r="A61" s="9">
        <v>3</v>
      </c>
      <c r="B61" s="9" t="s">
        <v>114</v>
      </c>
      <c r="C61" s="29" t="s">
        <v>113</v>
      </c>
      <c r="D61" s="10">
        <v>9.5</v>
      </c>
      <c r="E61" s="30">
        <f>SUM(44)/3.14</f>
        <v>14.012738853503183</v>
      </c>
      <c r="F61" s="10"/>
      <c r="G61" s="30">
        <f t="shared" si="1"/>
        <v>0</v>
      </c>
      <c r="H61" s="31"/>
      <c r="I61" s="10"/>
      <c r="J61" s="15"/>
    </row>
    <row r="62" spans="1:10" ht="15.75" customHeight="1">
      <c r="A62" s="9">
        <v>3</v>
      </c>
      <c r="B62" s="9" t="s">
        <v>114</v>
      </c>
      <c r="C62" s="29" t="s">
        <v>113</v>
      </c>
      <c r="D62" s="15">
        <v>9</v>
      </c>
      <c r="E62" s="30">
        <f>SUM(35.2+35.6)/3.14</f>
        <v>22.547770700636946</v>
      </c>
      <c r="F62" s="10"/>
      <c r="G62" s="30">
        <f t="shared" si="1"/>
        <v>0</v>
      </c>
      <c r="H62" s="31"/>
      <c r="I62" s="10"/>
      <c r="J62" s="15"/>
    </row>
    <row r="63" spans="1:10" ht="15.75" customHeight="1">
      <c r="A63" s="9">
        <v>3</v>
      </c>
      <c r="B63" s="9" t="s">
        <v>163</v>
      </c>
      <c r="C63" s="29" t="s">
        <v>163</v>
      </c>
      <c r="D63" s="15">
        <v>4</v>
      </c>
      <c r="E63" s="12">
        <f>SUM(10.5)/3.14</f>
        <v>3.3439490445859872</v>
      </c>
      <c r="F63" s="10">
        <v>0.72</v>
      </c>
      <c r="G63" s="30">
        <f t="shared" si="1"/>
        <v>1.9940542569919322</v>
      </c>
      <c r="H63" s="31"/>
      <c r="I63" s="10"/>
      <c r="J63" s="15"/>
    </row>
    <row r="64" spans="1:10" ht="15.75" customHeight="1">
      <c r="A64" s="9">
        <v>3</v>
      </c>
      <c r="B64" s="9" t="s">
        <v>158</v>
      </c>
      <c r="C64" s="29" t="s">
        <v>159</v>
      </c>
      <c r="D64" s="10">
        <v>6.5</v>
      </c>
      <c r="E64" s="12">
        <f>SUM(21.2+9.2)/3.14</f>
        <v>9.6815286624203818</v>
      </c>
      <c r="F64" s="10">
        <v>0.57099999999999995</v>
      </c>
      <c r="G64" s="30">
        <f t="shared" si="1"/>
        <v>20.345009834469298</v>
      </c>
      <c r="H64" s="31"/>
      <c r="I64" s="10"/>
      <c r="J64" s="15"/>
    </row>
    <row r="65" spans="1:10" ht="15.75" customHeight="1">
      <c r="A65" s="9">
        <v>3</v>
      </c>
      <c r="B65" s="9" t="s">
        <v>158</v>
      </c>
      <c r="C65" s="29" t="s">
        <v>159</v>
      </c>
      <c r="D65" s="10">
        <v>1.5</v>
      </c>
      <c r="E65" s="12">
        <f>SUM(4)/3.14</f>
        <v>1.2738853503184713</v>
      </c>
      <c r="F65" s="10">
        <v>0.57099999999999995</v>
      </c>
      <c r="G65" s="30">
        <f t="shared" si="1"/>
        <v>9.2805006339765794E-2</v>
      </c>
      <c r="H65" s="31"/>
      <c r="I65" s="10"/>
      <c r="J65" s="15"/>
    </row>
    <row r="66" spans="1:10" ht="15.75" customHeight="1">
      <c r="A66" s="9">
        <v>3</v>
      </c>
      <c r="B66" s="9" t="s">
        <v>142</v>
      </c>
      <c r="C66" s="29" t="s">
        <v>143</v>
      </c>
      <c r="D66" s="15">
        <v>0.77</v>
      </c>
      <c r="E66" s="12">
        <f>SUM(3)/3.14</f>
        <v>0.95541401273885351</v>
      </c>
      <c r="F66" s="10"/>
      <c r="G66" s="30">
        <f t="shared" si="1"/>
        <v>0</v>
      </c>
      <c r="H66" s="31"/>
      <c r="I66" s="10"/>
      <c r="J66" s="15"/>
    </row>
    <row r="67" spans="1:10" ht="15.75" customHeight="1">
      <c r="A67" s="9">
        <v>3</v>
      </c>
      <c r="B67" s="10" t="s">
        <v>172</v>
      </c>
      <c r="C67" s="32" t="s">
        <v>173</v>
      </c>
      <c r="D67" s="10">
        <v>7</v>
      </c>
      <c r="E67" s="12">
        <f>SUM(43.1)/3.14</f>
        <v>13.726114649681529</v>
      </c>
      <c r="F67" s="10">
        <f>AVERAGE(0.6,0.65)</f>
        <v>0.625</v>
      </c>
      <c r="G67" s="30">
        <f t="shared" si="1"/>
        <v>47.217458416926462</v>
      </c>
      <c r="H67" s="31"/>
      <c r="I67" s="10" t="s">
        <v>174</v>
      </c>
      <c r="J67" s="15"/>
    </row>
    <row r="68" spans="1:10" ht="15.75" customHeight="1">
      <c r="A68" s="9">
        <v>3</v>
      </c>
      <c r="B68" s="9" t="s">
        <v>116</v>
      </c>
      <c r="C68" s="29" t="s">
        <v>117</v>
      </c>
      <c r="D68" s="10">
        <v>2.9</v>
      </c>
      <c r="E68" s="12">
        <f>SUM(8.4)/3.14</f>
        <v>2.6751592356687897</v>
      </c>
      <c r="F68" s="10"/>
      <c r="G68" s="30">
        <f t="shared" si="1"/>
        <v>0</v>
      </c>
      <c r="H68" s="31"/>
      <c r="I68" s="10"/>
      <c r="J68" s="15"/>
    </row>
    <row r="69" spans="1:10" ht="15.75" customHeight="1">
      <c r="A69" s="9">
        <v>3</v>
      </c>
      <c r="B69" s="9" t="s">
        <v>169</v>
      </c>
      <c r="C69" s="29" t="s">
        <v>170</v>
      </c>
      <c r="D69" s="15">
        <v>6.5</v>
      </c>
      <c r="E69" s="12">
        <f>SUM(14.5)/3.14</f>
        <v>4.6178343949044587</v>
      </c>
      <c r="F69" s="10">
        <f>AVERAGE(0.5,0.88)</f>
        <v>0.69</v>
      </c>
      <c r="G69" s="30">
        <f t="shared" si="1"/>
        <v>5.7692436429876359</v>
      </c>
      <c r="H69" s="31"/>
      <c r="I69" s="10" t="s">
        <v>22</v>
      </c>
      <c r="J69" s="15"/>
    </row>
    <row r="70" spans="1:10" ht="15.75" customHeight="1">
      <c r="A70" s="9">
        <v>3</v>
      </c>
      <c r="B70" s="9" t="s">
        <v>171</v>
      </c>
      <c r="C70" s="29" t="s">
        <v>170</v>
      </c>
      <c r="D70" s="10">
        <v>3</v>
      </c>
      <c r="E70" s="12">
        <f>SUM(6.9)/3.14</f>
        <v>2.1974522292993632</v>
      </c>
      <c r="F70" s="10">
        <f>AVERAGE(0.5,0.88)</f>
        <v>0.69</v>
      </c>
      <c r="G70" s="30">
        <f t="shared" si="1"/>
        <v>0.63654465163450236</v>
      </c>
      <c r="H70" s="31"/>
      <c r="I70" s="10" t="s">
        <v>22</v>
      </c>
      <c r="J70" s="15"/>
    </row>
    <row r="71" spans="1:10" ht="15.75" customHeight="1">
      <c r="A71" s="9">
        <v>3</v>
      </c>
      <c r="B71" s="9" t="s">
        <v>133</v>
      </c>
      <c r="C71" s="29" t="s">
        <v>48</v>
      </c>
      <c r="D71" s="15">
        <v>11</v>
      </c>
      <c r="E71" s="12">
        <f>SUM(56.1)/3.14</f>
        <v>17.866242038216559</v>
      </c>
      <c r="F71" s="13">
        <f>AVERAGE(0.32,0.4)</f>
        <v>0.36</v>
      </c>
      <c r="G71" s="30">
        <f t="shared" ref="G71:G102" si="2">0.0673*(F71*E71^2*D71)^0.976</f>
        <v>71.669503825611912</v>
      </c>
      <c r="H71" s="31"/>
      <c r="I71" s="10"/>
      <c r="J71" s="15"/>
    </row>
    <row r="72" spans="1:10" ht="15.75" customHeight="1">
      <c r="A72" s="9">
        <v>3</v>
      </c>
      <c r="B72" s="9" t="s">
        <v>66</v>
      </c>
      <c r="C72" s="11" t="s">
        <v>67</v>
      </c>
      <c r="D72" s="10">
        <v>8</v>
      </c>
      <c r="E72" s="12">
        <f>SUM(14.4+7.1)/3.14</f>
        <v>6.8471337579617835</v>
      </c>
      <c r="F72" s="13">
        <f>AVERAGE(0.74,0.79)</f>
        <v>0.76500000000000001</v>
      </c>
      <c r="G72" s="30">
        <f t="shared" si="2"/>
        <v>16.857674074583677</v>
      </c>
      <c r="H72" s="31"/>
      <c r="I72" s="10"/>
      <c r="J72" s="15"/>
    </row>
    <row r="73" spans="1:10" ht="15.75" customHeight="1">
      <c r="A73" s="9">
        <v>4</v>
      </c>
      <c r="B73" s="9" t="s">
        <v>134</v>
      </c>
      <c r="C73" s="29" t="s">
        <v>135</v>
      </c>
      <c r="D73" s="10">
        <v>7.5</v>
      </c>
      <c r="E73" s="12">
        <f>SUM(21.5+36.5+21)/3.14</f>
        <v>25.159235668789808</v>
      </c>
      <c r="F73" s="10"/>
      <c r="G73" s="30">
        <f t="shared" si="2"/>
        <v>0</v>
      </c>
      <c r="H73" s="31"/>
      <c r="I73" s="10"/>
      <c r="J73" s="15"/>
    </row>
    <row r="74" spans="1:10" ht="15.75" customHeight="1">
      <c r="A74" s="9">
        <v>4</v>
      </c>
      <c r="B74" s="9" t="s">
        <v>179</v>
      </c>
      <c r="C74" s="29" t="s">
        <v>180</v>
      </c>
      <c r="D74" s="10">
        <v>6</v>
      </c>
      <c r="E74" s="30">
        <f>SUM(20)/3.14</f>
        <v>6.3694267515923562</v>
      </c>
      <c r="F74" s="10">
        <v>0.42</v>
      </c>
      <c r="G74" s="30">
        <f t="shared" si="2"/>
        <v>6.1572370007872133</v>
      </c>
      <c r="H74" s="31"/>
      <c r="I74" s="10"/>
      <c r="J74" s="15"/>
    </row>
    <row r="75" spans="1:10" ht="15.75" customHeight="1">
      <c r="A75" s="9">
        <v>4</v>
      </c>
      <c r="B75" s="9" t="s">
        <v>108</v>
      </c>
      <c r="C75" s="29" t="s">
        <v>109</v>
      </c>
      <c r="D75" s="10">
        <v>4</v>
      </c>
      <c r="E75" s="12">
        <f>SUM(4.5)/3.14</f>
        <v>1.4331210191082802</v>
      </c>
      <c r="F75" s="10"/>
      <c r="G75" s="30">
        <f t="shared" si="2"/>
        <v>0</v>
      </c>
      <c r="H75" s="31"/>
      <c r="I75" s="10"/>
      <c r="J75" s="15"/>
    </row>
    <row r="76" spans="1:10" ht="15.75" customHeight="1">
      <c r="A76" s="9">
        <v>4</v>
      </c>
      <c r="B76" s="9" t="s">
        <v>130</v>
      </c>
      <c r="C76" s="29" t="s">
        <v>129</v>
      </c>
      <c r="D76" s="15">
        <v>7</v>
      </c>
      <c r="E76" s="30">
        <f>SUM(24.5)/3.14</f>
        <v>7.8025477707006363</v>
      </c>
      <c r="F76" s="10">
        <f>AVERAGE(0.25,0.41)</f>
        <v>0.32999999999999996</v>
      </c>
      <c r="G76" s="30">
        <f t="shared" si="2"/>
        <v>8.4051579715064673</v>
      </c>
      <c r="H76" s="31"/>
      <c r="I76" s="10" t="s">
        <v>87</v>
      </c>
      <c r="J76" s="15"/>
    </row>
    <row r="77" spans="1:10" ht="15.75" customHeight="1">
      <c r="A77" s="9">
        <v>4</v>
      </c>
      <c r="B77" s="9" t="s">
        <v>130</v>
      </c>
      <c r="C77" s="29" t="s">
        <v>129</v>
      </c>
      <c r="D77" s="10">
        <v>6</v>
      </c>
      <c r="E77" s="30">
        <f>SUM(14)/3.14</f>
        <v>4.4585987261146496</v>
      </c>
      <c r="F77" s="10">
        <f>AVERAGE(0.25,0.41)</f>
        <v>0.32999999999999996</v>
      </c>
      <c r="G77" s="30">
        <f t="shared" si="2"/>
        <v>2.4254679626643081</v>
      </c>
      <c r="H77" s="31"/>
      <c r="I77" s="10" t="s">
        <v>87</v>
      </c>
      <c r="J77" s="15"/>
    </row>
    <row r="78" spans="1:10" ht="15.75" customHeight="1">
      <c r="A78" s="9">
        <v>4</v>
      </c>
      <c r="B78" s="9" t="s">
        <v>164</v>
      </c>
      <c r="C78" s="29" t="s">
        <v>165</v>
      </c>
      <c r="D78" s="15">
        <v>4.5</v>
      </c>
      <c r="E78" s="12">
        <f>SUM(12)/3.14</f>
        <v>3.8216560509554141</v>
      </c>
      <c r="F78" s="10">
        <f>AVERAGE(0.22,0.34)</f>
        <v>0.28000000000000003</v>
      </c>
      <c r="G78" s="30">
        <f t="shared" si="2"/>
        <v>1.1548666378830439</v>
      </c>
      <c r="H78" s="31"/>
      <c r="I78" s="10" t="s">
        <v>22</v>
      </c>
      <c r="J78" s="15"/>
    </row>
    <row r="79" spans="1:10" ht="15.75" customHeight="1">
      <c r="A79" s="9">
        <v>4</v>
      </c>
      <c r="B79" s="9" t="s">
        <v>160</v>
      </c>
      <c r="C79" s="29" t="s">
        <v>161</v>
      </c>
      <c r="D79" s="10">
        <v>4</v>
      </c>
      <c r="E79" s="30">
        <f>SUM(9.5)/3.14</f>
        <v>3.0254777070063694</v>
      </c>
      <c r="F79" s="10">
        <f>AVERAGE(0.5,0.68)</f>
        <v>0.59000000000000008</v>
      </c>
      <c r="G79" s="30">
        <f t="shared" si="2"/>
        <v>1.3504763516479463</v>
      </c>
      <c r="H79" s="31"/>
      <c r="I79" s="10" t="s">
        <v>87</v>
      </c>
      <c r="J79" s="15"/>
    </row>
    <row r="80" spans="1:10" ht="15.75" customHeight="1">
      <c r="A80" s="9">
        <v>4</v>
      </c>
      <c r="B80" s="10" t="s">
        <v>114</v>
      </c>
      <c r="C80" s="29" t="s">
        <v>113</v>
      </c>
      <c r="D80" s="10">
        <v>10</v>
      </c>
      <c r="E80" s="30">
        <f>SUM(53+38+39+40)/3.14</f>
        <v>54.140127388535028</v>
      </c>
      <c r="F80" s="10"/>
      <c r="G80" s="30">
        <f t="shared" si="2"/>
        <v>0</v>
      </c>
      <c r="H80" s="31"/>
      <c r="I80" s="10"/>
      <c r="J80" s="15"/>
    </row>
    <row r="81" spans="1:10" ht="15.75" customHeight="1">
      <c r="A81" s="9">
        <v>4</v>
      </c>
      <c r="B81" s="9" t="s">
        <v>114</v>
      </c>
      <c r="C81" s="29" t="s">
        <v>113</v>
      </c>
      <c r="D81" s="10">
        <v>9</v>
      </c>
      <c r="E81" s="30">
        <f>SUM(40+31.5)/3.14</f>
        <v>22.770700636942674</v>
      </c>
      <c r="F81" s="10"/>
      <c r="G81" s="30">
        <f t="shared" si="2"/>
        <v>0</v>
      </c>
      <c r="H81" s="31"/>
      <c r="I81" s="10"/>
      <c r="J81" s="15"/>
    </row>
    <row r="82" spans="1:10" ht="15.75" customHeight="1">
      <c r="A82" s="9">
        <v>4</v>
      </c>
      <c r="B82" s="9" t="s">
        <v>153</v>
      </c>
      <c r="C82" s="29" t="s">
        <v>152</v>
      </c>
      <c r="D82" s="15">
        <v>7</v>
      </c>
      <c r="E82" s="12">
        <f>SUM(15+13.5+14+12.5)/3.14</f>
        <v>17.515923566878982</v>
      </c>
      <c r="F82" s="10"/>
      <c r="G82" s="30">
        <f t="shared" si="2"/>
        <v>0</v>
      </c>
      <c r="H82" s="31"/>
      <c r="I82" s="10"/>
      <c r="J82" s="15"/>
    </row>
    <row r="83" spans="1:10" ht="15.75" customHeight="1">
      <c r="A83" s="9">
        <v>4</v>
      </c>
      <c r="B83" s="9" t="s">
        <v>133</v>
      </c>
      <c r="C83" s="29" t="s">
        <v>48</v>
      </c>
      <c r="D83" s="10">
        <v>8</v>
      </c>
      <c r="E83" s="12">
        <f>SUM(44.5)/3.14</f>
        <v>14.171974522292993</v>
      </c>
      <c r="F83" s="13">
        <f>AVERAGE(0.32,0.4)</f>
        <v>0.36</v>
      </c>
      <c r="G83" s="30">
        <f t="shared" si="2"/>
        <v>33.417518771060386</v>
      </c>
      <c r="H83" s="31"/>
      <c r="I83" s="10"/>
      <c r="J83" s="15"/>
    </row>
    <row r="84" spans="1:10" ht="15.75" customHeight="1">
      <c r="A84" s="9">
        <v>4</v>
      </c>
      <c r="B84" s="9" t="s">
        <v>166</v>
      </c>
      <c r="C84" s="29" t="s">
        <v>91</v>
      </c>
      <c r="D84" s="10">
        <v>10</v>
      </c>
      <c r="E84" s="12">
        <f>SUM(49+33.5+35+30+42)/3.14</f>
        <v>60.35031847133758</v>
      </c>
      <c r="F84" s="13">
        <f>AVERAGE(0.45,0.51)</f>
        <v>0.48</v>
      </c>
      <c r="G84" s="30">
        <f t="shared" si="2"/>
        <v>930.66423647770364</v>
      </c>
      <c r="H84" s="31"/>
      <c r="I84" s="10"/>
      <c r="J84" s="15"/>
    </row>
    <row r="85" spans="1:10" ht="15.75" customHeight="1">
      <c r="A85" s="9">
        <v>4</v>
      </c>
      <c r="B85" s="9" t="s">
        <v>149</v>
      </c>
      <c r="C85" s="29" t="s">
        <v>150</v>
      </c>
      <c r="D85" s="10">
        <v>3.5</v>
      </c>
      <c r="E85" s="12">
        <f>SUM(9+9)/3.14</f>
        <v>5.7324840764331206</v>
      </c>
      <c r="F85" s="10"/>
      <c r="G85" s="30">
        <f t="shared" si="2"/>
        <v>0</v>
      </c>
      <c r="H85" s="31"/>
      <c r="I85" s="10"/>
      <c r="J85" s="15"/>
    </row>
    <row r="86" spans="1:10" ht="15.75" customHeight="1">
      <c r="A86" s="9">
        <v>5</v>
      </c>
      <c r="B86" s="9" t="s">
        <v>134</v>
      </c>
      <c r="C86" s="29" t="s">
        <v>135</v>
      </c>
      <c r="D86" s="10">
        <v>6</v>
      </c>
      <c r="E86" s="12">
        <f>SUM(24.2+17.5)/3.14</f>
        <v>13.280254777070065</v>
      </c>
      <c r="F86" s="10"/>
      <c r="G86" s="30">
        <f t="shared" si="2"/>
        <v>0</v>
      </c>
      <c r="H86" s="31"/>
      <c r="I86" s="10"/>
      <c r="J86" s="15"/>
    </row>
    <row r="87" spans="1:10" ht="15.75" customHeight="1">
      <c r="A87" s="9">
        <v>5</v>
      </c>
      <c r="B87" s="9" t="s">
        <v>136</v>
      </c>
      <c r="C87" s="29" t="s">
        <v>135</v>
      </c>
      <c r="D87" s="10">
        <v>5.5</v>
      </c>
      <c r="E87" s="12">
        <f>SUM(14)/3.14</f>
        <v>4.4585987261146496</v>
      </c>
      <c r="F87" s="10"/>
      <c r="G87" s="30">
        <f t="shared" si="2"/>
        <v>0</v>
      </c>
      <c r="H87" s="31"/>
      <c r="I87" s="10"/>
      <c r="J87" s="15"/>
    </row>
    <row r="88" spans="1:10" ht="15.75" customHeight="1">
      <c r="A88" s="9">
        <v>5</v>
      </c>
      <c r="B88" s="9" t="s">
        <v>111</v>
      </c>
      <c r="C88" s="29" t="s">
        <v>109</v>
      </c>
      <c r="D88" s="9">
        <v>2.6</v>
      </c>
      <c r="E88" s="12">
        <f>SUM(11.5)/3.14</f>
        <v>3.6624203821656049</v>
      </c>
      <c r="F88" s="10"/>
      <c r="G88" s="30">
        <f t="shared" si="2"/>
        <v>0</v>
      </c>
      <c r="H88" s="31"/>
      <c r="I88" s="10"/>
      <c r="J88" s="15"/>
    </row>
    <row r="89" spans="1:10" ht="15.75" customHeight="1">
      <c r="A89" s="9">
        <v>5</v>
      </c>
      <c r="B89" s="9" t="s">
        <v>130</v>
      </c>
      <c r="C89" s="29" t="s">
        <v>129</v>
      </c>
      <c r="D89" s="10">
        <v>9.5</v>
      </c>
      <c r="E89" s="30">
        <f>SUM(17.5)/3.14</f>
        <v>5.5732484076433115</v>
      </c>
      <c r="F89" s="10">
        <f>AVERAGE(0.25,0.41)</f>
        <v>0.32999999999999996</v>
      </c>
      <c r="G89" s="30">
        <f t="shared" si="2"/>
        <v>5.8714654045343666</v>
      </c>
      <c r="H89" s="31"/>
      <c r="I89" s="10" t="s">
        <v>87</v>
      </c>
      <c r="J89" s="15"/>
    </row>
    <row r="90" spans="1:10" ht="15.75" customHeight="1">
      <c r="A90" s="9">
        <v>5</v>
      </c>
      <c r="B90" s="9" t="s">
        <v>175</v>
      </c>
      <c r="C90" s="29" t="s">
        <v>176</v>
      </c>
      <c r="D90" s="10">
        <v>10</v>
      </c>
      <c r="E90" s="12">
        <f>SUM(33.3+27+23.3)/3.14</f>
        <v>26.624203821656049</v>
      </c>
      <c r="F90" s="10">
        <v>0.65</v>
      </c>
      <c r="G90" s="30">
        <f t="shared" si="2"/>
        <v>253.25526384797931</v>
      </c>
      <c r="H90" s="31"/>
      <c r="I90" s="10" t="s">
        <v>90</v>
      </c>
      <c r="J90" s="15"/>
    </row>
    <row r="91" spans="1:10" ht="15.75" customHeight="1">
      <c r="A91" s="9">
        <v>5</v>
      </c>
      <c r="B91" s="9" t="s">
        <v>160</v>
      </c>
      <c r="C91" s="29" t="s">
        <v>161</v>
      </c>
      <c r="D91" s="9">
        <v>7</v>
      </c>
      <c r="E91" s="30">
        <f>SUM(23.5)/3.14</f>
        <v>7.484076433121019</v>
      </c>
      <c r="F91" s="10">
        <f>AVERAGE(0.5,0.68)</f>
        <v>0.59000000000000008</v>
      </c>
      <c r="G91" s="30">
        <f t="shared" si="2"/>
        <v>13.66155417803364</v>
      </c>
      <c r="H91" s="31"/>
      <c r="I91" s="10" t="s">
        <v>87</v>
      </c>
      <c r="J91" s="15"/>
    </row>
    <row r="92" spans="1:10" ht="15.75" customHeight="1">
      <c r="A92" s="9">
        <v>5</v>
      </c>
      <c r="B92" s="9" t="s">
        <v>162</v>
      </c>
      <c r="C92" s="29" t="s">
        <v>161</v>
      </c>
      <c r="D92" s="10">
        <v>7.5</v>
      </c>
      <c r="E92" s="30">
        <f>SUM(30.6+28.4)/3.14</f>
        <v>18.789808917197451</v>
      </c>
      <c r="F92" s="10">
        <f>AVERAGE(0.5,0.68)</f>
        <v>0.59000000000000008</v>
      </c>
      <c r="G92" s="30">
        <f t="shared" si="2"/>
        <v>88.129818222688897</v>
      </c>
      <c r="H92" s="31"/>
      <c r="I92" s="10" t="s">
        <v>87</v>
      </c>
      <c r="J92" s="15"/>
    </row>
    <row r="93" spans="1:10" ht="15.75" customHeight="1">
      <c r="A93" s="9">
        <v>5</v>
      </c>
      <c r="B93" s="9" t="s">
        <v>126</v>
      </c>
      <c r="C93" s="29" t="s">
        <v>127</v>
      </c>
      <c r="D93" s="10">
        <v>4.5</v>
      </c>
      <c r="E93" s="185">
        <f>SUM(21+20)/3.14</f>
        <v>13.057324840764331</v>
      </c>
      <c r="F93" s="10">
        <f>AVERAGE(0.4,0.55)</f>
        <v>0.47500000000000003</v>
      </c>
      <c r="G93" s="30">
        <f t="shared" si="2"/>
        <v>21.288784018708323</v>
      </c>
      <c r="H93" s="31"/>
      <c r="I93" s="10" t="s">
        <v>22</v>
      </c>
      <c r="J93" s="15"/>
    </row>
    <row r="94" spans="1:10" ht="15.75" customHeight="1">
      <c r="A94" s="9">
        <v>5</v>
      </c>
      <c r="B94" s="9" t="s">
        <v>106</v>
      </c>
      <c r="C94" s="29" t="s">
        <v>107</v>
      </c>
      <c r="D94" s="10">
        <v>6.5</v>
      </c>
      <c r="E94" s="12">
        <f>SUM(30)/3.14</f>
        <v>9.5541401273885338</v>
      </c>
      <c r="F94" s="10">
        <f>AVERAGE(0.56,0.7)</f>
        <v>0.63</v>
      </c>
      <c r="G94" s="30">
        <f t="shared" si="2"/>
        <v>21.82272061985271</v>
      </c>
      <c r="H94" s="31"/>
      <c r="I94" s="10" t="s">
        <v>22</v>
      </c>
      <c r="J94" s="15"/>
    </row>
    <row r="95" spans="1:10" ht="15.75" customHeight="1">
      <c r="A95" s="9">
        <v>5</v>
      </c>
      <c r="B95" s="9" t="s">
        <v>144</v>
      </c>
      <c r="C95" s="29" t="s">
        <v>145</v>
      </c>
      <c r="D95" s="10">
        <v>8</v>
      </c>
      <c r="E95" s="12">
        <f>SUM(51.5)/3.14</f>
        <v>16.401273885350317</v>
      </c>
      <c r="F95" s="10">
        <v>0.95</v>
      </c>
      <c r="G95" s="30">
        <f t="shared" si="2"/>
        <v>114.58563302560276</v>
      </c>
      <c r="H95" s="31"/>
      <c r="I95" s="10" t="s">
        <v>57</v>
      </c>
      <c r="J95" s="15"/>
    </row>
    <row r="96" spans="1:10" ht="15.75" customHeight="1">
      <c r="A96" s="9">
        <v>5</v>
      </c>
      <c r="B96" s="9" t="s">
        <v>153</v>
      </c>
      <c r="C96" s="29" t="s">
        <v>152</v>
      </c>
      <c r="D96" s="10">
        <v>5</v>
      </c>
      <c r="E96" s="12">
        <f>SUM(20+19+16+15+13.5+14+12.5)/3.14</f>
        <v>35.031847133757964</v>
      </c>
      <c r="F96" s="10"/>
      <c r="G96" s="30">
        <f t="shared" si="2"/>
        <v>0</v>
      </c>
      <c r="H96" s="31"/>
      <c r="I96" s="10"/>
      <c r="J96" s="15"/>
    </row>
    <row r="97" spans="1:10" ht="15.75" customHeight="1">
      <c r="A97" s="9">
        <v>5</v>
      </c>
      <c r="B97" s="9" t="s">
        <v>131</v>
      </c>
      <c r="C97" s="29" t="s">
        <v>132</v>
      </c>
      <c r="D97" s="10">
        <v>4.5</v>
      </c>
      <c r="E97" s="12">
        <f>SUM(8.2)/3.14</f>
        <v>2.6114649681528661</v>
      </c>
      <c r="F97" s="10">
        <v>0.72</v>
      </c>
      <c r="G97" s="30">
        <f t="shared" si="2"/>
        <v>1.3805907554802412</v>
      </c>
      <c r="H97" s="31"/>
      <c r="I97" s="10"/>
      <c r="J97" s="15"/>
    </row>
    <row r="98" spans="1:10" ht="15.75" customHeight="1">
      <c r="A98" s="9">
        <v>5</v>
      </c>
      <c r="B98" s="9" t="s">
        <v>131</v>
      </c>
      <c r="C98" s="29" t="s">
        <v>132</v>
      </c>
      <c r="D98" s="15">
        <v>3.5</v>
      </c>
      <c r="E98" s="12">
        <f>SUM(9.5)/3.14</f>
        <v>3.0254777070063694</v>
      </c>
      <c r="F98" s="10">
        <v>0.72</v>
      </c>
      <c r="G98" s="30">
        <f t="shared" si="2"/>
        <v>1.4397656121381575</v>
      </c>
      <c r="H98" s="31"/>
      <c r="I98" s="10"/>
      <c r="J98" s="15"/>
    </row>
    <row r="99" spans="1:10" ht="15.75" customHeight="1">
      <c r="A99" s="9">
        <v>5</v>
      </c>
      <c r="B99" s="9" t="s">
        <v>124</v>
      </c>
      <c r="C99" s="29" t="s">
        <v>125</v>
      </c>
      <c r="D99" s="10">
        <v>2.7</v>
      </c>
      <c r="E99" s="12">
        <f>SUM(7.5)/3.14</f>
        <v>2.3885350318471334</v>
      </c>
      <c r="F99" s="10"/>
      <c r="G99" s="30">
        <f t="shared" si="2"/>
        <v>0</v>
      </c>
      <c r="H99" s="31"/>
      <c r="I99" s="10"/>
      <c r="J99" s="15"/>
    </row>
    <row r="100" spans="1:10" ht="15.75" customHeight="1">
      <c r="A100" s="9">
        <v>5</v>
      </c>
      <c r="B100" s="9" t="s">
        <v>116</v>
      </c>
      <c r="C100" s="29" t="s">
        <v>117</v>
      </c>
      <c r="D100" s="10">
        <v>2.2000000000000002</v>
      </c>
      <c r="E100" s="12">
        <f>SUM(6.5)/3.14</f>
        <v>2.0700636942675157</v>
      </c>
      <c r="F100" s="10"/>
      <c r="G100" s="30">
        <f t="shared" si="2"/>
        <v>0</v>
      </c>
      <c r="H100" s="31"/>
      <c r="I100" s="10"/>
      <c r="J100" s="15"/>
    </row>
    <row r="101" spans="1:10" ht="15.75" customHeight="1">
      <c r="A101" s="9">
        <v>5</v>
      </c>
      <c r="B101" s="9" t="s">
        <v>118</v>
      </c>
      <c r="C101" s="11" t="s">
        <v>29</v>
      </c>
      <c r="D101" s="10">
        <v>5.5</v>
      </c>
      <c r="E101" s="12">
        <f>SUM(12+10.2+7.5)/3.14</f>
        <v>9.4585987261146496</v>
      </c>
      <c r="F101" s="13">
        <v>0.8</v>
      </c>
      <c r="G101" s="30">
        <f t="shared" si="2"/>
        <v>22.952964897248577</v>
      </c>
      <c r="H101" s="31"/>
      <c r="I101" s="10"/>
      <c r="J101" s="15"/>
    </row>
    <row r="102" spans="1:10" ht="15.75" customHeight="1">
      <c r="A102" s="9">
        <v>5</v>
      </c>
      <c r="B102" s="9" t="s">
        <v>47</v>
      </c>
      <c r="C102" s="29" t="s">
        <v>48</v>
      </c>
      <c r="D102" s="10">
        <v>7</v>
      </c>
      <c r="E102" s="12">
        <f>SUM(48.3)/3.14</f>
        <v>15.38216560509554</v>
      </c>
      <c r="F102" s="13">
        <f>AVERAGE(0.32,0.4)</f>
        <v>0.36</v>
      </c>
      <c r="G102" s="30">
        <f t="shared" si="2"/>
        <v>34.422318462417145</v>
      </c>
      <c r="H102" s="31"/>
      <c r="I102" s="10"/>
      <c r="J102" s="15"/>
    </row>
    <row r="103" spans="1:10" ht="15.75" customHeight="1">
      <c r="A103" s="23"/>
      <c r="B103" s="23"/>
      <c r="C103" s="23"/>
      <c r="D103" s="34"/>
      <c r="E103" s="35"/>
      <c r="F103" s="24"/>
      <c r="G103" s="36"/>
      <c r="H103" s="36"/>
      <c r="I103" s="24"/>
      <c r="J103" s="34"/>
    </row>
    <row r="104" spans="1:10" ht="15.75" customHeight="1">
      <c r="A104" s="23"/>
      <c r="B104" s="23"/>
      <c r="C104" s="23"/>
      <c r="D104" s="34"/>
      <c r="E104" s="35"/>
      <c r="F104" s="24"/>
      <c r="G104" s="36"/>
      <c r="H104" s="36"/>
      <c r="I104" s="24"/>
      <c r="J104" s="34"/>
    </row>
    <row r="105" spans="1:10" ht="15.75" customHeight="1">
      <c r="A105" s="23"/>
      <c r="B105" s="23"/>
      <c r="C105" s="23"/>
      <c r="D105" s="34"/>
      <c r="E105" s="35"/>
      <c r="F105" s="24"/>
      <c r="G105" s="36"/>
      <c r="H105" s="36"/>
      <c r="I105" s="24"/>
      <c r="J105" s="34"/>
    </row>
    <row r="106" spans="1:10" ht="15.75" customHeight="1">
      <c r="A106" s="23"/>
      <c r="B106" s="23"/>
      <c r="C106" s="37"/>
      <c r="D106" s="34"/>
      <c r="E106" s="35"/>
      <c r="F106" s="24"/>
      <c r="G106" s="36"/>
      <c r="H106" s="36"/>
      <c r="I106" s="24"/>
      <c r="J106" s="34"/>
    </row>
    <row r="107" spans="1:10" ht="15.75" customHeight="1">
      <c r="A107" s="23"/>
      <c r="B107" s="23"/>
      <c r="C107" s="37"/>
      <c r="D107" s="34"/>
      <c r="E107" s="35"/>
      <c r="F107" s="24"/>
      <c r="G107" s="36"/>
      <c r="H107" s="36"/>
      <c r="I107" s="24"/>
      <c r="J107" s="34"/>
    </row>
    <row r="108" spans="1:10" ht="15.75" customHeight="1">
      <c r="A108" s="23"/>
      <c r="B108" s="23"/>
      <c r="C108" s="37"/>
      <c r="D108" s="34"/>
      <c r="E108" s="35"/>
      <c r="F108" s="24"/>
      <c r="G108" s="36"/>
      <c r="H108" s="36"/>
      <c r="I108" s="24"/>
      <c r="J108" s="34"/>
    </row>
    <row r="109" spans="1:10" ht="15.75" customHeight="1">
      <c r="A109" s="23"/>
      <c r="B109" s="23"/>
      <c r="C109" s="37"/>
      <c r="D109" s="34"/>
      <c r="E109" s="35"/>
      <c r="F109" s="24"/>
      <c r="G109" s="36"/>
      <c r="H109" s="36"/>
      <c r="I109" s="24"/>
      <c r="J109" s="34"/>
    </row>
    <row r="110" spans="1:10" ht="15.75" customHeight="1">
      <c r="A110" s="23"/>
      <c r="B110" s="23"/>
      <c r="C110" s="37"/>
      <c r="D110" s="34"/>
      <c r="E110" s="35"/>
      <c r="F110" s="24"/>
      <c r="G110" s="36"/>
      <c r="H110" s="36"/>
      <c r="I110" s="24"/>
      <c r="J110" s="34"/>
    </row>
    <row r="111" spans="1:10" ht="15.75" customHeight="1">
      <c r="A111" s="23"/>
      <c r="B111" s="23"/>
      <c r="C111" s="37"/>
      <c r="D111" s="34"/>
      <c r="E111" s="35"/>
      <c r="F111" s="24"/>
      <c r="G111" s="36"/>
      <c r="H111" s="36"/>
      <c r="I111" s="24"/>
      <c r="J111" s="34"/>
    </row>
    <row r="112" spans="1:10" ht="15.75" customHeight="1">
      <c r="A112" s="23"/>
      <c r="B112" s="23"/>
      <c r="C112" s="37"/>
      <c r="D112" s="34"/>
      <c r="E112" s="35"/>
      <c r="F112" s="24"/>
      <c r="G112" s="36"/>
      <c r="H112" s="36"/>
      <c r="I112" s="24"/>
      <c r="J112" s="34"/>
    </row>
    <row r="113" spans="1:10" ht="15.75" customHeight="1">
      <c r="A113" s="23"/>
      <c r="B113" s="23"/>
      <c r="C113" s="37"/>
      <c r="D113" s="34"/>
      <c r="E113" s="35"/>
      <c r="F113" s="24"/>
      <c r="G113" s="36"/>
      <c r="H113" s="36"/>
      <c r="I113" s="24"/>
      <c r="J113" s="34"/>
    </row>
    <row r="114" spans="1:10" ht="15.75" customHeight="1">
      <c r="A114" s="23"/>
      <c r="B114" s="23"/>
      <c r="C114" s="37"/>
      <c r="D114" s="34"/>
      <c r="E114" s="35"/>
      <c r="F114" s="24"/>
      <c r="G114" s="36"/>
      <c r="H114" s="36"/>
      <c r="I114" s="24"/>
      <c r="J114" s="34"/>
    </row>
    <row r="115" spans="1:10" ht="15.75" customHeight="1">
      <c r="A115" s="23"/>
      <c r="B115" s="23"/>
      <c r="C115" s="37"/>
      <c r="D115" s="34"/>
      <c r="E115" s="35"/>
      <c r="F115" s="24"/>
      <c r="G115" s="36"/>
      <c r="H115" s="36"/>
      <c r="I115" s="24"/>
      <c r="J115" s="34"/>
    </row>
    <row r="116" spans="1:10" ht="15.75" customHeight="1">
      <c r="A116" s="23"/>
      <c r="B116" s="23"/>
      <c r="C116" s="37"/>
      <c r="D116" s="34"/>
      <c r="E116" s="35"/>
      <c r="F116" s="24"/>
      <c r="G116" s="36"/>
      <c r="H116" s="36"/>
      <c r="I116" s="24"/>
      <c r="J116" s="34"/>
    </row>
    <row r="117" spans="1:10" ht="15.75" customHeight="1">
      <c r="A117" s="23"/>
      <c r="B117" s="23"/>
      <c r="C117" s="37"/>
      <c r="D117" s="34"/>
      <c r="E117" s="35"/>
      <c r="F117" s="24"/>
      <c r="G117" s="36"/>
      <c r="H117" s="36"/>
      <c r="I117" s="24"/>
      <c r="J117" s="34"/>
    </row>
    <row r="118" spans="1:10" ht="15.75" customHeight="1">
      <c r="A118" s="23"/>
      <c r="B118" s="23"/>
      <c r="C118" s="37"/>
      <c r="D118" s="34"/>
      <c r="E118" s="35"/>
      <c r="F118" s="24"/>
      <c r="G118" s="36"/>
      <c r="H118" s="36"/>
      <c r="I118" s="24"/>
      <c r="J118" s="34"/>
    </row>
    <row r="119" spans="1:10" ht="15.75" customHeight="1">
      <c r="A119" s="23"/>
      <c r="B119" s="23"/>
      <c r="C119" s="37"/>
      <c r="D119" s="34"/>
      <c r="E119" s="35"/>
      <c r="F119" s="24"/>
      <c r="G119" s="36"/>
      <c r="H119" s="36"/>
      <c r="I119" s="24"/>
      <c r="J119" s="34"/>
    </row>
    <row r="120" spans="1:10" ht="15.75" customHeight="1">
      <c r="A120" s="23"/>
      <c r="B120" s="23"/>
      <c r="C120" s="37"/>
      <c r="D120" s="34"/>
      <c r="E120" s="38"/>
      <c r="F120" s="24"/>
      <c r="G120" s="36"/>
      <c r="H120" s="36"/>
      <c r="I120" s="24"/>
      <c r="J120" s="34"/>
    </row>
    <row r="121" spans="1:10" ht="15.75" customHeight="1">
      <c r="A121" s="23"/>
      <c r="B121" s="23"/>
      <c r="C121" s="37"/>
      <c r="D121" s="34"/>
      <c r="E121" s="38"/>
      <c r="F121" s="24"/>
      <c r="G121" s="36"/>
      <c r="H121" s="36"/>
      <c r="I121" s="24"/>
      <c r="J121" s="34"/>
    </row>
    <row r="122" spans="1:10" ht="15.75" customHeight="1">
      <c r="A122" s="23"/>
      <c r="B122" s="23"/>
      <c r="C122" s="37"/>
      <c r="D122" s="34"/>
      <c r="E122" s="38"/>
      <c r="F122" s="24"/>
      <c r="G122" s="36"/>
      <c r="H122" s="36"/>
      <c r="I122" s="24"/>
      <c r="J122" s="34"/>
    </row>
    <row r="123" spans="1:10" ht="15.75" customHeight="1">
      <c r="A123" s="23"/>
      <c r="B123" s="23"/>
      <c r="C123" s="37"/>
      <c r="D123" s="34"/>
      <c r="E123" s="38"/>
      <c r="F123" s="24"/>
      <c r="G123" s="36"/>
      <c r="H123" s="36"/>
      <c r="I123" s="24"/>
      <c r="J123" s="34"/>
    </row>
    <row r="124" spans="1:10" ht="15.75" customHeight="1">
      <c r="A124" s="23"/>
      <c r="B124" s="23"/>
      <c r="C124" s="37"/>
      <c r="D124" s="34"/>
      <c r="E124" s="38"/>
      <c r="F124" s="24"/>
      <c r="G124" s="36"/>
      <c r="H124" s="36"/>
      <c r="I124" s="24"/>
      <c r="J124" s="34"/>
    </row>
    <row r="125" spans="1:10" ht="15.75" customHeight="1">
      <c r="A125" s="23"/>
      <c r="B125" s="23"/>
      <c r="C125" s="37"/>
      <c r="D125" s="34"/>
      <c r="E125" s="38"/>
      <c r="F125" s="24"/>
      <c r="G125" s="36"/>
      <c r="H125" s="36"/>
      <c r="I125" s="24"/>
      <c r="J125" s="34"/>
    </row>
    <row r="126" spans="1:10" ht="15.75" customHeight="1">
      <c r="A126" s="23"/>
      <c r="B126" s="23"/>
      <c r="C126" s="37"/>
      <c r="D126" s="34"/>
      <c r="E126" s="38"/>
      <c r="F126" s="24"/>
      <c r="G126" s="36"/>
      <c r="H126" s="36"/>
      <c r="I126" s="24"/>
      <c r="J126" s="34"/>
    </row>
    <row r="127" spans="1:10" ht="15.75" customHeight="1">
      <c r="A127" s="23"/>
      <c r="B127" s="23"/>
      <c r="C127" s="37"/>
      <c r="D127" s="34"/>
      <c r="E127" s="38"/>
      <c r="F127" s="24"/>
      <c r="G127" s="36"/>
      <c r="H127" s="36"/>
      <c r="I127" s="24"/>
      <c r="J127" s="34"/>
    </row>
    <row r="128" spans="1:10" ht="15.75" customHeight="1">
      <c r="A128" s="23"/>
      <c r="B128" s="23"/>
      <c r="C128" s="37"/>
      <c r="D128" s="34"/>
      <c r="E128" s="38"/>
      <c r="F128" s="24"/>
      <c r="G128" s="36"/>
      <c r="H128" s="36"/>
      <c r="I128" s="24"/>
      <c r="J128" s="34"/>
    </row>
    <row r="129" spans="1:10" ht="15.75" customHeight="1">
      <c r="A129" s="23"/>
      <c r="B129" s="23"/>
      <c r="C129" s="37"/>
      <c r="D129" s="34"/>
      <c r="E129" s="38"/>
      <c r="F129" s="24"/>
      <c r="G129" s="36"/>
      <c r="H129" s="36"/>
      <c r="I129" s="24"/>
      <c r="J129" s="34"/>
    </row>
    <row r="130" spans="1:10" ht="15.75" customHeight="1">
      <c r="A130" s="23"/>
      <c r="B130" s="23"/>
      <c r="C130" s="37"/>
      <c r="D130" s="34"/>
      <c r="E130" s="38"/>
      <c r="F130" s="24"/>
      <c r="G130" s="36"/>
      <c r="H130" s="36"/>
      <c r="I130" s="24"/>
      <c r="J130" s="34"/>
    </row>
    <row r="131" spans="1:10" ht="15.75" customHeight="1">
      <c r="A131" s="23"/>
      <c r="B131" s="23"/>
      <c r="C131" s="37"/>
      <c r="D131" s="34"/>
      <c r="E131" s="38"/>
      <c r="F131" s="24"/>
      <c r="G131" s="36"/>
      <c r="H131" s="36"/>
      <c r="I131" s="24"/>
      <c r="J131" s="34"/>
    </row>
    <row r="132" spans="1:10" ht="15.75" customHeight="1">
      <c r="A132" s="23"/>
      <c r="B132" s="23"/>
      <c r="C132" s="37"/>
      <c r="D132" s="34"/>
      <c r="E132" s="38"/>
      <c r="F132" s="24"/>
      <c r="G132" s="36"/>
      <c r="H132" s="36"/>
      <c r="I132" s="24"/>
      <c r="J132" s="34"/>
    </row>
    <row r="133" spans="1:10" ht="15.75" customHeight="1">
      <c r="A133" s="23"/>
      <c r="B133" s="23"/>
      <c r="C133" s="37"/>
      <c r="D133" s="34"/>
      <c r="E133" s="38"/>
      <c r="F133" s="24"/>
      <c r="G133" s="36"/>
      <c r="H133" s="36"/>
      <c r="I133" s="24"/>
      <c r="J133" s="34"/>
    </row>
    <row r="134" spans="1:10" ht="15.75" customHeight="1">
      <c r="A134" s="23"/>
      <c r="B134" s="23"/>
      <c r="C134" s="37"/>
      <c r="D134" s="34"/>
      <c r="E134" s="38"/>
      <c r="F134" s="24"/>
      <c r="G134" s="36"/>
      <c r="H134" s="36"/>
      <c r="I134" s="24"/>
      <c r="J134" s="34"/>
    </row>
    <row r="135" spans="1:10" ht="15.75" customHeight="1">
      <c r="A135" s="23"/>
      <c r="B135" s="23"/>
      <c r="C135" s="37"/>
      <c r="D135" s="34"/>
      <c r="E135" s="38"/>
      <c r="F135" s="24"/>
      <c r="G135" s="36"/>
      <c r="H135" s="36"/>
      <c r="I135" s="24"/>
      <c r="J135" s="34"/>
    </row>
    <row r="136" spans="1:10" ht="15.75" customHeight="1">
      <c r="A136" s="23"/>
      <c r="B136" s="23"/>
      <c r="C136" s="37"/>
      <c r="D136" s="34"/>
      <c r="E136" s="38"/>
      <c r="F136" s="24"/>
      <c r="G136" s="36"/>
      <c r="H136" s="36"/>
      <c r="I136" s="24"/>
      <c r="J136" s="34"/>
    </row>
    <row r="137" spans="1:10" ht="15.75" customHeight="1">
      <c r="A137" s="23"/>
      <c r="B137" s="23"/>
      <c r="C137" s="37"/>
      <c r="D137" s="34"/>
      <c r="E137" s="38"/>
      <c r="F137" s="24"/>
      <c r="G137" s="36"/>
      <c r="H137" s="36"/>
      <c r="I137" s="24"/>
      <c r="J137" s="34"/>
    </row>
    <row r="138" spans="1:10" ht="15.75" customHeight="1">
      <c r="A138" s="23"/>
      <c r="B138" s="23"/>
      <c r="C138" s="37"/>
      <c r="D138" s="34"/>
      <c r="E138" s="38"/>
      <c r="F138" s="24"/>
      <c r="G138" s="36"/>
      <c r="H138" s="36"/>
      <c r="I138" s="24"/>
      <c r="J138" s="34"/>
    </row>
    <row r="139" spans="1:10" ht="15.75" customHeight="1">
      <c r="A139" s="23"/>
      <c r="B139" s="23"/>
      <c r="C139" s="37"/>
      <c r="D139" s="34"/>
      <c r="E139" s="38"/>
      <c r="F139" s="24"/>
      <c r="G139" s="36"/>
      <c r="H139" s="36"/>
      <c r="I139" s="24"/>
      <c r="J139" s="34"/>
    </row>
    <row r="140" spans="1:10" ht="15.75" customHeight="1">
      <c r="A140" s="23"/>
      <c r="B140" s="23"/>
      <c r="C140" s="37"/>
      <c r="D140" s="34"/>
      <c r="E140" s="38"/>
      <c r="F140" s="24"/>
      <c r="G140" s="36"/>
      <c r="H140" s="36"/>
      <c r="I140" s="24"/>
      <c r="J140" s="34"/>
    </row>
    <row r="141" spans="1:10" ht="15.75" customHeight="1">
      <c r="A141" s="23"/>
      <c r="B141" s="23"/>
      <c r="C141" s="37"/>
      <c r="D141" s="34"/>
      <c r="E141" s="38"/>
      <c r="F141" s="24"/>
      <c r="G141" s="36"/>
      <c r="H141" s="36"/>
      <c r="I141" s="24"/>
      <c r="J141" s="34"/>
    </row>
    <row r="142" spans="1:10" ht="15.75" customHeight="1">
      <c r="A142" s="23"/>
      <c r="B142" s="23"/>
      <c r="C142" s="37"/>
      <c r="D142" s="34"/>
      <c r="E142" s="38"/>
      <c r="F142" s="24"/>
      <c r="G142" s="36"/>
      <c r="H142" s="36"/>
      <c r="I142" s="24"/>
      <c r="J142" s="34"/>
    </row>
    <row r="143" spans="1:10" ht="15.75" customHeight="1">
      <c r="A143" s="23"/>
      <c r="B143" s="23"/>
      <c r="C143" s="37"/>
      <c r="D143" s="34"/>
      <c r="E143" s="38"/>
      <c r="F143" s="24"/>
      <c r="G143" s="36"/>
      <c r="H143" s="36"/>
      <c r="I143" s="24"/>
      <c r="J143" s="34"/>
    </row>
    <row r="144" spans="1:10" ht="15.75" customHeight="1">
      <c r="A144" s="23"/>
      <c r="B144" s="23"/>
      <c r="C144" s="37"/>
      <c r="D144" s="34"/>
      <c r="E144" s="38"/>
      <c r="F144" s="24"/>
      <c r="G144" s="36"/>
      <c r="H144" s="36"/>
      <c r="I144" s="24"/>
      <c r="J144" s="34"/>
    </row>
    <row r="145" spans="1:10" ht="15.75" customHeight="1">
      <c r="A145" s="23"/>
      <c r="B145" s="23"/>
      <c r="C145" s="37"/>
      <c r="D145" s="34"/>
      <c r="E145" s="38"/>
      <c r="F145" s="24"/>
      <c r="G145" s="36"/>
      <c r="H145" s="36"/>
      <c r="I145" s="24"/>
      <c r="J145" s="34"/>
    </row>
    <row r="146" spans="1:10" ht="15.75" customHeight="1">
      <c r="A146" s="23"/>
      <c r="B146" s="23"/>
      <c r="C146" s="37"/>
      <c r="D146" s="34"/>
      <c r="E146" s="38"/>
      <c r="F146" s="24"/>
      <c r="G146" s="36"/>
      <c r="H146" s="36"/>
      <c r="I146" s="24"/>
      <c r="J146" s="34"/>
    </row>
    <row r="147" spans="1:10" ht="15.75" customHeight="1">
      <c r="A147" s="23"/>
      <c r="B147" s="23"/>
      <c r="C147" s="37"/>
      <c r="D147" s="34"/>
      <c r="E147" s="38"/>
      <c r="F147" s="24"/>
      <c r="G147" s="36"/>
      <c r="H147" s="36"/>
      <c r="I147" s="24"/>
      <c r="J147" s="34"/>
    </row>
    <row r="148" spans="1:10" ht="15.75" customHeight="1">
      <c r="A148" s="23"/>
      <c r="B148" s="23"/>
      <c r="C148" s="37"/>
      <c r="D148" s="34"/>
      <c r="E148" s="38"/>
      <c r="F148" s="24"/>
      <c r="G148" s="36"/>
      <c r="H148" s="36"/>
      <c r="I148" s="24"/>
      <c r="J148" s="34"/>
    </row>
    <row r="149" spans="1:10" ht="15.75" customHeight="1">
      <c r="A149" s="23"/>
      <c r="B149" s="23"/>
      <c r="C149" s="37"/>
      <c r="D149" s="34"/>
      <c r="E149" s="38"/>
      <c r="F149" s="24"/>
      <c r="G149" s="36"/>
      <c r="H149" s="36"/>
      <c r="I149" s="24"/>
      <c r="J149" s="34"/>
    </row>
    <row r="150" spans="1:10" ht="15.75" customHeight="1">
      <c r="A150" s="23"/>
      <c r="B150" s="23"/>
      <c r="C150" s="37"/>
      <c r="D150" s="34"/>
      <c r="E150" s="38"/>
      <c r="F150" s="24"/>
      <c r="G150" s="36"/>
      <c r="H150" s="36"/>
      <c r="I150" s="24"/>
      <c r="J150" s="34"/>
    </row>
    <row r="151" spans="1:10" ht="15.75" customHeight="1">
      <c r="A151" s="23"/>
      <c r="B151" s="23"/>
      <c r="C151" s="37"/>
      <c r="D151" s="34"/>
      <c r="E151" s="38"/>
      <c r="F151" s="24"/>
      <c r="G151" s="36"/>
      <c r="H151" s="36"/>
      <c r="I151" s="24"/>
      <c r="J151" s="34"/>
    </row>
    <row r="152" spans="1:10" ht="15.75" customHeight="1">
      <c r="A152" s="23"/>
      <c r="B152" s="23"/>
      <c r="C152" s="37"/>
      <c r="D152" s="34"/>
      <c r="E152" s="38"/>
      <c r="F152" s="24"/>
      <c r="G152" s="36"/>
      <c r="H152" s="36"/>
      <c r="I152" s="24"/>
      <c r="J152" s="34"/>
    </row>
    <row r="153" spans="1:10" ht="15.75" customHeight="1">
      <c r="A153" s="23"/>
      <c r="B153" s="23"/>
      <c r="C153" s="37"/>
      <c r="D153" s="34"/>
      <c r="E153" s="38"/>
      <c r="F153" s="24"/>
      <c r="G153" s="36"/>
      <c r="H153" s="36"/>
      <c r="I153" s="24"/>
      <c r="J153" s="34"/>
    </row>
    <row r="154" spans="1:10" ht="15.75" customHeight="1">
      <c r="A154" s="23"/>
      <c r="B154" s="23"/>
      <c r="C154" s="37"/>
      <c r="D154" s="34"/>
      <c r="E154" s="38"/>
      <c r="F154" s="24"/>
      <c r="G154" s="36"/>
      <c r="H154" s="36"/>
      <c r="I154" s="24"/>
      <c r="J154" s="34"/>
    </row>
    <row r="155" spans="1:10" ht="15.75" customHeight="1">
      <c r="A155" s="23"/>
      <c r="B155" s="23"/>
      <c r="C155" s="37"/>
      <c r="D155" s="34"/>
      <c r="E155" s="38"/>
      <c r="F155" s="24"/>
      <c r="G155" s="36"/>
      <c r="H155" s="36"/>
      <c r="I155" s="24"/>
      <c r="J155" s="34"/>
    </row>
    <row r="156" spans="1:10" ht="15.75" customHeight="1">
      <c r="A156" s="23"/>
      <c r="B156" s="23"/>
      <c r="C156" s="37"/>
      <c r="D156" s="34"/>
      <c r="E156" s="38"/>
      <c r="F156" s="24"/>
      <c r="G156" s="36"/>
      <c r="H156" s="36"/>
      <c r="I156" s="24"/>
      <c r="J156" s="34"/>
    </row>
    <row r="157" spans="1:10" ht="15.75" customHeight="1">
      <c r="A157" s="23"/>
      <c r="B157" s="23"/>
      <c r="C157" s="39"/>
      <c r="D157" s="34"/>
      <c r="E157" s="38"/>
      <c r="F157" s="24"/>
      <c r="G157" s="36"/>
      <c r="H157" s="36"/>
      <c r="I157" s="24"/>
      <c r="J157" s="34"/>
    </row>
    <row r="158" spans="1:10" ht="15.75" customHeight="1">
      <c r="A158" s="23"/>
      <c r="B158" s="23"/>
      <c r="C158" s="39"/>
      <c r="D158" s="34"/>
      <c r="E158" s="38"/>
      <c r="F158" s="24"/>
      <c r="G158" s="36"/>
      <c r="H158" s="36"/>
      <c r="I158" s="24"/>
      <c r="J158" s="34"/>
    </row>
    <row r="159" spans="1:10" ht="15.75" customHeight="1">
      <c r="A159" s="23"/>
      <c r="B159" s="23"/>
      <c r="C159" s="39"/>
      <c r="D159" s="34"/>
      <c r="E159" s="38"/>
      <c r="F159" s="24"/>
      <c r="G159" s="36"/>
      <c r="H159" s="36"/>
      <c r="I159" s="24"/>
      <c r="J159" s="34"/>
    </row>
    <row r="160" spans="1:10" ht="15.75" customHeight="1">
      <c r="A160" s="23"/>
      <c r="B160" s="23"/>
      <c r="C160" s="39"/>
      <c r="D160" s="34"/>
      <c r="E160" s="38"/>
      <c r="F160" s="24"/>
      <c r="G160" s="36"/>
      <c r="H160" s="36"/>
      <c r="I160" s="24"/>
      <c r="J160" s="34"/>
    </row>
    <row r="161" spans="1:10" ht="15.75" customHeight="1">
      <c r="A161" s="23"/>
      <c r="B161" s="23"/>
      <c r="C161" s="39"/>
      <c r="D161" s="34"/>
      <c r="E161" s="38"/>
      <c r="F161" s="24"/>
      <c r="G161" s="36"/>
      <c r="H161" s="36"/>
      <c r="I161" s="24"/>
      <c r="J161" s="34"/>
    </row>
    <row r="162" spans="1:10" ht="15.75" customHeight="1">
      <c r="A162" s="23"/>
      <c r="B162" s="23"/>
      <c r="C162" s="37"/>
      <c r="D162" s="34"/>
      <c r="E162" s="38"/>
      <c r="F162" s="24"/>
      <c r="G162" s="36"/>
      <c r="H162" s="36"/>
      <c r="I162" s="24"/>
      <c r="J162" s="34"/>
    </row>
    <row r="163" spans="1:10" ht="15.75" customHeight="1">
      <c r="A163" s="23"/>
      <c r="B163" s="23"/>
      <c r="C163" s="37"/>
      <c r="D163" s="34"/>
      <c r="E163" s="38"/>
      <c r="F163" s="24"/>
      <c r="G163" s="36"/>
      <c r="H163" s="36"/>
      <c r="I163" s="24"/>
      <c r="J163" s="34"/>
    </row>
    <row r="164" spans="1:10" ht="15.75" customHeight="1">
      <c r="A164" s="23"/>
      <c r="B164" s="23"/>
      <c r="C164" s="37"/>
      <c r="D164" s="34"/>
      <c r="E164" s="38"/>
      <c r="F164" s="24"/>
      <c r="G164" s="36"/>
      <c r="H164" s="36"/>
      <c r="I164" s="24"/>
      <c r="J164" s="34"/>
    </row>
    <row r="165" spans="1:10" ht="15.75" customHeight="1">
      <c r="A165" s="23"/>
      <c r="B165" s="23"/>
      <c r="C165" s="37"/>
      <c r="D165" s="34"/>
      <c r="E165" s="38"/>
      <c r="F165" s="24"/>
      <c r="G165" s="36"/>
      <c r="H165" s="36"/>
      <c r="I165" s="24"/>
      <c r="J165" s="34"/>
    </row>
    <row r="166" spans="1:10" ht="15.75" customHeight="1">
      <c r="A166" s="23"/>
      <c r="B166" s="23"/>
      <c r="C166" s="37"/>
      <c r="D166" s="34"/>
      <c r="E166" s="38"/>
      <c r="F166" s="24"/>
      <c r="G166" s="36"/>
      <c r="H166" s="36"/>
      <c r="I166" s="24"/>
      <c r="J166" s="34"/>
    </row>
    <row r="167" spans="1:10" ht="15.75" customHeight="1">
      <c r="A167" s="23"/>
      <c r="B167" s="23"/>
      <c r="C167" s="37"/>
      <c r="D167" s="34"/>
      <c r="E167" s="38"/>
      <c r="F167" s="24"/>
      <c r="G167" s="36"/>
      <c r="H167" s="36"/>
      <c r="I167" s="24"/>
      <c r="J167" s="34"/>
    </row>
    <row r="168" spans="1:10" ht="15.75" customHeight="1">
      <c r="A168" s="23"/>
      <c r="B168" s="23"/>
      <c r="C168" s="37"/>
      <c r="D168" s="34"/>
      <c r="E168" s="38"/>
      <c r="F168" s="24"/>
      <c r="G168" s="36"/>
      <c r="H168" s="36"/>
      <c r="I168" s="24"/>
      <c r="J168" s="34"/>
    </row>
    <row r="169" spans="1:10" ht="15.75" customHeight="1">
      <c r="A169" s="23"/>
      <c r="B169" s="23"/>
      <c r="C169" s="37"/>
      <c r="D169" s="34"/>
      <c r="E169" s="38"/>
      <c r="F169" s="24"/>
      <c r="G169" s="36"/>
      <c r="H169" s="36"/>
      <c r="I169" s="24"/>
      <c r="J169" s="34"/>
    </row>
    <row r="170" spans="1:10" ht="15.75" customHeight="1">
      <c r="A170" s="23"/>
      <c r="B170" s="23"/>
      <c r="C170" s="37"/>
      <c r="D170" s="34"/>
      <c r="E170" s="38"/>
      <c r="F170" s="24"/>
      <c r="G170" s="36"/>
      <c r="H170" s="36"/>
      <c r="I170" s="24"/>
      <c r="J170" s="34"/>
    </row>
    <row r="171" spans="1:10" ht="15.75" customHeight="1">
      <c r="A171" s="23"/>
      <c r="B171" s="23"/>
      <c r="C171" s="37"/>
      <c r="D171" s="34"/>
      <c r="E171" s="38"/>
      <c r="F171" s="24"/>
      <c r="G171" s="36"/>
      <c r="H171" s="36"/>
      <c r="I171" s="24"/>
      <c r="J171" s="34"/>
    </row>
    <row r="172" spans="1:10" ht="15.75" customHeight="1">
      <c r="A172" s="23"/>
      <c r="B172" s="23"/>
      <c r="C172" s="37"/>
      <c r="D172" s="34"/>
      <c r="E172" s="38"/>
      <c r="F172" s="24"/>
      <c r="G172" s="36"/>
      <c r="H172" s="36"/>
      <c r="I172" s="24"/>
      <c r="J172" s="34"/>
    </row>
    <row r="173" spans="1:10" ht="15.75" customHeight="1">
      <c r="A173" s="23"/>
      <c r="B173" s="23"/>
      <c r="C173" s="37"/>
      <c r="D173" s="34"/>
      <c r="E173" s="38"/>
      <c r="F173" s="24"/>
      <c r="G173" s="36"/>
      <c r="H173" s="36"/>
      <c r="I173" s="24"/>
      <c r="J173" s="34"/>
    </row>
    <row r="174" spans="1:10" ht="15.75" customHeight="1">
      <c r="A174" s="23"/>
      <c r="B174" s="23"/>
      <c r="C174" s="37"/>
      <c r="D174" s="34"/>
      <c r="E174" s="38"/>
      <c r="F174" s="24"/>
      <c r="G174" s="36"/>
      <c r="H174" s="36"/>
      <c r="I174" s="24"/>
      <c r="J174" s="34"/>
    </row>
    <row r="175" spans="1:10" ht="15.75" customHeight="1">
      <c r="A175" s="23"/>
      <c r="B175" s="23"/>
      <c r="C175" s="37"/>
      <c r="D175" s="34"/>
      <c r="E175" s="38"/>
      <c r="F175" s="24"/>
      <c r="G175" s="36"/>
      <c r="H175" s="36"/>
      <c r="I175" s="24"/>
      <c r="J175" s="34"/>
    </row>
    <row r="176" spans="1:10" ht="15.75" customHeight="1">
      <c r="A176" s="23"/>
      <c r="B176" s="23"/>
      <c r="C176" s="37"/>
      <c r="D176" s="34"/>
      <c r="E176" s="38"/>
      <c r="F176" s="24"/>
      <c r="G176" s="36"/>
      <c r="H176" s="36"/>
      <c r="I176" s="24"/>
      <c r="J176" s="34"/>
    </row>
    <row r="177" spans="1:10" ht="15.75" customHeight="1">
      <c r="A177" s="23"/>
      <c r="B177" s="23"/>
      <c r="C177" s="37"/>
      <c r="D177" s="34"/>
      <c r="E177" s="38"/>
      <c r="F177" s="24"/>
      <c r="G177" s="36"/>
      <c r="H177" s="36"/>
      <c r="I177" s="24"/>
      <c r="J177" s="34"/>
    </row>
    <row r="178" spans="1:10" ht="15.75" customHeight="1">
      <c r="A178" s="23"/>
      <c r="B178" s="23"/>
      <c r="C178" s="37"/>
      <c r="D178" s="34"/>
      <c r="E178" s="38"/>
      <c r="F178" s="24"/>
      <c r="G178" s="36"/>
      <c r="H178" s="36"/>
      <c r="I178" s="24"/>
      <c r="J178" s="34"/>
    </row>
    <row r="179" spans="1:10" ht="15.75" customHeight="1">
      <c r="A179" s="23"/>
      <c r="B179" s="23"/>
      <c r="C179" s="37"/>
      <c r="D179" s="34"/>
      <c r="E179" s="38"/>
      <c r="F179" s="24"/>
      <c r="G179" s="36"/>
      <c r="H179" s="36"/>
      <c r="I179" s="24"/>
      <c r="J179" s="34"/>
    </row>
    <row r="180" spans="1:10" ht="15.75" customHeight="1">
      <c r="A180" s="23"/>
      <c r="B180" s="23"/>
      <c r="C180" s="37"/>
      <c r="D180" s="34"/>
      <c r="E180" s="38"/>
      <c r="F180" s="24"/>
      <c r="G180" s="36"/>
      <c r="H180" s="36"/>
      <c r="I180" s="24"/>
      <c r="J180" s="34"/>
    </row>
    <row r="181" spans="1:10" ht="15.75" customHeight="1">
      <c r="A181" s="23"/>
      <c r="B181" s="23"/>
      <c r="C181" s="37"/>
      <c r="D181" s="34"/>
      <c r="E181" s="38"/>
      <c r="F181" s="24"/>
      <c r="G181" s="36"/>
      <c r="H181" s="36"/>
      <c r="I181" s="24"/>
      <c r="J181" s="34"/>
    </row>
    <row r="182" spans="1:10" ht="15.75" customHeight="1">
      <c r="A182" s="23"/>
      <c r="B182" s="23"/>
      <c r="C182" s="37"/>
      <c r="D182" s="34"/>
      <c r="E182" s="38"/>
      <c r="F182" s="24"/>
      <c r="G182" s="36"/>
      <c r="H182" s="36"/>
      <c r="I182" s="24"/>
      <c r="J182" s="34"/>
    </row>
    <row r="183" spans="1:10" ht="15.75" customHeight="1">
      <c r="A183" s="23"/>
      <c r="B183" s="23"/>
      <c r="C183" s="37"/>
      <c r="D183" s="34"/>
      <c r="E183" s="38"/>
      <c r="F183" s="24"/>
      <c r="G183" s="36"/>
      <c r="H183" s="36"/>
      <c r="I183" s="24"/>
      <c r="J183" s="34"/>
    </row>
    <row r="184" spans="1:10" ht="15.75" customHeight="1">
      <c r="A184" s="23"/>
      <c r="B184" s="23"/>
      <c r="C184" s="37"/>
      <c r="D184" s="34"/>
      <c r="E184" s="38"/>
      <c r="F184" s="24"/>
      <c r="G184" s="36"/>
      <c r="H184" s="36"/>
      <c r="I184" s="24"/>
      <c r="J184" s="34"/>
    </row>
    <row r="185" spans="1:10" ht="15.75" customHeight="1">
      <c r="A185" s="23"/>
      <c r="B185" s="23"/>
      <c r="C185" s="37"/>
      <c r="D185" s="34"/>
      <c r="E185" s="38"/>
      <c r="F185" s="24"/>
      <c r="G185" s="36"/>
      <c r="H185" s="36"/>
      <c r="I185" s="24"/>
      <c r="J185" s="34"/>
    </row>
    <row r="186" spans="1:10" ht="15.75" customHeight="1">
      <c r="A186" s="23"/>
      <c r="B186" s="23"/>
      <c r="C186" s="37"/>
      <c r="D186" s="34"/>
      <c r="E186" s="38"/>
      <c r="F186" s="24"/>
      <c r="G186" s="36"/>
      <c r="H186" s="36"/>
      <c r="I186" s="24"/>
      <c r="J186" s="34"/>
    </row>
    <row r="187" spans="1:10" ht="15.75" customHeight="1">
      <c r="A187" s="23"/>
      <c r="B187" s="23"/>
      <c r="C187" s="37"/>
      <c r="D187" s="34"/>
      <c r="E187" s="38"/>
      <c r="F187" s="24"/>
      <c r="G187" s="36"/>
      <c r="H187" s="36"/>
      <c r="I187" s="24"/>
      <c r="J187" s="34"/>
    </row>
    <row r="188" spans="1:10" ht="15.75" customHeight="1">
      <c r="A188" s="23"/>
      <c r="B188" s="23"/>
      <c r="C188" s="37"/>
      <c r="D188" s="34"/>
      <c r="E188" s="38"/>
      <c r="F188" s="24"/>
      <c r="G188" s="36"/>
      <c r="H188" s="36"/>
      <c r="I188" s="24"/>
      <c r="J188" s="34"/>
    </row>
    <row r="189" spans="1:10" ht="15.75" customHeight="1">
      <c r="A189" s="23"/>
      <c r="B189" s="23"/>
      <c r="C189" s="37"/>
      <c r="D189" s="34"/>
      <c r="E189" s="38"/>
      <c r="F189" s="24"/>
      <c r="G189" s="36"/>
      <c r="H189" s="36"/>
      <c r="I189" s="24"/>
      <c r="J189" s="34"/>
    </row>
    <row r="190" spans="1:10" ht="15.75" customHeight="1">
      <c r="A190" s="23"/>
      <c r="B190" s="23"/>
      <c r="C190" s="37"/>
      <c r="D190" s="34"/>
      <c r="E190" s="38"/>
      <c r="F190" s="24"/>
      <c r="G190" s="36"/>
      <c r="H190" s="36"/>
      <c r="I190" s="24"/>
      <c r="J190" s="34"/>
    </row>
    <row r="191" spans="1:10" ht="15.75" customHeight="1">
      <c r="A191" s="23"/>
      <c r="B191" s="23"/>
      <c r="C191" s="37"/>
      <c r="D191" s="34"/>
      <c r="E191" s="38"/>
      <c r="F191" s="24"/>
      <c r="G191" s="36"/>
      <c r="H191" s="36"/>
      <c r="I191" s="24"/>
      <c r="J191" s="34"/>
    </row>
    <row r="192" spans="1:10" ht="15.75" customHeight="1">
      <c r="A192" s="20"/>
      <c r="B192" s="20"/>
      <c r="C192" s="37"/>
      <c r="D192" s="21"/>
      <c r="E192" s="22"/>
      <c r="F192" s="24"/>
      <c r="I192" s="25"/>
      <c r="J192" s="21"/>
    </row>
    <row r="193" spans="1:10" ht="15.75" customHeight="1">
      <c r="A193" s="20"/>
      <c r="B193" s="20"/>
      <c r="C193" s="37"/>
      <c r="D193" s="21"/>
      <c r="E193" s="22"/>
      <c r="F193" s="24"/>
      <c r="I193" s="25"/>
      <c r="J193" s="21"/>
    </row>
    <row r="194" spans="1:10" ht="15.75" customHeight="1">
      <c r="A194" s="20"/>
      <c r="B194" s="20"/>
      <c r="C194" s="37"/>
      <c r="D194" s="21"/>
      <c r="E194" s="22"/>
      <c r="F194" s="24"/>
      <c r="I194" s="25"/>
      <c r="J194" s="21"/>
    </row>
    <row r="195" spans="1:10" ht="15.75" customHeight="1">
      <c r="A195" s="20"/>
      <c r="B195" s="20"/>
      <c r="C195" s="37"/>
      <c r="D195" s="21"/>
      <c r="E195" s="22"/>
      <c r="F195" s="24"/>
      <c r="I195" s="25"/>
      <c r="J195" s="21"/>
    </row>
    <row r="196" spans="1:10" ht="15.75" customHeight="1">
      <c r="A196" s="20"/>
      <c r="B196" s="20"/>
      <c r="C196" s="37"/>
      <c r="D196" s="21"/>
      <c r="E196" s="22"/>
      <c r="F196" s="24"/>
      <c r="I196" s="25"/>
      <c r="J196" s="21"/>
    </row>
    <row r="197" spans="1:10" ht="15.75" customHeight="1">
      <c r="A197" s="20"/>
      <c r="B197" s="20"/>
      <c r="C197" s="37"/>
      <c r="D197" s="21"/>
      <c r="E197" s="22"/>
      <c r="F197" s="24"/>
      <c r="I197" s="25"/>
      <c r="J197" s="21"/>
    </row>
    <row r="198" spans="1:10" ht="15.75" customHeight="1">
      <c r="A198" s="20"/>
      <c r="B198" s="20"/>
      <c r="C198" s="37"/>
      <c r="D198" s="21"/>
      <c r="E198" s="22"/>
      <c r="F198" s="24"/>
      <c r="I198" s="25"/>
      <c r="J198" s="21"/>
    </row>
    <row r="199" spans="1:10" ht="15.75" customHeight="1">
      <c r="A199" s="20"/>
      <c r="B199" s="20"/>
      <c r="C199" s="37"/>
      <c r="D199" s="21"/>
      <c r="E199" s="22"/>
      <c r="F199" s="24"/>
      <c r="I199" s="25"/>
      <c r="J199" s="21"/>
    </row>
    <row r="200" spans="1:10" ht="15.75" customHeight="1">
      <c r="A200" s="20"/>
      <c r="B200" s="20"/>
      <c r="C200" s="40"/>
      <c r="D200" s="21"/>
      <c r="E200" s="22"/>
      <c r="F200" s="24"/>
      <c r="I200" s="25"/>
      <c r="J200" s="21"/>
    </row>
    <row r="201" spans="1:10" ht="15.75" customHeight="1">
      <c r="A201" s="20"/>
      <c r="B201" s="20"/>
      <c r="C201" s="37"/>
      <c r="D201" s="21"/>
      <c r="E201" s="22"/>
      <c r="F201" s="24"/>
      <c r="I201" s="25"/>
      <c r="J201" s="21"/>
    </row>
    <row r="202" spans="1:10" ht="15.75" customHeight="1">
      <c r="A202" s="20"/>
      <c r="B202" s="20"/>
      <c r="C202" s="37"/>
      <c r="D202" s="21"/>
      <c r="E202" s="22"/>
      <c r="F202" s="24"/>
      <c r="I202" s="25"/>
      <c r="J202" s="21"/>
    </row>
    <row r="203" spans="1:10" ht="15.75" customHeight="1">
      <c r="A203" s="20"/>
      <c r="B203" s="20"/>
      <c r="C203" s="37"/>
      <c r="D203" s="21"/>
      <c r="E203" s="22"/>
      <c r="F203" s="24"/>
      <c r="I203" s="25"/>
      <c r="J203" s="21"/>
    </row>
    <row r="204" spans="1:10" ht="15.75" customHeight="1">
      <c r="A204" s="20"/>
      <c r="B204" s="20"/>
      <c r="C204" s="37"/>
      <c r="D204" s="21"/>
      <c r="E204" s="22"/>
      <c r="F204" s="24"/>
      <c r="I204" s="25"/>
      <c r="J204" s="21"/>
    </row>
    <row r="205" spans="1:10" ht="15.75" customHeight="1">
      <c r="A205" s="20"/>
      <c r="B205" s="20"/>
      <c r="C205" s="23"/>
      <c r="D205" s="21"/>
      <c r="E205" s="22"/>
      <c r="F205" s="24"/>
      <c r="I205" s="25"/>
      <c r="J205" s="21"/>
    </row>
    <row r="206" spans="1:10" ht="15.75" customHeight="1">
      <c r="A206" s="20"/>
      <c r="B206" s="20"/>
      <c r="C206" s="23"/>
      <c r="D206" s="21"/>
      <c r="E206" s="22"/>
      <c r="F206" s="24"/>
      <c r="I206" s="25"/>
      <c r="J206" s="21"/>
    </row>
    <row r="207" spans="1:10" ht="15.75" customHeight="1">
      <c r="A207" s="20"/>
      <c r="B207" s="20"/>
      <c r="C207" s="23"/>
      <c r="D207" s="21"/>
      <c r="E207" s="22"/>
      <c r="F207" s="24"/>
      <c r="I207" s="25"/>
      <c r="J207" s="21"/>
    </row>
    <row r="208" spans="1:10" ht="15.75" customHeight="1">
      <c r="A208" s="20"/>
      <c r="B208" s="20"/>
      <c r="C208" s="37"/>
      <c r="D208" s="21"/>
      <c r="E208" s="22"/>
      <c r="F208" s="24"/>
      <c r="I208" s="25"/>
      <c r="J208" s="21"/>
    </row>
    <row r="209" spans="1:10" ht="15.75" customHeight="1">
      <c r="A209" s="20"/>
      <c r="B209" s="20"/>
      <c r="C209" s="37"/>
      <c r="D209" s="21"/>
      <c r="E209" s="22"/>
      <c r="F209" s="24"/>
      <c r="I209" s="25"/>
      <c r="J209" s="21"/>
    </row>
    <row r="210" spans="1:10" ht="15.75" customHeight="1">
      <c r="A210" s="20"/>
      <c r="B210" s="20"/>
      <c r="C210" s="37"/>
      <c r="D210" s="21"/>
      <c r="E210" s="22"/>
      <c r="F210" s="24"/>
      <c r="I210" s="25"/>
      <c r="J210" s="21"/>
    </row>
    <row r="211" spans="1:10" ht="15.75" customHeight="1">
      <c r="A211" s="20"/>
      <c r="B211" s="20"/>
      <c r="C211" s="37"/>
      <c r="D211" s="21"/>
      <c r="E211" s="22"/>
      <c r="F211" s="24"/>
      <c r="I211" s="25"/>
      <c r="J211" s="21"/>
    </row>
    <row r="212" spans="1:10" ht="15.75" customHeight="1">
      <c r="A212" s="20"/>
      <c r="B212" s="20"/>
      <c r="C212" s="37"/>
      <c r="D212" s="21"/>
      <c r="E212" s="22"/>
      <c r="F212" s="24"/>
      <c r="I212" s="25"/>
      <c r="J212" s="21"/>
    </row>
    <row r="213" spans="1:10" ht="15.75" customHeight="1">
      <c r="A213" s="20"/>
      <c r="B213" s="20"/>
      <c r="C213" s="37"/>
      <c r="D213" s="21"/>
      <c r="E213" s="22"/>
      <c r="F213" s="24"/>
      <c r="I213" s="25"/>
      <c r="J213" s="21"/>
    </row>
    <row r="214" spans="1:10" ht="15.75" customHeight="1">
      <c r="A214" s="20"/>
      <c r="B214" s="20"/>
      <c r="C214" s="37"/>
      <c r="D214" s="21"/>
      <c r="E214" s="22"/>
      <c r="F214" s="24"/>
      <c r="I214" s="25"/>
      <c r="J214" s="21"/>
    </row>
    <row r="215" spans="1:10" ht="15.75" customHeight="1">
      <c r="A215" s="20"/>
      <c r="B215" s="20"/>
      <c r="C215" s="37"/>
      <c r="D215" s="21"/>
      <c r="E215" s="22"/>
      <c r="F215" s="24"/>
      <c r="I215" s="25"/>
      <c r="J215" s="21"/>
    </row>
    <row r="216" spans="1:10" ht="15.75" customHeight="1">
      <c r="A216" s="20"/>
      <c r="B216" s="20"/>
      <c r="C216" s="37"/>
      <c r="D216" s="21"/>
      <c r="E216" s="22"/>
      <c r="F216" s="24"/>
      <c r="I216" s="25"/>
      <c r="J216" s="21"/>
    </row>
    <row r="217" spans="1:10" ht="15.75" customHeight="1">
      <c r="A217" s="20"/>
      <c r="B217" s="20"/>
      <c r="C217" s="37"/>
      <c r="D217" s="21"/>
      <c r="E217" s="22"/>
      <c r="F217" s="24"/>
      <c r="I217" s="25"/>
      <c r="J217" s="21"/>
    </row>
    <row r="218" spans="1:10" ht="15.75" customHeight="1">
      <c r="A218" s="20"/>
      <c r="B218" s="20"/>
      <c r="C218" s="37"/>
      <c r="D218" s="21"/>
      <c r="E218" s="22"/>
      <c r="F218" s="24"/>
      <c r="I218" s="25"/>
      <c r="J218" s="21"/>
    </row>
    <row r="219" spans="1:10" ht="15.75" customHeight="1">
      <c r="A219" s="20"/>
      <c r="B219" s="20"/>
      <c r="C219" s="37"/>
      <c r="D219" s="21"/>
      <c r="E219" s="22"/>
      <c r="F219" s="24"/>
      <c r="I219" s="25"/>
      <c r="J219" s="21"/>
    </row>
    <row r="220" spans="1:10" ht="15.75" customHeight="1">
      <c r="A220" s="20"/>
      <c r="B220" s="20"/>
      <c r="C220" s="37"/>
      <c r="D220" s="21"/>
      <c r="E220" s="22"/>
      <c r="F220" s="24"/>
      <c r="I220" s="25"/>
      <c r="J220" s="21"/>
    </row>
    <row r="221" spans="1:10" ht="15.75" customHeight="1">
      <c r="C221" s="37"/>
      <c r="F221" s="24"/>
      <c r="I221" s="25"/>
    </row>
    <row r="222" spans="1:10" ht="15.75" customHeight="1">
      <c r="C222" s="37"/>
      <c r="F222" s="24"/>
      <c r="I222" s="25"/>
    </row>
    <row r="223" spans="1:10" ht="15.75" customHeight="1">
      <c r="C223" s="37"/>
      <c r="F223" s="24"/>
      <c r="I223" s="25"/>
    </row>
    <row r="224" spans="1:10" ht="15.75" customHeight="1">
      <c r="C224" s="37"/>
      <c r="F224" s="24"/>
      <c r="I224" s="25"/>
    </row>
    <row r="225" spans="3:9" ht="15.75" customHeight="1">
      <c r="C225" s="37"/>
      <c r="F225" s="24"/>
      <c r="I225" s="25"/>
    </row>
    <row r="226" spans="3:9" ht="15.75" customHeight="1">
      <c r="C226" s="37"/>
      <c r="F226" s="24"/>
      <c r="I226" s="25"/>
    </row>
    <row r="227" spans="3:9" ht="15.75" customHeight="1">
      <c r="C227" s="37"/>
      <c r="F227" s="24"/>
      <c r="I227" s="25"/>
    </row>
    <row r="228" spans="3:9" ht="15.75" customHeight="1">
      <c r="C228" s="37"/>
      <c r="F228" s="24"/>
      <c r="I228" s="25"/>
    </row>
    <row r="229" spans="3:9" ht="15.75" customHeight="1">
      <c r="C229" s="37"/>
      <c r="F229" s="24"/>
      <c r="I229" s="25"/>
    </row>
    <row r="230" spans="3:9" ht="15.75" customHeight="1">
      <c r="C230" s="37"/>
      <c r="F230" s="24"/>
      <c r="I230" s="25"/>
    </row>
    <row r="231" spans="3:9" ht="15.75" customHeight="1">
      <c r="C231" s="37"/>
      <c r="F231" s="24"/>
      <c r="I231" s="25"/>
    </row>
    <row r="232" spans="3:9" ht="15.75" customHeight="1">
      <c r="C232" s="37"/>
      <c r="F232" s="24"/>
      <c r="I232" s="25"/>
    </row>
    <row r="233" spans="3:9" ht="15.75" customHeight="1">
      <c r="C233" s="37"/>
      <c r="F233" s="24"/>
      <c r="I233" s="25"/>
    </row>
    <row r="234" spans="3:9" ht="15.75" customHeight="1">
      <c r="C234" s="37"/>
      <c r="F234" s="24"/>
      <c r="I234" s="25"/>
    </row>
    <row r="235" spans="3:9" ht="15.75" customHeight="1">
      <c r="C235" s="37"/>
      <c r="F235" s="24"/>
      <c r="I235" s="25"/>
    </row>
    <row r="236" spans="3:9" ht="15.75" customHeight="1">
      <c r="C236" s="37"/>
      <c r="F236" s="24"/>
      <c r="I236" s="25"/>
    </row>
    <row r="237" spans="3:9" ht="15.75" customHeight="1">
      <c r="C237" s="37"/>
      <c r="F237" s="24"/>
      <c r="I237" s="25"/>
    </row>
    <row r="238" spans="3:9" ht="15.75" customHeight="1">
      <c r="C238" s="37"/>
      <c r="F238" s="24"/>
      <c r="I238" s="25"/>
    </row>
    <row r="239" spans="3:9" ht="15.75" customHeight="1">
      <c r="C239" s="37"/>
      <c r="F239" s="24"/>
      <c r="I239" s="25"/>
    </row>
    <row r="240" spans="3:9" ht="15.75" customHeight="1">
      <c r="C240" s="37"/>
      <c r="F240" s="24"/>
      <c r="I240" s="25"/>
    </row>
    <row r="241" spans="3:9" ht="15.75" customHeight="1">
      <c r="C241" s="37"/>
      <c r="F241" s="24"/>
      <c r="I241" s="25"/>
    </row>
    <row r="242" spans="3:9" ht="15.75" customHeight="1">
      <c r="C242" s="37"/>
      <c r="F242" s="24"/>
      <c r="I242" s="25"/>
    </row>
    <row r="243" spans="3:9" ht="15.75" customHeight="1">
      <c r="C243" s="37"/>
      <c r="F243" s="24"/>
      <c r="I243" s="25"/>
    </row>
    <row r="244" spans="3:9" ht="15.75" customHeight="1">
      <c r="C244" s="37"/>
      <c r="F244" s="24"/>
      <c r="I244" s="25"/>
    </row>
    <row r="245" spans="3:9" ht="15.75" customHeight="1">
      <c r="C245" s="37"/>
      <c r="F245" s="24"/>
      <c r="I245" s="25"/>
    </row>
    <row r="246" spans="3:9" ht="15.75" customHeight="1">
      <c r="C246" s="37"/>
      <c r="F246" s="24"/>
      <c r="I246" s="25"/>
    </row>
    <row r="247" spans="3:9" ht="15.75" customHeight="1">
      <c r="C247" s="37"/>
      <c r="F247" s="24"/>
      <c r="I247" s="25"/>
    </row>
    <row r="248" spans="3:9" ht="15.75" customHeight="1">
      <c r="C248" s="37"/>
      <c r="F248" s="24"/>
      <c r="I248" s="25"/>
    </row>
    <row r="249" spans="3:9" ht="15.75" customHeight="1">
      <c r="C249" s="37"/>
      <c r="F249" s="24"/>
      <c r="I249" s="25"/>
    </row>
    <row r="250" spans="3:9" ht="15.75" customHeight="1">
      <c r="C250" s="37"/>
      <c r="F250" s="24"/>
      <c r="I250" s="25"/>
    </row>
    <row r="251" spans="3:9" ht="15.75" customHeight="1">
      <c r="C251" s="37"/>
      <c r="F251" s="24"/>
      <c r="I251" s="25"/>
    </row>
    <row r="252" spans="3:9" ht="15.75" customHeight="1">
      <c r="C252" s="37"/>
      <c r="F252" s="24"/>
      <c r="I252" s="25"/>
    </row>
    <row r="253" spans="3:9" ht="15.75" customHeight="1">
      <c r="C253" s="37"/>
      <c r="F253" s="24"/>
      <c r="I253" s="25"/>
    </row>
    <row r="254" spans="3:9" ht="15.75" customHeight="1">
      <c r="C254" s="37"/>
      <c r="F254" s="24"/>
      <c r="I254" s="25"/>
    </row>
    <row r="255" spans="3:9" ht="15.75" customHeight="1">
      <c r="C255" s="37"/>
      <c r="F255" s="24"/>
      <c r="I255" s="25"/>
    </row>
    <row r="256" spans="3:9" ht="15.75" customHeight="1">
      <c r="C256" s="37"/>
      <c r="F256" s="24"/>
      <c r="I256" s="25"/>
    </row>
    <row r="257" spans="3:9" ht="15.75" customHeight="1">
      <c r="C257" s="37"/>
      <c r="F257" s="24"/>
      <c r="I257" s="25"/>
    </row>
    <row r="258" spans="3:9" ht="15.75" customHeight="1">
      <c r="C258" s="37"/>
      <c r="F258" s="24"/>
      <c r="I258" s="25"/>
    </row>
    <row r="259" spans="3:9" ht="15.75" customHeight="1">
      <c r="C259" s="39"/>
      <c r="F259" s="24"/>
      <c r="I259" s="25"/>
    </row>
    <row r="260" spans="3:9" ht="15.75" customHeight="1">
      <c r="C260" s="39"/>
      <c r="F260" s="24"/>
      <c r="I260" s="25"/>
    </row>
    <row r="261" spans="3:9" ht="15.75" customHeight="1">
      <c r="C261" s="39"/>
      <c r="F261" s="24"/>
      <c r="I261" s="25"/>
    </row>
    <row r="262" spans="3:9" ht="15.75" customHeight="1">
      <c r="C262" s="39"/>
      <c r="F262" s="24"/>
      <c r="I262" s="25"/>
    </row>
    <row r="263" spans="3:9" ht="15.75" customHeight="1">
      <c r="C263" s="39"/>
      <c r="F263" s="24"/>
      <c r="I263" s="25"/>
    </row>
    <row r="264" spans="3:9" ht="15.75" customHeight="1">
      <c r="C264" s="37"/>
      <c r="F264" s="24"/>
      <c r="I264" s="25"/>
    </row>
    <row r="265" spans="3:9" ht="15.75" customHeight="1">
      <c r="C265" s="37"/>
      <c r="F265" s="24"/>
      <c r="I265" s="25"/>
    </row>
    <row r="266" spans="3:9" ht="15.75" customHeight="1">
      <c r="C266" s="37"/>
      <c r="F266" s="24"/>
      <c r="I266" s="25"/>
    </row>
    <row r="267" spans="3:9" ht="15.75" customHeight="1">
      <c r="C267" s="37"/>
      <c r="F267" s="24"/>
      <c r="I267" s="25"/>
    </row>
    <row r="268" spans="3:9" ht="15.75" customHeight="1">
      <c r="C268" s="37"/>
      <c r="F268" s="24"/>
      <c r="I268" s="25"/>
    </row>
    <row r="269" spans="3:9" ht="15.75" customHeight="1">
      <c r="C269" s="37"/>
      <c r="F269" s="24"/>
      <c r="I269" s="25"/>
    </row>
    <row r="270" spans="3:9" ht="15.75" customHeight="1">
      <c r="C270" s="37"/>
      <c r="F270" s="24"/>
      <c r="I270" s="25"/>
    </row>
    <row r="271" spans="3:9" ht="15.75" customHeight="1">
      <c r="C271" s="37"/>
      <c r="F271" s="24"/>
      <c r="I271" s="25"/>
    </row>
    <row r="272" spans="3:9" ht="15.75" customHeight="1">
      <c r="C272" s="37"/>
      <c r="F272" s="24"/>
      <c r="I272" s="25"/>
    </row>
    <row r="273" spans="3:9" ht="15.75" customHeight="1">
      <c r="C273" s="37"/>
      <c r="F273" s="24"/>
      <c r="I273" s="25"/>
    </row>
    <row r="274" spans="3:9" ht="15.75" customHeight="1">
      <c r="C274" s="37"/>
      <c r="F274" s="24"/>
      <c r="I274" s="25"/>
    </row>
    <row r="275" spans="3:9" ht="15.75" customHeight="1">
      <c r="C275" s="37"/>
      <c r="F275" s="24"/>
      <c r="I275" s="25"/>
    </row>
    <row r="276" spans="3:9" ht="15.75" customHeight="1">
      <c r="C276" s="37"/>
      <c r="F276" s="24"/>
      <c r="I276" s="25"/>
    </row>
    <row r="277" spans="3:9" ht="15.75" customHeight="1">
      <c r="C277" s="37"/>
      <c r="F277" s="24"/>
      <c r="I277" s="25"/>
    </row>
    <row r="278" spans="3:9" ht="15.75" customHeight="1">
      <c r="C278" s="37"/>
      <c r="F278" s="24"/>
      <c r="I278" s="25"/>
    </row>
    <row r="279" spans="3:9" ht="15.75" customHeight="1">
      <c r="C279" s="37"/>
      <c r="F279" s="24"/>
      <c r="I279" s="25"/>
    </row>
    <row r="280" spans="3:9" ht="15.75" customHeight="1">
      <c r="C280" s="37"/>
      <c r="F280" s="24"/>
      <c r="I280" s="25"/>
    </row>
    <row r="281" spans="3:9" ht="15.75" customHeight="1">
      <c r="C281" s="37"/>
      <c r="F281" s="24"/>
      <c r="I281" s="25"/>
    </row>
    <row r="282" spans="3:9" ht="15.75" customHeight="1">
      <c r="C282" s="37"/>
      <c r="F282" s="24"/>
      <c r="I282" s="25"/>
    </row>
    <row r="283" spans="3:9" ht="15.75" customHeight="1">
      <c r="C283" s="37"/>
      <c r="F283" s="24"/>
      <c r="I283" s="25"/>
    </row>
    <row r="284" spans="3:9" ht="15.75" customHeight="1">
      <c r="C284" s="37"/>
      <c r="F284" s="24"/>
      <c r="I284" s="25"/>
    </row>
    <row r="285" spans="3:9" ht="15.75" customHeight="1">
      <c r="C285" s="37"/>
      <c r="F285" s="24"/>
      <c r="I285" s="25"/>
    </row>
    <row r="286" spans="3:9" ht="15.75" customHeight="1">
      <c r="C286" s="37"/>
      <c r="F286" s="24"/>
      <c r="I286" s="25"/>
    </row>
    <row r="287" spans="3:9" ht="15.75" customHeight="1">
      <c r="C287" s="37"/>
      <c r="F287" s="24"/>
      <c r="I287" s="25"/>
    </row>
    <row r="288" spans="3:9" ht="15.75" customHeight="1">
      <c r="C288" s="37"/>
      <c r="F288" s="24"/>
      <c r="I288" s="25"/>
    </row>
    <row r="289" spans="3:9" ht="15.75" customHeight="1">
      <c r="C289" s="37"/>
      <c r="F289" s="24"/>
      <c r="I289" s="25"/>
    </row>
    <row r="290" spans="3:9" ht="15.75" customHeight="1">
      <c r="C290" s="37"/>
      <c r="F290" s="24"/>
      <c r="I290" s="25"/>
    </row>
    <row r="291" spans="3:9" ht="15.75" customHeight="1">
      <c r="C291" s="37"/>
      <c r="F291" s="24"/>
      <c r="I291" s="25"/>
    </row>
    <row r="292" spans="3:9" ht="15.75" customHeight="1">
      <c r="C292" s="37"/>
      <c r="F292" s="24"/>
      <c r="I292" s="25"/>
    </row>
    <row r="293" spans="3:9" ht="15.75" customHeight="1">
      <c r="C293" s="37"/>
      <c r="F293" s="24"/>
      <c r="I293" s="25"/>
    </row>
    <row r="294" spans="3:9" ht="15.75" customHeight="1">
      <c r="C294" s="37"/>
      <c r="F294" s="24"/>
      <c r="I294" s="25"/>
    </row>
    <row r="295" spans="3:9" ht="15.75" customHeight="1">
      <c r="C295" s="37"/>
      <c r="F295" s="24"/>
      <c r="I295" s="25"/>
    </row>
    <row r="296" spans="3:9" ht="15.75" customHeight="1">
      <c r="C296" s="37"/>
      <c r="F296" s="24"/>
      <c r="I296" s="25"/>
    </row>
    <row r="297" spans="3:9" ht="15.75" customHeight="1">
      <c r="C297" s="37"/>
      <c r="F297" s="24"/>
      <c r="I297" s="25"/>
    </row>
    <row r="298" spans="3:9" ht="15.75" customHeight="1">
      <c r="C298" s="37"/>
      <c r="F298" s="24"/>
      <c r="I298" s="25"/>
    </row>
    <row r="299" spans="3:9" ht="15.75" customHeight="1">
      <c r="C299" s="37"/>
      <c r="F299" s="24"/>
      <c r="I299" s="25"/>
    </row>
    <row r="300" spans="3:9" ht="15.75" customHeight="1">
      <c r="C300" s="37"/>
      <c r="F300" s="24"/>
      <c r="I300" s="25"/>
    </row>
    <row r="301" spans="3:9" ht="15.75" customHeight="1">
      <c r="C301" s="37"/>
      <c r="F301" s="24"/>
      <c r="I301" s="25"/>
    </row>
    <row r="302" spans="3:9" ht="15.75" customHeight="1">
      <c r="C302" s="40"/>
      <c r="F302" s="24"/>
      <c r="I302" s="25"/>
    </row>
    <row r="303" spans="3:9" ht="15.75" customHeight="1">
      <c r="C303" s="37"/>
      <c r="F303" s="24"/>
      <c r="I303" s="25"/>
    </row>
    <row r="304" spans="3:9" ht="15.75" customHeight="1">
      <c r="C304" s="37"/>
      <c r="F304" s="24"/>
      <c r="I304" s="25"/>
    </row>
    <row r="305" spans="3:9" ht="15.75" customHeight="1">
      <c r="C305" s="37"/>
      <c r="F305" s="24"/>
      <c r="I305" s="25"/>
    </row>
    <row r="306" spans="3:9" ht="15.75" customHeight="1">
      <c r="C306" s="37"/>
      <c r="F306" s="24"/>
      <c r="I306" s="25"/>
    </row>
    <row r="307" spans="3:9" ht="15.75" customHeight="1">
      <c r="C307" s="23"/>
      <c r="F307" s="24"/>
      <c r="I307" s="25"/>
    </row>
    <row r="308" spans="3:9" ht="15.75" customHeight="1">
      <c r="C308" s="23"/>
      <c r="F308" s="24"/>
      <c r="I308" s="25"/>
    </row>
    <row r="309" spans="3:9" ht="15.75" customHeight="1">
      <c r="C309" s="23"/>
      <c r="F309" s="24"/>
      <c r="I309" s="25"/>
    </row>
    <row r="310" spans="3:9" ht="15.75" customHeight="1">
      <c r="C310" s="37"/>
      <c r="F310" s="24"/>
      <c r="I310" s="25"/>
    </row>
    <row r="311" spans="3:9" ht="15.75" customHeight="1">
      <c r="C311" s="37"/>
      <c r="F311" s="24"/>
      <c r="I311" s="25"/>
    </row>
    <row r="312" spans="3:9" ht="15.75" customHeight="1">
      <c r="C312" s="37"/>
      <c r="F312" s="24"/>
      <c r="I312" s="25"/>
    </row>
    <row r="313" spans="3:9" ht="15.75" customHeight="1">
      <c r="C313" s="37"/>
      <c r="F313" s="24"/>
      <c r="I313" s="25"/>
    </row>
    <row r="314" spans="3:9" ht="15.75" customHeight="1">
      <c r="C314" s="37"/>
      <c r="F314" s="24"/>
      <c r="I314" s="25"/>
    </row>
    <row r="315" spans="3:9" ht="15.75" customHeight="1">
      <c r="C315" s="37"/>
      <c r="F315" s="24"/>
      <c r="I315" s="25"/>
    </row>
    <row r="316" spans="3:9" ht="15.75" customHeight="1">
      <c r="C316" s="37"/>
      <c r="F316" s="24"/>
      <c r="I316" s="25"/>
    </row>
    <row r="317" spans="3:9" ht="15.75" customHeight="1">
      <c r="C317" s="37"/>
      <c r="F317" s="24"/>
      <c r="I317" s="25"/>
    </row>
    <row r="318" spans="3:9" ht="15.75" customHeight="1">
      <c r="C318" s="37"/>
      <c r="F318" s="24"/>
      <c r="I318" s="25"/>
    </row>
    <row r="319" spans="3:9" ht="15.75" customHeight="1">
      <c r="C319" s="37"/>
      <c r="F319" s="24"/>
      <c r="I319" s="25"/>
    </row>
    <row r="320" spans="3:9" ht="15.75" customHeight="1">
      <c r="C320" s="37"/>
      <c r="F320" s="24"/>
      <c r="I320" s="25"/>
    </row>
    <row r="321" spans="3:9" ht="15.75" customHeight="1">
      <c r="C321" s="37"/>
      <c r="F321" s="24"/>
      <c r="I321" s="25"/>
    </row>
    <row r="322" spans="3:9" ht="15.75" customHeight="1">
      <c r="C322" s="37"/>
      <c r="F322" s="24"/>
      <c r="I322" s="25"/>
    </row>
    <row r="323" spans="3:9" ht="15.75" customHeight="1">
      <c r="C323" s="37"/>
      <c r="F323" s="24"/>
      <c r="I323" s="25"/>
    </row>
    <row r="324" spans="3:9" ht="15.75" customHeight="1">
      <c r="C324" s="37"/>
      <c r="F324" s="24"/>
      <c r="I324" s="25"/>
    </row>
    <row r="325" spans="3:9" ht="15.75" customHeight="1">
      <c r="C325" s="37"/>
      <c r="F325" s="24"/>
      <c r="I325" s="25"/>
    </row>
    <row r="326" spans="3:9" ht="15.75" customHeight="1">
      <c r="C326" s="37"/>
      <c r="F326" s="24"/>
      <c r="I326" s="25"/>
    </row>
    <row r="327" spans="3:9" ht="15.75" customHeight="1">
      <c r="C327" s="37"/>
      <c r="F327" s="24"/>
      <c r="I327" s="25"/>
    </row>
    <row r="328" spans="3:9" ht="15.75" customHeight="1">
      <c r="C328" s="37"/>
      <c r="F328" s="24"/>
      <c r="I328" s="25"/>
    </row>
    <row r="329" spans="3:9" ht="15.75" customHeight="1">
      <c r="C329" s="37"/>
      <c r="F329" s="24"/>
      <c r="I329" s="25"/>
    </row>
    <row r="330" spans="3:9" ht="15.75" customHeight="1">
      <c r="C330" s="37"/>
      <c r="F330" s="24"/>
      <c r="I330" s="25"/>
    </row>
    <row r="331" spans="3:9" ht="15.75" customHeight="1">
      <c r="C331" s="37"/>
      <c r="F331" s="24"/>
      <c r="I331" s="25"/>
    </row>
    <row r="332" spans="3:9" ht="15.75" customHeight="1">
      <c r="C332" s="37"/>
      <c r="F332" s="24"/>
      <c r="I332" s="25"/>
    </row>
    <row r="333" spans="3:9" ht="15.75" customHeight="1">
      <c r="C333" s="37"/>
      <c r="F333" s="24"/>
      <c r="I333" s="25"/>
    </row>
    <row r="334" spans="3:9" ht="15.75" customHeight="1">
      <c r="C334" s="37"/>
      <c r="F334" s="24"/>
      <c r="I334" s="25"/>
    </row>
    <row r="335" spans="3:9" ht="15.75" customHeight="1">
      <c r="C335" s="37"/>
      <c r="F335" s="24"/>
      <c r="I335" s="25"/>
    </row>
    <row r="336" spans="3:9" ht="15.75" customHeight="1">
      <c r="C336" s="37"/>
      <c r="F336" s="24"/>
      <c r="I336" s="25"/>
    </row>
    <row r="337" spans="3:9" ht="15.75" customHeight="1">
      <c r="C337" s="37"/>
      <c r="F337" s="24"/>
      <c r="I337" s="25"/>
    </row>
    <row r="338" spans="3:9" ht="15.75" customHeight="1">
      <c r="C338" s="37"/>
      <c r="F338" s="24"/>
      <c r="I338" s="25"/>
    </row>
    <row r="339" spans="3:9" ht="15.75" customHeight="1">
      <c r="C339" s="37"/>
      <c r="F339" s="24"/>
      <c r="I339" s="25"/>
    </row>
    <row r="340" spans="3:9" ht="15.75" customHeight="1">
      <c r="C340" s="37"/>
      <c r="F340" s="24"/>
      <c r="I340" s="25"/>
    </row>
    <row r="341" spans="3:9" ht="15.75" customHeight="1">
      <c r="C341" s="37"/>
      <c r="F341" s="24"/>
      <c r="I341" s="25"/>
    </row>
    <row r="342" spans="3:9" ht="15.75" customHeight="1">
      <c r="C342" s="37"/>
      <c r="F342" s="24"/>
      <c r="I342" s="25"/>
    </row>
    <row r="343" spans="3:9" ht="15.75" customHeight="1">
      <c r="C343" s="37"/>
      <c r="F343" s="24"/>
      <c r="I343" s="25"/>
    </row>
    <row r="344" spans="3:9" ht="15.75" customHeight="1">
      <c r="C344" s="37"/>
      <c r="F344" s="24"/>
      <c r="I344" s="25"/>
    </row>
    <row r="345" spans="3:9" ht="15.75" customHeight="1">
      <c r="C345" s="37"/>
      <c r="F345" s="24"/>
      <c r="I345" s="25"/>
    </row>
    <row r="346" spans="3:9" ht="15.75" customHeight="1">
      <c r="C346" s="37"/>
      <c r="F346" s="24"/>
      <c r="I346" s="25"/>
    </row>
    <row r="347" spans="3:9" ht="15.75" customHeight="1">
      <c r="C347" s="37"/>
      <c r="F347" s="24"/>
      <c r="I347" s="25"/>
    </row>
    <row r="348" spans="3:9" ht="15.75" customHeight="1">
      <c r="C348" s="37"/>
      <c r="F348" s="24"/>
      <c r="I348" s="25"/>
    </row>
    <row r="349" spans="3:9" ht="15.75" customHeight="1">
      <c r="C349" s="37"/>
      <c r="F349" s="24"/>
      <c r="I349" s="25"/>
    </row>
    <row r="350" spans="3:9" ht="15.75" customHeight="1">
      <c r="C350" s="37"/>
      <c r="F350" s="24"/>
      <c r="I350" s="25"/>
    </row>
    <row r="351" spans="3:9" ht="15.75" customHeight="1">
      <c r="C351" s="37"/>
      <c r="F351" s="24"/>
      <c r="I351" s="25"/>
    </row>
    <row r="352" spans="3:9" ht="15.75" customHeight="1">
      <c r="C352" s="37"/>
      <c r="F352" s="24"/>
      <c r="I352" s="25"/>
    </row>
    <row r="353" spans="3:9" ht="15.75" customHeight="1">
      <c r="C353" s="37"/>
      <c r="F353" s="24"/>
      <c r="I353" s="25"/>
    </row>
    <row r="354" spans="3:9" ht="15.75" customHeight="1">
      <c r="C354" s="37"/>
      <c r="F354" s="24"/>
      <c r="I354" s="25"/>
    </row>
    <row r="355" spans="3:9" ht="15.75" customHeight="1">
      <c r="C355" s="37"/>
      <c r="F355" s="24"/>
      <c r="I355" s="25"/>
    </row>
    <row r="356" spans="3:9" ht="15.75" customHeight="1">
      <c r="C356" s="37"/>
      <c r="F356" s="24"/>
      <c r="I356" s="25"/>
    </row>
    <row r="357" spans="3:9" ht="15.75" customHeight="1">
      <c r="C357" s="37"/>
      <c r="F357" s="24"/>
      <c r="I357" s="25"/>
    </row>
    <row r="358" spans="3:9" ht="15.75" customHeight="1">
      <c r="C358" s="37"/>
      <c r="F358" s="24"/>
      <c r="I358" s="25"/>
    </row>
    <row r="359" spans="3:9" ht="15.75" customHeight="1">
      <c r="C359" s="37"/>
      <c r="F359" s="24"/>
      <c r="I359" s="25"/>
    </row>
    <row r="360" spans="3:9" ht="15.75" customHeight="1">
      <c r="C360" s="37"/>
      <c r="F360" s="24"/>
      <c r="I360" s="25"/>
    </row>
    <row r="361" spans="3:9" ht="15.75" customHeight="1">
      <c r="C361" s="39"/>
      <c r="F361" s="24"/>
      <c r="I361" s="25"/>
    </row>
    <row r="362" spans="3:9" ht="15.75" customHeight="1">
      <c r="C362" s="39"/>
      <c r="F362" s="24"/>
      <c r="I362" s="25"/>
    </row>
    <row r="363" spans="3:9" ht="15.75" customHeight="1">
      <c r="C363" s="39"/>
      <c r="F363" s="24"/>
      <c r="I363" s="25"/>
    </row>
    <row r="364" spans="3:9" ht="15.75" customHeight="1">
      <c r="C364" s="39"/>
      <c r="F364" s="24"/>
      <c r="I364" s="25"/>
    </row>
    <row r="365" spans="3:9" ht="15.75" customHeight="1">
      <c r="C365" s="39"/>
      <c r="F365" s="24"/>
      <c r="I365" s="25"/>
    </row>
    <row r="366" spans="3:9" ht="15.75" customHeight="1">
      <c r="C366" s="37"/>
      <c r="F366" s="24"/>
      <c r="I366" s="25"/>
    </row>
    <row r="367" spans="3:9" ht="15.75" customHeight="1">
      <c r="C367" s="37"/>
      <c r="F367" s="24"/>
      <c r="I367" s="25"/>
    </row>
    <row r="368" spans="3:9" ht="15.75" customHeight="1">
      <c r="C368" s="37"/>
      <c r="F368" s="24"/>
      <c r="I368" s="25"/>
    </row>
    <row r="369" spans="3:9" ht="15.75" customHeight="1">
      <c r="C369" s="37"/>
      <c r="F369" s="24"/>
      <c r="I369" s="25"/>
    </row>
    <row r="370" spans="3:9" ht="15.75" customHeight="1">
      <c r="C370" s="37"/>
      <c r="F370" s="24"/>
      <c r="I370" s="25"/>
    </row>
    <row r="371" spans="3:9" ht="15.75" customHeight="1">
      <c r="C371" s="37"/>
      <c r="F371" s="24"/>
      <c r="I371" s="25"/>
    </row>
    <row r="372" spans="3:9" ht="15.75" customHeight="1">
      <c r="C372" s="37"/>
      <c r="F372" s="24"/>
      <c r="I372" s="25"/>
    </row>
    <row r="373" spans="3:9" ht="15.75" customHeight="1">
      <c r="C373" s="37"/>
      <c r="F373" s="24"/>
      <c r="I373" s="25"/>
    </row>
    <row r="374" spans="3:9" ht="15.75" customHeight="1">
      <c r="C374" s="37"/>
      <c r="F374" s="24"/>
      <c r="I374" s="25"/>
    </row>
    <row r="375" spans="3:9" ht="15.75" customHeight="1">
      <c r="C375" s="37"/>
      <c r="F375" s="24"/>
      <c r="I375" s="25"/>
    </row>
    <row r="376" spans="3:9" ht="15.75" customHeight="1">
      <c r="C376" s="37"/>
      <c r="F376" s="24"/>
      <c r="I376" s="25"/>
    </row>
    <row r="377" spans="3:9" ht="15.75" customHeight="1">
      <c r="C377" s="37"/>
      <c r="F377" s="24"/>
      <c r="I377" s="25"/>
    </row>
    <row r="378" spans="3:9" ht="15.75" customHeight="1">
      <c r="C378" s="37"/>
      <c r="F378" s="24"/>
      <c r="I378" s="25"/>
    </row>
    <row r="379" spans="3:9" ht="15.75" customHeight="1">
      <c r="C379" s="37"/>
      <c r="F379" s="24"/>
      <c r="I379" s="25"/>
    </row>
    <row r="380" spans="3:9" ht="15.75" customHeight="1">
      <c r="C380" s="37"/>
      <c r="F380" s="24"/>
      <c r="I380" s="25"/>
    </row>
    <row r="381" spans="3:9" ht="15.75" customHeight="1">
      <c r="C381" s="37"/>
      <c r="F381" s="24"/>
      <c r="I381" s="25"/>
    </row>
    <row r="382" spans="3:9" ht="15.75" customHeight="1">
      <c r="C382" s="37"/>
      <c r="F382" s="24"/>
      <c r="I382" s="25"/>
    </row>
    <row r="383" spans="3:9" ht="15.75" customHeight="1">
      <c r="C383" s="37"/>
      <c r="F383" s="24"/>
      <c r="I383" s="25"/>
    </row>
    <row r="384" spans="3:9" ht="15.75" customHeight="1">
      <c r="C384" s="37"/>
      <c r="F384" s="24"/>
      <c r="I384" s="25"/>
    </row>
    <row r="385" spans="3:9" ht="15.75" customHeight="1">
      <c r="C385" s="37"/>
      <c r="F385" s="24"/>
      <c r="I385" s="25"/>
    </row>
    <row r="386" spans="3:9" ht="15.75" customHeight="1">
      <c r="C386" s="37"/>
      <c r="F386" s="24"/>
      <c r="I386" s="25"/>
    </row>
    <row r="387" spans="3:9" ht="15.75" customHeight="1">
      <c r="C387" s="37"/>
      <c r="F387" s="24"/>
      <c r="I387" s="25"/>
    </row>
    <row r="388" spans="3:9" ht="15.75" customHeight="1">
      <c r="C388" s="37"/>
      <c r="F388" s="24"/>
      <c r="I388" s="25"/>
    </row>
    <row r="389" spans="3:9" ht="15.75" customHeight="1">
      <c r="C389" s="37"/>
      <c r="F389" s="24"/>
      <c r="I389" s="25"/>
    </row>
    <row r="390" spans="3:9" ht="15.75" customHeight="1">
      <c r="C390" s="37"/>
      <c r="F390" s="24"/>
      <c r="I390" s="25"/>
    </row>
    <row r="391" spans="3:9" ht="15.75" customHeight="1">
      <c r="C391" s="37"/>
      <c r="F391" s="24"/>
      <c r="I391" s="25"/>
    </row>
    <row r="392" spans="3:9" ht="15.75" customHeight="1">
      <c r="C392" s="37"/>
      <c r="F392" s="24"/>
      <c r="I392" s="25"/>
    </row>
    <row r="393" spans="3:9" ht="15.75" customHeight="1">
      <c r="C393" s="37"/>
      <c r="F393" s="24"/>
      <c r="I393" s="25"/>
    </row>
    <row r="394" spans="3:9" ht="15.75" customHeight="1">
      <c r="C394" s="37"/>
      <c r="F394" s="24"/>
      <c r="I394" s="25"/>
    </row>
    <row r="395" spans="3:9" ht="15.75" customHeight="1">
      <c r="C395" s="37"/>
      <c r="F395" s="24"/>
      <c r="I395" s="25"/>
    </row>
    <row r="396" spans="3:9" ht="15.75" customHeight="1">
      <c r="C396" s="37"/>
      <c r="F396" s="24"/>
      <c r="I396" s="25"/>
    </row>
    <row r="397" spans="3:9" ht="15.75" customHeight="1">
      <c r="C397" s="37"/>
      <c r="F397" s="24"/>
      <c r="I397" s="25"/>
    </row>
    <row r="398" spans="3:9" ht="15.75" customHeight="1">
      <c r="C398" s="37"/>
      <c r="F398" s="24"/>
      <c r="I398" s="25"/>
    </row>
    <row r="399" spans="3:9" ht="15.75" customHeight="1">
      <c r="C399" s="37"/>
      <c r="F399" s="24"/>
      <c r="I399" s="25"/>
    </row>
    <row r="400" spans="3:9" ht="15.75" customHeight="1">
      <c r="C400" s="37"/>
      <c r="F400" s="24"/>
      <c r="I400" s="25"/>
    </row>
    <row r="401" spans="3:9" ht="15.75" customHeight="1">
      <c r="C401" s="37"/>
      <c r="F401" s="24"/>
      <c r="I401" s="25"/>
    </row>
    <row r="402" spans="3:9" ht="15.75" customHeight="1">
      <c r="C402" s="37"/>
      <c r="F402" s="24"/>
      <c r="I402" s="25"/>
    </row>
    <row r="403" spans="3:9" ht="15.75" customHeight="1">
      <c r="C403" s="37"/>
      <c r="F403" s="24"/>
      <c r="I403" s="25"/>
    </row>
    <row r="404" spans="3:9" ht="15.75" customHeight="1">
      <c r="C404" s="40"/>
      <c r="F404" s="24"/>
      <c r="I404" s="25"/>
    </row>
    <row r="405" spans="3:9" ht="15.75" customHeight="1">
      <c r="C405" s="37"/>
      <c r="F405" s="24"/>
      <c r="I405" s="25"/>
    </row>
    <row r="406" spans="3:9" ht="15.75" customHeight="1">
      <c r="C406" s="37"/>
      <c r="F406" s="24"/>
      <c r="I406" s="25"/>
    </row>
    <row r="407" spans="3:9" ht="15.75" customHeight="1">
      <c r="C407" s="37"/>
      <c r="F407" s="24"/>
      <c r="I407" s="25"/>
    </row>
    <row r="408" spans="3:9" ht="15.75" customHeight="1">
      <c r="C408" s="37"/>
      <c r="F408" s="24"/>
      <c r="I408" s="25"/>
    </row>
    <row r="409" spans="3:9" ht="15.75" customHeight="1">
      <c r="C409" s="23"/>
      <c r="F409" s="24"/>
      <c r="I409" s="25"/>
    </row>
    <row r="410" spans="3:9" ht="15.75" customHeight="1">
      <c r="C410" s="23"/>
      <c r="F410" s="24"/>
      <c r="I410" s="25"/>
    </row>
    <row r="411" spans="3:9" ht="15.75" customHeight="1">
      <c r="C411" s="23"/>
      <c r="F411" s="24"/>
      <c r="I411" s="25"/>
    </row>
    <row r="412" spans="3:9" ht="15.75" customHeight="1">
      <c r="C412" s="37"/>
      <c r="F412" s="24"/>
      <c r="I412" s="25"/>
    </row>
    <row r="413" spans="3:9" ht="15.75" customHeight="1">
      <c r="C413" s="37"/>
      <c r="F413" s="24"/>
      <c r="I413" s="25"/>
    </row>
    <row r="414" spans="3:9" ht="15.75" customHeight="1">
      <c r="C414" s="37"/>
      <c r="F414" s="24"/>
      <c r="I414" s="25"/>
    </row>
    <row r="415" spans="3:9" ht="15.75" customHeight="1">
      <c r="C415" s="37"/>
      <c r="F415" s="24"/>
      <c r="I415" s="25"/>
    </row>
    <row r="416" spans="3:9" ht="15.75" customHeight="1">
      <c r="C416" s="37"/>
      <c r="F416" s="24"/>
      <c r="I416" s="25"/>
    </row>
    <row r="417" spans="3:9" ht="15.75" customHeight="1">
      <c r="C417" s="37"/>
      <c r="F417" s="24"/>
      <c r="I417" s="25"/>
    </row>
    <row r="418" spans="3:9" ht="15.75" customHeight="1">
      <c r="C418" s="37"/>
      <c r="F418" s="24"/>
      <c r="I418" s="25"/>
    </row>
    <row r="419" spans="3:9" ht="15.75" customHeight="1">
      <c r="C419" s="37"/>
      <c r="F419" s="24"/>
      <c r="I419" s="25"/>
    </row>
    <row r="420" spans="3:9" ht="15.75" customHeight="1">
      <c r="C420" s="37"/>
      <c r="F420" s="24"/>
      <c r="I420" s="25"/>
    </row>
    <row r="421" spans="3:9" ht="15.75" customHeight="1">
      <c r="C421" s="37"/>
      <c r="F421" s="24"/>
      <c r="I421" s="25"/>
    </row>
    <row r="422" spans="3:9" ht="15.75" customHeight="1">
      <c r="C422" s="37"/>
      <c r="F422" s="24"/>
      <c r="I422" s="25"/>
    </row>
    <row r="423" spans="3:9" ht="15.75" customHeight="1">
      <c r="C423" s="37"/>
      <c r="F423" s="24"/>
      <c r="I423" s="25"/>
    </row>
    <row r="424" spans="3:9" ht="15.75" customHeight="1">
      <c r="C424" s="37"/>
      <c r="F424" s="24"/>
      <c r="I424" s="25"/>
    </row>
    <row r="425" spans="3:9" ht="15.75" customHeight="1">
      <c r="C425" s="37"/>
      <c r="F425" s="24"/>
      <c r="I425" s="25"/>
    </row>
    <row r="426" spans="3:9" ht="15.75" customHeight="1">
      <c r="C426" s="37"/>
      <c r="F426" s="24"/>
      <c r="I426" s="25"/>
    </row>
    <row r="427" spans="3:9" ht="15.75" customHeight="1">
      <c r="C427" s="37"/>
      <c r="F427" s="24"/>
      <c r="I427" s="25"/>
    </row>
    <row r="428" spans="3:9" ht="15.75" customHeight="1">
      <c r="C428" s="37"/>
      <c r="F428" s="24"/>
      <c r="I428" s="25"/>
    </row>
    <row r="429" spans="3:9" ht="15.75" customHeight="1">
      <c r="C429" s="37"/>
      <c r="F429" s="24"/>
      <c r="I429" s="25"/>
    </row>
    <row r="430" spans="3:9" ht="15.75" customHeight="1">
      <c r="C430" s="37"/>
      <c r="F430" s="24"/>
      <c r="I430" s="25"/>
    </row>
    <row r="431" spans="3:9" ht="15.75" customHeight="1">
      <c r="C431" s="37"/>
      <c r="F431" s="24"/>
      <c r="I431" s="25"/>
    </row>
    <row r="432" spans="3:9" ht="15.75" customHeight="1">
      <c r="C432" s="37"/>
      <c r="F432" s="24"/>
      <c r="I432" s="25"/>
    </row>
    <row r="433" spans="3:9" ht="15.75" customHeight="1">
      <c r="C433" s="37"/>
      <c r="F433" s="24"/>
      <c r="I433" s="25"/>
    </row>
    <row r="434" spans="3:9" ht="15.75" customHeight="1">
      <c r="C434" s="37"/>
      <c r="F434" s="24"/>
      <c r="I434" s="25"/>
    </row>
    <row r="435" spans="3:9" ht="15.75" customHeight="1">
      <c r="C435" s="37"/>
      <c r="F435" s="24"/>
      <c r="I435" s="25"/>
    </row>
    <row r="436" spans="3:9" ht="15.75" customHeight="1">
      <c r="C436" s="37"/>
      <c r="F436" s="24"/>
      <c r="I436" s="25"/>
    </row>
    <row r="437" spans="3:9" ht="15.75" customHeight="1">
      <c r="C437" s="37"/>
      <c r="F437" s="24"/>
      <c r="I437" s="25"/>
    </row>
    <row r="438" spans="3:9" ht="15.75" customHeight="1">
      <c r="C438" s="37"/>
      <c r="F438" s="24"/>
      <c r="I438" s="25"/>
    </row>
    <row r="439" spans="3:9" ht="15.75" customHeight="1">
      <c r="C439" s="37"/>
      <c r="F439" s="24"/>
      <c r="I439" s="25"/>
    </row>
    <row r="440" spans="3:9" ht="15.75" customHeight="1">
      <c r="C440" s="37"/>
      <c r="F440" s="24"/>
      <c r="I440" s="25"/>
    </row>
    <row r="441" spans="3:9" ht="15.75" customHeight="1">
      <c r="C441" s="37"/>
      <c r="F441" s="24"/>
      <c r="I441" s="25"/>
    </row>
    <row r="442" spans="3:9" ht="15.75" customHeight="1">
      <c r="C442" s="37"/>
      <c r="F442" s="24"/>
      <c r="I442" s="25"/>
    </row>
    <row r="443" spans="3:9" ht="15.75" customHeight="1">
      <c r="C443" s="37"/>
      <c r="F443" s="24"/>
      <c r="I443" s="25"/>
    </row>
    <row r="444" spans="3:9" ht="15.75" customHeight="1">
      <c r="C444" s="37"/>
      <c r="F444" s="24"/>
      <c r="I444" s="25"/>
    </row>
    <row r="445" spans="3:9" ht="15.75" customHeight="1">
      <c r="C445" s="37"/>
      <c r="F445" s="24"/>
      <c r="I445" s="25"/>
    </row>
    <row r="446" spans="3:9" ht="15.75" customHeight="1">
      <c r="C446" s="37"/>
      <c r="F446" s="24"/>
      <c r="I446" s="25"/>
    </row>
    <row r="447" spans="3:9" ht="15.75" customHeight="1">
      <c r="C447" s="37"/>
      <c r="F447" s="24"/>
      <c r="I447" s="25"/>
    </row>
    <row r="448" spans="3:9" ht="15.75" customHeight="1">
      <c r="C448" s="37"/>
      <c r="F448" s="24"/>
      <c r="I448" s="25"/>
    </row>
    <row r="449" spans="3:9" ht="15.75" customHeight="1">
      <c r="C449" s="37"/>
      <c r="F449" s="24"/>
      <c r="I449" s="25"/>
    </row>
    <row r="450" spans="3:9" ht="15.75" customHeight="1">
      <c r="C450" s="37"/>
      <c r="F450" s="24"/>
      <c r="I450" s="25"/>
    </row>
    <row r="451" spans="3:9" ht="15.75" customHeight="1">
      <c r="C451" s="37"/>
      <c r="F451" s="24"/>
      <c r="I451" s="25"/>
    </row>
    <row r="452" spans="3:9" ht="15.75" customHeight="1">
      <c r="C452" s="37"/>
      <c r="F452" s="24"/>
      <c r="I452" s="25"/>
    </row>
    <row r="453" spans="3:9" ht="15.75" customHeight="1">
      <c r="C453" s="37"/>
      <c r="F453" s="24"/>
      <c r="I453" s="25"/>
    </row>
    <row r="454" spans="3:9" ht="15.75" customHeight="1">
      <c r="C454" s="37"/>
      <c r="F454" s="24"/>
      <c r="I454" s="25"/>
    </row>
    <row r="455" spans="3:9" ht="15.75" customHeight="1">
      <c r="C455" s="37"/>
      <c r="F455" s="24"/>
      <c r="I455" s="25"/>
    </row>
    <row r="456" spans="3:9" ht="15.75" customHeight="1">
      <c r="C456" s="37"/>
      <c r="F456" s="24"/>
      <c r="I456" s="25"/>
    </row>
    <row r="457" spans="3:9" ht="15.75" customHeight="1">
      <c r="C457" s="37"/>
      <c r="F457" s="24"/>
      <c r="I457" s="25"/>
    </row>
    <row r="458" spans="3:9" ht="15.75" customHeight="1">
      <c r="C458" s="37"/>
      <c r="F458" s="24"/>
      <c r="I458" s="25"/>
    </row>
    <row r="459" spans="3:9" ht="15.75" customHeight="1">
      <c r="C459" s="37"/>
      <c r="F459" s="24"/>
      <c r="I459" s="25"/>
    </row>
    <row r="460" spans="3:9" ht="15.75" customHeight="1">
      <c r="C460" s="37"/>
      <c r="F460" s="24"/>
      <c r="I460" s="25"/>
    </row>
    <row r="461" spans="3:9" ht="15.75" customHeight="1">
      <c r="C461" s="37"/>
      <c r="F461" s="24"/>
      <c r="I461" s="25"/>
    </row>
    <row r="462" spans="3:9" ht="15.75" customHeight="1">
      <c r="C462" s="37"/>
      <c r="F462" s="24"/>
      <c r="I462" s="25"/>
    </row>
    <row r="463" spans="3:9" ht="15.75" customHeight="1">
      <c r="C463" s="39"/>
      <c r="F463" s="24"/>
      <c r="I463" s="25"/>
    </row>
    <row r="464" spans="3:9" ht="15.75" customHeight="1">
      <c r="C464" s="39"/>
      <c r="F464" s="24"/>
      <c r="I464" s="25"/>
    </row>
    <row r="465" spans="3:9" ht="15.75" customHeight="1">
      <c r="C465" s="39"/>
      <c r="F465" s="24"/>
      <c r="I465" s="25"/>
    </row>
    <row r="466" spans="3:9" ht="15.75" customHeight="1">
      <c r="C466" s="39"/>
      <c r="F466" s="24"/>
      <c r="I466" s="25"/>
    </row>
    <row r="467" spans="3:9" ht="15.75" customHeight="1">
      <c r="C467" s="39"/>
      <c r="F467" s="24"/>
      <c r="I467" s="25"/>
    </row>
    <row r="468" spans="3:9" ht="15.75" customHeight="1">
      <c r="C468" s="37"/>
      <c r="F468" s="24"/>
      <c r="I468" s="25"/>
    </row>
    <row r="469" spans="3:9" ht="15.75" customHeight="1">
      <c r="C469" s="37"/>
      <c r="F469" s="24"/>
      <c r="I469" s="25"/>
    </row>
    <row r="470" spans="3:9" ht="15.75" customHeight="1">
      <c r="C470" s="37"/>
      <c r="F470" s="24"/>
      <c r="I470" s="25"/>
    </row>
    <row r="471" spans="3:9" ht="15.75" customHeight="1">
      <c r="C471" s="37"/>
      <c r="F471" s="24"/>
      <c r="I471" s="25"/>
    </row>
    <row r="472" spans="3:9" ht="15.75" customHeight="1">
      <c r="C472" s="37"/>
      <c r="F472" s="24"/>
      <c r="I472" s="25"/>
    </row>
    <row r="473" spans="3:9" ht="15.75" customHeight="1">
      <c r="C473" s="37"/>
      <c r="F473" s="24"/>
      <c r="I473" s="25"/>
    </row>
    <row r="474" spans="3:9" ht="15.75" customHeight="1">
      <c r="C474" s="37"/>
      <c r="F474" s="24"/>
      <c r="I474" s="25"/>
    </row>
    <row r="475" spans="3:9" ht="15.75" customHeight="1">
      <c r="C475" s="37"/>
      <c r="F475" s="24"/>
      <c r="I475" s="25"/>
    </row>
    <row r="476" spans="3:9" ht="15.75" customHeight="1">
      <c r="C476" s="37"/>
      <c r="F476" s="24"/>
      <c r="I476" s="25"/>
    </row>
    <row r="477" spans="3:9" ht="15.75" customHeight="1">
      <c r="C477" s="37"/>
      <c r="F477" s="24"/>
      <c r="I477" s="25"/>
    </row>
    <row r="478" spans="3:9" ht="15.75" customHeight="1">
      <c r="C478" s="37"/>
      <c r="F478" s="24"/>
      <c r="I478" s="25"/>
    </row>
    <row r="479" spans="3:9" ht="15.75" customHeight="1">
      <c r="C479" s="37"/>
      <c r="F479" s="24"/>
      <c r="I479" s="25"/>
    </row>
    <row r="480" spans="3:9" ht="15.75" customHeight="1">
      <c r="C480" s="37"/>
      <c r="F480" s="24"/>
      <c r="I480" s="25"/>
    </row>
    <row r="481" spans="3:9" ht="15.75" customHeight="1">
      <c r="C481" s="37"/>
      <c r="F481" s="24"/>
      <c r="I481" s="25"/>
    </row>
    <row r="482" spans="3:9" ht="15.75" customHeight="1">
      <c r="C482" s="37"/>
      <c r="F482" s="24"/>
      <c r="I482" s="25"/>
    </row>
    <row r="483" spans="3:9" ht="15.75" customHeight="1">
      <c r="C483" s="37"/>
      <c r="F483" s="24"/>
      <c r="I483" s="25"/>
    </row>
    <row r="484" spans="3:9" ht="15.75" customHeight="1">
      <c r="C484" s="37"/>
      <c r="F484" s="24"/>
      <c r="I484" s="25"/>
    </row>
    <row r="485" spans="3:9" ht="15.75" customHeight="1">
      <c r="C485" s="37"/>
      <c r="F485" s="24"/>
      <c r="I485" s="25"/>
    </row>
    <row r="486" spans="3:9" ht="15.75" customHeight="1">
      <c r="C486" s="37"/>
      <c r="F486" s="24"/>
      <c r="I486" s="25"/>
    </row>
    <row r="487" spans="3:9" ht="15.75" customHeight="1">
      <c r="C487" s="37"/>
      <c r="F487" s="24"/>
      <c r="I487" s="25"/>
    </row>
    <row r="488" spans="3:9" ht="15.75" customHeight="1">
      <c r="C488" s="37"/>
      <c r="F488" s="24"/>
      <c r="I488" s="25"/>
    </row>
    <row r="489" spans="3:9" ht="15.75" customHeight="1">
      <c r="C489" s="37"/>
      <c r="F489" s="24"/>
      <c r="I489" s="25"/>
    </row>
    <row r="490" spans="3:9" ht="15.75" customHeight="1">
      <c r="C490" s="37"/>
      <c r="F490" s="24"/>
      <c r="I490" s="25"/>
    </row>
    <row r="491" spans="3:9" ht="15.75" customHeight="1">
      <c r="C491" s="37"/>
      <c r="F491" s="24"/>
      <c r="I491" s="25"/>
    </row>
    <row r="492" spans="3:9" ht="15.75" customHeight="1">
      <c r="C492" s="37"/>
      <c r="F492" s="24"/>
      <c r="I492" s="25"/>
    </row>
    <row r="493" spans="3:9" ht="15.75" customHeight="1">
      <c r="C493" s="37"/>
      <c r="F493" s="24"/>
      <c r="I493" s="25"/>
    </row>
    <row r="494" spans="3:9" ht="15.75" customHeight="1">
      <c r="C494" s="37"/>
      <c r="F494" s="24"/>
      <c r="I494" s="25"/>
    </row>
    <row r="495" spans="3:9" ht="15.75" customHeight="1">
      <c r="C495" s="37"/>
      <c r="F495" s="24"/>
      <c r="I495" s="25"/>
    </row>
    <row r="496" spans="3:9" ht="15.75" customHeight="1">
      <c r="C496" s="37"/>
      <c r="F496" s="24"/>
      <c r="I496" s="25"/>
    </row>
    <row r="497" spans="3:9" ht="15.75" customHeight="1">
      <c r="C497" s="37"/>
      <c r="F497" s="24"/>
      <c r="I497" s="25"/>
    </row>
    <row r="498" spans="3:9" ht="15.75" customHeight="1">
      <c r="C498" s="37"/>
      <c r="F498" s="24"/>
      <c r="I498" s="25"/>
    </row>
    <row r="499" spans="3:9" ht="15.75" customHeight="1">
      <c r="C499" s="37"/>
      <c r="F499" s="24"/>
      <c r="I499" s="25"/>
    </row>
    <row r="500" spans="3:9" ht="15.75" customHeight="1">
      <c r="C500" s="37"/>
      <c r="F500" s="24"/>
      <c r="I500" s="25"/>
    </row>
    <row r="501" spans="3:9" ht="15.75" customHeight="1">
      <c r="C501" s="37"/>
      <c r="F501" s="24"/>
      <c r="I501" s="25"/>
    </row>
    <row r="502" spans="3:9" ht="15.75" customHeight="1">
      <c r="C502" s="37"/>
      <c r="F502" s="24"/>
      <c r="I502" s="25"/>
    </row>
    <row r="503" spans="3:9" ht="15.75" customHeight="1">
      <c r="C503" s="37"/>
      <c r="F503" s="24"/>
      <c r="I503" s="25"/>
    </row>
    <row r="504" spans="3:9" ht="15.75" customHeight="1">
      <c r="C504" s="37"/>
      <c r="F504" s="24"/>
      <c r="I504" s="25"/>
    </row>
    <row r="505" spans="3:9" ht="15.75" customHeight="1">
      <c r="C505" s="37"/>
      <c r="F505" s="24"/>
      <c r="I505" s="25"/>
    </row>
    <row r="506" spans="3:9" ht="15.75" customHeight="1">
      <c r="C506" s="40"/>
      <c r="F506" s="24"/>
      <c r="I506" s="25"/>
    </row>
    <row r="507" spans="3:9" ht="15.75" customHeight="1">
      <c r="C507" s="37"/>
      <c r="F507" s="24"/>
      <c r="I507" s="25"/>
    </row>
    <row r="508" spans="3:9" ht="15.75" customHeight="1">
      <c r="C508" s="37"/>
      <c r="F508" s="24"/>
      <c r="I508" s="25"/>
    </row>
    <row r="509" spans="3:9" ht="15.75" customHeight="1">
      <c r="C509" s="37"/>
      <c r="F509" s="24"/>
      <c r="I509" s="25"/>
    </row>
    <row r="510" spans="3:9" ht="15.75" customHeight="1">
      <c r="C510" s="37"/>
      <c r="F510" s="24"/>
      <c r="I510" s="25"/>
    </row>
    <row r="511" spans="3:9" ht="15.75" customHeight="1">
      <c r="C511" s="23"/>
      <c r="F511" s="24"/>
      <c r="I511" s="25"/>
    </row>
    <row r="512" spans="3:9" ht="15.75" customHeight="1">
      <c r="C512" s="23"/>
      <c r="F512" s="24"/>
      <c r="I512" s="25"/>
    </row>
    <row r="513" spans="3:9" ht="15.75" customHeight="1">
      <c r="C513" s="23"/>
      <c r="F513" s="24"/>
      <c r="I513" s="25"/>
    </row>
    <row r="514" spans="3:9" ht="15.75" customHeight="1">
      <c r="C514" s="37"/>
      <c r="F514" s="24"/>
      <c r="I514" s="25"/>
    </row>
    <row r="515" spans="3:9" ht="15.75" customHeight="1">
      <c r="C515" s="37"/>
      <c r="F515" s="24"/>
      <c r="I515" s="25"/>
    </row>
    <row r="516" spans="3:9" ht="15.75" customHeight="1">
      <c r="C516" s="37"/>
      <c r="F516" s="24"/>
      <c r="I516" s="25"/>
    </row>
    <row r="517" spans="3:9" ht="15.75" customHeight="1">
      <c r="C517" s="37"/>
      <c r="F517" s="24"/>
      <c r="I517" s="25"/>
    </row>
    <row r="518" spans="3:9" ht="15.75" customHeight="1">
      <c r="C518" s="37"/>
      <c r="F518" s="24"/>
      <c r="I518" s="25"/>
    </row>
    <row r="519" spans="3:9" ht="15.75" customHeight="1">
      <c r="C519" s="37"/>
      <c r="F519" s="24"/>
      <c r="I519" s="25"/>
    </row>
    <row r="520" spans="3:9" ht="15.75" customHeight="1">
      <c r="C520" s="37"/>
      <c r="F520" s="24"/>
      <c r="I520" s="25"/>
    </row>
    <row r="521" spans="3:9" ht="15.75" customHeight="1">
      <c r="C521" s="37"/>
      <c r="F521" s="24"/>
      <c r="I521" s="25"/>
    </row>
    <row r="522" spans="3:9" ht="15.75" customHeight="1">
      <c r="C522" s="37"/>
      <c r="F522" s="24"/>
      <c r="I522" s="25"/>
    </row>
    <row r="523" spans="3:9" ht="15.75" customHeight="1">
      <c r="C523" s="37"/>
      <c r="F523" s="24"/>
      <c r="I523" s="25"/>
    </row>
    <row r="524" spans="3:9" ht="15.75" customHeight="1">
      <c r="C524" s="37"/>
      <c r="F524" s="24"/>
      <c r="I524" s="25"/>
    </row>
    <row r="525" spans="3:9" ht="15.75" customHeight="1">
      <c r="C525" s="37"/>
      <c r="F525" s="24"/>
      <c r="I525" s="25"/>
    </row>
    <row r="526" spans="3:9" ht="15.75" customHeight="1">
      <c r="C526" s="37"/>
      <c r="F526" s="24"/>
      <c r="I526" s="25"/>
    </row>
    <row r="527" spans="3:9" ht="15.75" customHeight="1">
      <c r="C527" s="37"/>
      <c r="F527" s="24"/>
      <c r="I527" s="25"/>
    </row>
    <row r="528" spans="3:9" ht="15.75" customHeight="1">
      <c r="C528" s="37"/>
      <c r="F528" s="24"/>
      <c r="I528" s="25"/>
    </row>
    <row r="529" spans="3:9" ht="15.75" customHeight="1">
      <c r="C529" s="37"/>
      <c r="F529" s="24"/>
      <c r="I529" s="25"/>
    </row>
    <row r="530" spans="3:9" ht="15.75" customHeight="1">
      <c r="C530" s="37"/>
      <c r="F530" s="24"/>
      <c r="I530" s="25"/>
    </row>
    <row r="531" spans="3:9" ht="15.75" customHeight="1">
      <c r="C531" s="37"/>
      <c r="F531" s="24"/>
      <c r="I531" s="25"/>
    </row>
    <row r="532" spans="3:9" ht="15.75" customHeight="1">
      <c r="C532" s="37"/>
      <c r="F532" s="24"/>
      <c r="I532" s="25"/>
    </row>
    <row r="533" spans="3:9" ht="15.75" customHeight="1">
      <c r="C533" s="37"/>
      <c r="F533" s="24"/>
      <c r="I533" s="25"/>
    </row>
    <row r="534" spans="3:9" ht="15.75" customHeight="1">
      <c r="C534" s="37"/>
      <c r="F534" s="24"/>
      <c r="I534" s="25"/>
    </row>
    <row r="535" spans="3:9" ht="15.75" customHeight="1">
      <c r="C535" s="37"/>
      <c r="F535" s="24"/>
      <c r="I535" s="25"/>
    </row>
    <row r="536" spans="3:9" ht="15.75" customHeight="1">
      <c r="C536" s="37"/>
      <c r="F536" s="24"/>
      <c r="I536" s="25"/>
    </row>
    <row r="537" spans="3:9" ht="15.75" customHeight="1">
      <c r="C537" s="37"/>
      <c r="F537" s="24"/>
      <c r="I537" s="25"/>
    </row>
    <row r="538" spans="3:9" ht="15.75" customHeight="1">
      <c r="C538" s="37"/>
      <c r="F538" s="24"/>
      <c r="I538" s="25"/>
    </row>
    <row r="539" spans="3:9" ht="15.75" customHeight="1">
      <c r="C539" s="37"/>
      <c r="F539" s="24"/>
      <c r="I539" s="25"/>
    </row>
    <row r="540" spans="3:9" ht="15.75" customHeight="1">
      <c r="C540" s="37"/>
      <c r="F540" s="24"/>
      <c r="I540" s="25"/>
    </row>
    <row r="541" spans="3:9" ht="15.75" customHeight="1">
      <c r="C541" s="37"/>
      <c r="F541" s="24"/>
      <c r="I541" s="25"/>
    </row>
    <row r="542" spans="3:9" ht="15.75" customHeight="1">
      <c r="C542" s="37"/>
      <c r="F542" s="24"/>
      <c r="I542" s="25"/>
    </row>
    <row r="543" spans="3:9" ht="15.75" customHeight="1">
      <c r="C543" s="37"/>
      <c r="F543" s="24"/>
      <c r="I543" s="25"/>
    </row>
    <row r="544" spans="3:9" ht="15.75" customHeight="1">
      <c r="C544" s="37"/>
      <c r="F544" s="24"/>
      <c r="I544" s="25"/>
    </row>
    <row r="545" spans="3:9" ht="15.75" customHeight="1">
      <c r="C545" s="37"/>
      <c r="F545" s="24"/>
      <c r="I545" s="25"/>
    </row>
    <row r="546" spans="3:9" ht="15.75" customHeight="1">
      <c r="C546" s="37"/>
      <c r="F546" s="24"/>
      <c r="I546" s="25"/>
    </row>
    <row r="547" spans="3:9" ht="15.75" customHeight="1">
      <c r="C547" s="37"/>
      <c r="F547" s="24"/>
      <c r="I547" s="25"/>
    </row>
    <row r="548" spans="3:9" ht="15.75" customHeight="1">
      <c r="C548" s="37"/>
      <c r="F548" s="24"/>
      <c r="I548" s="25"/>
    </row>
    <row r="549" spans="3:9" ht="15.75" customHeight="1">
      <c r="C549" s="37"/>
      <c r="F549" s="24"/>
      <c r="I549" s="25"/>
    </row>
    <row r="550" spans="3:9" ht="15.75" customHeight="1">
      <c r="C550" s="37"/>
      <c r="F550" s="24"/>
      <c r="I550" s="25"/>
    </row>
    <row r="551" spans="3:9" ht="15.75" customHeight="1">
      <c r="C551" s="37"/>
      <c r="F551" s="24"/>
      <c r="I551" s="25"/>
    </row>
    <row r="552" spans="3:9" ht="15.75" customHeight="1">
      <c r="C552" s="37"/>
      <c r="F552" s="24"/>
      <c r="I552" s="25"/>
    </row>
    <row r="553" spans="3:9" ht="15.75" customHeight="1">
      <c r="C553" s="37"/>
      <c r="F553" s="24"/>
      <c r="I553" s="25"/>
    </row>
    <row r="554" spans="3:9" ht="15.75" customHeight="1">
      <c r="C554" s="37"/>
      <c r="F554" s="24"/>
      <c r="I554" s="25"/>
    </row>
    <row r="555" spans="3:9" ht="15.75" customHeight="1">
      <c r="C555" s="37"/>
      <c r="F555" s="24"/>
      <c r="I555" s="25"/>
    </row>
    <row r="556" spans="3:9" ht="15.75" customHeight="1">
      <c r="C556" s="37"/>
      <c r="F556" s="24"/>
      <c r="I556" s="25"/>
    </row>
    <row r="557" spans="3:9" ht="15.75" customHeight="1">
      <c r="C557" s="37"/>
      <c r="F557" s="24"/>
      <c r="I557" s="25"/>
    </row>
    <row r="558" spans="3:9" ht="15.75" customHeight="1">
      <c r="C558" s="37"/>
      <c r="F558" s="24"/>
      <c r="I558" s="25"/>
    </row>
    <row r="559" spans="3:9" ht="15.75" customHeight="1">
      <c r="C559" s="37"/>
      <c r="F559" s="24"/>
      <c r="I559" s="25"/>
    </row>
    <row r="560" spans="3:9" ht="15.75" customHeight="1">
      <c r="C560" s="37"/>
      <c r="F560" s="24"/>
      <c r="I560" s="25"/>
    </row>
    <row r="561" spans="3:9" ht="15.75" customHeight="1">
      <c r="C561" s="37"/>
      <c r="F561" s="24"/>
      <c r="I561" s="25"/>
    </row>
    <row r="562" spans="3:9" ht="15.75" customHeight="1">
      <c r="C562" s="37"/>
      <c r="F562" s="24"/>
      <c r="I562" s="25"/>
    </row>
    <row r="563" spans="3:9" ht="15.75" customHeight="1">
      <c r="C563" s="37"/>
      <c r="F563" s="24"/>
      <c r="I563" s="25"/>
    </row>
    <row r="564" spans="3:9" ht="15.75" customHeight="1">
      <c r="C564" s="37"/>
      <c r="F564" s="24"/>
      <c r="I564" s="25"/>
    </row>
    <row r="565" spans="3:9" ht="15.75" customHeight="1">
      <c r="C565" s="39"/>
      <c r="F565" s="24"/>
      <c r="I565" s="25"/>
    </row>
    <row r="566" spans="3:9" ht="15.75" customHeight="1">
      <c r="C566" s="39"/>
      <c r="F566" s="24"/>
      <c r="I566" s="25"/>
    </row>
    <row r="567" spans="3:9" ht="15.75" customHeight="1">
      <c r="C567" s="39"/>
      <c r="F567" s="24"/>
      <c r="I567" s="25"/>
    </row>
    <row r="568" spans="3:9" ht="15.75" customHeight="1">
      <c r="C568" s="39"/>
      <c r="F568" s="24"/>
      <c r="I568" s="25"/>
    </row>
    <row r="569" spans="3:9" ht="15.75" customHeight="1">
      <c r="C569" s="39"/>
      <c r="F569" s="24"/>
      <c r="I569" s="25"/>
    </row>
    <row r="570" spans="3:9" ht="15.75" customHeight="1">
      <c r="C570" s="37"/>
      <c r="F570" s="24"/>
      <c r="I570" s="25"/>
    </row>
    <row r="571" spans="3:9" ht="15.75" customHeight="1">
      <c r="C571" s="37"/>
      <c r="F571" s="24"/>
      <c r="I571" s="25"/>
    </row>
    <row r="572" spans="3:9" ht="15.75" customHeight="1">
      <c r="C572" s="37"/>
      <c r="F572" s="24"/>
      <c r="I572" s="25"/>
    </row>
    <row r="573" spans="3:9" ht="15.75" customHeight="1">
      <c r="C573" s="37"/>
      <c r="F573" s="24"/>
      <c r="I573" s="25"/>
    </row>
    <row r="574" spans="3:9" ht="15.75" customHeight="1">
      <c r="C574" s="37"/>
      <c r="F574" s="24"/>
      <c r="I574" s="25"/>
    </row>
    <row r="575" spans="3:9" ht="15.75" customHeight="1">
      <c r="C575" s="37"/>
      <c r="F575" s="24"/>
      <c r="I575" s="25"/>
    </row>
    <row r="576" spans="3:9" ht="15.75" customHeight="1">
      <c r="C576" s="37"/>
      <c r="F576" s="24"/>
      <c r="I576" s="25"/>
    </row>
    <row r="577" spans="3:9" ht="15.75" customHeight="1">
      <c r="C577" s="37"/>
      <c r="F577" s="24"/>
      <c r="I577" s="25"/>
    </row>
    <row r="578" spans="3:9" ht="15.75" customHeight="1">
      <c r="C578" s="37"/>
      <c r="F578" s="24"/>
      <c r="I578" s="25"/>
    </row>
    <row r="579" spans="3:9" ht="15.75" customHeight="1">
      <c r="C579" s="37"/>
      <c r="F579" s="24"/>
      <c r="I579" s="25"/>
    </row>
    <row r="580" spans="3:9" ht="15.75" customHeight="1">
      <c r="C580" s="37"/>
      <c r="F580" s="24"/>
      <c r="I580" s="25"/>
    </row>
    <row r="581" spans="3:9" ht="15.75" customHeight="1">
      <c r="C581" s="37"/>
      <c r="F581" s="24"/>
      <c r="I581" s="25"/>
    </row>
    <row r="582" spans="3:9" ht="15.75" customHeight="1">
      <c r="C582" s="37"/>
      <c r="F582" s="24"/>
      <c r="I582" s="25"/>
    </row>
    <row r="583" spans="3:9" ht="15.75" customHeight="1">
      <c r="C583" s="37"/>
      <c r="F583" s="24"/>
      <c r="I583" s="25"/>
    </row>
    <row r="584" spans="3:9" ht="15.75" customHeight="1">
      <c r="C584" s="37"/>
      <c r="F584" s="24"/>
      <c r="I584" s="25"/>
    </row>
    <row r="585" spans="3:9" ht="15.75" customHeight="1">
      <c r="C585" s="37"/>
      <c r="F585" s="24"/>
      <c r="I585" s="25"/>
    </row>
    <row r="586" spans="3:9" ht="15.75" customHeight="1">
      <c r="C586" s="37"/>
      <c r="F586" s="24"/>
      <c r="I586" s="25"/>
    </row>
    <row r="587" spans="3:9" ht="15.75" customHeight="1">
      <c r="C587" s="37"/>
      <c r="F587" s="24"/>
      <c r="I587" s="25"/>
    </row>
    <row r="588" spans="3:9" ht="15.75" customHeight="1">
      <c r="C588" s="37"/>
      <c r="F588" s="24"/>
      <c r="I588" s="25"/>
    </row>
    <row r="589" spans="3:9" ht="15.75" customHeight="1">
      <c r="C589" s="37"/>
      <c r="F589" s="24"/>
      <c r="I589" s="25"/>
    </row>
    <row r="590" spans="3:9" ht="15.75" customHeight="1">
      <c r="C590" s="37"/>
      <c r="F590" s="24"/>
      <c r="I590" s="25"/>
    </row>
    <row r="591" spans="3:9" ht="15.75" customHeight="1">
      <c r="C591" s="37"/>
      <c r="F591" s="24"/>
      <c r="I591" s="25"/>
    </row>
    <row r="592" spans="3:9" ht="15.75" customHeight="1">
      <c r="C592" s="37"/>
      <c r="F592" s="24"/>
      <c r="I592" s="25"/>
    </row>
    <row r="593" spans="3:9" ht="15.75" customHeight="1">
      <c r="C593" s="37"/>
      <c r="F593" s="24"/>
      <c r="I593" s="25"/>
    </row>
    <row r="594" spans="3:9" ht="15.75" customHeight="1">
      <c r="C594" s="37"/>
      <c r="F594" s="24"/>
      <c r="I594" s="25"/>
    </row>
    <row r="595" spans="3:9" ht="15.75" customHeight="1">
      <c r="C595" s="37"/>
      <c r="F595" s="24"/>
      <c r="I595" s="25"/>
    </row>
    <row r="596" spans="3:9" ht="15.75" customHeight="1">
      <c r="C596" s="37"/>
      <c r="F596" s="24"/>
      <c r="I596" s="25"/>
    </row>
    <row r="597" spans="3:9" ht="15.75" customHeight="1">
      <c r="C597" s="37"/>
      <c r="F597" s="24"/>
      <c r="I597" s="25"/>
    </row>
    <row r="598" spans="3:9" ht="15.75" customHeight="1">
      <c r="C598" s="37"/>
      <c r="F598" s="24"/>
      <c r="I598" s="25"/>
    </row>
    <row r="599" spans="3:9" ht="15.75" customHeight="1">
      <c r="C599" s="37"/>
      <c r="F599" s="24"/>
      <c r="I599" s="25"/>
    </row>
    <row r="600" spans="3:9" ht="15.75" customHeight="1">
      <c r="C600" s="37"/>
      <c r="F600" s="24"/>
      <c r="I600" s="25"/>
    </row>
    <row r="601" spans="3:9" ht="15.75" customHeight="1">
      <c r="C601" s="37"/>
      <c r="F601" s="24"/>
      <c r="I601" s="25"/>
    </row>
    <row r="602" spans="3:9" ht="15.75" customHeight="1">
      <c r="C602" s="37"/>
      <c r="F602" s="24"/>
      <c r="I602" s="25"/>
    </row>
    <row r="603" spans="3:9" ht="15.75" customHeight="1">
      <c r="C603" s="37"/>
      <c r="F603" s="24"/>
      <c r="I603" s="25"/>
    </row>
    <row r="604" spans="3:9" ht="15.75" customHeight="1">
      <c r="C604" s="37"/>
      <c r="F604" s="24"/>
      <c r="I604" s="25"/>
    </row>
    <row r="605" spans="3:9" ht="15.75" customHeight="1">
      <c r="C605" s="37"/>
      <c r="F605" s="24"/>
      <c r="I605" s="25"/>
    </row>
    <row r="606" spans="3:9" ht="15.75" customHeight="1">
      <c r="C606" s="37"/>
      <c r="F606" s="24"/>
      <c r="I606" s="25"/>
    </row>
    <row r="607" spans="3:9" ht="15.75" customHeight="1">
      <c r="C607" s="37"/>
      <c r="F607" s="24"/>
      <c r="I607" s="25"/>
    </row>
    <row r="608" spans="3:9" ht="15.75" customHeight="1">
      <c r="C608" s="40"/>
      <c r="F608" s="24"/>
      <c r="I608" s="25"/>
    </row>
    <row r="609" spans="3:9" ht="15.75" customHeight="1">
      <c r="C609" s="37"/>
      <c r="F609" s="24"/>
      <c r="I609" s="25"/>
    </row>
    <row r="610" spans="3:9" ht="15.75" customHeight="1">
      <c r="C610" s="37"/>
      <c r="F610" s="24"/>
      <c r="I610" s="25"/>
    </row>
    <row r="611" spans="3:9" ht="15.75" customHeight="1">
      <c r="C611" s="37"/>
      <c r="F611" s="24"/>
      <c r="I611" s="25"/>
    </row>
    <row r="612" spans="3:9" ht="15.75" customHeight="1">
      <c r="C612" s="37"/>
      <c r="F612" s="24"/>
      <c r="I612" s="25"/>
    </row>
    <row r="613" spans="3:9" ht="15.75" customHeight="1">
      <c r="C613" s="23"/>
      <c r="F613" s="24"/>
      <c r="I613" s="25"/>
    </row>
    <row r="614" spans="3:9" ht="15.75" customHeight="1">
      <c r="C614" s="23"/>
      <c r="F614" s="24"/>
      <c r="I614" s="25"/>
    </row>
    <row r="615" spans="3:9" ht="15.75" customHeight="1">
      <c r="C615" s="23"/>
      <c r="F615" s="24"/>
      <c r="I615" s="25"/>
    </row>
    <row r="616" spans="3:9" ht="15.75" customHeight="1">
      <c r="C616" s="37"/>
      <c r="F616" s="24"/>
      <c r="I616" s="25"/>
    </row>
    <row r="617" spans="3:9" ht="15.75" customHeight="1">
      <c r="C617" s="37"/>
      <c r="F617" s="24"/>
      <c r="I617" s="25"/>
    </row>
    <row r="618" spans="3:9" ht="15.75" customHeight="1">
      <c r="C618" s="37"/>
      <c r="F618" s="24"/>
      <c r="I618" s="25"/>
    </row>
    <row r="619" spans="3:9" ht="15.75" customHeight="1">
      <c r="C619" s="37"/>
      <c r="F619" s="24"/>
      <c r="I619" s="25"/>
    </row>
    <row r="620" spans="3:9" ht="15.75" customHeight="1">
      <c r="C620" s="37"/>
      <c r="F620" s="24"/>
      <c r="I620" s="25"/>
    </row>
    <row r="621" spans="3:9" ht="15.75" customHeight="1">
      <c r="C621" s="37"/>
      <c r="F621" s="24"/>
      <c r="I621" s="25"/>
    </row>
    <row r="622" spans="3:9" ht="15.75" customHeight="1">
      <c r="C622" s="37"/>
      <c r="F622" s="24"/>
      <c r="I622" s="25"/>
    </row>
    <row r="623" spans="3:9" ht="15.75" customHeight="1">
      <c r="C623" s="37"/>
      <c r="F623" s="24"/>
      <c r="I623" s="25"/>
    </row>
    <row r="624" spans="3:9" ht="15.75" customHeight="1">
      <c r="C624" s="37"/>
      <c r="F624" s="24"/>
      <c r="I624" s="25"/>
    </row>
    <row r="625" spans="3:9" ht="15.75" customHeight="1">
      <c r="C625" s="37"/>
      <c r="F625" s="24"/>
      <c r="I625" s="25"/>
    </row>
    <row r="626" spans="3:9" ht="15.75" customHeight="1">
      <c r="C626" s="37"/>
      <c r="F626" s="24"/>
      <c r="I626" s="25"/>
    </row>
    <row r="627" spans="3:9" ht="15.75" customHeight="1">
      <c r="C627" s="37"/>
      <c r="F627" s="24"/>
      <c r="I627" s="25"/>
    </row>
    <row r="628" spans="3:9" ht="15.75" customHeight="1">
      <c r="C628" s="37"/>
      <c r="F628" s="24"/>
      <c r="I628" s="25"/>
    </row>
    <row r="629" spans="3:9" ht="15.75" customHeight="1">
      <c r="C629" s="37"/>
      <c r="F629" s="24"/>
      <c r="I629" s="25"/>
    </row>
    <row r="630" spans="3:9" ht="15.75" customHeight="1">
      <c r="C630" s="37"/>
      <c r="F630" s="24"/>
      <c r="I630" s="25"/>
    </row>
    <row r="631" spans="3:9" ht="15.75" customHeight="1">
      <c r="C631" s="37"/>
      <c r="F631" s="24"/>
      <c r="I631" s="25"/>
    </row>
    <row r="632" spans="3:9" ht="15.75" customHeight="1">
      <c r="C632" s="37"/>
      <c r="F632" s="24"/>
      <c r="I632" s="25"/>
    </row>
    <row r="633" spans="3:9" ht="15.75" customHeight="1">
      <c r="C633" s="37"/>
      <c r="F633" s="24"/>
      <c r="I633" s="25"/>
    </row>
    <row r="634" spans="3:9" ht="15.75" customHeight="1">
      <c r="C634" s="37"/>
      <c r="F634" s="24"/>
      <c r="I634" s="25"/>
    </row>
    <row r="635" spans="3:9" ht="15.75" customHeight="1">
      <c r="C635" s="37"/>
      <c r="F635" s="24"/>
      <c r="I635" s="25"/>
    </row>
    <row r="636" spans="3:9" ht="15.75" customHeight="1">
      <c r="C636" s="37"/>
      <c r="F636" s="24"/>
      <c r="I636" s="25"/>
    </row>
    <row r="637" spans="3:9" ht="15.75" customHeight="1">
      <c r="C637" s="37"/>
      <c r="F637" s="24"/>
      <c r="I637" s="25"/>
    </row>
    <row r="638" spans="3:9" ht="15.75" customHeight="1">
      <c r="C638" s="37"/>
      <c r="F638" s="24"/>
      <c r="I638" s="25"/>
    </row>
    <row r="639" spans="3:9" ht="15.75" customHeight="1">
      <c r="C639" s="37"/>
      <c r="F639" s="24"/>
      <c r="I639" s="25"/>
    </row>
    <row r="640" spans="3:9" ht="15.75" customHeight="1">
      <c r="C640" s="37"/>
      <c r="F640" s="24"/>
      <c r="I640" s="25"/>
    </row>
    <row r="641" spans="3:9" ht="15.75" customHeight="1">
      <c r="C641" s="37"/>
      <c r="F641" s="24"/>
      <c r="I641" s="25"/>
    </row>
    <row r="642" spans="3:9" ht="15.75" customHeight="1">
      <c r="C642" s="37"/>
      <c r="F642" s="24"/>
      <c r="I642" s="25"/>
    </row>
    <row r="643" spans="3:9" ht="15.75" customHeight="1">
      <c r="C643" s="37"/>
      <c r="F643" s="24"/>
      <c r="I643" s="25"/>
    </row>
    <row r="644" spans="3:9" ht="15.75" customHeight="1">
      <c r="C644" s="37"/>
      <c r="F644" s="24"/>
      <c r="I644" s="25"/>
    </row>
    <row r="645" spans="3:9" ht="15.75" customHeight="1">
      <c r="C645" s="37"/>
      <c r="F645" s="24"/>
      <c r="I645" s="25"/>
    </row>
    <row r="646" spans="3:9" ht="15.75" customHeight="1">
      <c r="C646" s="37"/>
      <c r="F646" s="24"/>
      <c r="I646" s="25"/>
    </row>
    <row r="647" spans="3:9" ht="15.75" customHeight="1">
      <c r="C647" s="37"/>
      <c r="F647" s="24"/>
      <c r="I647" s="25"/>
    </row>
    <row r="648" spans="3:9" ht="15.75" customHeight="1">
      <c r="C648" s="37"/>
      <c r="F648" s="24"/>
      <c r="I648" s="25"/>
    </row>
    <row r="649" spans="3:9" ht="15.75" customHeight="1">
      <c r="C649" s="37"/>
      <c r="F649" s="24"/>
      <c r="I649" s="25"/>
    </row>
    <row r="650" spans="3:9" ht="15.75" customHeight="1">
      <c r="C650" s="37"/>
      <c r="F650" s="24"/>
      <c r="I650" s="25"/>
    </row>
    <row r="651" spans="3:9" ht="15.75" customHeight="1">
      <c r="C651" s="37"/>
      <c r="F651" s="24"/>
      <c r="I651" s="25"/>
    </row>
    <row r="652" spans="3:9" ht="15.75" customHeight="1">
      <c r="C652" s="37"/>
      <c r="F652" s="24"/>
      <c r="I652" s="25"/>
    </row>
    <row r="653" spans="3:9" ht="15.75" customHeight="1">
      <c r="C653" s="37"/>
      <c r="F653" s="24"/>
      <c r="I653" s="25"/>
    </row>
    <row r="654" spans="3:9" ht="15.75" customHeight="1">
      <c r="C654" s="37"/>
      <c r="F654" s="24"/>
      <c r="I654" s="25"/>
    </row>
    <row r="655" spans="3:9" ht="15.75" customHeight="1">
      <c r="C655" s="37"/>
      <c r="F655" s="24"/>
      <c r="I655" s="25"/>
    </row>
    <row r="656" spans="3:9" ht="15.75" customHeight="1">
      <c r="C656" s="37"/>
      <c r="F656" s="24"/>
      <c r="I656" s="25"/>
    </row>
    <row r="657" spans="3:9" ht="15.75" customHeight="1">
      <c r="C657" s="37"/>
      <c r="F657" s="24"/>
      <c r="I657" s="25"/>
    </row>
    <row r="658" spans="3:9" ht="15.75" customHeight="1">
      <c r="C658" s="37"/>
      <c r="F658" s="24"/>
      <c r="I658" s="25"/>
    </row>
    <row r="659" spans="3:9" ht="15.75" customHeight="1">
      <c r="C659" s="37"/>
      <c r="F659" s="24"/>
      <c r="I659" s="25"/>
    </row>
    <row r="660" spans="3:9" ht="15.75" customHeight="1">
      <c r="C660" s="37"/>
      <c r="F660" s="24"/>
      <c r="I660" s="25"/>
    </row>
    <row r="661" spans="3:9" ht="15.75" customHeight="1">
      <c r="C661" s="37"/>
      <c r="F661" s="24"/>
      <c r="I661" s="25"/>
    </row>
    <row r="662" spans="3:9" ht="15.75" customHeight="1">
      <c r="C662" s="37"/>
      <c r="F662" s="24"/>
      <c r="I662" s="25"/>
    </row>
    <row r="663" spans="3:9" ht="15.75" customHeight="1">
      <c r="C663" s="37"/>
      <c r="F663" s="24"/>
      <c r="I663" s="25"/>
    </row>
    <row r="664" spans="3:9" ht="15.75" customHeight="1">
      <c r="C664" s="37"/>
      <c r="F664" s="24"/>
      <c r="I664" s="25"/>
    </row>
    <row r="665" spans="3:9" ht="15.75" customHeight="1">
      <c r="C665" s="37"/>
      <c r="F665" s="24"/>
      <c r="I665" s="25"/>
    </row>
    <row r="666" spans="3:9" ht="15.75" customHeight="1">
      <c r="C666" s="37"/>
      <c r="F666" s="24"/>
      <c r="I666" s="25"/>
    </row>
    <row r="667" spans="3:9" ht="15.75" customHeight="1">
      <c r="C667" s="39"/>
      <c r="F667" s="24"/>
      <c r="I667" s="25"/>
    </row>
    <row r="668" spans="3:9" ht="15.75" customHeight="1">
      <c r="C668" s="39"/>
      <c r="F668" s="24"/>
      <c r="I668" s="25"/>
    </row>
    <row r="669" spans="3:9" ht="15.75" customHeight="1">
      <c r="C669" s="39"/>
      <c r="F669" s="24"/>
      <c r="I669" s="25"/>
    </row>
    <row r="670" spans="3:9" ht="15.75" customHeight="1">
      <c r="C670" s="39"/>
      <c r="F670" s="24"/>
      <c r="I670" s="25"/>
    </row>
    <row r="671" spans="3:9" ht="15.75" customHeight="1">
      <c r="C671" s="39"/>
      <c r="F671" s="24"/>
      <c r="I671" s="25"/>
    </row>
    <row r="672" spans="3:9" ht="15.75" customHeight="1">
      <c r="C672" s="37"/>
      <c r="F672" s="24"/>
      <c r="I672" s="25"/>
    </row>
    <row r="673" spans="3:9" ht="15.75" customHeight="1">
      <c r="C673" s="37"/>
      <c r="F673" s="24"/>
      <c r="I673" s="25"/>
    </row>
    <row r="674" spans="3:9" ht="15.75" customHeight="1">
      <c r="C674" s="37"/>
      <c r="F674" s="24"/>
      <c r="I674" s="25"/>
    </row>
    <row r="675" spans="3:9" ht="15.75" customHeight="1">
      <c r="C675" s="37"/>
      <c r="F675" s="24"/>
      <c r="I675" s="25"/>
    </row>
    <row r="676" spans="3:9" ht="15.75" customHeight="1">
      <c r="C676" s="37"/>
      <c r="F676" s="24"/>
      <c r="I676" s="25"/>
    </row>
    <row r="677" spans="3:9" ht="15.75" customHeight="1">
      <c r="C677" s="37"/>
      <c r="F677" s="24"/>
      <c r="I677" s="25"/>
    </row>
    <row r="678" spans="3:9" ht="15.75" customHeight="1">
      <c r="C678" s="37"/>
      <c r="F678" s="24"/>
      <c r="I678" s="25"/>
    </row>
    <row r="679" spans="3:9" ht="15.75" customHeight="1">
      <c r="C679" s="37"/>
      <c r="F679" s="24"/>
      <c r="I679" s="25"/>
    </row>
    <row r="680" spans="3:9" ht="15.75" customHeight="1">
      <c r="C680" s="37"/>
      <c r="F680" s="24"/>
      <c r="I680" s="25"/>
    </row>
    <row r="681" spans="3:9" ht="15.75" customHeight="1">
      <c r="C681" s="37"/>
      <c r="F681" s="24"/>
      <c r="I681" s="25"/>
    </row>
    <row r="682" spans="3:9" ht="15.75" customHeight="1">
      <c r="C682" s="37"/>
      <c r="F682" s="24"/>
      <c r="I682" s="25"/>
    </row>
    <row r="683" spans="3:9" ht="15.75" customHeight="1">
      <c r="C683" s="37"/>
      <c r="F683" s="24"/>
      <c r="I683" s="25"/>
    </row>
    <row r="684" spans="3:9" ht="15.75" customHeight="1">
      <c r="C684" s="37"/>
      <c r="F684" s="24"/>
      <c r="I684" s="25"/>
    </row>
    <row r="685" spans="3:9" ht="15.75" customHeight="1">
      <c r="C685" s="37"/>
      <c r="F685" s="24"/>
      <c r="I685" s="25"/>
    </row>
    <row r="686" spans="3:9" ht="15.75" customHeight="1">
      <c r="C686" s="37"/>
      <c r="F686" s="24"/>
      <c r="I686" s="25"/>
    </row>
    <row r="687" spans="3:9" ht="15.75" customHeight="1">
      <c r="C687" s="37"/>
      <c r="F687" s="24"/>
      <c r="I687" s="25"/>
    </row>
    <row r="688" spans="3:9" ht="15.75" customHeight="1">
      <c r="C688" s="37"/>
      <c r="F688" s="24"/>
      <c r="I688" s="25"/>
    </row>
    <row r="689" spans="3:9" ht="15.75" customHeight="1">
      <c r="C689" s="37"/>
      <c r="F689" s="24"/>
      <c r="I689" s="25"/>
    </row>
    <row r="690" spans="3:9" ht="15.75" customHeight="1">
      <c r="C690" s="37"/>
      <c r="F690" s="24"/>
      <c r="I690" s="25"/>
    </row>
    <row r="691" spans="3:9" ht="15.75" customHeight="1">
      <c r="C691" s="37"/>
      <c r="F691" s="24"/>
      <c r="I691" s="25"/>
    </row>
    <row r="692" spans="3:9" ht="15.75" customHeight="1">
      <c r="C692" s="37"/>
      <c r="F692" s="24"/>
      <c r="I692" s="25"/>
    </row>
    <row r="693" spans="3:9" ht="15.75" customHeight="1">
      <c r="C693" s="37"/>
      <c r="F693" s="24"/>
      <c r="I693" s="25"/>
    </row>
    <row r="694" spans="3:9" ht="15.75" customHeight="1">
      <c r="C694" s="37"/>
      <c r="F694" s="24"/>
      <c r="I694" s="25"/>
    </row>
    <row r="695" spans="3:9" ht="15.75" customHeight="1">
      <c r="C695" s="37"/>
      <c r="F695" s="24"/>
      <c r="I695" s="25"/>
    </row>
    <row r="696" spans="3:9" ht="15.75" customHeight="1">
      <c r="C696" s="37"/>
      <c r="F696" s="24"/>
      <c r="I696" s="25"/>
    </row>
    <row r="697" spans="3:9" ht="15.75" customHeight="1">
      <c r="C697" s="37"/>
      <c r="F697" s="24"/>
      <c r="I697" s="25"/>
    </row>
    <row r="698" spans="3:9" ht="15.75" customHeight="1">
      <c r="C698" s="37"/>
      <c r="F698" s="24"/>
      <c r="I698" s="25"/>
    </row>
    <row r="699" spans="3:9" ht="15.75" customHeight="1">
      <c r="C699" s="37"/>
      <c r="F699" s="24"/>
      <c r="I699" s="25"/>
    </row>
    <row r="700" spans="3:9" ht="15.75" customHeight="1">
      <c r="C700" s="37"/>
      <c r="F700" s="24"/>
      <c r="I700" s="25"/>
    </row>
    <row r="701" spans="3:9" ht="15.75" customHeight="1">
      <c r="C701" s="37"/>
      <c r="F701" s="24"/>
      <c r="I701" s="25"/>
    </row>
    <row r="702" spans="3:9" ht="15.75" customHeight="1">
      <c r="C702" s="37"/>
      <c r="F702" s="24"/>
      <c r="I702" s="25"/>
    </row>
    <row r="703" spans="3:9" ht="15.75" customHeight="1">
      <c r="C703" s="37"/>
      <c r="F703" s="24"/>
      <c r="I703" s="25"/>
    </row>
    <row r="704" spans="3:9" ht="15.75" customHeight="1">
      <c r="C704" s="37"/>
      <c r="F704" s="24"/>
      <c r="I704" s="25"/>
    </row>
    <row r="705" spans="3:9" ht="15.75" customHeight="1">
      <c r="C705" s="37"/>
      <c r="F705" s="24"/>
      <c r="I705" s="25"/>
    </row>
    <row r="706" spans="3:9" ht="15.75" customHeight="1">
      <c r="C706" s="37"/>
      <c r="F706" s="24"/>
      <c r="I706" s="25"/>
    </row>
    <row r="707" spans="3:9" ht="15.75" customHeight="1">
      <c r="C707" s="37"/>
      <c r="F707" s="24"/>
      <c r="I707" s="25"/>
    </row>
    <row r="708" spans="3:9" ht="15.75" customHeight="1">
      <c r="C708" s="37"/>
      <c r="F708" s="24"/>
      <c r="I708" s="25"/>
    </row>
    <row r="709" spans="3:9" ht="15.75" customHeight="1">
      <c r="C709" s="37"/>
      <c r="F709" s="24"/>
      <c r="I709" s="25"/>
    </row>
    <row r="710" spans="3:9" ht="15.75" customHeight="1">
      <c r="C710" s="40"/>
      <c r="F710" s="24"/>
      <c r="I710" s="25"/>
    </row>
    <row r="711" spans="3:9" ht="15.75" customHeight="1">
      <c r="C711" s="37"/>
      <c r="F711" s="24"/>
      <c r="I711" s="25"/>
    </row>
    <row r="712" spans="3:9" ht="15.75" customHeight="1">
      <c r="C712" s="37"/>
      <c r="F712" s="24"/>
      <c r="I712" s="25"/>
    </row>
    <row r="713" spans="3:9" ht="15.75" customHeight="1">
      <c r="C713" s="37"/>
      <c r="F713" s="24"/>
      <c r="I713" s="25"/>
    </row>
    <row r="714" spans="3:9" ht="15.75" customHeight="1">
      <c r="C714" s="37"/>
      <c r="F714" s="24"/>
      <c r="I714" s="25"/>
    </row>
    <row r="715" spans="3:9" ht="15.75" customHeight="1">
      <c r="C715" s="23"/>
      <c r="F715" s="24"/>
      <c r="I715" s="25"/>
    </row>
    <row r="716" spans="3:9" ht="15.75" customHeight="1">
      <c r="C716" s="23"/>
      <c r="F716" s="24"/>
      <c r="I716" s="25"/>
    </row>
    <row r="717" spans="3:9" ht="15.75" customHeight="1">
      <c r="C717" s="23"/>
      <c r="F717" s="24"/>
      <c r="I717" s="25"/>
    </row>
    <row r="718" spans="3:9" ht="15.75" customHeight="1">
      <c r="C718" s="37"/>
      <c r="F718" s="24"/>
      <c r="I718" s="25"/>
    </row>
    <row r="719" spans="3:9" ht="15.75" customHeight="1">
      <c r="C719" s="37"/>
      <c r="F719" s="24"/>
      <c r="I719" s="25"/>
    </row>
    <row r="720" spans="3:9" ht="15.75" customHeight="1">
      <c r="C720" s="37"/>
      <c r="F720" s="24"/>
      <c r="I720" s="25"/>
    </row>
    <row r="721" spans="3:9" ht="15.75" customHeight="1">
      <c r="C721" s="37"/>
      <c r="F721" s="24"/>
      <c r="I721" s="25"/>
    </row>
    <row r="722" spans="3:9" ht="15.75" customHeight="1">
      <c r="C722" s="37"/>
      <c r="F722" s="24"/>
      <c r="I722" s="25"/>
    </row>
    <row r="723" spans="3:9" ht="15.75" customHeight="1">
      <c r="C723" s="37"/>
      <c r="F723" s="24"/>
      <c r="I723" s="25"/>
    </row>
    <row r="724" spans="3:9" ht="15.75" customHeight="1">
      <c r="C724" s="37"/>
      <c r="F724" s="24"/>
      <c r="I724" s="25"/>
    </row>
    <row r="725" spans="3:9" ht="15.75" customHeight="1">
      <c r="C725" s="37"/>
      <c r="F725" s="24"/>
      <c r="I725" s="25"/>
    </row>
    <row r="726" spans="3:9" ht="15.75" customHeight="1">
      <c r="C726" s="37"/>
      <c r="F726" s="24"/>
      <c r="I726" s="25"/>
    </row>
    <row r="727" spans="3:9" ht="15.75" customHeight="1">
      <c r="C727" s="37"/>
      <c r="F727" s="24"/>
      <c r="I727" s="25"/>
    </row>
    <row r="728" spans="3:9" ht="15.75" customHeight="1">
      <c r="C728" s="37"/>
      <c r="F728" s="24"/>
      <c r="I728" s="25"/>
    </row>
    <row r="729" spans="3:9" ht="15.75" customHeight="1">
      <c r="C729" s="37"/>
      <c r="F729" s="24"/>
      <c r="I729" s="25"/>
    </row>
    <row r="730" spans="3:9" ht="15.75" customHeight="1">
      <c r="C730" s="37"/>
      <c r="F730" s="24"/>
      <c r="I730" s="25"/>
    </row>
    <row r="731" spans="3:9" ht="15.75" customHeight="1">
      <c r="C731" s="37"/>
      <c r="F731" s="24"/>
      <c r="I731" s="25"/>
    </row>
    <row r="732" spans="3:9" ht="15.75" customHeight="1">
      <c r="C732" s="37"/>
      <c r="F732" s="24"/>
      <c r="I732" s="25"/>
    </row>
    <row r="733" spans="3:9" ht="15.75" customHeight="1">
      <c r="C733" s="37"/>
      <c r="F733" s="24"/>
      <c r="I733" s="25"/>
    </row>
    <row r="734" spans="3:9" ht="15.75" customHeight="1">
      <c r="C734" s="37"/>
      <c r="F734" s="24"/>
      <c r="I734" s="25"/>
    </row>
    <row r="735" spans="3:9" ht="15.75" customHeight="1">
      <c r="C735" s="37"/>
      <c r="F735" s="24"/>
      <c r="I735" s="25"/>
    </row>
    <row r="736" spans="3:9" ht="15.75" customHeight="1">
      <c r="C736" s="37"/>
      <c r="F736" s="24"/>
      <c r="I736" s="25"/>
    </row>
    <row r="737" spans="3:9" ht="15.75" customHeight="1">
      <c r="C737" s="37"/>
      <c r="F737" s="24"/>
      <c r="I737" s="25"/>
    </row>
    <row r="738" spans="3:9" ht="15.75" customHeight="1">
      <c r="C738" s="37"/>
      <c r="F738" s="24"/>
      <c r="I738" s="25"/>
    </row>
    <row r="739" spans="3:9" ht="15.75" customHeight="1">
      <c r="C739" s="37"/>
      <c r="F739" s="24"/>
      <c r="I739" s="25"/>
    </row>
    <row r="740" spans="3:9" ht="15.75" customHeight="1">
      <c r="C740" s="37"/>
      <c r="F740" s="24"/>
      <c r="I740" s="25"/>
    </row>
    <row r="741" spans="3:9" ht="15.75" customHeight="1">
      <c r="C741" s="37"/>
      <c r="F741" s="24"/>
      <c r="I741" s="25"/>
    </row>
    <row r="742" spans="3:9" ht="15.75" customHeight="1">
      <c r="C742" s="37"/>
      <c r="F742" s="24"/>
      <c r="I742" s="25"/>
    </row>
    <row r="743" spans="3:9" ht="15.75" customHeight="1">
      <c r="C743" s="37"/>
      <c r="F743" s="24"/>
      <c r="I743" s="25"/>
    </row>
    <row r="744" spans="3:9" ht="15.75" customHeight="1">
      <c r="C744" s="37"/>
      <c r="F744" s="24"/>
      <c r="I744" s="25"/>
    </row>
    <row r="745" spans="3:9" ht="15.75" customHeight="1">
      <c r="C745" s="37"/>
      <c r="F745" s="24"/>
      <c r="I745" s="25"/>
    </row>
    <row r="746" spans="3:9" ht="15.75" customHeight="1">
      <c r="C746" s="37"/>
      <c r="F746" s="24"/>
      <c r="I746" s="25"/>
    </row>
    <row r="747" spans="3:9" ht="15.75" customHeight="1">
      <c r="C747" s="37"/>
      <c r="F747" s="24"/>
      <c r="I747" s="25"/>
    </row>
    <row r="748" spans="3:9" ht="15.75" customHeight="1">
      <c r="C748" s="37"/>
      <c r="F748" s="24"/>
      <c r="I748" s="25"/>
    </row>
    <row r="749" spans="3:9" ht="15.75" customHeight="1">
      <c r="C749" s="37"/>
      <c r="F749" s="24"/>
      <c r="I749" s="25"/>
    </row>
    <row r="750" spans="3:9" ht="15.75" customHeight="1">
      <c r="C750" s="37"/>
      <c r="F750" s="24"/>
      <c r="I750" s="25"/>
    </row>
    <row r="751" spans="3:9" ht="15.75" customHeight="1">
      <c r="C751" s="37"/>
      <c r="F751" s="24"/>
      <c r="I751" s="25"/>
    </row>
    <row r="752" spans="3:9" ht="15.75" customHeight="1">
      <c r="C752" s="37"/>
      <c r="F752" s="24"/>
      <c r="I752" s="25"/>
    </row>
    <row r="753" spans="3:9" ht="15.75" customHeight="1">
      <c r="C753" s="37"/>
      <c r="F753" s="24"/>
      <c r="I753" s="25"/>
    </row>
    <row r="754" spans="3:9" ht="15.75" customHeight="1">
      <c r="C754" s="37"/>
      <c r="F754" s="24"/>
      <c r="I754" s="25"/>
    </row>
    <row r="755" spans="3:9" ht="15.75" customHeight="1">
      <c r="C755" s="37"/>
      <c r="F755" s="24"/>
      <c r="I755" s="25"/>
    </row>
    <row r="756" spans="3:9" ht="15.75" customHeight="1">
      <c r="C756" s="37"/>
      <c r="F756" s="24"/>
      <c r="I756" s="25"/>
    </row>
    <row r="757" spans="3:9" ht="15.75" customHeight="1">
      <c r="C757" s="37"/>
      <c r="F757" s="24"/>
      <c r="I757" s="25"/>
    </row>
    <row r="758" spans="3:9" ht="15.75" customHeight="1">
      <c r="C758" s="37"/>
      <c r="F758" s="24"/>
      <c r="I758" s="25"/>
    </row>
    <row r="759" spans="3:9" ht="15.75" customHeight="1">
      <c r="C759" s="37"/>
      <c r="F759" s="24"/>
      <c r="I759" s="25"/>
    </row>
    <row r="760" spans="3:9" ht="15.75" customHeight="1">
      <c r="C760" s="37"/>
      <c r="F760" s="24"/>
      <c r="I760" s="25"/>
    </row>
    <row r="761" spans="3:9" ht="15.75" customHeight="1">
      <c r="C761" s="37"/>
      <c r="F761" s="24"/>
      <c r="I761" s="25"/>
    </row>
    <row r="762" spans="3:9" ht="15.75" customHeight="1">
      <c r="C762" s="37"/>
      <c r="F762" s="24"/>
      <c r="I762" s="25"/>
    </row>
    <row r="763" spans="3:9" ht="15.75" customHeight="1">
      <c r="C763" s="37"/>
      <c r="F763" s="24"/>
      <c r="I763" s="25"/>
    </row>
    <row r="764" spans="3:9" ht="15.75" customHeight="1">
      <c r="C764" s="37"/>
      <c r="F764" s="24"/>
      <c r="I764" s="25"/>
    </row>
    <row r="765" spans="3:9" ht="15.75" customHeight="1">
      <c r="C765" s="37"/>
      <c r="F765" s="24"/>
      <c r="I765" s="25"/>
    </row>
    <row r="766" spans="3:9" ht="15.75" customHeight="1">
      <c r="C766" s="37"/>
      <c r="F766" s="24"/>
      <c r="I766" s="25"/>
    </row>
    <row r="767" spans="3:9" ht="15.75" customHeight="1">
      <c r="C767" s="37"/>
      <c r="F767" s="24"/>
      <c r="I767" s="25"/>
    </row>
    <row r="768" spans="3:9" ht="15.75" customHeight="1">
      <c r="C768" s="37"/>
      <c r="F768" s="24"/>
      <c r="I768" s="25"/>
    </row>
    <row r="769" spans="3:9" ht="15.75" customHeight="1">
      <c r="C769" s="39"/>
      <c r="F769" s="24"/>
      <c r="I769" s="25"/>
    </row>
    <row r="770" spans="3:9" ht="15.75" customHeight="1">
      <c r="C770" s="39"/>
      <c r="F770" s="24"/>
      <c r="I770" s="25"/>
    </row>
    <row r="771" spans="3:9" ht="15.75" customHeight="1">
      <c r="C771" s="39"/>
      <c r="F771" s="24"/>
      <c r="I771" s="25"/>
    </row>
    <row r="772" spans="3:9" ht="15.75" customHeight="1">
      <c r="C772" s="39"/>
      <c r="F772" s="24"/>
      <c r="I772" s="25"/>
    </row>
    <row r="773" spans="3:9" ht="15.75" customHeight="1">
      <c r="C773" s="39"/>
      <c r="F773" s="24"/>
      <c r="I773" s="25"/>
    </row>
    <row r="774" spans="3:9" ht="15.75" customHeight="1">
      <c r="C774" s="37"/>
      <c r="F774" s="24"/>
      <c r="I774" s="25"/>
    </row>
    <row r="775" spans="3:9" ht="15.75" customHeight="1">
      <c r="C775" s="37"/>
      <c r="F775" s="24"/>
      <c r="I775" s="25"/>
    </row>
    <row r="776" spans="3:9" ht="15.75" customHeight="1">
      <c r="C776" s="37"/>
      <c r="F776" s="24"/>
      <c r="I776" s="25"/>
    </row>
    <row r="777" spans="3:9" ht="15.75" customHeight="1">
      <c r="C777" s="37"/>
      <c r="F777" s="24"/>
      <c r="I777" s="25"/>
    </row>
    <row r="778" spans="3:9" ht="15.75" customHeight="1">
      <c r="C778" s="37"/>
      <c r="F778" s="24"/>
      <c r="I778" s="25"/>
    </row>
    <row r="779" spans="3:9" ht="15.75" customHeight="1">
      <c r="C779" s="37"/>
      <c r="F779" s="24"/>
      <c r="I779" s="25"/>
    </row>
    <row r="780" spans="3:9" ht="15.75" customHeight="1">
      <c r="C780" s="37"/>
      <c r="F780" s="24"/>
      <c r="I780" s="25"/>
    </row>
    <row r="781" spans="3:9" ht="15.75" customHeight="1">
      <c r="C781" s="37"/>
      <c r="F781" s="24"/>
      <c r="I781" s="25"/>
    </row>
    <row r="782" spans="3:9" ht="15.75" customHeight="1">
      <c r="C782" s="37"/>
      <c r="F782" s="24"/>
      <c r="I782" s="25"/>
    </row>
    <row r="783" spans="3:9" ht="15.75" customHeight="1">
      <c r="C783" s="37"/>
      <c r="F783" s="24"/>
      <c r="I783" s="25"/>
    </row>
    <row r="784" spans="3:9" ht="15.75" customHeight="1">
      <c r="C784" s="37"/>
      <c r="F784" s="24"/>
      <c r="I784" s="25"/>
    </row>
    <row r="785" spans="3:9" ht="15.75" customHeight="1">
      <c r="C785" s="37"/>
      <c r="F785" s="24"/>
      <c r="I785" s="25"/>
    </row>
    <row r="786" spans="3:9" ht="15.75" customHeight="1">
      <c r="C786" s="37"/>
      <c r="F786" s="24"/>
      <c r="I786" s="25"/>
    </row>
    <row r="787" spans="3:9" ht="15.75" customHeight="1">
      <c r="C787" s="37"/>
      <c r="F787" s="24"/>
      <c r="I787" s="25"/>
    </row>
    <row r="788" spans="3:9" ht="15.75" customHeight="1">
      <c r="C788" s="37"/>
      <c r="F788" s="24"/>
      <c r="I788" s="25"/>
    </row>
    <row r="789" spans="3:9" ht="15.75" customHeight="1">
      <c r="C789" s="37"/>
      <c r="F789" s="24"/>
      <c r="I789" s="25"/>
    </row>
    <row r="790" spans="3:9" ht="15.75" customHeight="1">
      <c r="C790" s="37"/>
      <c r="F790" s="24"/>
      <c r="I790" s="25"/>
    </row>
    <row r="791" spans="3:9" ht="15.75" customHeight="1">
      <c r="C791" s="37"/>
      <c r="F791" s="24"/>
      <c r="I791" s="25"/>
    </row>
    <row r="792" spans="3:9" ht="15.75" customHeight="1">
      <c r="C792" s="37"/>
      <c r="F792" s="24"/>
      <c r="I792" s="25"/>
    </row>
    <row r="793" spans="3:9" ht="15.75" customHeight="1">
      <c r="C793" s="37"/>
      <c r="F793" s="24"/>
      <c r="I793" s="25"/>
    </row>
    <row r="794" spans="3:9" ht="15.75" customHeight="1">
      <c r="C794" s="37"/>
      <c r="F794" s="24"/>
      <c r="I794" s="25"/>
    </row>
    <row r="795" spans="3:9" ht="15.75" customHeight="1">
      <c r="C795" s="37"/>
      <c r="F795" s="24"/>
      <c r="I795" s="25"/>
    </row>
    <row r="796" spans="3:9" ht="15.75" customHeight="1">
      <c r="C796" s="37"/>
      <c r="F796" s="24"/>
      <c r="I796" s="25"/>
    </row>
    <row r="797" spans="3:9" ht="15.75" customHeight="1">
      <c r="C797" s="37"/>
      <c r="F797" s="24"/>
      <c r="I797" s="25"/>
    </row>
    <row r="798" spans="3:9" ht="15.75" customHeight="1">
      <c r="C798" s="37"/>
      <c r="F798" s="24"/>
      <c r="I798" s="25"/>
    </row>
    <row r="799" spans="3:9" ht="15.75" customHeight="1">
      <c r="C799" s="37"/>
      <c r="F799" s="24"/>
      <c r="I799" s="25"/>
    </row>
    <row r="800" spans="3:9" ht="15.75" customHeight="1">
      <c r="C800" s="37"/>
      <c r="F800" s="24"/>
      <c r="I800" s="25"/>
    </row>
    <row r="801" spans="3:9" ht="15.75" customHeight="1">
      <c r="C801" s="37"/>
      <c r="F801" s="24"/>
      <c r="I801" s="25"/>
    </row>
    <row r="802" spans="3:9" ht="15.75" customHeight="1">
      <c r="C802" s="37"/>
      <c r="F802" s="24"/>
      <c r="I802" s="25"/>
    </row>
    <row r="803" spans="3:9" ht="15.75" customHeight="1">
      <c r="C803" s="37"/>
      <c r="F803" s="24"/>
      <c r="I803" s="25"/>
    </row>
    <row r="804" spans="3:9" ht="15.75" customHeight="1">
      <c r="C804" s="37"/>
      <c r="F804" s="24"/>
      <c r="I804" s="25"/>
    </row>
    <row r="805" spans="3:9" ht="15.75" customHeight="1">
      <c r="C805" s="37"/>
      <c r="F805" s="24"/>
      <c r="I805" s="25"/>
    </row>
    <row r="806" spans="3:9" ht="15.75" customHeight="1">
      <c r="C806" s="37"/>
      <c r="F806" s="24"/>
      <c r="I806" s="25"/>
    </row>
    <row r="807" spans="3:9" ht="15.75" customHeight="1">
      <c r="C807" s="37"/>
      <c r="F807" s="24"/>
      <c r="I807" s="25"/>
    </row>
    <row r="808" spans="3:9" ht="15.75" customHeight="1">
      <c r="C808" s="37"/>
      <c r="F808" s="24"/>
      <c r="I808" s="25"/>
    </row>
    <row r="809" spans="3:9" ht="15.75" customHeight="1">
      <c r="C809" s="37"/>
      <c r="F809" s="24"/>
      <c r="I809" s="25"/>
    </row>
    <row r="810" spans="3:9" ht="15.75" customHeight="1">
      <c r="C810" s="37"/>
      <c r="F810" s="24"/>
      <c r="I810" s="25"/>
    </row>
    <row r="811" spans="3:9" ht="15.75" customHeight="1">
      <c r="C811" s="37"/>
      <c r="F811" s="24"/>
      <c r="I811" s="25"/>
    </row>
    <row r="812" spans="3:9" ht="15.75" customHeight="1">
      <c r="C812" s="40"/>
      <c r="F812" s="24"/>
      <c r="I812" s="25"/>
    </row>
    <row r="813" spans="3:9" ht="15.75" customHeight="1">
      <c r="C813" s="37"/>
      <c r="F813" s="24"/>
      <c r="I813" s="25"/>
    </row>
    <row r="814" spans="3:9" ht="15.75" customHeight="1">
      <c r="C814" s="37"/>
      <c r="F814" s="24"/>
      <c r="I814" s="25"/>
    </row>
    <row r="815" spans="3:9" ht="15.75" customHeight="1">
      <c r="C815" s="37"/>
      <c r="F815" s="24"/>
      <c r="I815" s="25"/>
    </row>
    <row r="816" spans="3:9" ht="15.75" customHeight="1">
      <c r="C816" s="37"/>
      <c r="F816" s="24"/>
      <c r="I816" s="25"/>
    </row>
    <row r="817" spans="3:9" ht="15.75" customHeight="1">
      <c r="C817" s="23"/>
      <c r="F817" s="24"/>
      <c r="I817" s="25"/>
    </row>
    <row r="818" spans="3:9" ht="15.75" customHeight="1">
      <c r="C818" s="23"/>
      <c r="F818" s="24"/>
      <c r="I818" s="25"/>
    </row>
    <row r="819" spans="3:9" ht="15.75" customHeight="1">
      <c r="C819" s="23"/>
      <c r="F819" s="24"/>
      <c r="I819" s="25"/>
    </row>
    <row r="820" spans="3:9" ht="15.75" customHeight="1">
      <c r="C820" s="37"/>
      <c r="F820" s="24"/>
      <c r="I820" s="25"/>
    </row>
    <row r="821" spans="3:9" ht="15.75" customHeight="1">
      <c r="C821" s="37"/>
      <c r="F821" s="24"/>
      <c r="I821" s="25"/>
    </row>
    <row r="822" spans="3:9" ht="15.75" customHeight="1">
      <c r="C822" s="37"/>
      <c r="F822" s="24"/>
      <c r="I822" s="25"/>
    </row>
    <row r="823" spans="3:9" ht="15.75" customHeight="1">
      <c r="C823" s="37"/>
      <c r="F823" s="24"/>
      <c r="I823" s="25"/>
    </row>
    <row r="824" spans="3:9" ht="15.75" customHeight="1">
      <c r="C824" s="37"/>
      <c r="F824" s="24"/>
      <c r="I824" s="25"/>
    </row>
    <row r="825" spans="3:9" ht="15.75" customHeight="1">
      <c r="C825" s="37"/>
      <c r="F825" s="24"/>
      <c r="I825" s="25"/>
    </row>
    <row r="826" spans="3:9" ht="15.75" customHeight="1">
      <c r="C826" s="37"/>
      <c r="F826" s="24"/>
      <c r="I826" s="25"/>
    </row>
    <row r="827" spans="3:9" ht="15.75" customHeight="1">
      <c r="C827" s="37"/>
      <c r="F827" s="24"/>
      <c r="I827" s="25"/>
    </row>
    <row r="828" spans="3:9" ht="15.75" customHeight="1">
      <c r="C828" s="37"/>
      <c r="F828" s="24"/>
      <c r="I828" s="25"/>
    </row>
    <row r="829" spans="3:9" ht="15.75" customHeight="1">
      <c r="C829" s="37"/>
      <c r="F829" s="24"/>
      <c r="I829" s="25"/>
    </row>
    <row r="830" spans="3:9" ht="15.75" customHeight="1">
      <c r="C830" s="37"/>
      <c r="F830" s="24"/>
      <c r="I830" s="25"/>
    </row>
    <row r="831" spans="3:9" ht="15.75" customHeight="1">
      <c r="C831" s="37"/>
      <c r="F831" s="24"/>
      <c r="I831" s="25"/>
    </row>
    <row r="832" spans="3:9" ht="15.75" customHeight="1">
      <c r="C832" s="37"/>
      <c r="F832" s="24"/>
      <c r="I832" s="25"/>
    </row>
    <row r="833" spans="3:9" ht="15.75" customHeight="1">
      <c r="C833" s="37"/>
      <c r="F833" s="24"/>
      <c r="I833" s="25"/>
    </row>
    <row r="834" spans="3:9" ht="15.75" customHeight="1">
      <c r="C834" s="37"/>
      <c r="F834" s="24"/>
      <c r="I834" s="25"/>
    </row>
    <row r="835" spans="3:9" ht="15.75" customHeight="1">
      <c r="C835" s="37"/>
      <c r="F835" s="24"/>
      <c r="I835" s="25"/>
    </row>
    <row r="836" spans="3:9" ht="15.75" customHeight="1">
      <c r="C836" s="37"/>
      <c r="F836" s="24"/>
      <c r="I836" s="25"/>
    </row>
    <row r="837" spans="3:9" ht="15.75" customHeight="1">
      <c r="C837" s="37"/>
      <c r="F837" s="24"/>
      <c r="I837" s="25"/>
    </row>
    <row r="838" spans="3:9" ht="15.75" customHeight="1">
      <c r="C838" s="37"/>
      <c r="F838" s="24"/>
      <c r="I838" s="25"/>
    </row>
    <row r="839" spans="3:9" ht="15.75" customHeight="1">
      <c r="C839" s="37"/>
      <c r="F839" s="24"/>
      <c r="I839" s="25"/>
    </row>
    <row r="840" spans="3:9" ht="15.75" customHeight="1">
      <c r="C840" s="37"/>
      <c r="F840" s="24"/>
      <c r="I840" s="25"/>
    </row>
    <row r="841" spans="3:9" ht="15.75" customHeight="1">
      <c r="C841" s="37"/>
      <c r="F841" s="24"/>
      <c r="I841" s="25"/>
    </row>
    <row r="842" spans="3:9" ht="15.75" customHeight="1">
      <c r="C842" s="37"/>
      <c r="F842" s="24"/>
      <c r="I842" s="25"/>
    </row>
    <row r="843" spans="3:9" ht="15.75" customHeight="1">
      <c r="C843" s="37"/>
      <c r="F843" s="24"/>
      <c r="I843" s="25"/>
    </row>
    <row r="844" spans="3:9" ht="15.75" customHeight="1">
      <c r="C844" s="37"/>
      <c r="F844" s="24"/>
      <c r="I844" s="25"/>
    </row>
    <row r="845" spans="3:9" ht="15.75" customHeight="1">
      <c r="C845" s="37"/>
      <c r="F845" s="24"/>
      <c r="I845" s="25"/>
    </row>
    <row r="846" spans="3:9" ht="15.75" customHeight="1">
      <c r="C846" s="37"/>
      <c r="F846" s="24"/>
      <c r="I846" s="25"/>
    </row>
    <row r="847" spans="3:9" ht="15.75" customHeight="1">
      <c r="C847" s="37"/>
      <c r="F847" s="24"/>
      <c r="I847" s="25"/>
    </row>
    <row r="848" spans="3:9" ht="15.75" customHeight="1">
      <c r="C848" s="37"/>
      <c r="F848" s="24"/>
      <c r="I848" s="25"/>
    </row>
    <row r="849" spans="3:9" ht="15.75" customHeight="1">
      <c r="C849" s="37"/>
      <c r="F849" s="24"/>
      <c r="I849" s="25"/>
    </row>
    <row r="850" spans="3:9" ht="15.75" customHeight="1">
      <c r="C850" s="37"/>
      <c r="F850" s="24"/>
      <c r="I850" s="25"/>
    </row>
    <row r="851" spans="3:9" ht="15.75" customHeight="1">
      <c r="C851" s="37"/>
      <c r="F851" s="24"/>
      <c r="I851" s="25"/>
    </row>
    <row r="852" spans="3:9" ht="15.75" customHeight="1">
      <c r="C852" s="37"/>
      <c r="F852" s="24"/>
      <c r="I852" s="25"/>
    </row>
    <row r="853" spans="3:9" ht="15.75" customHeight="1">
      <c r="C853" s="37"/>
      <c r="F853" s="24"/>
      <c r="I853" s="25"/>
    </row>
    <row r="854" spans="3:9" ht="15.75" customHeight="1">
      <c r="C854" s="37"/>
      <c r="F854" s="24"/>
      <c r="I854" s="25"/>
    </row>
    <row r="855" spans="3:9" ht="15.75" customHeight="1">
      <c r="C855" s="37"/>
      <c r="F855" s="24"/>
      <c r="I855" s="25"/>
    </row>
    <row r="856" spans="3:9" ht="15.75" customHeight="1">
      <c r="C856" s="37"/>
      <c r="F856" s="24"/>
      <c r="I856" s="25"/>
    </row>
    <row r="857" spans="3:9" ht="15.75" customHeight="1">
      <c r="C857" s="37"/>
      <c r="F857" s="24"/>
      <c r="I857" s="25"/>
    </row>
    <row r="858" spans="3:9" ht="15.75" customHeight="1">
      <c r="C858" s="37"/>
      <c r="F858" s="24"/>
      <c r="I858" s="25"/>
    </row>
    <row r="859" spans="3:9" ht="15.75" customHeight="1">
      <c r="C859" s="37"/>
      <c r="F859" s="24"/>
      <c r="I859" s="25"/>
    </row>
    <row r="860" spans="3:9" ht="15.75" customHeight="1">
      <c r="C860" s="37"/>
      <c r="F860" s="24"/>
      <c r="I860" s="25"/>
    </row>
    <row r="861" spans="3:9" ht="15.75" customHeight="1">
      <c r="C861" s="37"/>
      <c r="F861" s="24"/>
      <c r="I861" s="25"/>
    </row>
    <row r="862" spans="3:9" ht="15.75" customHeight="1">
      <c r="C862" s="37"/>
      <c r="F862" s="24"/>
      <c r="I862" s="25"/>
    </row>
    <row r="863" spans="3:9" ht="15.75" customHeight="1">
      <c r="C863" s="37"/>
      <c r="F863" s="24"/>
      <c r="I863" s="25"/>
    </row>
    <row r="864" spans="3:9" ht="15.75" customHeight="1">
      <c r="C864" s="37"/>
      <c r="F864" s="24"/>
      <c r="I864" s="25"/>
    </row>
    <row r="865" spans="3:9" ht="15.75" customHeight="1">
      <c r="C865" s="37"/>
      <c r="F865" s="24"/>
      <c r="I865" s="25"/>
    </row>
    <row r="866" spans="3:9" ht="15.75" customHeight="1">
      <c r="C866" s="37"/>
      <c r="F866" s="24"/>
      <c r="I866" s="25"/>
    </row>
    <row r="867" spans="3:9" ht="15.75" customHeight="1">
      <c r="C867" s="37"/>
      <c r="F867" s="24"/>
      <c r="I867" s="25"/>
    </row>
    <row r="868" spans="3:9" ht="15.75" customHeight="1">
      <c r="C868" s="37"/>
      <c r="F868" s="24"/>
      <c r="I868" s="25"/>
    </row>
    <row r="869" spans="3:9" ht="15.75" customHeight="1">
      <c r="C869" s="37"/>
      <c r="F869" s="24"/>
      <c r="I869" s="25"/>
    </row>
    <row r="870" spans="3:9" ht="15.75" customHeight="1">
      <c r="C870" s="37"/>
      <c r="F870" s="24"/>
      <c r="I870" s="25"/>
    </row>
    <row r="871" spans="3:9" ht="15.75" customHeight="1">
      <c r="C871" s="39"/>
      <c r="F871" s="24"/>
      <c r="I871" s="25"/>
    </row>
    <row r="872" spans="3:9" ht="15.75" customHeight="1">
      <c r="C872" s="39"/>
      <c r="F872" s="24"/>
      <c r="I872" s="25"/>
    </row>
    <row r="873" spans="3:9" ht="15.75" customHeight="1">
      <c r="C873" s="39"/>
      <c r="F873" s="24"/>
      <c r="I873" s="25"/>
    </row>
    <row r="874" spans="3:9" ht="15.75" customHeight="1">
      <c r="C874" s="39"/>
      <c r="F874" s="24"/>
      <c r="I874" s="25"/>
    </row>
    <row r="875" spans="3:9" ht="15.75" customHeight="1">
      <c r="C875" s="39"/>
      <c r="F875" s="24"/>
      <c r="I875" s="25"/>
    </row>
    <row r="876" spans="3:9" ht="15.75" customHeight="1">
      <c r="C876" s="37"/>
      <c r="F876" s="24"/>
      <c r="I876" s="25"/>
    </row>
    <row r="877" spans="3:9" ht="15.75" customHeight="1">
      <c r="C877" s="37"/>
      <c r="F877" s="24"/>
      <c r="I877" s="25"/>
    </row>
    <row r="878" spans="3:9" ht="15.75" customHeight="1">
      <c r="C878" s="37"/>
      <c r="F878" s="24"/>
      <c r="I878" s="25"/>
    </row>
    <row r="879" spans="3:9" ht="15.75" customHeight="1">
      <c r="C879" s="37"/>
      <c r="F879" s="24"/>
      <c r="I879" s="25"/>
    </row>
    <row r="880" spans="3:9" ht="15.75" customHeight="1">
      <c r="C880" s="37"/>
      <c r="F880" s="24"/>
      <c r="I880" s="25"/>
    </row>
    <row r="881" spans="3:9" ht="15.75" customHeight="1">
      <c r="C881" s="37"/>
      <c r="F881" s="24"/>
      <c r="I881" s="25"/>
    </row>
    <row r="882" spans="3:9" ht="15.75" customHeight="1">
      <c r="C882" s="37"/>
      <c r="F882" s="24"/>
      <c r="I882" s="25"/>
    </row>
    <row r="883" spans="3:9" ht="15.75" customHeight="1">
      <c r="C883" s="37"/>
      <c r="F883" s="24"/>
      <c r="I883" s="25"/>
    </row>
    <row r="884" spans="3:9" ht="15.75" customHeight="1">
      <c r="C884" s="37"/>
      <c r="F884" s="24"/>
      <c r="I884" s="25"/>
    </row>
    <row r="885" spans="3:9" ht="15.75" customHeight="1">
      <c r="C885" s="37"/>
      <c r="F885" s="24"/>
      <c r="I885" s="25"/>
    </row>
    <row r="886" spans="3:9" ht="15.75" customHeight="1">
      <c r="C886" s="37"/>
      <c r="F886" s="24"/>
      <c r="I886" s="25"/>
    </row>
    <row r="887" spans="3:9" ht="15.75" customHeight="1">
      <c r="C887" s="37"/>
      <c r="F887" s="24"/>
      <c r="I887" s="25"/>
    </row>
    <row r="888" spans="3:9" ht="15.75" customHeight="1">
      <c r="C888" s="37"/>
      <c r="F888" s="24"/>
      <c r="I888" s="25"/>
    </row>
    <row r="889" spans="3:9" ht="15.75" customHeight="1">
      <c r="C889" s="37"/>
      <c r="F889" s="24"/>
      <c r="I889" s="25"/>
    </row>
    <row r="890" spans="3:9" ht="15.75" customHeight="1">
      <c r="C890" s="37"/>
      <c r="F890" s="24"/>
      <c r="I890" s="25"/>
    </row>
    <row r="891" spans="3:9" ht="15.75" customHeight="1">
      <c r="C891" s="37"/>
      <c r="F891" s="24"/>
      <c r="I891" s="25"/>
    </row>
    <row r="892" spans="3:9" ht="15.75" customHeight="1">
      <c r="C892" s="37"/>
      <c r="F892" s="24"/>
      <c r="I892" s="25"/>
    </row>
    <row r="893" spans="3:9" ht="15.75" customHeight="1">
      <c r="C893" s="37"/>
      <c r="F893" s="24"/>
      <c r="I893" s="25"/>
    </row>
    <row r="894" spans="3:9" ht="15.75" customHeight="1">
      <c r="C894" s="37"/>
      <c r="F894" s="24"/>
      <c r="I894" s="25"/>
    </row>
    <row r="895" spans="3:9" ht="15.75" customHeight="1">
      <c r="C895" s="37"/>
      <c r="F895" s="24"/>
      <c r="I895" s="25"/>
    </row>
    <row r="896" spans="3:9" ht="15.75" customHeight="1">
      <c r="C896" s="37"/>
      <c r="F896" s="24"/>
      <c r="I896" s="25"/>
    </row>
    <row r="897" spans="3:9" ht="15.75" customHeight="1">
      <c r="C897" s="37"/>
      <c r="F897" s="24"/>
      <c r="I897" s="25"/>
    </row>
    <row r="898" spans="3:9" ht="15.75" customHeight="1">
      <c r="C898" s="37"/>
      <c r="F898" s="24"/>
      <c r="I898" s="25"/>
    </row>
    <row r="899" spans="3:9" ht="15.75" customHeight="1">
      <c r="C899" s="37"/>
      <c r="F899" s="24"/>
      <c r="I899" s="25"/>
    </row>
    <row r="900" spans="3:9" ht="15.75" customHeight="1">
      <c r="C900" s="37"/>
      <c r="F900" s="24"/>
      <c r="I900" s="25"/>
    </row>
    <row r="901" spans="3:9" ht="15.75" customHeight="1">
      <c r="C901" s="37"/>
      <c r="F901" s="24"/>
      <c r="I901" s="25"/>
    </row>
    <row r="902" spans="3:9" ht="15.75" customHeight="1">
      <c r="C902" s="37"/>
      <c r="F902" s="24"/>
      <c r="I902" s="25"/>
    </row>
    <row r="903" spans="3:9" ht="15.75" customHeight="1">
      <c r="C903" s="37"/>
      <c r="F903" s="24"/>
      <c r="I903" s="25"/>
    </row>
    <row r="904" spans="3:9" ht="15.75" customHeight="1">
      <c r="C904" s="37"/>
      <c r="F904" s="24"/>
      <c r="I904" s="25"/>
    </row>
    <row r="905" spans="3:9" ht="15.75" customHeight="1">
      <c r="C905" s="37"/>
      <c r="F905" s="24"/>
      <c r="I905" s="25"/>
    </row>
    <row r="906" spans="3:9" ht="15.75" customHeight="1">
      <c r="C906" s="37"/>
      <c r="F906" s="24"/>
      <c r="I906" s="25"/>
    </row>
    <row r="907" spans="3:9" ht="15.75" customHeight="1">
      <c r="C907" s="37"/>
      <c r="F907" s="24"/>
      <c r="I907" s="25"/>
    </row>
    <row r="908" spans="3:9" ht="15.75" customHeight="1">
      <c r="C908" s="37"/>
      <c r="F908" s="24"/>
      <c r="I908" s="25"/>
    </row>
    <row r="909" spans="3:9" ht="15.75" customHeight="1">
      <c r="C909" s="37"/>
      <c r="F909" s="24"/>
      <c r="I909" s="25"/>
    </row>
    <row r="910" spans="3:9" ht="15.75" customHeight="1">
      <c r="C910" s="37"/>
      <c r="F910" s="24"/>
      <c r="I910" s="25"/>
    </row>
    <row r="911" spans="3:9" ht="15.75" customHeight="1">
      <c r="C911" s="37"/>
      <c r="F911" s="24"/>
      <c r="I911" s="25"/>
    </row>
    <row r="912" spans="3:9" ht="15.75" customHeight="1">
      <c r="C912" s="37"/>
      <c r="F912" s="24"/>
      <c r="I912" s="25"/>
    </row>
    <row r="913" spans="3:9" ht="15.75" customHeight="1">
      <c r="C913" s="37"/>
      <c r="F913" s="24"/>
      <c r="I913" s="25"/>
    </row>
    <row r="914" spans="3:9" ht="15.75" customHeight="1">
      <c r="C914" s="40"/>
      <c r="F914" s="24"/>
      <c r="I914" s="25"/>
    </row>
    <row r="915" spans="3:9" ht="15.75" customHeight="1">
      <c r="C915" s="37"/>
      <c r="F915" s="24"/>
      <c r="I915" s="25"/>
    </row>
    <row r="916" spans="3:9" ht="15.75" customHeight="1">
      <c r="C916" s="37"/>
      <c r="F916" s="24"/>
      <c r="I916" s="25"/>
    </row>
    <row r="917" spans="3:9" ht="15.75" customHeight="1">
      <c r="C917" s="37"/>
      <c r="F917" s="24"/>
      <c r="I917" s="25"/>
    </row>
    <row r="918" spans="3:9" ht="15.75" customHeight="1">
      <c r="C918" s="37"/>
      <c r="F918" s="24"/>
      <c r="I918" s="25"/>
    </row>
    <row r="919" spans="3:9" ht="15.75" customHeight="1">
      <c r="C919" s="23"/>
      <c r="F919" s="24"/>
      <c r="I919" s="25"/>
    </row>
    <row r="920" spans="3:9" ht="15.75" customHeight="1">
      <c r="C920" s="23"/>
      <c r="F920" s="24"/>
      <c r="I920" s="25"/>
    </row>
    <row r="921" spans="3:9" ht="15.75" customHeight="1">
      <c r="C921" s="23"/>
      <c r="F921" s="24"/>
      <c r="I921" s="25"/>
    </row>
    <row r="922" spans="3:9" ht="15.75" customHeight="1">
      <c r="C922" s="37"/>
      <c r="F922" s="24"/>
      <c r="I922" s="25"/>
    </row>
    <row r="923" spans="3:9" ht="15.75" customHeight="1">
      <c r="C923" s="37"/>
      <c r="F923" s="24"/>
      <c r="I923" s="25"/>
    </row>
    <row r="924" spans="3:9" ht="15.75" customHeight="1">
      <c r="C924" s="37"/>
      <c r="F924" s="24"/>
      <c r="I924" s="25"/>
    </row>
    <row r="925" spans="3:9" ht="15.75" customHeight="1">
      <c r="C925" s="37"/>
      <c r="F925" s="24"/>
      <c r="I925" s="25"/>
    </row>
    <row r="926" spans="3:9" ht="15.75" customHeight="1">
      <c r="C926" s="37"/>
      <c r="F926" s="24"/>
      <c r="I926" s="25"/>
    </row>
    <row r="927" spans="3:9" ht="15.75" customHeight="1">
      <c r="C927" s="37"/>
      <c r="F927" s="24"/>
      <c r="I927" s="25"/>
    </row>
    <row r="928" spans="3:9" ht="15.75" customHeight="1">
      <c r="C928" s="37"/>
      <c r="F928" s="24"/>
      <c r="I928" s="25"/>
    </row>
    <row r="929" spans="3:9" ht="15.75" customHeight="1">
      <c r="C929" s="37"/>
      <c r="F929" s="24"/>
      <c r="I929" s="25"/>
    </row>
    <row r="930" spans="3:9" ht="15.75" customHeight="1">
      <c r="C930" s="37"/>
      <c r="F930" s="24"/>
      <c r="I930" s="25"/>
    </row>
    <row r="931" spans="3:9" ht="15.75" customHeight="1">
      <c r="C931" s="37"/>
      <c r="F931" s="24"/>
      <c r="I931" s="25"/>
    </row>
    <row r="932" spans="3:9" ht="15.75" customHeight="1">
      <c r="C932" s="37"/>
      <c r="F932" s="24"/>
      <c r="I932" s="25"/>
    </row>
    <row r="933" spans="3:9" ht="15.75" customHeight="1">
      <c r="C933" s="37"/>
      <c r="F933" s="24"/>
      <c r="I933" s="25"/>
    </row>
    <row r="934" spans="3:9" ht="15.75" customHeight="1">
      <c r="C934" s="37"/>
      <c r="F934" s="24"/>
      <c r="I934" s="25"/>
    </row>
    <row r="935" spans="3:9" ht="15.75" customHeight="1">
      <c r="C935" s="37"/>
      <c r="F935" s="24"/>
      <c r="I935" s="25"/>
    </row>
    <row r="936" spans="3:9" ht="15.75" customHeight="1">
      <c r="C936" s="37"/>
      <c r="F936" s="24"/>
      <c r="I936" s="25"/>
    </row>
    <row r="937" spans="3:9" ht="15.75" customHeight="1">
      <c r="C937" s="37"/>
      <c r="F937" s="24"/>
      <c r="I937" s="25"/>
    </row>
    <row r="938" spans="3:9" ht="15.75" customHeight="1">
      <c r="C938" s="37"/>
      <c r="F938" s="24"/>
      <c r="I938" s="25"/>
    </row>
    <row r="939" spans="3:9" ht="15.75" customHeight="1">
      <c r="C939" s="37"/>
      <c r="F939" s="24"/>
      <c r="I939" s="25"/>
    </row>
    <row r="940" spans="3:9" ht="15.75" customHeight="1">
      <c r="C940" s="37"/>
      <c r="F940" s="24"/>
      <c r="I940" s="25"/>
    </row>
    <row r="941" spans="3:9" ht="15.75" customHeight="1">
      <c r="C941" s="37"/>
      <c r="F941" s="24"/>
      <c r="I941" s="25"/>
    </row>
    <row r="942" spans="3:9" ht="15.75" customHeight="1">
      <c r="C942" s="37"/>
      <c r="F942" s="24"/>
      <c r="I942" s="25"/>
    </row>
    <row r="943" spans="3:9" ht="15.75" customHeight="1">
      <c r="C943" s="37"/>
      <c r="F943" s="24"/>
      <c r="I943" s="25"/>
    </row>
    <row r="944" spans="3:9" ht="15.75" customHeight="1">
      <c r="C944" s="37"/>
      <c r="F944" s="24"/>
      <c r="I944" s="25"/>
    </row>
    <row r="945" spans="3:9" ht="15.75" customHeight="1">
      <c r="C945" s="37"/>
      <c r="F945" s="24"/>
      <c r="I945" s="25"/>
    </row>
    <row r="946" spans="3:9" ht="15.75" customHeight="1">
      <c r="C946" s="37"/>
      <c r="F946" s="24"/>
      <c r="I946" s="25"/>
    </row>
    <row r="947" spans="3:9" ht="15.75" customHeight="1">
      <c r="C947" s="37"/>
      <c r="F947" s="24"/>
      <c r="I947" s="25"/>
    </row>
    <row r="948" spans="3:9" ht="15.75" customHeight="1">
      <c r="C948" s="37"/>
      <c r="F948" s="24"/>
      <c r="I948" s="25"/>
    </row>
    <row r="949" spans="3:9" ht="15.75" customHeight="1">
      <c r="C949" s="37"/>
      <c r="F949" s="24"/>
      <c r="I949" s="25"/>
    </row>
    <row r="950" spans="3:9" ht="15.75" customHeight="1">
      <c r="C950" s="37"/>
      <c r="F950" s="24"/>
      <c r="I950" s="25"/>
    </row>
    <row r="951" spans="3:9" ht="15.75" customHeight="1">
      <c r="C951" s="37"/>
      <c r="F951" s="24"/>
      <c r="I951" s="25"/>
    </row>
    <row r="952" spans="3:9" ht="15.75" customHeight="1">
      <c r="C952" s="37"/>
      <c r="F952" s="24"/>
      <c r="I952" s="25"/>
    </row>
    <row r="953" spans="3:9" ht="15.75" customHeight="1">
      <c r="C953" s="37"/>
      <c r="F953" s="24"/>
      <c r="I953" s="25"/>
    </row>
    <row r="954" spans="3:9" ht="15.75" customHeight="1">
      <c r="C954" s="37"/>
      <c r="F954" s="24"/>
      <c r="I954" s="25"/>
    </row>
    <row r="955" spans="3:9" ht="15.75" customHeight="1">
      <c r="C955" s="37"/>
      <c r="F955" s="24"/>
      <c r="I955" s="25"/>
    </row>
    <row r="956" spans="3:9" ht="15.75" customHeight="1">
      <c r="C956" s="37"/>
      <c r="F956" s="24"/>
      <c r="I956" s="25"/>
    </row>
    <row r="957" spans="3:9" ht="15.75" customHeight="1">
      <c r="C957" s="37"/>
      <c r="F957" s="24"/>
      <c r="I957" s="25"/>
    </row>
    <row r="958" spans="3:9" ht="15.75" customHeight="1">
      <c r="C958" s="37"/>
      <c r="F958" s="24"/>
      <c r="I958" s="25"/>
    </row>
    <row r="959" spans="3:9" ht="15.75" customHeight="1">
      <c r="C959" s="37"/>
      <c r="F959" s="24"/>
      <c r="I959" s="25"/>
    </row>
    <row r="960" spans="3:9" ht="15.75" customHeight="1">
      <c r="C960" s="37"/>
      <c r="F960" s="24"/>
      <c r="I960" s="25"/>
    </row>
    <row r="961" spans="3:9" ht="15.75" customHeight="1">
      <c r="C961" s="37"/>
      <c r="F961" s="24"/>
      <c r="I961" s="25"/>
    </row>
    <row r="962" spans="3:9" ht="15.75" customHeight="1">
      <c r="C962" s="37"/>
      <c r="F962" s="24"/>
      <c r="I962" s="25"/>
    </row>
    <row r="963" spans="3:9" ht="15.75" customHeight="1">
      <c r="C963" s="37"/>
      <c r="F963" s="24"/>
      <c r="I963" s="25"/>
    </row>
    <row r="964" spans="3:9" ht="15.75" customHeight="1">
      <c r="C964" s="37"/>
      <c r="F964" s="24"/>
      <c r="I964" s="25"/>
    </row>
    <row r="965" spans="3:9" ht="15.75" customHeight="1">
      <c r="C965" s="37"/>
      <c r="F965" s="24"/>
      <c r="I965" s="25"/>
    </row>
    <row r="966" spans="3:9" ht="15.75" customHeight="1">
      <c r="C966" s="37"/>
      <c r="F966" s="24"/>
      <c r="I966" s="25"/>
    </row>
    <row r="967" spans="3:9" ht="15.75" customHeight="1">
      <c r="C967" s="37"/>
      <c r="F967" s="24"/>
      <c r="I967" s="25"/>
    </row>
    <row r="968" spans="3:9" ht="15.75" customHeight="1">
      <c r="C968" s="37"/>
      <c r="F968" s="24"/>
      <c r="I968" s="25"/>
    </row>
    <row r="969" spans="3:9" ht="15.75" customHeight="1">
      <c r="C969" s="37"/>
      <c r="F969" s="24"/>
      <c r="I969" s="25"/>
    </row>
    <row r="970" spans="3:9" ht="15.75" customHeight="1">
      <c r="C970" s="37"/>
      <c r="F970" s="24"/>
      <c r="I970" s="25"/>
    </row>
    <row r="971" spans="3:9" ht="15.75" customHeight="1">
      <c r="C971" s="37"/>
      <c r="F971" s="24"/>
      <c r="I971" s="25"/>
    </row>
    <row r="972" spans="3:9" ht="15.75" customHeight="1">
      <c r="C972" s="37"/>
      <c r="F972" s="24"/>
      <c r="I972" s="25"/>
    </row>
    <row r="973" spans="3:9" ht="15.75" customHeight="1">
      <c r="C973" s="39"/>
      <c r="F973" s="24"/>
      <c r="I973" s="25"/>
    </row>
    <row r="974" spans="3:9" ht="15.75" customHeight="1">
      <c r="C974" s="39"/>
      <c r="F974" s="24"/>
      <c r="I974" s="25"/>
    </row>
    <row r="975" spans="3:9" ht="15.75" customHeight="1">
      <c r="C975" s="39"/>
      <c r="F975" s="24"/>
      <c r="I975" s="25"/>
    </row>
    <row r="976" spans="3:9" ht="15.75" customHeight="1">
      <c r="C976" s="39"/>
      <c r="F976" s="24"/>
      <c r="I976" s="25"/>
    </row>
    <row r="977" spans="3:9" ht="15.75" customHeight="1">
      <c r="C977" s="39"/>
      <c r="F977" s="24"/>
      <c r="I977" s="25"/>
    </row>
    <row r="978" spans="3:9" ht="15.75" customHeight="1">
      <c r="C978" s="37"/>
      <c r="F978" s="24"/>
      <c r="I978" s="25"/>
    </row>
    <row r="979" spans="3:9" ht="15.75" customHeight="1">
      <c r="C979" s="37"/>
      <c r="F979" s="24"/>
      <c r="I979" s="25"/>
    </row>
    <row r="980" spans="3:9" ht="15.75" customHeight="1">
      <c r="C980" s="37"/>
      <c r="F980" s="24"/>
      <c r="I980" s="25"/>
    </row>
    <row r="981" spans="3:9" ht="15.75" customHeight="1">
      <c r="C981" s="37"/>
      <c r="F981" s="24"/>
      <c r="I981" s="25"/>
    </row>
    <row r="982" spans="3:9" ht="15.75" customHeight="1">
      <c r="C982" s="37"/>
      <c r="F982" s="24"/>
      <c r="I982" s="25"/>
    </row>
    <row r="983" spans="3:9" ht="15.75" customHeight="1">
      <c r="C983" s="37"/>
      <c r="F983" s="24"/>
      <c r="I983" s="25"/>
    </row>
    <row r="984" spans="3:9" ht="15.75" customHeight="1">
      <c r="C984" s="37"/>
      <c r="F984" s="24"/>
      <c r="I984" s="25"/>
    </row>
    <row r="985" spans="3:9" ht="15.75" customHeight="1">
      <c r="C985" s="37"/>
      <c r="F985" s="24"/>
      <c r="I985" s="25"/>
    </row>
    <row r="986" spans="3:9" ht="15.75" customHeight="1">
      <c r="C986" s="37"/>
      <c r="F986" s="24"/>
      <c r="I986" s="25"/>
    </row>
    <row r="987" spans="3:9" ht="15.75" customHeight="1">
      <c r="C987" s="37"/>
      <c r="F987" s="24"/>
      <c r="I987" s="25"/>
    </row>
    <row r="988" spans="3:9" ht="15.75" customHeight="1">
      <c r="C988" s="37"/>
      <c r="F988" s="24"/>
      <c r="I988" s="25"/>
    </row>
    <row r="989" spans="3:9" ht="15.75" customHeight="1">
      <c r="C989" s="37"/>
      <c r="F989" s="24"/>
      <c r="I989" s="25"/>
    </row>
    <row r="990" spans="3:9" ht="15.75" customHeight="1">
      <c r="C990" s="37"/>
      <c r="F990" s="24"/>
      <c r="I990" s="25"/>
    </row>
    <row r="991" spans="3:9" ht="15.75" customHeight="1">
      <c r="C991" s="37"/>
      <c r="F991" s="24"/>
      <c r="I991" s="25"/>
    </row>
    <row r="992" spans="3:9" ht="15.75" customHeight="1">
      <c r="C992" s="37"/>
      <c r="F992" s="24"/>
      <c r="I992" s="25"/>
    </row>
    <row r="993" spans="3:9" ht="15.75" customHeight="1">
      <c r="C993" s="37"/>
      <c r="F993" s="24"/>
      <c r="I993" s="25"/>
    </row>
    <row r="994" spans="3:9" ht="15.75" customHeight="1">
      <c r="C994" s="37"/>
      <c r="F994" s="24"/>
      <c r="I994" s="25"/>
    </row>
    <row r="995" spans="3:9" ht="15.75" customHeight="1">
      <c r="C995" s="37"/>
      <c r="F995" s="24"/>
      <c r="I995" s="25"/>
    </row>
    <row r="996" spans="3:9" ht="15.75" customHeight="1">
      <c r="C996" s="37"/>
      <c r="F996" s="24"/>
      <c r="I996" s="25"/>
    </row>
    <row r="997" spans="3:9" ht="15.75" customHeight="1">
      <c r="C997" s="37"/>
      <c r="F997" s="24"/>
      <c r="I997" s="25"/>
    </row>
    <row r="998" spans="3:9" ht="15.75" customHeight="1">
      <c r="C998" s="37"/>
      <c r="F998" s="24"/>
      <c r="I998" s="25"/>
    </row>
    <row r="999" spans="3:9" ht="15.75" customHeight="1">
      <c r="C999" s="37"/>
      <c r="F999" s="24"/>
      <c r="I999" s="25"/>
    </row>
    <row r="1000" spans="3:9" ht="15.75" customHeight="1">
      <c r="C1000" s="37"/>
      <c r="F1000" s="24"/>
      <c r="I1000" s="25"/>
    </row>
  </sheetData>
  <autoFilter ref="A3:J102" xr:uid="{00000000-0009-0000-0000-000001000000}">
    <sortState xmlns:xlrd2="http://schemas.microsoft.com/office/spreadsheetml/2017/richdata2" ref="A4:J102">
      <sortCondition ref="A3:A102"/>
    </sortState>
  </autoFilter>
  <conditionalFormatting sqref="J181">
    <cfRule type="notContainsBlanks" dxfId="0" priority="1">
      <formula>LEN(TRIM(J181))&gt;0</formula>
    </cfRule>
  </conditionalFormatting>
  <dataValidations count="1">
    <dataValidation type="list" allowBlank="1" showErrorMessage="1" sqref="F108" xr:uid="{00000000-0002-0000-0100-000000000000}">
      <formula1>"Opção 1,Opção 2"</formula1>
    </dataValidation>
  </dataValidations>
  <pageMargins left="0.74791666666666701" right="0.74791666666666701" top="0.98402777777777795" bottom="0.98402777777777795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topLeftCell="C95" workbookViewId="0">
      <selection activeCell="E98" sqref="E98:E99"/>
    </sheetView>
  </sheetViews>
  <sheetFormatPr defaultColWidth="14.453125" defaultRowHeight="15" customHeight="1"/>
  <cols>
    <col min="1" max="1" width="16" customWidth="1"/>
    <col min="2" max="2" width="23.54296875" customWidth="1"/>
    <col min="3" max="3" width="35.90625" customWidth="1"/>
    <col min="4" max="4" width="17.453125" customWidth="1"/>
    <col min="5" max="5" width="13" customWidth="1"/>
    <col min="6" max="6" width="21.54296875" customWidth="1"/>
    <col min="7" max="7" width="13.36328125" customWidth="1"/>
    <col min="8" max="8" width="32.6328125" customWidth="1"/>
  </cols>
  <sheetData>
    <row r="1" spans="1:9" ht="14.25" customHeight="1">
      <c r="A1" s="1" t="s">
        <v>0</v>
      </c>
      <c r="B1" s="2"/>
      <c r="C1" s="41" t="s">
        <v>183</v>
      </c>
      <c r="D1" s="2"/>
      <c r="E1" s="2"/>
      <c r="F1" s="2"/>
      <c r="G1" s="2"/>
      <c r="H1" s="2"/>
    </row>
    <row r="2" spans="1:9" ht="14.25" customHeight="1">
      <c r="A2" s="4" t="s">
        <v>2</v>
      </c>
      <c r="B2" s="42" t="s">
        <v>99</v>
      </c>
      <c r="C2" s="41" t="s">
        <v>100</v>
      </c>
      <c r="D2" s="1" t="s">
        <v>101</v>
      </c>
      <c r="E2" s="2"/>
      <c r="F2" s="2"/>
      <c r="G2" s="2"/>
      <c r="H2" s="2"/>
    </row>
    <row r="3" spans="1:9" ht="33">
      <c r="A3" s="43" t="s">
        <v>6</v>
      </c>
      <c r="B3" s="44" t="s">
        <v>102</v>
      </c>
      <c r="C3" s="44" t="s">
        <v>103</v>
      </c>
      <c r="D3" s="43" t="s">
        <v>9</v>
      </c>
      <c r="E3" s="43" t="s">
        <v>10</v>
      </c>
      <c r="F3" s="8" t="s">
        <v>184</v>
      </c>
      <c r="G3" s="7" t="s">
        <v>12</v>
      </c>
      <c r="H3" s="45" t="s">
        <v>13</v>
      </c>
    </row>
    <row r="4" spans="1:9" ht="15" customHeight="1">
      <c r="A4" s="9">
        <v>1</v>
      </c>
      <c r="B4" s="9" t="s">
        <v>134</v>
      </c>
      <c r="C4" s="11" t="s">
        <v>137</v>
      </c>
      <c r="D4" s="15">
        <v>5</v>
      </c>
      <c r="E4" s="12">
        <f>SUM(19.4)/3.14</f>
        <v>6.1783439490445851</v>
      </c>
      <c r="F4" s="12"/>
      <c r="G4" s="12">
        <f t="shared" ref="G4:G35" si="0">0.0673*(F4*E4^2*D4)^0.976</f>
        <v>0</v>
      </c>
      <c r="H4" s="15"/>
    </row>
    <row r="5" spans="1:9" ht="15" customHeight="1">
      <c r="A5" s="9">
        <v>1</v>
      </c>
      <c r="B5" s="9" t="s">
        <v>179</v>
      </c>
      <c r="C5" s="11" t="s">
        <v>180</v>
      </c>
      <c r="D5" s="15">
        <v>9</v>
      </c>
      <c r="E5" s="12">
        <f>SUM(54.4)/3.14</f>
        <v>17.32484076433121</v>
      </c>
      <c r="F5" s="10">
        <v>0.42</v>
      </c>
      <c r="G5" s="12">
        <f t="shared" si="0"/>
        <v>64.495503872125923</v>
      </c>
      <c r="H5" s="15"/>
    </row>
    <row r="6" spans="1:9" ht="15" customHeight="1">
      <c r="A6" s="9">
        <v>1</v>
      </c>
      <c r="B6" s="9" t="s">
        <v>179</v>
      </c>
      <c r="C6" s="11" t="s">
        <v>180</v>
      </c>
      <c r="D6" s="10">
        <v>7</v>
      </c>
      <c r="E6" s="12">
        <f>SUM(31.6)/3.14</f>
        <v>10.063694267515924</v>
      </c>
      <c r="F6" s="10">
        <v>0.42</v>
      </c>
      <c r="G6" s="12">
        <f t="shared" si="0"/>
        <v>17.47851658415961</v>
      </c>
      <c r="H6" s="15"/>
    </row>
    <row r="7" spans="1:9" ht="15" customHeight="1">
      <c r="A7" s="9">
        <v>1</v>
      </c>
      <c r="B7" s="9" t="s">
        <v>128</v>
      </c>
      <c r="C7" s="48" t="s">
        <v>129</v>
      </c>
      <c r="D7" s="15">
        <v>9</v>
      </c>
      <c r="E7" s="30">
        <f>SUM(34)/3.14</f>
        <v>10.828025477707007</v>
      </c>
      <c r="F7" s="10">
        <f>AVERAGE(0.25,0.41)</f>
        <v>0.32999999999999996</v>
      </c>
      <c r="G7" s="12">
        <f t="shared" si="0"/>
        <v>20.364114571894653</v>
      </c>
      <c r="H7" s="15"/>
    </row>
    <row r="8" spans="1:9" ht="15" customHeight="1">
      <c r="A8" s="9">
        <v>1</v>
      </c>
      <c r="B8" s="9" t="s">
        <v>128</v>
      </c>
      <c r="C8" s="11" t="s">
        <v>129</v>
      </c>
      <c r="D8" s="15">
        <v>6.8</v>
      </c>
      <c r="E8" s="30">
        <f>SUM(42.6)/3.14</f>
        <v>13.566878980891719</v>
      </c>
      <c r="F8" s="10">
        <f>AVERAGE(0.25,0.41)</f>
        <v>0.32999999999999996</v>
      </c>
      <c r="G8" s="12">
        <f t="shared" si="0"/>
        <v>24.055491386679233</v>
      </c>
      <c r="H8" s="15"/>
    </row>
    <row r="9" spans="1:9" ht="15" customHeight="1">
      <c r="A9" s="9">
        <v>1</v>
      </c>
      <c r="B9" s="9" t="s">
        <v>128</v>
      </c>
      <c r="C9" s="11" t="s">
        <v>129</v>
      </c>
      <c r="D9" s="15">
        <v>6</v>
      </c>
      <c r="E9" s="30">
        <f>SUM(13.9)/3.14</f>
        <v>4.4267515923566876</v>
      </c>
      <c r="F9" s="10">
        <f>AVERAGE(0.25,0.41)</f>
        <v>0.32999999999999996</v>
      </c>
      <c r="G9" s="12">
        <f t="shared" si="0"/>
        <v>2.391765003562905</v>
      </c>
      <c r="H9" s="15"/>
      <c r="I9" s="2">
        <v>7</v>
      </c>
    </row>
    <row r="10" spans="1:9" ht="15" customHeight="1">
      <c r="A10" s="9">
        <v>1</v>
      </c>
      <c r="B10" s="9" t="s">
        <v>164</v>
      </c>
      <c r="C10" s="17" t="s">
        <v>204</v>
      </c>
      <c r="D10" s="10">
        <v>3</v>
      </c>
      <c r="E10" s="12">
        <f>SUM(30.2+24.8)/3.14</f>
        <v>17.515923566878982</v>
      </c>
      <c r="F10" s="10">
        <f>AVERAGE(0.22,0.34)</f>
        <v>0.28000000000000003</v>
      </c>
      <c r="G10" s="12">
        <f t="shared" si="0"/>
        <v>15.180740073056581</v>
      </c>
      <c r="H10" s="15"/>
    </row>
    <row r="11" spans="1:9" ht="15" customHeight="1">
      <c r="A11" s="9">
        <v>1</v>
      </c>
      <c r="B11" s="9" t="s">
        <v>175</v>
      </c>
      <c r="C11" s="29" t="s">
        <v>176</v>
      </c>
      <c r="D11" s="10">
        <v>5</v>
      </c>
      <c r="E11" s="12">
        <f>SUM(11.5)/3.14</f>
        <v>3.6624203821656049</v>
      </c>
      <c r="F11" s="10">
        <v>0.65</v>
      </c>
      <c r="G11" s="12">
        <f t="shared" si="0"/>
        <v>2.6797157934910256</v>
      </c>
      <c r="H11" s="15"/>
    </row>
    <row r="12" spans="1:9" ht="15" customHeight="1">
      <c r="A12" s="9">
        <v>1</v>
      </c>
      <c r="B12" s="9" t="s">
        <v>85</v>
      </c>
      <c r="C12" s="17" t="s">
        <v>86</v>
      </c>
      <c r="D12" s="10">
        <v>4.5</v>
      </c>
      <c r="E12" s="12">
        <f>SUM(23.9+11.1)/3.14</f>
        <v>11.146496815286623</v>
      </c>
      <c r="F12" s="71">
        <v>0.6</v>
      </c>
      <c r="G12" s="12">
        <f t="shared" si="0"/>
        <v>19.635422366740311</v>
      </c>
      <c r="H12" s="15"/>
    </row>
    <row r="13" spans="1:9" ht="15" customHeight="1">
      <c r="A13" s="9">
        <v>1</v>
      </c>
      <c r="B13" s="9" t="s">
        <v>56</v>
      </c>
      <c r="C13" s="17" t="s">
        <v>139</v>
      </c>
      <c r="D13" s="15">
        <v>8</v>
      </c>
      <c r="E13" s="12">
        <f>SUM(28+28+32.8)/3.14</f>
        <v>28.280254777070063</v>
      </c>
      <c r="F13" s="72">
        <f>AVERAGE(0.58,0.77)</f>
        <v>0.67500000000000004</v>
      </c>
      <c r="G13" s="12">
        <f t="shared" si="0"/>
        <v>237.75344033390689</v>
      </c>
      <c r="H13" s="15"/>
    </row>
    <row r="14" spans="1:9" ht="15" customHeight="1">
      <c r="A14" s="9">
        <v>1</v>
      </c>
      <c r="B14" s="9" t="s">
        <v>56</v>
      </c>
      <c r="C14" s="17" t="s">
        <v>139</v>
      </c>
      <c r="D14" s="10">
        <v>8</v>
      </c>
      <c r="E14" s="12">
        <f>SUM(34+19.4+26.5)/3.14</f>
        <v>25.445859872611464</v>
      </c>
      <c r="F14" s="72">
        <f>AVERAGE(0.58,0.77)</f>
        <v>0.67500000000000004</v>
      </c>
      <c r="G14" s="12">
        <f t="shared" si="0"/>
        <v>193.46215182226237</v>
      </c>
      <c r="H14" s="15"/>
    </row>
    <row r="15" spans="1:9" ht="15" customHeight="1">
      <c r="A15" s="9">
        <v>1</v>
      </c>
      <c r="B15" s="9" t="s">
        <v>119</v>
      </c>
      <c r="C15" s="17" t="s">
        <v>120</v>
      </c>
      <c r="D15" s="10">
        <v>2.5</v>
      </c>
      <c r="E15" s="12">
        <f>SUM(7.2+7.5)/3.14</f>
        <v>4.6815286624203818</v>
      </c>
      <c r="F15" s="12"/>
      <c r="G15" s="12">
        <f t="shared" si="0"/>
        <v>0</v>
      </c>
      <c r="H15" s="15"/>
    </row>
    <row r="16" spans="1:9" ht="15" customHeight="1">
      <c r="A16" s="27">
        <v>1</v>
      </c>
      <c r="B16" s="9" t="s">
        <v>37</v>
      </c>
      <c r="C16" s="11" t="s">
        <v>38</v>
      </c>
      <c r="D16" s="10">
        <v>6.5</v>
      </c>
      <c r="E16" s="12">
        <f>SUM(16.2)/3.14</f>
        <v>5.1592356687898082</v>
      </c>
      <c r="F16" s="12">
        <v>0.83</v>
      </c>
      <c r="G16" s="12">
        <f t="shared" si="0"/>
        <v>8.5783814491518395</v>
      </c>
      <c r="H16" s="49" t="s">
        <v>191</v>
      </c>
    </row>
    <row r="17" spans="1:8" ht="15.5">
      <c r="A17" s="27">
        <v>1</v>
      </c>
      <c r="B17" s="9" t="s">
        <v>37</v>
      </c>
      <c r="C17" s="11" t="s">
        <v>38</v>
      </c>
      <c r="D17" s="15">
        <v>6.5</v>
      </c>
      <c r="E17" s="12">
        <f>SUM(26.1)/3.14</f>
        <v>8.3121019108280247</v>
      </c>
      <c r="F17" s="12">
        <v>0.83</v>
      </c>
      <c r="G17" s="12">
        <f t="shared" si="0"/>
        <v>21.762777191612596</v>
      </c>
      <c r="H17" s="49"/>
    </row>
    <row r="18" spans="1:8" ht="15.5">
      <c r="A18" s="9">
        <v>1</v>
      </c>
      <c r="B18" s="9" t="s">
        <v>186</v>
      </c>
      <c r="C18" s="48" t="s">
        <v>187</v>
      </c>
      <c r="D18" s="10">
        <v>8</v>
      </c>
      <c r="E18" s="12">
        <f>SUM(58.7)/3.14</f>
        <v>18.694267515923567</v>
      </c>
      <c r="F18" s="72">
        <v>0.44</v>
      </c>
      <c r="G18" s="12">
        <f t="shared" si="0"/>
        <v>69.793600687030221</v>
      </c>
      <c r="H18" s="15"/>
    </row>
    <row r="19" spans="1:8" ht="15.5">
      <c r="A19" s="9">
        <v>1</v>
      </c>
      <c r="B19" s="9" t="s">
        <v>186</v>
      </c>
      <c r="C19" s="11" t="s">
        <v>187</v>
      </c>
      <c r="D19" s="10">
        <v>7.1</v>
      </c>
      <c r="E19" s="12">
        <f>SUM(40.4)/3.14</f>
        <v>12.86624203821656</v>
      </c>
      <c r="F19" s="72">
        <v>0.44</v>
      </c>
      <c r="G19" s="12">
        <f t="shared" si="0"/>
        <v>29.957307443264106</v>
      </c>
      <c r="H19" s="15"/>
    </row>
    <row r="20" spans="1:8" ht="15.75" customHeight="1">
      <c r="A20" s="9">
        <v>1</v>
      </c>
      <c r="B20" s="9" t="s">
        <v>186</v>
      </c>
      <c r="C20" s="11" t="s">
        <v>187</v>
      </c>
      <c r="D20" s="15">
        <v>7</v>
      </c>
      <c r="E20" s="12">
        <f>SUM(36.8+38.3)/3.14</f>
        <v>23.917197452229296</v>
      </c>
      <c r="F20" s="72">
        <v>0.44</v>
      </c>
      <c r="G20" s="12">
        <f t="shared" si="0"/>
        <v>99.102143384288951</v>
      </c>
      <c r="H20" s="15"/>
    </row>
    <row r="21" spans="1:8" ht="15.75" customHeight="1">
      <c r="A21" s="9">
        <v>1</v>
      </c>
      <c r="B21" s="9" t="s">
        <v>186</v>
      </c>
      <c r="C21" s="11" t="s">
        <v>187</v>
      </c>
      <c r="D21" s="10">
        <v>7</v>
      </c>
      <c r="E21" s="186">
        <f>SUM(39.5)/3.14</f>
        <v>12.579617834394904</v>
      </c>
      <c r="F21" s="72">
        <v>0.44</v>
      </c>
      <c r="G21" s="12">
        <f t="shared" si="0"/>
        <v>28.274271318605582</v>
      </c>
      <c r="H21" s="15"/>
    </row>
    <row r="22" spans="1:8" ht="15.75" customHeight="1">
      <c r="A22" s="9">
        <v>1</v>
      </c>
      <c r="B22" s="9" t="s">
        <v>188</v>
      </c>
      <c r="C22" s="11" t="s">
        <v>29</v>
      </c>
      <c r="D22" s="10">
        <v>4.7</v>
      </c>
      <c r="E22" s="12">
        <f>SUM(13.4+15.5+10.5)/3.14</f>
        <v>12.547770700636942</v>
      </c>
      <c r="F22" s="13">
        <v>0.8</v>
      </c>
      <c r="G22" s="12">
        <f t="shared" si="0"/>
        <v>34.182226912744824</v>
      </c>
      <c r="H22" s="15"/>
    </row>
    <row r="23" spans="1:8" ht="15.75" customHeight="1">
      <c r="A23" s="9">
        <v>1</v>
      </c>
      <c r="B23" s="9" t="s">
        <v>188</v>
      </c>
      <c r="C23" s="48" t="s">
        <v>29</v>
      </c>
      <c r="D23" s="15">
        <v>2</v>
      </c>
      <c r="E23" s="12">
        <f>SUM(10.5+7.8)/3.14</f>
        <v>5.8280254777070066</v>
      </c>
      <c r="F23" s="13">
        <v>0.8</v>
      </c>
      <c r="G23" s="12">
        <f t="shared" si="0"/>
        <v>3.3230281586160082</v>
      </c>
      <c r="H23" s="15"/>
    </row>
    <row r="24" spans="1:8" ht="15.75" customHeight="1">
      <c r="A24" s="9">
        <v>1</v>
      </c>
      <c r="B24" s="9" t="s">
        <v>66</v>
      </c>
      <c r="C24" s="11" t="s">
        <v>203</v>
      </c>
      <c r="D24" s="10">
        <v>7</v>
      </c>
      <c r="E24" s="12">
        <f>SUM(28.8+19.4)/3.14</f>
        <v>15.35031847133758</v>
      </c>
      <c r="F24" s="13">
        <f>AVERAGE(0.74,0.79)</f>
        <v>0.76500000000000001</v>
      </c>
      <c r="G24" s="12">
        <f t="shared" si="0"/>
        <v>71.546016373643724</v>
      </c>
      <c r="H24" s="15"/>
    </row>
    <row r="25" spans="1:8" ht="15.75" customHeight="1">
      <c r="A25" s="9">
        <v>2</v>
      </c>
      <c r="B25" s="9" t="s">
        <v>50</v>
      </c>
      <c r="C25" s="11" t="s">
        <v>135</v>
      </c>
      <c r="D25" s="10">
        <v>1.3</v>
      </c>
      <c r="E25" s="12">
        <f>SUM(5)/3.14</f>
        <v>1.592356687898089</v>
      </c>
      <c r="F25" s="12"/>
      <c r="G25" s="12">
        <f t="shared" si="0"/>
        <v>0</v>
      </c>
      <c r="H25" s="15" t="s">
        <v>196</v>
      </c>
    </row>
    <row r="26" spans="1:8" ht="15.75" customHeight="1">
      <c r="A26" s="9">
        <v>2</v>
      </c>
      <c r="B26" s="9" t="s">
        <v>51</v>
      </c>
      <c r="C26" s="17" t="s">
        <v>135</v>
      </c>
      <c r="D26" s="15">
        <v>4</v>
      </c>
      <c r="E26" s="12">
        <f>SUM(7)/3.14</f>
        <v>2.2292993630573248</v>
      </c>
      <c r="F26" s="12"/>
      <c r="G26" s="12">
        <f t="shared" si="0"/>
        <v>0</v>
      </c>
      <c r="H26" s="15" t="s">
        <v>191</v>
      </c>
    </row>
    <row r="27" spans="1:8" ht="15.75" customHeight="1">
      <c r="A27" s="9">
        <v>2</v>
      </c>
      <c r="B27" s="9" t="s">
        <v>179</v>
      </c>
      <c r="C27" s="11" t="s">
        <v>180</v>
      </c>
      <c r="D27" s="10">
        <v>5.5</v>
      </c>
      <c r="E27" s="12">
        <f>SUM(16.3)/3.14</f>
        <v>5.1910828025477711</v>
      </c>
      <c r="F27" s="10">
        <v>0.42</v>
      </c>
      <c r="G27" s="12">
        <f t="shared" si="0"/>
        <v>3.7938825968920344</v>
      </c>
      <c r="H27" s="15"/>
    </row>
    <row r="28" spans="1:8" ht="15.75" customHeight="1">
      <c r="A28" s="9">
        <v>2</v>
      </c>
      <c r="B28" s="9" t="s">
        <v>115</v>
      </c>
      <c r="C28" s="11" t="s">
        <v>21</v>
      </c>
      <c r="D28" s="10">
        <v>5.7</v>
      </c>
      <c r="E28" s="12">
        <f>SUM(28)/3.14</f>
        <v>8.9171974522292992</v>
      </c>
      <c r="F28" s="12"/>
      <c r="G28" s="12">
        <f t="shared" si="0"/>
        <v>0</v>
      </c>
      <c r="H28" s="15"/>
    </row>
    <row r="29" spans="1:8" ht="15.75" customHeight="1">
      <c r="A29" s="9">
        <v>2</v>
      </c>
      <c r="B29" s="9" t="s">
        <v>41</v>
      </c>
      <c r="C29" s="17" t="s">
        <v>192</v>
      </c>
      <c r="D29" s="10">
        <v>4</v>
      </c>
      <c r="E29" s="12">
        <f>SUM(20)/3.14</f>
        <v>6.3694267515923562</v>
      </c>
      <c r="F29" s="12"/>
      <c r="G29" s="12">
        <f t="shared" si="0"/>
        <v>0</v>
      </c>
      <c r="H29" s="15"/>
    </row>
    <row r="30" spans="1:8" ht="15.75" customHeight="1">
      <c r="A30" s="9">
        <v>2</v>
      </c>
      <c r="B30" s="9" t="s">
        <v>128</v>
      </c>
      <c r="C30" s="11" t="s">
        <v>129</v>
      </c>
      <c r="D30" s="10">
        <v>6.5</v>
      </c>
      <c r="E30" s="30">
        <f>SUM(20.5)/3.14</f>
        <v>6.5286624203821653</v>
      </c>
      <c r="F30" s="10">
        <f>AVERAGE(0.25,0.41)</f>
        <v>0.32999999999999996</v>
      </c>
      <c r="G30" s="12">
        <f t="shared" si="0"/>
        <v>5.5210918138844587</v>
      </c>
      <c r="H30" s="15"/>
    </row>
    <row r="31" spans="1:8" ht="15.75" customHeight="1">
      <c r="A31" s="9">
        <v>2</v>
      </c>
      <c r="B31" s="9" t="s">
        <v>199</v>
      </c>
      <c r="C31" s="11" t="s">
        <v>59</v>
      </c>
      <c r="D31" s="15">
        <v>3.5</v>
      </c>
      <c r="E31" s="12">
        <f>SUM(8.1)/3.14</f>
        <v>2.5796178343949041</v>
      </c>
      <c r="F31" s="13">
        <f>AVERAGE(0.92, 1.08)</f>
        <v>1</v>
      </c>
      <c r="G31" s="12">
        <f t="shared" si="0"/>
        <v>1.4533879639672755</v>
      </c>
      <c r="H31" s="15"/>
    </row>
    <row r="32" spans="1:8" ht="15.75" customHeight="1">
      <c r="A32" s="9">
        <v>2</v>
      </c>
      <c r="B32" s="9" t="s">
        <v>197</v>
      </c>
      <c r="C32" s="17" t="s">
        <v>198</v>
      </c>
      <c r="D32" s="10">
        <v>6</v>
      </c>
      <c r="E32" s="12">
        <f>SUM(16.4+27.8)/3.14</f>
        <v>14.076433121019109</v>
      </c>
      <c r="F32" s="13">
        <v>0.76</v>
      </c>
      <c r="G32" s="12">
        <f t="shared" si="0"/>
        <v>51.644294307851546</v>
      </c>
      <c r="H32" s="15"/>
    </row>
    <row r="33" spans="1:8" ht="15.75" customHeight="1">
      <c r="A33" s="9">
        <v>2</v>
      </c>
      <c r="B33" s="9" t="s">
        <v>144</v>
      </c>
      <c r="C33" s="11" t="s">
        <v>145</v>
      </c>
      <c r="D33" s="15">
        <v>3.7</v>
      </c>
      <c r="E33" s="12">
        <f>SUM(6.5+13)/3.14</f>
        <v>6.2101910828025479</v>
      </c>
      <c r="F33" s="13">
        <v>0.63400000000000001</v>
      </c>
      <c r="G33" s="12">
        <f t="shared" si="0"/>
        <v>5.4646197946536352</v>
      </c>
      <c r="H33" s="15"/>
    </row>
    <row r="34" spans="1:8" ht="15.75" customHeight="1">
      <c r="A34" s="27">
        <v>2</v>
      </c>
      <c r="B34" s="9" t="s">
        <v>37</v>
      </c>
      <c r="C34" s="11" t="s">
        <v>38</v>
      </c>
      <c r="D34" s="10">
        <v>6</v>
      </c>
      <c r="E34" s="12">
        <f>SUM(25.8)/3.14</f>
        <v>8.2165605095541405</v>
      </c>
      <c r="F34" s="12">
        <v>0.83</v>
      </c>
      <c r="G34" s="12">
        <f t="shared" si="0"/>
        <v>19.678223812451783</v>
      </c>
      <c r="H34" s="49"/>
    </row>
    <row r="35" spans="1:8" ht="15.75" customHeight="1">
      <c r="A35" s="9">
        <v>2</v>
      </c>
      <c r="B35" s="9" t="s">
        <v>186</v>
      </c>
      <c r="C35" s="11" t="s">
        <v>187</v>
      </c>
      <c r="D35" s="10">
        <v>8.5</v>
      </c>
      <c r="E35" s="12">
        <f>SUM(46.8)/3.14</f>
        <v>14.904458598726114</v>
      </c>
      <c r="F35" s="72">
        <v>0.44</v>
      </c>
      <c r="G35" s="12">
        <f t="shared" si="0"/>
        <v>47.582907998069651</v>
      </c>
      <c r="H35" s="15"/>
    </row>
    <row r="36" spans="1:8" ht="15.75" customHeight="1">
      <c r="A36" s="9">
        <v>2</v>
      </c>
      <c r="B36" s="9" t="s">
        <v>186</v>
      </c>
      <c r="C36" s="11" t="s">
        <v>187</v>
      </c>
      <c r="D36" s="10">
        <v>8</v>
      </c>
      <c r="E36" s="12">
        <f>SUM(26)/3.14</f>
        <v>8.2802547770700627</v>
      </c>
      <c r="F36" s="72">
        <v>0.44</v>
      </c>
      <c r="G36" s="12">
        <f t="shared" ref="G36:G67" si="1">0.0673*(F36*E36^2*D36)^0.976</f>
        <v>14.238426770797545</v>
      </c>
      <c r="H36" s="15"/>
    </row>
    <row r="37" spans="1:8" ht="15.75" customHeight="1">
      <c r="A37" s="9">
        <v>2</v>
      </c>
      <c r="B37" s="9" t="s">
        <v>66</v>
      </c>
      <c r="C37" s="11" t="s">
        <v>203</v>
      </c>
      <c r="D37" s="15">
        <v>8</v>
      </c>
      <c r="E37" s="12">
        <f>SUM(25.2+12.9)/3.14</f>
        <v>12.13375796178344</v>
      </c>
      <c r="F37" s="13">
        <f>AVERAGE(0.74,0.79)</f>
        <v>0.76500000000000001</v>
      </c>
      <c r="G37" s="12">
        <f t="shared" si="1"/>
        <v>51.504281346443264</v>
      </c>
      <c r="H37" s="15"/>
    </row>
    <row r="38" spans="1:8" ht="15.75" customHeight="1">
      <c r="A38" s="9">
        <v>2</v>
      </c>
      <c r="B38" s="9" t="s">
        <v>66</v>
      </c>
      <c r="C38" s="11" t="s">
        <v>203</v>
      </c>
      <c r="D38" s="10">
        <v>7</v>
      </c>
      <c r="E38" s="12">
        <f>SUM(30.1+19+39)/3.14</f>
        <v>28.057324840764327</v>
      </c>
      <c r="F38" s="13">
        <f>AVERAGE(0.74,0.79)</f>
        <v>0.76500000000000001</v>
      </c>
      <c r="G38" s="12">
        <f t="shared" si="1"/>
        <v>232.20448946083846</v>
      </c>
      <c r="H38" s="15"/>
    </row>
    <row r="39" spans="1:8" ht="15.75" customHeight="1">
      <c r="A39" s="9">
        <v>3</v>
      </c>
      <c r="B39" s="9" t="s">
        <v>50</v>
      </c>
      <c r="C39" s="199" t="s">
        <v>135</v>
      </c>
      <c r="D39" s="10">
        <v>8</v>
      </c>
      <c r="E39" s="12">
        <f>SUM(23)/3.14</f>
        <v>7.3248407643312099</v>
      </c>
      <c r="F39" s="12"/>
      <c r="G39" s="12">
        <f t="shared" si="1"/>
        <v>0</v>
      </c>
      <c r="H39" s="15" t="s">
        <v>195</v>
      </c>
    </row>
    <row r="40" spans="1:8" ht="15.75" customHeight="1">
      <c r="A40" s="9">
        <v>3</v>
      </c>
      <c r="B40" s="9" t="s">
        <v>136</v>
      </c>
      <c r="C40" s="29" t="s">
        <v>135</v>
      </c>
      <c r="D40" s="10">
        <v>7</v>
      </c>
      <c r="E40" s="12">
        <f>SUM(36.5)/3.14</f>
        <v>11.624203821656051</v>
      </c>
      <c r="F40" s="12"/>
      <c r="G40" s="12">
        <f t="shared" si="1"/>
        <v>0</v>
      </c>
      <c r="H40" s="15"/>
    </row>
    <row r="41" spans="1:8" ht="15.75" customHeight="1">
      <c r="A41" s="9">
        <v>3</v>
      </c>
      <c r="B41" s="9" t="s">
        <v>50</v>
      </c>
      <c r="C41" s="11" t="s">
        <v>135</v>
      </c>
      <c r="D41" s="15">
        <v>6</v>
      </c>
      <c r="E41" s="12">
        <f>SUM(16.5)/3.14</f>
        <v>5.2547770700636942</v>
      </c>
      <c r="F41" s="12"/>
      <c r="G41" s="12">
        <f t="shared" si="1"/>
        <v>0</v>
      </c>
      <c r="H41" s="15"/>
    </row>
    <row r="42" spans="1:8" ht="15.75" customHeight="1">
      <c r="A42" s="9">
        <v>3</v>
      </c>
      <c r="B42" s="9" t="s">
        <v>179</v>
      </c>
      <c r="C42" s="11" t="s">
        <v>180</v>
      </c>
      <c r="D42" s="15">
        <v>7</v>
      </c>
      <c r="E42" s="12">
        <f>SUM(22)/3.14</f>
        <v>7.0063694267515917</v>
      </c>
      <c r="F42" s="10">
        <v>0.42</v>
      </c>
      <c r="G42" s="12">
        <f t="shared" si="1"/>
        <v>8.6203412544733791</v>
      </c>
      <c r="H42" s="15"/>
    </row>
    <row r="43" spans="1:8" ht="15.75" customHeight="1">
      <c r="A43" s="9">
        <v>3</v>
      </c>
      <c r="B43" s="10" t="s">
        <v>211</v>
      </c>
      <c r="C43" s="17" t="s">
        <v>212</v>
      </c>
      <c r="D43" s="10">
        <v>7</v>
      </c>
      <c r="E43" s="12">
        <f>SUM(32)/3.14</f>
        <v>10.19108280254777</v>
      </c>
      <c r="F43" s="72">
        <v>0.4</v>
      </c>
      <c r="G43" s="12">
        <f t="shared" si="1"/>
        <v>17.079981165857507</v>
      </c>
      <c r="H43" s="15"/>
    </row>
    <row r="44" spans="1:8" ht="15.75" customHeight="1">
      <c r="A44" s="9">
        <v>3</v>
      </c>
      <c r="B44" s="9" t="s">
        <v>128</v>
      </c>
      <c r="C44" s="11" t="s">
        <v>129</v>
      </c>
      <c r="D44" s="15">
        <v>6</v>
      </c>
      <c r="E44" s="30">
        <f>SUM(15)/3.14</f>
        <v>4.7770700636942669</v>
      </c>
      <c r="F44" s="10">
        <f>AVERAGE(0.25,0.41)</f>
        <v>0.32999999999999996</v>
      </c>
      <c r="G44" s="12">
        <f t="shared" si="1"/>
        <v>2.7751326981531634</v>
      </c>
      <c r="H44" s="15"/>
    </row>
    <row r="45" spans="1:8" ht="15.75" customHeight="1">
      <c r="A45" s="9">
        <v>3</v>
      </c>
      <c r="B45" s="9" t="s">
        <v>206</v>
      </c>
      <c r="C45" s="200" t="s">
        <v>176</v>
      </c>
      <c r="D45" s="10">
        <v>8</v>
      </c>
      <c r="E45" s="12">
        <f>SUM(12.5)/3.14</f>
        <v>3.9808917197452227</v>
      </c>
      <c r="F45" s="10">
        <v>0.65</v>
      </c>
      <c r="G45" s="12">
        <f t="shared" si="1"/>
        <v>4.9887989254428611</v>
      </c>
      <c r="H45" s="15"/>
    </row>
    <row r="46" spans="1:8" ht="15.75" customHeight="1">
      <c r="A46" s="9">
        <v>3</v>
      </c>
      <c r="B46" s="9" t="s">
        <v>208</v>
      </c>
      <c r="C46" s="11" t="s">
        <v>209</v>
      </c>
      <c r="D46" s="10">
        <v>4</v>
      </c>
      <c r="E46" s="12">
        <f>SUM(11.5)/3.14</f>
        <v>3.6624203821656049</v>
      </c>
      <c r="F46" s="10"/>
      <c r="G46" s="12">
        <f t="shared" si="1"/>
        <v>0</v>
      </c>
      <c r="H46" s="15"/>
    </row>
    <row r="47" spans="1:8" ht="15.75" customHeight="1">
      <c r="A47" s="9">
        <v>3</v>
      </c>
      <c r="B47" s="9" t="s">
        <v>160</v>
      </c>
      <c r="C47" s="17" t="s">
        <v>161</v>
      </c>
      <c r="D47" s="15">
        <v>2.7</v>
      </c>
      <c r="E47" s="12">
        <f>SUM(13)/3.14</f>
        <v>4.1401273885350314</v>
      </c>
      <c r="F47" s="10">
        <f>AVERAGE(0.5,0.68)</f>
        <v>0.59000000000000008</v>
      </c>
      <c r="G47" s="12">
        <f t="shared" si="1"/>
        <v>1.6974164710070654</v>
      </c>
      <c r="H47" s="15"/>
    </row>
    <row r="48" spans="1:8" ht="15.75" customHeight="1">
      <c r="A48" s="9">
        <v>3</v>
      </c>
      <c r="B48" s="9" t="s">
        <v>56</v>
      </c>
      <c r="C48" s="17" t="s">
        <v>139</v>
      </c>
      <c r="D48" s="10">
        <v>6.5</v>
      </c>
      <c r="E48" s="12">
        <f>SUM(23+21)/3.14</f>
        <v>14.012738853503183</v>
      </c>
      <c r="F48" s="72">
        <f>AVERAGE(0.58,0.77)</f>
        <v>0.67500000000000004</v>
      </c>
      <c r="G48" s="12">
        <f t="shared" si="1"/>
        <v>49.298298944934118</v>
      </c>
      <c r="H48" s="15"/>
    </row>
    <row r="49" spans="1:8" ht="15.75" customHeight="1">
      <c r="A49" s="9">
        <v>3</v>
      </c>
      <c r="B49" s="9" t="s">
        <v>114</v>
      </c>
      <c r="C49" s="17" t="s">
        <v>113</v>
      </c>
      <c r="D49" s="10">
        <v>6.5</v>
      </c>
      <c r="E49" s="12">
        <f>SUM(27+26+31)/3.14</f>
        <v>26.751592356687897</v>
      </c>
      <c r="F49" s="12"/>
      <c r="G49" s="12">
        <f t="shared" si="1"/>
        <v>0</v>
      </c>
      <c r="H49" s="15"/>
    </row>
    <row r="50" spans="1:8" ht="15.75" customHeight="1">
      <c r="A50" s="9">
        <v>3</v>
      </c>
      <c r="B50" s="9" t="s">
        <v>151</v>
      </c>
      <c r="C50" s="200" t="s">
        <v>152</v>
      </c>
      <c r="D50" s="15">
        <v>6.5</v>
      </c>
      <c r="E50" s="12">
        <f>SUM(25+24+18+15)/3.14</f>
        <v>26.114649681528661</v>
      </c>
      <c r="F50" s="72">
        <f>AVERAGE(0.55,0.7)</f>
        <v>0.625</v>
      </c>
      <c r="G50" s="12">
        <f t="shared" si="1"/>
        <v>154.15420080877917</v>
      </c>
      <c r="H50" s="15"/>
    </row>
    <row r="51" spans="1:8" ht="15.75" customHeight="1">
      <c r="A51" s="9">
        <v>3</v>
      </c>
      <c r="B51" s="9" t="s">
        <v>200</v>
      </c>
      <c r="C51" s="201" t="s">
        <v>201</v>
      </c>
      <c r="D51" s="10">
        <v>4.5999999999999996</v>
      </c>
      <c r="E51" s="12">
        <f>SUM(18.9+14)/3.14</f>
        <v>10.477707006369426</v>
      </c>
      <c r="F51" s="12"/>
      <c r="G51" s="12">
        <f t="shared" si="1"/>
        <v>0</v>
      </c>
      <c r="H51" s="15"/>
    </row>
    <row r="52" spans="1:8" ht="15.75" customHeight="1">
      <c r="A52" s="9">
        <v>3</v>
      </c>
      <c r="B52" s="9" t="s">
        <v>200</v>
      </c>
      <c r="C52" s="29" t="s">
        <v>201</v>
      </c>
      <c r="D52" s="10">
        <v>4.5999999999999996</v>
      </c>
      <c r="E52" s="12">
        <f>SUM(10.5+14+15)/3.14</f>
        <v>12.579617834394904</v>
      </c>
      <c r="F52" s="12"/>
      <c r="G52" s="12">
        <f t="shared" si="1"/>
        <v>0</v>
      </c>
      <c r="H52" s="15"/>
    </row>
    <row r="53" spans="1:8" ht="15.75" customHeight="1">
      <c r="A53" s="9">
        <v>3</v>
      </c>
      <c r="B53" s="9" t="s">
        <v>200</v>
      </c>
      <c r="C53" s="29" t="s">
        <v>201</v>
      </c>
      <c r="D53" s="10">
        <v>2.2000000000000002</v>
      </c>
      <c r="E53" s="12">
        <f>SUM(6)/3.14</f>
        <v>1.910828025477707</v>
      </c>
      <c r="F53" s="12"/>
      <c r="G53" s="12">
        <f t="shared" si="1"/>
        <v>0</v>
      </c>
      <c r="H53" s="15"/>
    </row>
    <row r="54" spans="1:8" ht="15.75" customHeight="1">
      <c r="A54" s="50">
        <v>3</v>
      </c>
      <c r="B54" s="9" t="s">
        <v>45</v>
      </c>
      <c r="C54" s="29" t="s">
        <v>193</v>
      </c>
      <c r="D54" s="15">
        <v>4.5</v>
      </c>
      <c r="E54" s="12">
        <f>SUM(12)/3.14</f>
        <v>3.8216560509554141</v>
      </c>
      <c r="F54" s="198">
        <v>0.8</v>
      </c>
      <c r="G54" s="12">
        <f t="shared" si="1"/>
        <v>3.2175212526016894</v>
      </c>
      <c r="H54" s="15"/>
    </row>
    <row r="55" spans="1:8" ht="15.75" customHeight="1">
      <c r="A55" s="50">
        <v>3</v>
      </c>
      <c r="B55" s="9" t="s">
        <v>188</v>
      </c>
      <c r="C55" s="11" t="s">
        <v>29</v>
      </c>
      <c r="D55" s="15">
        <v>5</v>
      </c>
      <c r="E55" s="12">
        <f>SUM(11+13.5)/3.14</f>
        <v>7.8025477707006363</v>
      </c>
      <c r="F55" s="191">
        <v>0.8</v>
      </c>
      <c r="G55" s="12">
        <f t="shared" si="1"/>
        <v>14.363859201494202</v>
      </c>
      <c r="H55" s="15"/>
    </row>
    <row r="56" spans="1:8" ht="15.75" customHeight="1">
      <c r="A56" s="50">
        <v>3</v>
      </c>
      <c r="B56" s="9" t="s">
        <v>188</v>
      </c>
      <c r="C56" s="48" t="s">
        <v>29</v>
      </c>
      <c r="D56" s="15">
        <v>4.5</v>
      </c>
      <c r="E56" s="12">
        <f>SUM(10+10)/3.14</f>
        <v>6.3694267515923562</v>
      </c>
      <c r="F56" s="191">
        <v>0.8</v>
      </c>
      <c r="G56" s="12">
        <f t="shared" si="1"/>
        <v>8.7210782549995614</v>
      </c>
      <c r="H56" s="15"/>
    </row>
    <row r="57" spans="1:8" ht="15.75" customHeight="1">
      <c r="A57" s="50">
        <v>3</v>
      </c>
      <c r="B57" s="9" t="s">
        <v>189</v>
      </c>
      <c r="C57" s="29" t="s">
        <v>190</v>
      </c>
      <c r="D57" s="10">
        <v>4</v>
      </c>
      <c r="E57" s="12">
        <f>SUM(10.5)/3.14</f>
        <v>3.3439490445859872</v>
      </c>
      <c r="F57" s="196">
        <f>AVERAGE(0.6,0.77)</f>
        <v>0.68500000000000005</v>
      </c>
      <c r="G57" s="12">
        <f t="shared" si="1"/>
        <v>1.8993913343703595</v>
      </c>
      <c r="H57" s="15"/>
    </row>
    <row r="58" spans="1:8" ht="15.75" customHeight="1">
      <c r="A58" s="9">
        <v>3</v>
      </c>
      <c r="B58" s="9" t="s">
        <v>189</v>
      </c>
      <c r="C58" s="29" t="s">
        <v>190</v>
      </c>
      <c r="D58" s="15">
        <v>4</v>
      </c>
      <c r="E58" s="12">
        <f>SUM(8)/3.14</f>
        <v>2.5477707006369426</v>
      </c>
      <c r="F58" s="47">
        <f>AVERAGE(0.6,0.77)</f>
        <v>0.68500000000000005</v>
      </c>
      <c r="G58" s="12">
        <f t="shared" si="1"/>
        <v>1.1170808198918307</v>
      </c>
      <c r="H58" s="15"/>
    </row>
    <row r="59" spans="1:8" ht="15.75" customHeight="1">
      <c r="A59" s="9">
        <v>3</v>
      </c>
      <c r="B59" s="9" t="s">
        <v>189</v>
      </c>
      <c r="C59" s="29" t="s">
        <v>190</v>
      </c>
      <c r="D59" s="15">
        <v>3</v>
      </c>
      <c r="E59" s="12">
        <f>SUM(9)/3.14</f>
        <v>2.8662420382165603</v>
      </c>
      <c r="F59" s="47">
        <f>AVERAGE(0.6,0.77)</f>
        <v>0.68500000000000005</v>
      </c>
      <c r="G59" s="12">
        <f t="shared" si="1"/>
        <v>1.0616811632146943</v>
      </c>
      <c r="H59" s="15"/>
    </row>
    <row r="60" spans="1:8" ht="15.75" customHeight="1">
      <c r="A60" s="9">
        <v>4</v>
      </c>
      <c r="B60" s="9" t="s">
        <v>50</v>
      </c>
      <c r="C60" s="17" t="s">
        <v>135</v>
      </c>
      <c r="D60" s="10">
        <v>6.5</v>
      </c>
      <c r="E60" s="12">
        <f>SUM(14.5)/3.14</f>
        <v>4.6178343949044587</v>
      </c>
      <c r="F60" s="12"/>
      <c r="G60" s="12">
        <f t="shared" si="1"/>
        <v>0</v>
      </c>
      <c r="H60" s="15"/>
    </row>
    <row r="61" spans="1:8" ht="15.75" customHeight="1">
      <c r="A61" s="9">
        <v>4</v>
      </c>
      <c r="B61" s="9" t="s">
        <v>179</v>
      </c>
      <c r="C61" s="11" t="s">
        <v>180</v>
      </c>
      <c r="D61" s="15">
        <v>6</v>
      </c>
      <c r="E61" s="12">
        <f>SUM(20+20+24.5)/3.14</f>
        <v>20.541401273885349</v>
      </c>
      <c r="F61" s="10">
        <v>0.42</v>
      </c>
      <c r="G61" s="12">
        <f t="shared" si="1"/>
        <v>60.53908908439103</v>
      </c>
      <c r="H61" s="15"/>
    </row>
    <row r="62" spans="1:8" ht="15.75" customHeight="1">
      <c r="A62" s="9">
        <v>4</v>
      </c>
      <c r="B62" s="9" t="s">
        <v>179</v>
      </c>
      <c r="C62" s="11" t="s">
        <v>180</v>
      </c>
      <c r="D62" s="15">
        <v>4.5</v>
      </c>
      <c r="E62" s="12">
        <f>SUM(18)/3.14</f>
        <v>5.7324840764331206</v>
      </c>
      <c r="F62" s="10">
        <v>0.42</v>
      </c>
      <c r="G62" s="12">
        <f t="shared" si="1"/>
        <v>3.7855330485068164</v>
      </c>
      <c r="H62" s="15"/>
    </row>
    <row r="63" spans="1:8" ht="15.75" customHeight="1">
      <c r="A63" s="9">
        <v>4</v>
      </c>
      <c r="B63" s="9" t="s">
        <v>179</v>
      </c>
      <c r="C63" s="11" t="s">
        <v>180</v>
      </c>
      <c r="D63" s="10">
        <v>3</v>
      </c>
      <c r="E63" s="12">
        <f>SUM(9)/3.14</f>
        <v>2.8662420382165603</v>
      </c>
      <c r="F63" s="10">
        <v>0.42</v>
      </c>
      <c r="G63" s="12">
        <f t="shared" si="1"/>
        <v>0.65864503389734619</v>
      </c>
      <c r="H63" s="15"/>
    </row>
    <row r="64" spans="1:8" ht="15.75" customHeight="1">
      <c r="A64" s="9">
        <v>4</v>
      </c>
      <c r="B64" s="10" t="s">
        <v>114</v>
      </c>
      <c r="C64" s="17" t="s">
        <v>113</v>
      </c>
      <c r="D64" s="15">
        <v>8</v>
      </c>
      <c r="E64" s="12">
        <f>SUM(37+33+32)/3.14</f>
        <v>32.484076433121018</v>
      </c>
      <c r="F64" s="12"/>
      <c r="G64" s="12">
        <f t="shared" si="1"/>
        <v>0</v>
      </c>
      <c r="H64" s="15"/>
    </row>
    <row r="65" spans="1:8" ht="15.75" customHeight="1">
      <c r="A65" s="9">
        <v>4</v>
      </c>
      <c r="B65" s="9" t="s">
        <v>151</v>
      </c>
      <c r="C65" s="11" t="s">
        <v>152</v>
      </c>
      <c r="D65" s="15">
        <v>5</v>
      </c>
      <c r="E65" s="12">
        <f>SUM(13+19)/3.14</f>
        <v>10.19108280254777</v>
      </c>
      <c r="F65" s="51">
        <f>AVERAGE(0.55,0.7)</f>
        <v>0.625</v>
      </c>
      <c r="G65" s="12">
        <f t="shared" si="1"/>
        <v>19.01230488133929</v>
      </c>
      <c r="H65" s="15"/>
    </row>
    <row r="66" spans="1:8" ht="15.75" customHeight="1">
      <c r="A66" s="9">
        <v>4</v>
      </c>
      <c r="B66" s="9" t="s">
        <v>66</v>
      </c>
      <c r="C66" s="11" t="s">
        <v>203</v>
      </c>
      <c r="D66" s="15">
        <v>8.5</v>
      </c>
      <c r="E66" s="12">
        <f>SUM(51.5)/3.14</f>
        <v>16.401273885350317</v>
      </c>
      <c r="F66" s="13">
        <f>AVERAGE(0.74,0.79)</f>
        <v>0.76500000000000001</v>
      </c>
      <c r="G66" s="12">
        <f t="shared" si="1"/>
        <v>98.406216502008391</v>
      </c>
      <c r="H66" s="15"/>
    </row>
    <row r="67" spans="1:8" ht="15.75" customHeight="1">
      <c r="A67" s="9">
        <v>4</v>
      </c>
      <c r="B67" s="9" t="s">
        <v>66</v>
      </c>
      <c r="C67" s="11" t="s">
        <v>203</v>
      </c>
      <c r="D67" s="15">
        <v>7</v>
      </c>
      <c r="E67" s="12">
        <f>SUM(33+49.5)/3.14</f>
        <v>26.273885350318469</v>
      </c>
      <c r="F67" s="191">
        <f>AVERAGE(0.74,0.79)</f>
        <v>0.76500000000000001</v>
      </c>
      <c r="G67" s="12">
        <f t="shared" si="1"/>
        <v>204.2658410374118</v>
      </c>
      <c r="H67" s="15"/>
    </row>
    <row r="68" spans="1:8" ht="15.75" customHeight="1">
      <c r="A68" s="9">
        <v>4</v>
      </c>
      <c r="B68" s="9" t="s">
        <v>66</v>
      </c>
      <c r="C68" s="11" t="s">
        <v>203</v>
      </c>
      <c r="D68" s="15">
        <v>6</v>
      </c>
      <c r="E68" s="12">
        <f>SUM(26.5+20.5)/3.14</f>
        <v>14.968152866242038</v>
      </c>
      <c r="F68" s="13">
        <f>AVERAGE(0.74,0.79)</f>
        <v>0.76500000000000001</v>
      </c>
      <c r="G68" s="12">
        <f t="shared" ref="G68:G79" si="2">0.0673*(F68*E68^2*D68)^0.976</f>
        <v>58.596623428990291</v>
      </c>
      <c r="H68" s="15"/>
    </row>
    <row r="69" spans="1:8" ht="15.75" customHeight="1">
      <c r="A69" s="9">
        <v>5</v>
      </c>
      <c r="B69" s="9" t="s">
        <v>138</v>
      </c>
      <c r="C69" s="11" t="s">
        <v>135</v>
      </c>
      <c r="D69" s="10">
        <v>2.5</v>
      </c>
      <c r="E69" s="12">
        <f>SUM(7)/3.14</f>
        <v>2.2292993630573248</v>
      </c>
      <c r="F69" s="12"/>
      <c r="G69" s="12">
        <f t="shared" si="2"/>
        <v>0</v>
      </c>
      <c r="H69" s="15" t="s">
        <v>110</v>
      </c>
    </row>
    <row r="70" spans="1:8" ht="15.75" customHeight="1">
      <c r="A70" s="9">
        <v>5</v>
      </c>
      <c r="B70" s="9" t="s">
        <v>179</v>
      </c>
      <c r="C70" s="48" t="s">
        <v>180</v>
      </c>
      <c r="D70" s="15">
        <v>3.5</v>
      </c>
      <c r="E70" s="12">
        <f>SUM(9.5+9.5)/3.14</f>
        <v>6.0509554140127388</v>
      </c>
      <c r="F70" s="10">
        <v>0.42</v>
      </c>
      <c r="G70" s="12">
        <f t="shared" si="2"/>
        <v>3.2918280301292033</v>
      </c>
      <c r="H70" s="15"/>
    </row>
    <row r="71" spans="1:8" ht="15.75" customHeight="1">
      <c r="A71" s="9">
        <v>5</v>
      </c>
      <c r="B71" s="9" t="s">
        <v>211</v>
      </c>
      <c r="C71" s="17" t="s">
        <v>212</v>
      </c>
      <c r="D71" s="10">
        <v>12</v>
      </c>
      <c r="E71" s="12">
        <f>SUM(42.5+52)/3.14</f>
        <v>30.095541401273884</v>
      </c>
      <c r="F71" s="72">
        <v>0.4</v>
      </c>
      <c r="G71" s="12">
        <f t="shared" si="2"/>
        <v>239.30001678387643</v>
      </c>
      <c r="H71" s="15"/>
    </row>
    <row r="72" spans="1:8" ht="15.75" customHeight="1">
      <c r="A72" s="9">
        <v>5</v>
      </c>
      <c r="B72" s="9" t="s">
        <v>128</v>
      </c>
      <c r="C72" s="11" t="s">
        <v>129</v>
      </c>
      <c r="D72" s="10">
        <v>6.5</v>
      </c>
      <c r="E72" s="30">
        <f>SUM(34)/3.14</f>
        <v>10.828025477707007</v>
      </c>
      <c r="F72" s="10">
        <f>AVERAGE(0.25,0.41)</f>
        <v>0.32999999999999996</v>
      </c>
      <c r="G72" s="12">
        <f t="shared" si="2"/>
        <v>14.822732756559878</v>
      </c>
      <c r="H72" s="15"/>
    </row>
    <row r="73" spans="1:8" ht="15.75" customHeight="1">
      <c r="A73" s="9">
        <v>5</v>
      </c>
      <c r="B73" s="9" t="s">
        <v>130</v>
      </c>
      <c r="C73" s="11" t="s">
        <v>129</v>
      </c>
      <c r="D73" s="15">
        <v>12</v>
      </c>
      <c r="E73" s="30">
        <f>SUM(31)/3.14</f>
        <v>9.872611464968152</v>
      </c>
      <c r="F73" s="10">
        <f>AVERAGE(0.25,0.41)</f>
        <v>0.32999999999999996</v>
      </c>
      <c r="G73" s="12">
        <f t="shared" si="2"/>
        <v>22.516294430994254</v>
      </c>
      <c r="H73" s="15"/>
    </row>
    <row r="74" spans="1:8" ht="15.75" customHeight="1">
      <c r="A74" s="9">
        <v>5</v>
      </c>
      <c r="B74" s="9" t="s">
        <v>56</v>
      </c>
      <c r="C74" s="17" t="s">
        <v>139</v>
      </c>
      <c r="D74" s="15">
        <v>4.5</v>
      </c>
      <c r="E74" s="12">
        <f>SUM(12+9.5+10.5)/3.14</f>
        <v>10.19108280254777</v>
      </c>
      <c r="F74" s="72">
        <f>AVERAGE(0.58,0.77)</f>
        <v>0.67500000000000004</v>
      </c>
      <c r="G74" s="12">
        <f t="shared" si="2"/>
        <v>18.492560346086311</v>
      </c>
      <c r="H74" s="15"/>
    </row>
    <row r="75" spans="1:8" ht="15.75" customHeight="1">
      <c r="A75" s="9">
        <v>5</v>
      </c>
      <c r="B75" s="9" t="s">
        <v>200</v>
      </c>
      <c r="C75" s="29" t="s">
        <v>201</v>
      </c>
      <c r="D75" s="10">
        <v>5</v>
      </c>
      <c r="E75" s="12">
        <f>SUM(31)/3.14</f>
        <v>9.872611464968152</v>
      </c>
      <c r="F75" s="12"/>
      <c r="G75" s="12">
        <f t="shared" si="2"/>
        <v>0</v>
      </c>
      <c r="H75" s="15"/>
    </row>
    <row r="76" spans="1:8" ht="15.75" customHeight="1">
      <c r="A76" s="9">
        <v>5</v>
      </c>
      <c r="B76" s="9" t="s">
        <v>186</v>
      </c>
      <c r="C76" s="11" t="s">
        <v>187</v>
      </c>
      <c r="D76" s="10">
        <v>7</v>
      </c>
      <c r="E76" s="12">
        <f>SUM(9.5)/3.14</f>
        <v>3.0254777070063694</v>
      </c>
      <c r="F76" s="72">
        <v>0.44</v>
      </c>
      <c r="G76" s="12">
        <f t="shared" si="2"/>
        <v>1.751258950824524</v>
      </c>
      <c r="H76" s="15"/>
    </row>
    <row r="77" spans="1:8" ht="15.75" customHeight="1">
      <c r="A77" s="9">
        <v>5</v>
      </c>
      <c r="B77" s="9" t="s">
        <v>45</v>
      </c>
      <c r="C77" s="29" t="s">
        <v>193</v>
      </c>
      <c r="D77" s="10">
        <v>3.5</v>
      </c>
      <c r="E77" s="12">
        <f>SUM(10.5+8)/3.14</f>
        <v>5.8917197452229297</v>
      </c>
      <c r="F77" s="12">
        <v>0.8</v>
      </c>
      <c r="G77" s="12">
        <f t="shared" si="2"/>
        <v>5.8607587364754608</v>
      </c>
      <c r="H77" s="15"/>
    </row>
    <row r="78" spans="1:8" ht="15.75" customHeight="1">
      <c r="A78" s="9">
        <v>5</v>
      </c>
      <c r="B78" s="9" t="s">
        <v>133</v>
      </c>
      <c r="C78" s="17" t="s">
        <v>194</v>
      </c>
      <c r="D78" s="15">
        <v>16</v>
      </c>
      <c r="E78" s="12">
        <f>SUM(56)/3.14</f>
        <v>17.834394904458598</v>
      </c>
      <c r="F78" s="12"/>
      <c r="G78" s="12">
        <f t="shared" si="2"/>
        <v>0</v>
      </c>
      <c r="H78" s="15"/>
    </row>
    <row r="79" spans="1:8" ht="15.75" customHeight="1">
      <c r="A79" s="9">
        <v>5</v>
      </c>
      <c r="B79" s="9" t="s">
        <v>166</v>
      </c>
      <c r="C79" s="199" t="s">
        <v>205</v>
      </c>
      <c r="D79" s="10">
        <v>6</v>
      </c>
      <c r="E79" s="12">
        <f>SUM(19+31+29.5)/3.14</f>
        <v>25.318471337579616</v>
      </c>
      <c r="F79" s="51">
        <f>AVERAGE(0.45,0.51)</f>
        <v>0.48</v>
      </c>
      <c r="G79" s="12">
        <f t="shared" si="2"/>
        <v>103.72706615771291</v>
      </c>
      <c r="H79" s="15"/>
    </row>
    <row r="80" spans="1:8" ht="15.75" customHeight="1">
      <c r="A80" s="9" t="s">
        <v>185</v>
      </c>
      <c r="B80" s="9" t="s">
        <v>215</v>
      </c>
      <c r="C80" s="15" t="s">
        <v>135</v>
      </c>
      <c r="D80" s="15">
        <v>2.5</v>
      </c>
      <c r="E80" s="12">
        <f>SUM(8)/3.14</f>
        <v>2.5477707006369426</v>
      </c>
      <c r="F80" s="12"/>
      <c r="G80" s="12"/>
      <c r="H80" s="15" t="s">
        <v>110</v>
      </c>
    </row>
    <row r="81" spans="1:8" ht="15.75" customHeight="1">
      <c r="A81" s="9" t="s">
        <v>185</v>
      </c>
      <c r="B81" s="9" t="s">
        <v>128</v>
      </c>
      <c r="C81" s="10" t="s">
        <v>129</v>
      </c>
      <c r="D81" s="10">
        <v>8</v>
      </c>
      <c r="E81" s="30">
        <f>SUM(24.2)/3.14</f>
        <v>7.7070063694267512</v>
      </c>
      <c r="G81" s="30"/>
      <c r="H81" s="15"/>
    </row>
    <row r="82" spans="1:8" ht="15.75" customHeight="1">
      <c r="A82" s="9" t="s">
        <v>185</v>
      </c>
      <c r="B82" s="9" t="s">
        <v>128</v>
      </c>
      <c r="C82" s="10" t="s">
        <v>129</v>
      </c>
      <c r="D82" s="10">
        <v>7</v>
      </c>
      <c r="E82" s="30">
        <f>SUM(15)/3.14</f>
        <v>4.7770700636942669</v>
      </c>
      <c r="F82" s="203">
        <v>3.0254777070063694</v>
      </c>
      <c r="G82" s="30"/>
      <c r="H82" s="15"/>
    </row>
    <row r="83" spans="1:8" ht="15.75" customHeight="1">
      <c r="A83" s="9" t="s">
        <v>185</v>
      </c>
      <c r="B83" s="9" t="s">
        <v>128</v>
      </c>
      <c r="C83" s="10" t="s">
        <v>129</v>
      </c>
      <c r="D83" s="15">
        <v>7</v>
      </c>
      <c r="E83" s="30">
        <f>SUM(23)/3.14</f>
        <v>7.3248407643312099</v>
      </c>
      <c r="F83" s="30"/>
      <c r="G83" s="30"/>
      <c r="H83" s="15"/>
    </row>
    <row r="84" spans="1:8" ht="15.75" customHeight="1">
      <c r="A84" s="9" t="s">
        <v>185</v>
      </c>
      <c r="B84" s="9" t="s">
        <v>128</v>
      </c>
      <c r="C84" s="10" t="s">
        <v>129</v>
      </c>
      <c r="D84" s="15">
        <v>7</v>
      </c>
      <c r="E84" s="30">
        <f>SUM(18.5)/3.14</f>
        <v>5.8917197452229297</v>
      </c>
      <c r="F84" s="30"/>
      <c r="G84" s="30"/>
      <c r="H84" s="15"/>
    </row>
    <row r="85" spans="1:8" ht="15.75" customHeight="1">
      <c r="A85" s="9" t="s">
        <v>185</v>
      </c>
      <c r="B85" s="9" t="s">
        <v>128</v>
      </c>
      <c r="C85" s="10" t="s">
        <v>129</v>
      </c>
      <c r="D85" s="10">
        <v>5</v>
      </c>
      <c r="E85" s="30">
        <f>SUM(8)/3.14</f>
        <v>2.5477707006369426</v>
      </c>
      <c r="F85" s="30"/>
      <c r="G85" s="30"/>
      <c r="H85" s="15"/>
    </row>
    <row r="86" spans="1:8" ht="15.75" customHeight="1">
      <c r="A86" s="9" t="s">
        <v>185</v>
      </c>
      <c r="B86" s="9" t="s">
        <v>128</v>
      </c>
      <c r="C86" s="10" t="s">
        <v>129</v>
      </c>
      <c r="D86" s="15">
        <v>5</v>
      </c>
      <c r="E86" s="30">
        <f>SUM(7)/3.14</f>
        <v>2.2292993630573248</v>
      </c>
      <c r="F86" s="30"/>
      <c r="G86" s="30"/>
      <c r="H86" s="15"/>
    </row>
    <row r="87" spans="1:8" ht="15.75" customHeight="1">
      <c r="A87" s="9" t="s">
        <v>185</v>
      </c>
      <c r="B87" s="9" t="s">
        <v>128</v>
      </c>
      <c r="C87" s="10" t="s">
        <v>129</v>
      </c>
      <c r="D87" s="10">
        <v>4.5</v>
      </c>
      <c r="E87" s="30">
        <f>SUM(7)/3.14</f>
        <v>2.2292993630573248</v>
      </c>
      <c r="F87" s="30"/>
      <c r="G87" s="30"/>
      <c r="H87" s="15"/>
    </row>
    <row r="88" spans="1:8" ht="15.75" customHeight="1">
      <c r="A88" s="9" t="s">
        <v>185</v>
      </c>
      <c r="B88" s="9" t="s">
        <v>128</v>
      </c>
      <c r="C88" s="10" t="s">
        <v>129</v>
      </c>
      <c r="D88" s="10">
        <v>4</v>
      </c>
      <c r="E88" s="30">
        <f>SUM(8.5)/3.14</f>
        <v>2.7070063694267517</v>
      </c>
      <c r="F88" s="30"/>
      <c r="G88" s="30"/>
      <c r="H88" s="15"/>
    </row>
    <row r="89" spans="1:8" ht="15.75" customHeight="1">
      <c r="A89" s="9" t="s">
        <v>185</v>
      </c>
      <c r="B89" s="9" t="s">
        <v>181</v>
      </c>
      <c r="C89" s="15" t="s">
        <v>210</v>
      </c>
      <c r="D89" s="15">
        <v>3.5</v>
      </c>
      <c r="E89" s="12">
        <f>SUM(7.1)/3.14</f>
        <v>2.2611464968152863</v>
      </c>
      <c r="F89" s="12"/>
      <c r="G89" s="12"/>
      <c r="H89" s="15"/>
    </row>
    <row r="90" spans="1:8" ht="15.75" customHeight="1">
      <c r="A90" s="9" t="s">
        <v>185</v>
      </c>
      <c r="B90" s="9" t="s">
        <v>202</v>
      </c>
      <c r="C90" s="15" t="s">
        <v>147</v>
      </c>
      <c r="D90" s="15">
        <v>6</v>
      </c>
      <c r="E90" s="12">
        <f>SUM(26)/3.14</f>
        <v>8.2802547770700627</v>
      </c>
      <c r="F90" s="12"/>
      <c r="G90" s="12"/>
      <c r="H90" s="15"/>
    </row>
    <row r="91" spans="1:8" ht="15.75" customHeight="1">
      <c r="A91" s="9" t="s">
        <v>185</v>
      </c>
      <c r="B91" s="9" t="s">
        <v>126</v>
      </c>
      <c r="C91" s="15" t="s">
        <v>127</v>
      </c>
      <c r="D91" s="15">
        <v>7</v>
      </c>
      <c r="E91" s="12">
        <f>SUM(31)/3.14</f>
        <v>9.872611464968152</v>
      </c>
      <c r="F91" s="12"/>
      <c r="G91" s="12"/>
      <c r="H91" s="15"/>
    </row>
    <row r="92" spans="1:8" ht="15.75" customHeight="1">
      <c r="A92" s="9" t="s">
        <v>185</v>
      </c>
      <c r="B92" s="9" t="s">
        <v>154</v>
      </c>
      <c r="C92" s="9" t="s">
        <v>155</v>
      </c>
      <c r="D92" s="10">
        <v>1.6</v>
      </c>
      <c r="E92" s="12">
        <f>SUM(4)/3.14</f>
        <v>1.2738853503184713</v>
      </c>
      <c r="F92" s="12"/>
      <c r="G92" s="12"/>
      <c r="H92" s="15"/>
    </row>
    <row r="93" spans="1:8" ht="15.75" customHeight="1">
      <c r="A93" s="9" t="s">
        <v>185</v>
      </c>
      <c r="B93" s="9" t="s">
        <v>154</v>
      </c>
      <c r="C93" s="9" t="s">
        <v>155</v>
      </c>
      <c r="D93" s="15">
        <v>1.5</v>
      </c>
      <c r="E93" s="12">
        <f>SUM(5)/3.14</f>
        <v>1.592356687898089</v>
      </c>
      <c r="F93" s="12"/>
      <c r="G93" s="12"/>
      <c r="H93" s="15"/>
    </row>
    <row r="94" spans="1:8" ht="15.75" customHeight="1">
      <c r="A94" s="9" t="s">
        <v>185</v>
      </c>
      <c r="B94" s="9" t="s">
        <v>119</v>
      </c>
      <c r="C94" s="15" t="s">
        <v>120</v>
      </c>
      <c r="D94" s="10">
        <v>4.5</v>
      </c>
      <c r="E94" s="12">
        <f>SUM(8.4)/3.14</f>
        <v>2.6751592356687897</v>
      </c>
      <c r="F94" s="12"/>
      <c r="G94" s="12"/>
      <c r="H94" s="15"/>
    </row>
    <row r="95" spans="1:8" ht="15.75" customHeight="1">
      <c r="A95" s="9" t="s">
        <v>185</v>
      </c>
      <c r="B95" s="9" t="s">
        <v>119</v>
      </c>
      <c r="C95" s="15" t="s">
        <v>120</v>
      </c>
      <c r="D95" s="10">
        <v>4.5</v>
      </c>
      <c r="E95" s="12">
        <f>SUM(6)/3.14</f>
        <v>1.910828025477707</v>
      </c>
      <c r="F95" s="12"/>
      <c r="G95" s="12"/>
      <c r="H95" s="15"/>
    </row>
    <row r="96" spans="1:8" ht="15.75" customHeight="1">
      <c r="A96" s="9" t="s">
        <v>185</v>
      </c>
      <c r="B96" s="9" t="s">
        <v>119</v>
      </c>
      <c r="C96" s="15" t="s">
        <v>120</v>
      </c>
      <c r="D96" s="10">
        <v>3</v>
      </c>
      <c r="E96" s="12">
        <f>SUM(6)/3.14</f>
        <v>1.910828025477707</v>
      </c>
      <c r="F96" s="12"/>
      <c r="G96" s="12"/>
      <c r="H96" s="15"/>
    </row>
    <row r="97" spans="1:8" ht="15.75" customHeight="1">
      <c r="A97" s="9" t="s">
        <v>185</v>
      </c>
      <c r="B97" s="9" t="s">
        <v>119</v>
      </c>
      <c r="C97" s="15" t="s">
        <v>120</v>
      </c>
      <c r="D97" s="15">
        <v>2.2000000000000002</v>
      </c>
      <c r="E97" s="12">
        <f>SUM(4)/3.14</f>
        <v>1.2738853503184713</v>
      </c>
      <c r="F97" s="12"/>
      <c r="G97" s="12"/>
      <c r="H97" s="15"/>
    </row>
    <row r="98" spans="1:8" ht="15.75" customHeight="1">
      <c r="A98" s="9" t="s">
        <v>185</v>
      </c>
      <c r="B98" s="9" t="s">
        <v>114</v>
      </c>
      <c r="C98" s="174" t="s">
        <v>113</v>
      </c>
      <c r="D98" s="10">
        <v>10</v>
      </c>
      <c r="E98" s="12">
        <f>SUM(33.8)/3.14</f>
        <v>10.764331210191081</v>
      </c>
      <c r="F98" s="12"/>
      <c r="G98" s="12"/>
      <c r="H98" s="15"/>
    </row>
    <row r="99" spans="1:8" ht="15.75" customHeight="1">
      <c r="A99" s="9" t="s">
        <v>185</v>
      </c>
      <c r="B99" s="9" t="s">
        <v>114</v>
      </c>
      <c r="C99" s="15" t="s">
        <v>113</v>
      </c>
      <c r="D99" s="15">
        <v>10</v>
      </c>
      <c r="E99" s="12">
        <f>SUM(52)/3.14</f>
        <v>16.560509554140125</v>
      </c>
      <c r="F99" s="12"/>
      <c r="G99" s="12"/>
      <c r="H99" s="15"/>
    </row>
    <row r="100" spans="1:8" ht="15.75" customHeight="1">
      <c r="A100" s="9" t="s">
        <v>185</v>
      </c>
      <c r="B100" s="9" t="s">
        <v>186</v>
      </c>
      <c r="C100" s="10" t="s">
        <v>187</v>
      </c>
      <c r="D100" s="15">
        <v>10</v>
      </c>
      <c r="E100" s="12">
        <f>SUM(21.2)/3.14</f>
        <v>6.7515923566878975</v>
      </c>
      <c r="F100" s="12"/>
      <c r="G100" s="12"/>
      <c r="H100" s="15"/>
    </row>
    <row r="101" spans="1:8" ht="15.75" customHeight="1">
      <c r="A101" s="9" t="s">
        <v>185</v>
      </c>
      <c r="B101" s="9" t="s">
        <v>186</v>
      </c>
      <c r="C101" s="10" t="s">
        <v>187</v>
      </c>
      <c r="D101" s="15">
        <v>9</v>
      </c>
      <c r="E101" s="12">
        <f>SUM(19.2)/3.14</f>
        <v>6.114649681528662</v>
      </c>
      <c r="F101" s="12"/>
      <c r="G101" s="12"/>
      <c r="H101" s="15"/>
    </row>
    <row r="102" spans="1:8" ht="15.75" customHeight="1">
      <c r="A102" s="9" t="s">
        <v>185</v>
      </c>
      <c r="B102" s="9" t="s">
        <v>186</v>
      </c>
      <c r="C102" s="10" t="s">
        <v>187</v>
      </c>
      <c r="D102" s="15">
        <v>8</v>
      </c>
      <c r="E102" s="12">
        <f>SUM(32.2)/3.14</f>
        <v>10.254777070063694</v>
      </c>
      <c r="F102" s="198"/>
      <c r="G102" s="12"/>
      <c r="H102" s="15"/>
    </row>
    <row r="103" spans="1:8" ht="15.75" customHeight="1">
      <c r="A103" s="9" t="s">
        <v>185</v>
      </c>
      <c r="B103" s="9" t="s">
        <v>186</v>
      </c>
      <c r="C103" s="10" t="s">
        <v>187</v>
      </c>
      <c r="D103" s="10">
        <v>8</v>
      </c>
      <c r="E103" s="12">
        <f>SUM(46.6)/3.14</f>
        <v>14.840764331210192</v>
      </c>
      <c r="F103" s="198"/>
      <c r="G103" s="12"/>
      <c r="H103" s="15"/>
    </row>
    <row r="104" spans="1:8" ht="15.75" customHeight="1">
      <c r="A104" s="9" t="s">
        <v>185</v>
      </c>
      <c r="B104" s="9" t="s">
        <v>186</v>
      </c>
      <c r="C104" s="10" t="s">
        <v>187</v>
      </c>
      <c r="D104" s="15">
        <v>7.5</v>
      </c>
      <c r="E104" s="12">
        <f>SUM(35+30)/3.14</f>
        <v>20.700636942675157</v>
      </c>
      <c r="F104" s="198"/>
      <c r="G104" s="12"/>
      <c r="H104" s="15"/>
    </row>
    <row r="105" spans="1:8" ht="15.75" customHeight="1">
      <c r="A105" s="9" t="s">
        <v>185</v>
      </c>
      <c r="B105" s="9" t="s">
        <v>186</v>
      </c>
      <c r="C105" s="10" t="s">
        <v>187</v>
      </c>
      <c r="D105" s="10">
        <v>7</v>
      </c>
      <c r="E105" s="12">
        <f>SUM(50.5)/3.14</f>
        <v>16.082802547770701</v>
      </c>
      <c r="F105" s="12"/>
      <c r="G105" s="12"/>
      <c r="H105" s="15"/>
    </row>
    <row r="106" spans="1:8" ht="15.75" customHeight="1">
      <c r="A106" s="9" t="s">
        <v>185</v>
      </c>
      <c r="B106" s="9" t="s">
        <v>186</v>
      </c>
      <c r="C106" s="10" t="s">
        <v>187</v>
      </c>
      <c r="D106" s="10">
        <v>7</v>
      </c>
      <c r="E106" s="12">
        <f>SUM(16.5)/3.14</f>
        <v>5.2547770700636942</v>
      </c>
      <c r="F106" s="12"/>
      <c r="G106" s="12"/>
      <c r="H106" s="15"/>
    </row>
    <row r="107" spans="1:8" ht="15.75" customHeight="1">
      <c r="A107" s="9" t="s">
        <v>185</v>
      </c>
      <c r="B107" s="9" t="s">
        <v>186</v>
      </c>
      <c r="C107" s="10" t="s">
        <v>187</v>
      </c>
      <c r="D107" s="10">
        <v>7</v>
      </c>
      <c r="E107" s="12">
        <f>SUM(22)/3.14</f>
        <v>7.0063694267515917</v>
      </c>
      <c r="F107" s="198"/>
      <c r="G107" s="12"/>
      <c r="H107" s="15"/>
    </row>
    <row r="108" spans="1:8" ht="15.75" customHeight="1">
      <c r="A108" s="9" t="s">
        <v>185</v>
      </c>
      <c r="B108" s="9" t="s">
        <v>186</v>
      </c>
      <c r="C108" s="10" t="s">
        <v>187</v>
      </c>
      <c r="D108" s="15">
        <v>7</v>
      </c>
      <c r="E108" s="12">
        <f>SUM(37)/3.14</f>
        <v>11.783439490445859</v>
      </c>
      <c r="F108" s="198"/>
      <c r="G108" s="12"/>
      <c r="H108" s="15"/>
    </row>
    <row r="109" spans="1:8" ht="15.75" customHeight="1">
      <c r="A109" s="9" t="s">
        <v>185</v>
      </c>
      <c r="B109" s="9" t="s">
        <v>186</v>
      </c>
      <c r="C109" s="10" t="s">
        <v>187</v>
      </c>
      <c r="D109" s="15">
        <v>5.5</v>
      </c>
      <c r="E109" s="12">
        <f>SUM(10)/3.14</f>
        <v>3.1847133757961781</v>
      </c>
      <c r="F109" s="198"/>
      <c r="G109" s="12"/>
      <c r="H109" s="15"/>
    </row>
    <row r="110" spans="1:8" ht="15.75" customHeight="1">
      <c r="A110" s="9" t="s">
        <v>185</v>
      </c>
      <c r="B110" s="9" t="s">
        <v>186</v>
      </c>
      <c r="C110" s="10" t="s">
        <v>187</v>
      </c>
      <c r="D110" s="10">
        <v>5</v>
      </c>
      <c r="E110" s="12">
        <f>SUM(13.5)/3.14</f>
        <v>4.2993630573248405</v>
      </c>
      <c r="F110" s="12"/>
      <c r="G110" s="12"/>
      <c r="H110" s="15"/>
    </row>
    <row r="111" spans="1:8" ht="15.75" customHeight="1">
      <c r="A111" s="9" t="s">
        <v>185</v>
      </c>
      <c r="B111" s="9" t="s">
        <v>186</v>
      </c>
      <c r="C111" s="10" t="s">
        <v>187</v>
      </c>
      <c r="D111" s="9">
        <v>4</v>
      </c>
      <c r="E111" s="12">
        <f>SUM(7)/3.14</f>
        <v>2.2292993630573248</v>
      </c>
      <c r="F111" s="198"/>
      <c r="G111" s="12"/>
      <c r="H111" s="15"/>
    </row>
    <row r="112" spans="1:8" ht="15.75" customHeight="1">
      <c r="A112" s="9" t="s">
        <v>185</v>
      </c>
      <c r="B112" s="9" t="s">
        <v>188</v>
      </c>
      <c r="C112" s="10" t="s">
        <v>207</v>
      </c>
      <c r="D112" s="10">
        <v>4.5</v>
      </c>
      <c r="E112" s="12">
        <f>SUM(10.2)/3.14</f>
        <v>3.2484076433121016</v>
      </c>
      <c r="F112" s="12"/>
      <c r="G112" s="12"/>
      <c r="H112" s="15"/>
    </row>
    <row r="113" spans="1:8" ht="15.75" customHeight="1">
      <c r="A113" s="9" t="s">
        <v>185</v>
      </c>
      <c r="B113" s="9" t="s">
        <v>188</v>
      </c>
      <c r="C113" s="10" t="s">
        <v>207</v>
      </c>
      <c r="D113" s="15">
        <v>4.5</v>
      </c>
      <c r="E113" s="12">
        <f>SUM(8.5)/3.14</f>
        <v>2.7070063694267517</v>
      </c>
      <c r="F113" s="198"/>
      <c r="G113" s="12"/>
      <c r="H113" s="15"/>
    </row>
    <row r="114" spans="1:8" ht="15.75" customHeight="1">
      <c r="A114" s="9" t="s">
        <v>185</v>
      </c>
      <c r="B114" s="9" t="s">
        <v>188</v>
      </c>
      <c r="C114" s="9" t="s">
        <v>207</v>
      </c>
      <c r="D114" s="9">
        <v>3.6</v>
      </c>
      <c r="E114" s="12">
        <f>SUM(5.6)/3.14</f>
        <v>1.7834394904458597</v>
      </c>
      <c r="F114" s="12"/>
      <c r="G114" s="12"/>
      <c r="H114" s="15"/>
    </row>
    <row r="115" spans="1:8" ht="15.75" customHeight="1">
      <c r="A115" s="9" t="s">
        <v>185</v>
      </c>
      <c r="B115" s="9" t="s">
        <v>188</v>
      </c>
      <c r="C115" s="9" t="s">
        <v>207</v>
      </c>
      <c r="D115" s="10">
        <v>3.4</v>
      </c>
      <c r="E115" s="12">
        <f>SUM(10.9)/3.14</f>
        <v>3.4713375796178343</v>
      </c>
      <c r="F115" s="12"/>
      <c r="G115" s="12"/>
      <c r="H115" s="15"/>
    </row>
    <row r="116" spans="1:8" ht="15.75" customHeight="1">
      <c r="A116" s="53" t="s">
        <v>185</v>
      </c>
      <c r="B116" s="53" t="s">
        <v>213</v>
      </c>
      <c r="C116" s="202" t="s">
        <v>214</v>
      </c>
      <c r="D116" s="54">
        <v>3</v>
      </c>
      <c r="E116" s="55">
        <f>SUM(6)/3.14</f>
        <v>1.910828025477707</v>
      </c>
      <c r="F116" s="198"/>
      <c r="G116" s="12"/>
      <c r="H116" s="56"/>
    </row>
    <row r="117" spans="1:8" ht="15.75" customHeight="1">
      <c r="A117" s="57"/>
      <c r="B117" s="57"/>
      <c r="C117" s="41"/>
      <c r="D117" s="41"/>
      <c r="E117" s="58"/>
      <c r="F117" s="58"/>
      <c r="G117" s="58"/>
      <c r="H117" s="41"/>
    </row>
    <row r="118" spans="1:8" ht="15.75" customHeight="1">
      <c r="A118" s="57"/>
      <c r="B118" s="57"/>
      <c r="C118" s="41"/>
      <c r="D118" s="41"/>
      <c r="E118" s="58"/>
      <c r="F118" s="58"/>
      <c r="G118" s="58"/>
      <c r="H118" s="41"/>
    </row>
    <row r="119" spans="1:8" ht="15.75" customHeight="1">
      <c r="A119" s="57"/>
      <c r="B119" s="57"/>
      <c r="C119" s="41"/>
      <c r="D119" s="41"/>
      <c r="E119" s="58"/>
      <c r="F119" s="58"/>
      <c r="G119" s="58"/>
      <c r="H119" s="41"/>
    </row>
    <row r="120" spans="1:8" ht="15.75" customHeight="1">
      <c r="A120" s="57"/>
      <c r="B120" s="57"/>
      <c r="C120" s="41"/>
      <c r="D120" s="41"/>
      <c r="E120" s="59"/>
      <c r="F120" s="59"/>
      <c r="G120" s="59"/>
      <c r="H120" s="41"/>
    </row>
    <row r="121" spans="1:8" ht="15.75" customHeight="1">
      <c r="A121" s="57"/>
      <c r="B121" s="57"/>
      <c r="C121" s="41"/>
      <c r="D121" s="41"/>
      <c r="E121" s="59"/>
      <c r="F121" s="59"/>
      <c r="G121" s="59"/>
      <c r="H121" s="41"/>
    </row>
    <row r="122" spans="1:8" ht="15.75" customHeight="1">
      <c r="A122" s="57"/>
      <c r="B122" s="57"/>
      <c r="C122" s="41"/>
      <c r="D122" s="41"/>
      <c r="E122" s="59"/>
      <c r="F122" s="59"/>
      <c r="G122" s="59"/>
      <c r="H122" s="41"/>
    </row>
    <row r="123" spans="1:8" ht="15.75" customHeight="1">
      <c r="A123" s="57"/>
      <c r="B123" s="57"/>
      <c r="C123" s="41"/>
      <c r="D123" s="41"/>
      <c r="E123" s="59"/>
      <c r="F123" s="59"/>
      <c r="G123" s="59"/>
      <c r="H123" s="41"/>
    </row>
    <row r="124" spans="1:8" ht="15.75" customHeight="1">
      <c r="A124" s="57"/>
      <c r="B124" s="57"/>
      <c r="C124" s="41"/>
      <c r="D124" s="41"/>
      <c r="E124" s="59"/>
      <c r="F124" s="59"/>
      <c r="G124" s="59"/>
      <c r="H124" s="41"/>
    </row>
    <row r="125" spans="1:8" ht="15.75" customHeight="1">
      <c r="A125" s="57"/>
      <c r="B125" s="57"/>
      <c r="C125" s="41"/>
      <c r="D125" s="41"/>
      <c r="E125" s="59"/>
      <c r="F125" s="59"/>
      <c r="G125" s="59"/>
      <c r="H125" s="41"/>
    </row>
    <row r="126" spans="1:8" ht="15.75" customHeight="1">
      <c r="A126" s="57"/>
      <c r="B126" s="57"/>
      <c r="C126" s="41"/>
      <c r="D126" s="41"/>
      <c r="E126" s="59"/>
      <c r="F126" s="59"/>
      <c r="G126" s="59"/>
      <c r="H126" s="41"/>
    </row>
    <row r="127" spans="1:8" ht="15.75" customHeight="1">
      <c r="A127" s="57"/>
      <c r="B127" s="57"/>
      <c r="C127" s="41"/>
      <c r="D127" s="41"/>
      <c r="E127" s="59"/>
      <c r="F127" s="59"/>
      <c r="G127" s="59"/>
      <c r="H127" s="41"/>
    </row>
    <row r="128" spans="1:8" ht="15.75" customHeight="1">
      <c r="A128" s="57"/>
      <c r="B128" s="57"/>
      <c r="C128" s="41"/>
      <c r="D128" s="41"/>
      <c r="E128" s="59"/>
      <c r="F128" s="59"/>
      <c r="G128" s="59"/>
      <c r="H128" s="41"/>
    </row>
    <row r="129" spans="1:8" ht="15.75" customHeight="1">
      <c r="A129" s="57"/>
      <c r="B129" s="57"/>
      <c r="C129" s="41"/>
      <c r="D129" s="41"/>
      <c r="E129" s="59"/>
      <c r="F129" s="59"/>
      <c r="G129" s="59"/>
      <c r="H129" s="41"/>
    </row>
    <row r="130" spans="1:8" ht="15.75" customHeight="1">
      <c r="A130" s="57"/>
      <c r="B130" s="57"/>
      <c r="C130" s="41"/>
      <c r="D130" s="41"/>
      <c r="E130" s="59"/>
      <c r="F130" s="59"/>
      <c r="G130" s="59"/>
      <c r="H130" s="41"/>
    </row>
    <row r="131" spans="1:8" ht="15.75" customHeight="1">
      <c r="A131" s="57"/>
      <c r="B131" s="57"/>
      <c r="C131" s="41"/>
      <c r="D131" s="41"/>
      <c r="E131" s="59"/>
      <c r="F131" s="59"/>
      <c r="G131" s="59"/>
      <c r="H131" s="41"/>
    </row>
    <row r="132" spans="1:8" ht="15.75" customHeight="1">
      <c r="A132" s="57"/>
      <c r="B132" s="57"/>
      <c r="C132" s="41"/>
      <c r="D132" s="41"/>
      <c r="E132" s="59"/>
      <c r="F132" s="59"/>
      <c r="G132" s="59"/>
      <c r="H132" s="41"/>
    </row>
    <row r="133" spans="1:8" ht="15.75" customHeight="1">
      <c r="A133" s="57"/>
      <c r="B133" s="57"/>
      <c r="C133" s="41"/>
      <c r="D133" s="41"/>
      <c r="E133" s="59"/>
      <c r="F133" s="59"/>
      <c r="G133" s="59"/>
      <c r="H133" s="41"/>
    </row>
    <row r="134" spans="1:8" ht="15.75" customHeight="1">
      <c r="A134" s="57"/>
      <c r="B134" s="57"/>
      <c r="C134" s="41"/>
      <c r="D134" s="41"/>
      <c r="E134" s="59"/>
      <c r="F134" s="59"/>
      <c r="G134" s="59"/>
      <c r="H134" s="41"/>
    </row>
    <row r="135" spans="1:8" ht="15.75" customHeight="1">
      <c r="A135" s="57"/>
      <c r="B135" s="57"/>
      <c r="C135" s="41"/>
      <c r="D135" s="41"/>
      <c r="E135" s="59"/>
      <c r="F135" s="59"/>
      <c r="G135" s="59"/>
      <c r="H135" s="41"/>
    </row>
    <row r="136" spans="1:8" ht="15.75" customHeight="1">
      <c r="A136" s="57"/>
      <c r="B136" s="57"/>
      <c r="C136" s="41"/>
      <c r="D136" s="41"/>
      <c r="E136" s="59"/>
      <c r="F136" s="59"/>
      <c r="G136" s="59"/>
      <c r="H136" s="41"/>
    </row>
    <row r="137" spans="1:8" ht="15.75" customHeight="1">
      <c r="A137" s="57"/>
      <c r="B137" s="57"/>
      <c r="C137" s="41"/>
      <c r="D137" s="41"/>
      <c r="E137" s="59"/>
      <c r="F137" s="59"/>
      <c r="G137" s="59"/>
      <c r="H137" s="41"/>
    </row>
    <row r="138" spans="1:8" ht="15.75" customHeight="1">
      <c r="A138" s="57"/>
      <c r="B138" s="57"/>
      <c r="C138" s="41"/>
      <c r="D138" s="41"/>
      <c r="E138" s="59"/>
      <c r="F138" s="59"/>
      <c r="G138" s="59"/>
      <c r="H138" s="41"/>
    </row>
    <row r="139" spans="1:8" ht="15.75" customHeight="1">
      <c r="A139" s="57"/>
      <c r="B139" s="57"/>
      <c r="C139" s="41"/>
      <c r="D139" s="41"/>
      <c r="E139" s="59"/>
      <c r="F139" s="59"/>
      <c r="G139" s="59"/>
      <c r="H139" s="41"/>
    </row>
    <row r="140" spans="1:8" ht="15.75" customHeight="1">
      <c r="A140" s="57"/>
      <c r="B140" s="57"/>
      <c r="C140" s="41"/>
      <c r="D140" s="41"/>
      <c r="E140" s="59"/>
      <c r="F140" s="59"/>
      <c r="G140" s="59"/>
      <c r="H140" s="41"/>
    </row>
    <row r="141" spans="1:8" ht="15.75" customHeight="1">
      <c r="A141" s="57"/>
      <c r="B141" s="57"/>
      <c r="C141" s="41"/>
      <c r="D141" s="41"/>
      <c r="E141" s="59"/>
      <c r="F141" s="59"/>
      <c r="G141" s="59"/>
      <c r="H141" s="41"/>
    </row>
    <row r="142" spans="1:8" ht="15.75" customHeight="1">
      <c r="A142" s="57"/>
      <c r="B142" s="57"/>
      <c r="C142" s="41"/>
      <c r="D142" s="41"/>
      <c r="E142" s="59"/>
      <c r="F142" s="59"/>
      <c r="G142" s="59"/>
      <c r="H142" s="41"/>
    </row>
    <row r="143" spans="1:8" ht="15.75" customHeight="1">
      <c r="A143" s="57"/>
      <c r="B143" s="57"/>
      <c r="C143" s="41"/>
      <c r="D143" s="41"/>
      <c r="E143" s="59"/>
      <c r="F143" s="59"/>
      <c r="G143" s="59"/>
      <c r="H143" s="41"/>
    </row>
    <row r="144" spans="1:8" ht="15.75" customHeight="1">
      <c r="A144" s="57"/>
      <c r="B144" s="57"/>
      <c r="C144" s="41"/>
      <c r="D144" s="41"/>
      <c r="E144" s="59"/>
      <c r="F144" s="59"/>
      <c r="G144" s="59"/>
      <c r="H144" s="41"/>
    </row>
    <row r="145" spans="1:8" ht="15.75" customHeight="1">
      <c r="A145" s="57"/>
      <c r="B145" s="57"/>
      <c r="C145" s="41"/>
      <c r="D145" s="41"/>
      <c r="E145" s="59"/>
      <c r="F145" s="59"/>
      <c r="G145" s="59"/>
      <c r="H145" s="41"/>
    </row>
    <row r="146" spans="1:8" ht="15.75" customHeight="1">
      <c r="A146" s="57"/>
      <c r="B146" s="57"/>
      <c r="C146" s="41"/>
      <c r="D146" s="41"/>
      <c r="E146" s="59"/>
      <c r="F146" s="59"/>
      <c r="G146" s="59"/>
      <c r="H146" s="41"/>
    </row>
    <row r="147" spans="1:8" ht="15.75" customHeight="1">
      <c r="A147" s="57"/>
      <c r="B147" s="57"/>
      <c r="C147" s="41"/>
      <c r="D147" s="41"/>
      <c r="E147" s="59"/>
      <c r="F147" s="59"/>
      <c r="G147" s="59"/>
      <c r="H147" s="41"/>
    </row>
    <row r="148" spans="1:8" ht="15.75" customHeight="1">
      <c r="A148" s="57"/>
      <c r="B148" s="57"/>
      <c r="C148" s="41"/>
      <c r="D148" s="41"/>
      <c r="E148" s="59"/>
      <c r="F148" s="59"/>
      <c r="G148" s="59"/>
      <c r="H148" s="41"/>
    </row>
    <row r="149" spans="1:8" ht="15.75" customHeight="1">
      <c r="A149" s="57"/>
      <c r="B149" s="57"/>
      <c r="C149" s="41"/>
      <c r="D149" s="41"/>
      <c r="E149" s="59"/>
      <c r="F149" s="59"/>
      <c r="G149" s="59"/>
      <c r="H149" s="41"/>
    </row>
    <row r="150" spans="1:8" ht="15.75" customHeight="1">
      <c r="A150" s="57"/>
      <c r="B150" s="57"/>
      <c r="C150" s="41"/>
      <c r="D150" s="41"/>
      <c r="E150" s="59"/>
      <c r="F150" s="59"/>
      <c r="G150" s="59"/>
      <c r="H150" s="41"/>
    </row>
    <row r="151" spans="1:8" ht="15.75" customHeight="1">
      <c r="A151" s="57"/>
      <c r="B151" s="57"/>
      <c r="C151" s="41"/>
      <c r="D151" s="41"/>
      <c r="E151" s="59"/>
      <c r="F151" s="59"/>
      <c r="G151" s="59"/>
      <c r="H151" s="41"/>
    </row>
    <row r="152" spans="1:8" ht="15.75" customHeight="1">
      <c r="A152" s="57"/>
      <c r="B152" s="57"/>
      <c r="C152" s="41"/>
      <c r="D152" s="41"/>
      <c r="E152" s="59"/>
      <c r="F152" s="59"/>
      <c r="G152" s="59"/>
      <c r="H152" s="41"/>
    </row>
    <row r="153" spans="1:8" ht="15.75" customHeight="1">
      <c r="A153" s="57"/>
      <c r="B153" s="57"/>
      <c r="C153" s="41"/>
      <c r="D153" s="41"/>
      <c r="E153" s="59"/>
      <c r="F153" s="59"/>
      <c r="G153" s="59"/>
      <c r="H153" s="41"/>
    </row>
    <row r="154" spans="1:8" ht="15.75" customHeight="1">
      <c r="A154" s="57"/>
      <c r="B154" s="57"/>
      <c r="C154" s="41"/>
      <c r="D154" s="41"/>
      <c r="E154" s="59"/>
      <c r="F154" s="59"/>
      <c r="G154" s="59"/>
      <c r="H154" s="41"/>
    </row>
    <row r="155" spans="1:8" ht="15.75" customHeight="1">
      <c r="A155" s="57"/>
      <c r="B155" s="57"/>
      <c r="C155" s="41"/>
      <c r="D155" s="41"/>
      <c r="E155" s="59"/>
      <c r="F155" s="59"/>
      <c r="G155" s="59"/>
      <c r="H155" s="41"/>
    </row>
    <row r="156" spans="1:8" ht="15.75" customHeight="1">
      <c r="A156" s="57"/>
      <c r="B156" s="57"/>
      <c r="C156" s="41"/>
      <c r="D156" s="41"/>
      <c r="E156" s="59"/>
      <c r="F156" s="59"/>
      <c r="G156" s="59"/>
      <c r="H156" s="41"/>
    </row>
    <row r="157" spans="1:8" ht="15.75" customHeight="1">
      <c r="A157" s="57"/>
      <c r="B157" s="57"/>
      <c r="C157" s="41"/>
      <c r="D157" s="41"/>
      <c r="E157" s="59"/>
      <c r="F157" s="59"/>
      <c r="G157" s="59"/>
      <c r="H157" s="41"/>
    </row>
    <row r="158" spans="1:8" ht="15.75" customHeight="1">
      <c r="A158" s="57"/>
      <c r="B158" s="57"/>
      <c r="C158" s="41"/>
      <c r="D158" s="41"/>
      <c r="E158" s="59"/>
      <c r="F158" s="59"/>
      <c r="G158" s="59"/>
      <c r="H158" s="41"/>
    </row>
    <row r="159" spans="1:8" ht="15.75" customHeight="1">
      <c r="A159" s="57"/>
      <c r="B159" s="57"/>
      <c r="C159" s="41"/>
      <c r="D159" s="41"/>
      <c r="E159" s="59"/>
      <c r="F159" s="59"/>
      <c r="G159" s="59"/>
      <c r="H159" s="41"/>
    </row>
    <row r="160" spans="1:8" ht="15.75" customHeight="1">
      <c r="A160" s="57"/>
      <c r="B160" s="57"/>
      <c r="C160" s="41"/>
      <c r="D160" s="41"/>
      <c r="E160" s="59"/>
      <c r="F160" s="59"/>
      <c r="G160" s="59"/>
      <c r="H160" s="41"/>
    </row>
    <row r="161" spans="1:8" ht="15.75" customHeight="1">
      <c r="A161" s="57"/>
      <c r="B161" s="57"/>
      <c r="C161" s="41"/>
      <c r="D161" s="41"/>
      <c r="E161" s="59"/>
      <c r="F161" s="59"/>
      <c r="G161" s="59"/>
      <c r="H161" s="41"/>
    </row>
    <row r="162" spans="1:8" ht="15.75" customHeight="1">
      <c r="A162" s="57"/>
      <c r="B162" s="57"/>
      <c r="C162" s="41"/>
      <c r="D162" s="41"/>
      <c r="E162" s="59"/>
      <c r="F162" s="59"/>
      <c r="G162" s="59"/>
      <c r="H162" s="41"/>
    </row>
    <row r="163" spans="1:8" ht="15.75" customHeight="1">
      <c r="A163" s="57"/>
      <c r="B163" s="57"/>
      <c r="C163" s="41"/>
      <c r="D163" s="41"/>
      <c r="E163" s="59"/>
      <c r="F163" s="59"/>
      <c r="G163" s="59"/>
      <c r="H163" s="41"/>
    </row>
    <row r="164" spans="1:8" ht="15.75" customHeight="1">
      <c r="A164" s="57"/>
      <c r="B164" s="57"/>
      <c r="C164" s="41"/>
      <c r="D164" s="41"/>
      <c r="E164" s="59"/>
      <c r="F164" s="59"/>
      <c r="G164" s="59"/>
      <c r="H164" s="41"/>
    </row>
    <row r="165" spans="1:8" ht="15.75" customHeight="1">
      <c r="A165" s="57"/>
      <c r="B165" s="57"/>
      <c r="C165" s="41"/>
      <c r="D165" s="41"/>
      <c r="E165" s="59"/>
      <c r="F165" s="59"/>
      <c r="G165" s="59"/>
      <c r="H165" s="41"/>
    </row>
    <row r="166" spans="1:8" ht="15.75" customHeight="1">
      <c r="A166" s="57"/>
      <c r="B166" s="57"/>
      <c r="C166" s="41"/>
      <c r="D166" s="41"/>
      <c r="E166" s="59"/>
      <c r="F166" s="59"/>
      <c r="G166" s="59"/>
      <c r="H166" s="41"/>
    </row>
    <row r="167" spans="1:8" ht="15.75" customHeight="1">
      <c r="A167" s="57"/>
      <c r="B167" s="57"/>
      <c r="C167" s="41"/>
      <c r="D167" s="41"/>
      <c r="E167" s="59"/>
      <c r="F167" s="59"/>
      <c r="G167" s="59"/>
      <c r="H167" s="41"/>
    </row>
    <row r="168" spans="1:8" ht="15.75" customHeight="1">
      <c r="A168" s="57"/>
      <c r="B168" s="57"/>
      <c r="C168" s="41"/>
      <c r="D168" s="41"/>
      <c r="E168" s="59"/>
      <c r="F168" s="59"/>
      <c r="G168" s="59"/>
      <c r="H168" s="41"/>
    </row>
    <row r="169" spans="1:8" ht="15.75" customHeight="1">
      <c r="A169" s="57"/>
      <c r="B169" s="57"/>
      <c r="C169" s="41"/>
      <c r="D169" s="41"/>
      <c r="E169" s="59"/>
      <c r="F169" s="59"/>
      <c r="G169" s="59"/>
      <c r="H169" s="41"/>
    </row>
    <row r="170" spans="1:8" ht="15.75" customHeight="1">
      <c r="A170" s="57"/>
      <c r="B170" s="57"/>
      <c r="C170" s="41"/>
      <c r="D170" s="41"/>
      <c r="E170" s="59"/>
      <c r="F170" s="59"/>
      <c r="G170" s="59"/>
      <c r="H170" s="41"/>
    </row>
    <row r="171" spans="1:8" ht="15.75" customHeight="1">
      <c r="A171" s="57"/>
      <c r="B171" s="57"/>
      <c r="C171" s="41"/>
      <c r="D171" s="41"/>
      <c r="E171" s="59"/>
      <c r="F171" s="59"/>
      <c r="G171" s="59"/>
      <c r="H171" s="41"/>
    </row>
    <row r="172" spans="1:8" ht="15.75" customHeight="1">
      <c r="A172" s="57"/>
      <c r="B172" s="57"/>
      <c r="C172" s="41"/>
      <c r="D172" s="41"/>
      <c r="E172" s="59"/>
      <c r="F172" s="59"/>
      <c r="G172" s="59"/>
      <c r="H172" s="41"/>
    </row>
    <row r="173" spans="1:8" ht="15.75" customHeight="1">
      <c r="A173" s="57"/>
      <c r="B173" s="57"/>
      <c r="C173" s="41"/>
      <c r="D173" s="41"/>
      <c r="E173" s="59"/>
      <c r="F173" s="59"/>
      <c r="G173" s="59"/>
      <c r="H173" s="41"/>
    </row>
    <row r="174" spans="1:8" ht="15.75" customHeight="1">
      <c r="A174" s="57"/>
      <c r="B174" s="57"/>
      <c r="C174" s="41"/>
      <c r="D174" s="41"/>
      <c r="E174" s="59"/>
      <c r="F174" s="59"/>
      <c r="G174" s="59"/>
      <c r="H174" s="41"/>
    </row>
    <row r="175" spans="1:8" ht="15.75" customHeight="1">
      <c r="A175" s="57"/>
      <c r="B175" s="57"/>
      <c r="C175" s="41"/>
      <c r="D175" s="41"/>
      <c r="E175" s="59"/>
      <c r="F175" s="59"/>
      <c r="G175" s="59"/>
      <c r="H175" s="41"/>
    </row>
    <row r="176" spans="1:8" ht="15.75" customHeight="1">
      <c r="A176" s="57"/>
      <c r="B176" s="57"/>
      <c r="C176" s="41"/>
      <c r="D176" s="41"/>
      <c r="E176" s="59"/>
      <c r="F176" s="59"/>
      <c r="G176" s="59"/>
      <c r="H176" s="41"/>
    </row>
    <row r="177" spans="1:8" ht="15.75" customHeight="1">
      <c r="A177" s="57"/>
      <c r="B177" s="57"/>
      <c r="C177" s="41"/>
      <c r="D177" s="41"/>
      <c r="E177" s="59"/>
      <c r="F177" s="59"/>
      <c r="G177" s="59"/>
      <c r="H177" s="41"/>
    </row>
    <row r="178" spans="1:8" ht="15.75" customHeight="1">
      <c r="A178" s="57"/>
      <c r="B178" s="57"/>
      <c r="C178" s="41"/>
      <c r="D178" s="41"/>
      <c r="E178" s="59"/>
      <c r="F178" s="59"/>
      <c r="G178" s="59"/>
      <c r="H178" s="41"/>
    </row>
    <row r="179" spans="1:8" ht="15.75" customHeight="1">
      <c r="A179" s="57"/>
      <c r="B179" s="57"/>
      <c r="C179" s="41"/>
      <c r="D179" s="41"/>
      <c r="E179" s="59"/>
      <c r="F179" s="59"/>
      <c r="G179" s="59"/>
      <c r="H179" s="41"/>
    </row>
    <row r="180" spans="1:8" ht="15.75" customHeight="1">
      <c r="A180" s="57"/>
      <c r="B180" s="57"/>
      <c r="C180" s="41"/>
      <c r="D180" s="41"/>
      <c r="E180" s="59"/>
      <c r="F180" s="59"/>
      <c r="G180" s="59"/>
      <c r="H180" s="41"/>
    </row>
    <row r="181" spans="1:8" ht="15.75" customHeight="1">
      <c r="A181" s="57"/>
      <c r="B181" s="57"/>
      <c r="C181" s="41"/>
      <c r="D181" s="41"/>
      <c r="E181" s="59"/>
      <c r="F181" s="59"/>
      <c r="G181" s="59"/>
      <c r="H181" s="41"/>
    </row>
    <row r="182" spans="1:8" ht="15.75" customHeight="1">
      <c r="A182" s="57"/>
      <c r="B182" s="57"/>
      <c r="C182" s="41"/>
      <c r="D182" s="41"/>
      <c r="E182" s="59"/>
      <c r="F182" s="59"/>
      <c r="G182" s="59"/>
      <c r="H182" s="41"/>
    </row>
    <row r="183" spans="1:8" ht="15.75" customHeight="1">
      <c r="A183" s="57"/>
      <c r="B183" s="57"/>
      <c r="C183" s="41"/>
      <c r="D183" s="41"/>
      <c r="E183" s="59"/>
      <c r="F183" s="59"/>
      <c r="G183" s="59"/>
      <c r="H183" s="41"/>
    </row>
    <row r="184" spans="1:8" ht="15.75" customHeight="1">
      <c r="A184" s="57"/>
      <c r="B184" s="57"/>
      <c r="C184" s="41"/>
      <c r="D184" s="41"/>
      <c r="E184" s="59"/>
      <c r="F184" s="59"/>
      <c r="G184" s="59"/>
      <c r="H184" s="41"/>
    </row>
    <row r="185" spans="1:8" ht="15.75" customHeight="1">
      <c r="A185" s="57"/>
      <c r="B185" s="57"/>
      <c r="C185" s="41"/>
      <c r="D185" s="41"/>
      <c r="E185" s="59"/>
      <c r="F185" s="59"/>
      <c r="G185" s="59"/>
      <c r="H185" s="41"/>
    </row>
    <row r="186" spans="1:8" ht="15.75" customHeight="1">
      <c r="A186" s="57"/>
      <c r="B186" s="57"/>
      <c r="C186" s="41"/>
      <c r="D186" s="41"/>
      <c r="E186" s="59"/>
      <c r="F186" s="59"/>
      <c r="G186" s="59"/>
      <c r="H186" s="41"/>
    </row>
    <row r="187" spans="1:8" ht="15.75" customHeight="1">
      <c r="A187" s="57"/>
      <c r="B187" s="57"/>
      <c r="C187" s="41"/>
      <c r="D187" s="41"/>
      <c r="E187" s="59"/>
      <c r="F187" s="59"/>
      <c r="G187" s="59"/>
      <c r="H187" s="41"/>
    </row>
    <row r="188" spans="1:8" ht="15.75" customHeight="1">
      <c r="A188" s="57"/>
      <c r="B188" s="57"/>
      <c r="C188" s="41"/>
      <c r="D188" s="41"/>
      <c r="E188" s="59"/>
      <c r="F188" s="59"/>
      <c r="G188" s="59"/>
      <c r="H188" s="41"/>
    </row>
    <row r="189" spans="1:8" ht="15.75" customHeight="1">
      <c r="A189" s="57"/>
      <c r="B189" s="57"/>
      <c r="C189" s="41"/>
      <c r="D189" s="41"/>
      <c r="E189" s="59"/>
      <c r="F189" s="59"/>
      <c r="G189" s="59"/>
      <c r="H189" s="41"/>
    </row>
    <row r="190" spans="1:8" ht="15.75" customHeight="1">
      <c r="A190" s="57"/>
      <c r="B190" s="57"/>
      <c r="C190" s="41"/>
      <c r="D190" s="41"/>
      <c r="E190" s="59"/>
      <c r="F190" s="59"/>
      <c r="G190" s="59"/>
      <c r="H190" s="41"/>
    </row>
    <row r="191" spans="1:8" ht="15.75" customHeight="1">
      <c r="A191" s="57"/>
      <c r="B191" s="57"/>
      <c r="C191" s="41"/>
      <c r="D191" s="41"/>
      <c r="E191" s="59"/>
      <c r="F191" s="59"/>
      <c r="G191" s="59"/>
      <c r="H191" s="41"/>
    </row>
    <row r="192" spans="1:8" ht="15.75" customHeight="1">
      <c r="A192" s="20"/>
      <c r="B192" s="20"/>
      <c r="C192" s="41"/>
      <c r="D192" s="21"/>
      <c r="E192" s="22"/>
      <c r="F192" s="22"/>
      <c r="G192" s="22"/>
      <c r="H192" s="21"/>
    </row>
    <row r="193" spans="1:8" ht="15.75" customHeight="1">
      <c r="A193" s="20"/>
      <c r="B193" s="20"/>
      <c r="C193" s="41"/>
      <c r="D193" s="21"/>
      <c r="E193" s="22"/>
      <c r="F193" s="22"/>
      <c r="G193" s="22"/>
      <c r="H193" s="21"/>
    </row>
    <row r="194" spans="1:8" ht="15.75" customHeight="1">
      <c r="A194" s="20"/>
      <c r="B194" s="20"/>
      <c r="C194" s="41"/>
      <c r="D194" s="21"/>
      <c r="E194" s="22"/>
      <c r="F194" s="22"/>
      <c r="G194" s="22"/>
      <c r="H194" s="21"/>
    </row>
    <row r="195" spans="1:8" ht="15.75" customHeight="1">
      <c r="A195" s="20"/>
      <c r="B195" s="20"/>
      <c r="C195" s="41"/>
      <c r="D195" s="21"/>
      <c r="E195" s="22"/>
      <c r="F195" s="22"/>
      <c r="G195" s="22"/>
      <c r="H195" s="21"/>
    </row>
    <row r="196" spans="1:8" ht="15.75" customHeight="1">
      <c r="A196" s="20"/>
      <c r="B196" s="20"/>
      <c r="C196" s="41"/>
      <c r="D196" s="21"/>
      <c r="E196" s="22"/>
      <c r="F196" s="22"/>
      <c r="G196" s="22"/>
      <c r="H196" s="21"/>
    </row>
    <row r="197" spans="1:8" ht="15.75" customHeight="1">
      <c r="A197" s="20"/>
      <c r="B197" s="20"/>
      <c r="C197" s="41"/>
      <c r="D197" s="21"/>
      <c r="E197" s="22"/>
      <c r="F197" s="22"/>
      <c r="G197" s="22"/>
      <c r="H197" s="21"/>
    </row>
    <row r="198" spans="1:8" ht="15.75" customHeight="1">
      <c r="A198" s="20"/>
      <c r="B198" s="20"/>
      <c r="C198" s="41"/>
      <c r="D198" s="21"/>
      <c r="E198" s="22"/>
      <c r="F198" s="22"/>
      <c r="G198" s="22"/>
      <c r="H198" s="21"/>
    </row>
    <row r="199" spans="1:8" ht="15.75" customHeight="1">
      <c r="A199" s="20"/>
      <c r="B199" s="20"/>
      <c r="C199" s="41"/>
      <c r="D199" s="21"/>
      <c r="E199" s="22"/>
      <c r="F199" s="22"/>
      <c r="G199" s="22"/>
      <c r="H199" s="21"/>
    </row>
    <row r="200" spans="1:8" ht="15.75" customHeight="1">
      <c r="A200" s="20"/>
      <c r="B200" s="20"/>
      <c r="C200" s="41"/>
      <c r="D200" s="21"/>
      <c r="E200" s="22"/>
      <c r="F200" s="22"/>
      <c r="G200" s="22"/>
      <c r="H200" s="21"/>
    </row>
    <row r="201" spans="1:8" ht="15.75" customHeight="1">
      <c r="A201" s="20"/>
      <c r="B201" s="20"/>
      <c r="C201" s="41"/>
      <c r="D201" s="21"/>
      <c r="E201" s="22"/>
      <c r="F201" s="22"/>
      <c r="G201" s="22"/>
      <c r="H201" s="21"/>
    </row>
    <row r="202" spans="1:8" ht="15.75" customHeight="1">
      <c r="A202" s="20"/>
      <c r="B202" s="20"/>
      <c r="C202" s="41"/>
      <c r="D202" s="21"/>
      <c r="E202" s="22"/>
      <c r="F202" s="22"/>
      <c r="G202" s="22"/>
      <c r="H202" s="21"/>
    </row>
    <row r="203" spans="1:8" ht="15.75" customHeight="1">
      <c r="A203" s="20"/>
      <c r="B203" s="20"/>
      <c r="C203" s="41"/>
      <c r="D203" s="21"/>
      <c r="E203" s="22"/>
      <c r="F203" s="22"/>
      <c r="G203" s="22"/>
      <c r="H203" s="21"/>
    </row>
    <row r="204" spans="1:8" ht="15.75" customHeight="1">
      <c r="A204" s="20"/>
      <c r="B204" s="20"/>
      <c r="C204" s="41"/>
      <c r="D204" s="21"/>
      <c r="E204" s="22"/>
      <c r="F204" s="22"/>
      <c r="G204" s="22"/>
      <c r="H204" s="21"/>
    </row>
    <row r="205" spans="1:8" ht="15.75" customHeight="1">
      <c r="A205" s="20"/>
      <c r="B205" s="20"/>
      <c r="C205" s="41"/>
      <c r="D205" s="21"/>
      <c r="E205" s="22"/>
      <c r="F205" s="22"/>
      <c r="G205" s="22"/>
      <c r="H205" s="21"/>
    </row>
    <row r="206" spans="1:8" ht="15.75" customHeight="1">
      <c r="A206" s="20"/>
      <c r="B206" s="20"/>
      <c r="C206" s="41"/>
      <c r="D206" s="21"/>
      <c r="E206" s="22"/>
      <c r="F206" s="22"/>
      <c r="G206" s="22"/>
      <c r="H206" s="21"/>
    </row>
    <row r="207" spans="1:8" ht="15.75" customHeight="1">
      <c r="A207" s="20"/>
      <c r="B207" s="20"/>
      <c r="C207" s="41"/>
      <c r="D207" s="21"/>
      <c r="E207" s="22"/>
      <c r="F207" s="22"/>
      <c r="G207" s="22"/>
      <c r="H207" s="21"/>
    </row>
    <row r="208" spans="1:8" ht="15.75" customHeight="1">
      <c r="A208" s="20"/>
      <c r="B208" s="20"/>
      <c r="C208" s="41"/>
      <c r="D208" s="21"/>
      <c r="E208" s="22"/>
      <c r="F208" s="22"/>
      <c r="G208" s="22"/>
      <c r="H208" s="21"/>
    </row>
    <row r="209" spans="1:8" ht="15.75" customHeight="1">
      <c r="A209" s="20"/>
      <c r="B209" s="20"/>
      <c r="C209" s="41"/>
      <c r="D209" s="21"/>
      <c r="E209" s="22"/>
      <c r="F209" s="22"/>
      <c r="G209" s="22"/>
      <c r="H209" s="21"/>
    </row>
    <row r="210" spans="1:8" ht="15.75" customHeight="1">
      <c r="A210" s="20"/>
      <c r="B210" s="20"/>
      <c r="C210" s="41"/>
      <c r="D210" s="21"/>
      <c r="E210" s="22"/>
      <c r="F210" s="22"/>
      <c r="G210" s="22"/>
      <c r="H210" s="21"/>
    </row>
    <row r="211" spans="1:8" ht="15.75" customHeight="1">
      <c r="A211" s="20"/>
      <c r="B211" s="20"/>
      <c r="C211" s="41"/>
      <c r="D211" s="21"/>
      <c r="E211" s="22"/>
      <c r="F211" s="22"/>
      <c r="G211" s="22"/>
      <c r="H211" s="21"/>
    </row>
    <row r="212" spans="1:8" ht="15.75" customHeight="1">
      <c r="A212" s="20"/>
      <c r="B212" s="20"/>
      <c r="C212" s="41"/>
      <c r="D212" s="21"/>
      <c r="E212" s="22"/>
      <c r="F212" s="22"/>
      <c r="G212" s="22"/>
      <c r="H212" s="21"/>
    </row>
    <row r="213" spans="1:8" ht="15.75" customHeight="1">
      <c r="A213" s="20"/>
      <c r="B213" s="20"/>
      <c r="C213" s="41"/>
      <c r="D213" s="21"/>
      <c r="E213" s="22"/>
      <c r="F213" s="22"/>
      <c r="G213" s="22"/>
      <c r="H213" s="21"/>
    </row>
    <row r="214" spans="1:8" ht="15.75" customHeight="1">
      <c r="A214" s="20"/>
      <c r="B214" s="20"/>
      <c r="C214" s="41"/>
      <c r="D214" s="21"/>
      <c r="E214" s="22"/>
      <c r="F214" s="22"/>
      <c r="G214" s="22"/>
      <c r="H214" s="21"/>
    </row>
    <row r="215" spans="1:8" ht="15.75" customHeight="1">
      <c r="A215" s="20"/>
      <c r="B215" s="20"/>
      <c r="C215" s="41"/>
      <c r="D215" s="21"/>
      <c r="E215" s="22"/>
      <c r="F215" s="22"/>
      <c r="G215" s="22"/>
      <c r="H215" s="21"/>
    </row>
    <row r="216" spans="1:8" ht="15.75" customHeight="1">
      <c r="A216" s="20"/>
      <c r="B216" s="20"/>
      <c r="C216" s="41"/>
      <c r="D216" s="21"/>
      <c r="E216" s="22"/>
      <c r="F216" s="22"/>
      <c r="G216" s="22"/>
      <c r="H216" s="21"/>
    </row>
    <row r="217" spans="1:8" ht="15.75" customHeight="1">
      <c r="A217" s="20"/>
      <c r="B217" s="20"/>
      <c r="C217" s="41"/>
      <c r="D217" s="21"/>
      <c r="E217" s="22"/>
      <c r="F217" s="22"/>
      <c r="G217" s="22"/>
      <c r="H217" s="21"/>
    </row>
    <row r="218" spans="1:8" ht="15.75" customHeight="1">
      <c r="A218" s="20"/>
      <c r="B218" s="20"/>
      <c r="C218" s="41"/>
      <c r="D218" s="21"/>
      <c r="E218" s="22"/>
      <c r="F218" s="22"/>
      <c r="G218" s="22"/>
      <c r="H218" s="21"/>
    </row>
    <row r="219" spans="1:8" ht="15.75" customHeight="1">
      <c r="A219" s="20"/>
      <c r="B219" s="20"/>
      <c r="C219" s="41"/>
      <c r="D219" s="21"/>
      <c r="E219" s="22"/>
      <c r="F219" s="22"/>
      <c r="G219" s="22"/>
      <c r="H219" s="21"/>
    </row>
    <row r="220" spans="1:8" ht="15.75" customHeight="1">
      <c r="A220" s="20"/>
      <c r="B220" s="20"/>
      <c r="C220" s="41"/>
      <c r="D220" s="21"/>
      <c r="E220" s="22"/>
      <c r="F220" s="22"/>
      <c r="G220" s="22"/>
      <c r="H220" s="21"/>
    </row>
    <row r="221" spans="1:8" ht="15.75" customHeight="1">
      <c r="C221" s="60"/>
    </row>
    <row r="222" spans="1:8" ht="15.75" customHeight="1">
      <c r="C222" s="60"/>
    </row>
    <row r="223" spans="1:8" ht="15.75" customHeight="1">
      <c r="C223" s="60"/>
    </row>
    <row r="224" spans="1:8" ht="15.75" customHeight="1">
      <c r="C224" s="60"/>
    </row>
    <row r="225" spans="3:3" ht="15.75" customHeight="1">
      <c r="C225" s="60"/>
    </row>
    <row r="226" spans="3:3" ht="15.75" customHeight="1">
      <c r="C226" s="60"/>
    </row>
    <row r="227" spans="3:3" ht="15.75" customHeight="1">
      <c r="C227" s="60"/>
    </row>
    <row r="228" spans="3:3" ht="15.75" customHeight="1">
      <c r="C228" s="60"/>
    </row>
    <row r="229" spans="3:3" ht="15.75" customHeight="1">
      <c r="C229" s="60"/>
    </row>
    <row r="230" spans="3:3" ht="15.75" customHeight="1">
      <c r="C230" s="60"/>
    </row>
    <row r="231" spans="3:3" ht="15.75" customHeight="1">
      <c r="C231" s="60"/>
    </row>
    <row r="232" spans="3:3" ht="15.75" customHeight="1">
      <c r="C232" s="60"/>
    </row>
    <row r="233" spans="3:3" ht="15.75" customHeight="1">
      <c r="C233" s="60"/>
    </row>
    <row r="234" spans="3:3" ht="15.75" customHeight="1">
      <c r="C234" s="60"/>
    </row>
    <row r="235" spans="3:3" ht="15.75" customHeight="1">
      <c r="C235" s="60"/>
    </row>
    <row r="236" spans="3:3" ht="15.75" customHeight="1">
      <c r="C236" s="60"/>
    </row>
    <row r="237" spans="3:3" ht="15.75" customHeight="1">
      <c r="C237" s="60"/>
    </row>
    <row r="238" spans="3:3" ht="15.75" customHeight="1">
      <c r="C238" s="60"/>
    </row>
    <row r="239" spans="3:3" ht="15.75" customHeight="1">
      <c r="C239" s="60"/>
    </row>
    <row r="240" spans="3:3" ht="15.75" customHeight="1">
      <c r="C240" s="60"/>
    </row>
    <row r="241" spans="3:3" ht="15.75" customHeight="1">
      <c r="C241" s="60"/>
    </row>
    <row r="242" spans="3:3" ht="15.75" customHeight="1">
      <c r="C242" s="60"/>
    </row>
    <row r="243" spans="3:3" ht="15.75" customHeight="1">
      <c r="C243" s="60"/>
    </row>
    <row r="244" spans="3:3" ht="15.75" customHeight="1">
      <c r="C244" s="60"/>
    </row>
    <row r="245" spans="3:3" ht="15.75" customHeight="1">
      <c r="C245" s="60"/>
    </row>
    <row r="246" spans="3:3" ht="15.75" customHeight="1">
      <c r="C246" s="60"/>
    </row>
    <row r="247" spans="3:3" ht="15.75" customHeight="1">
      <c r="C247" s="60"/>
    </row>
    <row r="248" spans="3:3" ht="15.75" customHeight="1">
      <c r="C248" s="60"/>
    </row>
    <row r="249" spans="3:3" ht="15.75" customHeight="1">
      <c r="C249" s="60"/>
    </row>
    <row r="250" spans="3:3" ht="15.75" customHeight="1">
      <c r="C250" s="60"/>
    </row>
    <row r="251" spans="3:3" ht="15.75" customHeight="1">
      <c r="C251" s="60"/>
    </row>
    <row r="252" spans="3:3" ht="15.75" customHeight="1">
      <c r="C252" s="60"/>
    </row>
    <row r="253" spans="3:3" ht="15.75" customHeight="1">
      <c r="C253" s="60"/>
    </row>
    <row r="254" spans="3:3" ht="15.75" customHeight="1">
      <c r="C254" s="60"/>
    </row>
    <row r="255" spans="3:3" ht="15.75" customHeight="1">
      <c r="C255" s="60"/>
    </row>
    <row r="256" spans="3:3" ht="15.75" customHeight="1">
      <c r="C256" s="60"/>
    </row>
    <row r="257" spans="3:3" ht="15.75" customHeight="1">
      <c r="C257" s="60"/>
    </row>
    <row r="258" spans="3:3" ht="15.75" customHeight="1">
      <c r="C258" s="60"/>
    </row>
    <row r="259" spans="3:3" ht="15.75" customHeight="1">
      <c r="C259" s="60"/>
    </row>
    <row r="260" spans="3:3" ht="15.75" customHeight="1">
      <c r="C260" s="60"/>
    </row>
    <row r="261" spans="3:3" ht="15.75" customHeight="1">
      <c r="C261" s="60"/>
    </row>
    <row r="262" spans="3:3" ht="15.75" customHeight="1">
      <c r="C262" s="60"/>
    </row>
    <row r="263" spans="3:3" ht="15.75" customHeight="1">
      <c r="C263" s="60"/>
    </row>
    <row r="264" spans="3:3" ht="15.75" customHeight="1">
      <c r="C264" s="60"/>
    </row>
    <row r="265" spans="3:3" ht="15.75" customHeight="1">
      <c r="C265" s="60"/>
    </row>
    <row r="266" spans="3:3" ht="15.75" customHeight="1">
      <c r="C266" s="60"/>
    </row>
    <row r="267" spans="3:3" ht="15.75" customHeight="1">
      <c r="C267" s="60"/>
    </row>
    <row r="268" spans="3:3" ht="15.75" customHeight="1">
      <c r="C268" s="60"/>
    </row>
    <row r="269" spans="3:3" ht="15.75" customHeight="1">
      <c r="C269" s="60"/>
    </row>
    <row r="270" spans="3:3" ht="15.75" customHeight="1">
      <c r="C270" s="60"/>
    </row>
    <row r="271" spans="3:3" ht="15.75" customHeight="1">
      <c r="C271" s="60"/>
    </row>
    <row r="272" spans="3:3" ht="15.75" customHeight="1">
      <c r="C272" s="60"/>
    </row>
    <row r="273" spans="3:3" ht="15.75" customHeight="1">
      <c r="C273" s="60"/>
    </row>
    <row r="274" spans="3:3" ht="15.75" customHeight="1">
      <c r="C274" s="60"/>
    </row>
    <row r="275" spans="3:3" ht="15.75" customHeight="1">
      <c r="C275" s="60"/>
    </row>
    <row r="276" spans="3:3" ht="15.75" customHeight="1">
      <c r="C276" s="60"/>
    </row>
    <row r="277" spans="3:3" ht="15.75" customHeight="1">
      <c r="C277" s="60"/>
    </row>
    <row r="278" spans="3:3" ht="15.75" customHeight="1">
      <c r="C278" s="60"/>
    </row>
    <row r="279" spans="3:3" ht="15.75" customHeight="1">
      <c r="C279" s="60"/>
    </row>
    <row r="280" spans="3:3" ht="15.75" customHeight="1">
      <c r="C280" s="60"/>
    </row>
    <row r="281" spans="3:3" ht="15.75" customHeight="1">
      <c r="C281" s="60"/>
    </row>
    <row r="282" spans="3:3" ht="15.75" customHeight="1">
      <c r="C282" s="60"/>
    </row>
    <row r="283" spans="3:3" ht="15.75" customHeight="1">
      <c r="C283" s="60"/>
    </row>
    <row r="284" spans="3:3" ht="15.75" customHeight="1">
      <c r="C284" s="60"/>
    </row>
    <row r="285" spans="3:3" ht="15.75" customHeight="1">
      <c r="C285" s="60"/>
    </row>
    <row r="286" spans="3:3" ht="15.75" customHeight="1">
      <c r="C286" s="60"/>
    </row>
    <row r="287" spans="3:3" ht="15.75" customHeight="1">
      <c r="C287" s="60"/>
    </row>
    <row r="288" spans="3:3" ht="15.75" customHeight="1">
      <c r="C288" s="60"/>
    </row>
    <row r="289" spans="3:3" ht="15.75" customHeight="1">
      <c r="C289" s="60"/>
    </row>
    <row r="290" spans="3:3" ht="15.75" customHeight="1">
      <c r="C290" s="60"/>
    </row>
    <row r="291" spans="3:3" ht="15.75" customHeight="1">
      <c r="C291" s="60"/>
    </row>
    <row r="292" spans="3:3" ht="15.75" customHeight="1">
      <c r="C292" s="60"/>
    </row>
    <row r="293" spans="3:3" ht="15.75" customHeight="1">
      <c r="C293" s="60"/>
    </row>
    <row r="294" spans="3:3" ht="15.75" customHeight="1">
      <c r="C294" s="60"/>
    </row>
    <row r="295" spans="3:3" ht="15.75" customHeight="1">
      <c r="C295" s="60"/>
    </row>
    <row r="296" spans="3:3" ht="15.75" customHeight="1">
      <c r="C296" s="60"/>
    </row>
    <row r="297" spans="3:3" ht="15.75" customHeight="1">
      <c r="C297" s="60"/>
    </row>
    <row r="298" spans="3:3" ht="15.75" customHeight="1">
      <c r="C298" s="60"/>
    </row>
    <row r="299" spans="3:3" ht="15.75" customHeight="1">
      <c r="C299" s="60"/>
    </row>
    <row r="300" spans="3:3" ht="15.75" customHeight="1">
      <c r="C300" s="60"/>
    </row>
    <row r="301" spans="3:3" ht="15.75" customHeight="1">
      <c r="C301" s="60"/>
    </row>
    <row r="302" spans="3:3" ht="15.75" customHeight="1">
      <c r="C302" s="60"/>
    </row>
    <row r="303" spans="3:3" ht="15.75" customHeight="1">
      <c r="C303" s="60"/>
    </row>
    <row r="304" spans="3:3" ht="15.75" customHeight="1">
      <c r="C304" s="60"/>
    </row>
    <row r="305" spans="3:3" ht="15.75" customHeight="1">
      <c r="C305" s="60"/>
    </row>
    <row r="306" spans="3:3" ht="15.75" customHeight="1">
      <c r="C306" s="60"/>
    </row>
    <row r="307" spans="3:3" ht="15.75" customHeight="1">
      <c r="C307" s="60"/>
    </row>
    <row r="308" spans="3:3" ht="15.75" customHeight="1">
      <c r="C308" s="60"/>
    </row>
    <row r="309" spans="3:3" ht="15.75" customHeight="1">
      <c r="C309" s="60"/>
    </row>
    <row r="310" spans="3:3" ht="15.75" customHeight="1">
      <c r="C310" s="60"/>
    </row>
    <row r="311" spans="3:3" ht="15.75" customHeight="1">
      <c r="C311" s="60"/>
    </row>
    <row r="312" spans="3:3" ht="15.75" customHeight="1">
      <c r="C312" s="60"/>
    </row>
    <row r="313" spans="3:3" ht="15.75" customHeight="1">
      <c r="C313" s="60"/>
    </row>
    <row r="314" spans="3:3" ht="15.75" customHeight="1">
      <c r="C314" s="60"/>
    </row>
    <row r="315" spans="3:3" ht="15.75" customHeight="1">
      <c r="C315" s="60"/>
    </row>
    <row r="316" spans="3:3" ht="15.75" customHeight="1">
      <c r="C316" s="60"/>
    </row>
    <row r="317" spans="3:3" ht="15.75" customHeight="1">
      <c r="C317" s="60"/>
    </row>
    <row r="318" spans="3:3" ht="15.75" customHeight="1">
      <c r="C318" s="60"/>
    </row>
    <row r="319" spans="3:3" ht="15.75" customHeight="1">
      <c r="C319" s="60"/>
    </row>
    <row r="320" spans="3:3" ht="15.75" customHeight="1">
      <c r="C320" s="60"/>
    </row>
    <row r="321" spans="3:3" ht="15.75" customHeight="1">
      <c r="C321" s="60"/>
    </row>
    <row r="322" spans="3:3" ht="15.75" customHeight="1">
      <c r="C322" s="60"/>
    </row>
    <row r="323" spans="3:3" ht="15.75" customHeight="1">
      <c r="C323" s="60"/>
    </row>
    <row r="324" spans="3:3" ht="15.75" customHeight="1">
      <c r="C324" s="60"/>
    </row>
    <row r="325" spans="3:3" ht="15.75" customHeight="1">
      <c r="C325" s="60"/>
    </row>
    <row r="326" spans="3:3" ht="15.75" customHeight="1">
      <c r="C326" s="60"/>
    </row>
    <row r="327" spans="3:3" ht="15.75" customHeight="1">
      <c r="C327" s="60"/>
    </row>
    <row r="328" spans="3:3" ht="15.75" customHeight="1">
      <c r="C328" s="60"/>
    </row>
    <row r="329" spans="3:3" ht="15.75" customHeight="1">
      <c r="C329" s="60"/>
    </row>
    <row r="330" spans="3:3" ht="15.75" customHeight="1">
      <c r="C330" s="60"/>
    </row>
    <row r="331" spans="3:3" ht="15.75" customHeight="1">
      <c r="C331" s="60"/>
    </row>
    <row r="332" spans="3:3" ht="15.75" customHeight="1">
      <c r="C332" s="60"/>
    </row>
    <row r="333" spans="3:3" ht="15.75" customHeight="1">
      <c r="C333" s="60"/>
    </row>
    <row r="334" spans="3:3" ht="15.75" customHeight="1">
      <c r="C334" s="60"/>
    </row>
    <row r="335" spans="3:3" ht="15.75" customHeight="1">
      <c r="C335" s="60"/>
    </row>
    <row r="336" spans="3:3" ht="15.75" customHeight="1">
      <c r="C336" s="60"/>
    </row>
    <row r="337" spans="3:3" ht="15.75" customHeight="1">
      <c r="C337" s="60"/>
    </row>
    <row r="338" spans="3:3" ht="15.75" customHeight="1">
      <c r="C338" s="60"/>
    </row>
    <row r="339" spans="3:3" ht="15.75" customHeight="1">
      <c r="C339" s="60"/>
    </row>
    <row r="340" spans="3:3" ht="15.75" customHeight="1">
      <c r="C340" s="60"/>
    </row>
    <row r="341" spans="3:3" ht="15.75" customHeight="1">
      <c r="C341" s="60"/>
    </row>
    <row r="342" spans="3:3" ht="15.75" customHeight="1">
      <c r="C342" s="60"/>
    </row>
    <row r="343" spans="3:3" ht="15.75" customHeight="1">
      <c r="C343" s="60"/>
    </row>
    <row r="344" spans="3:3" ht="15.75" customHeight="1">
      <c r="C344" s="60"/>
    </row>
    <row r="345" spans="3:3" ht="15.75" customHeight="1">
      <c r="C345" s="60"/>
    </row>
    <row r="346" spans="3:3" ht="15.75" customHeight="1">
      <c r="C346" s="60"/>
    </row>
    <row r="347" spans="3:3" ht="15.75" customHeight="1">
      <c r="C347" s="60"/>
    </row>
    <row r="348" spans="3:3" ht="15.75" customHeight="1">
      <c r="C348" s="60"/>
    </row>
    <row r="349" spans="3:3" ht="15.75" customHeight="1">
      <c r="C349" s="60"/>
    </row>
    <row r="350" spans="3:3" ht="15.75" customHeight="1">
      <c r="C350" s="60"/>
    </row>
    <row r="351" spans="3:3" ht="15.75" customHeight="1">
      <c r="C351" s="60"/>
    </row>
    <row r="352" spans="3:3" ht="15.75" customHeight="1">
      <c r="C352" s="60"/>
    </row>
    <row r="353" spans="3:3" ht="15.75" customHeight="1">
      <c r="C353" s="60"/>
    </row>
    <row r="354" spans="3:3" ht="15.75" customHeight="1">
      <c r="C354" s="60"/>
    </row>
    <row r="355" spans="3:3" ht="15.75" customHeight="1">
      <c r="C355" s="60"/>
    </row>
    <row r="356" spans="3:3" ht="15.75" customHeight="1">
      <c r="C356" s="60"/>
    </row>
    <row r="357" spans="3:3" ht="15.75" customHeight="1">
      <c r="C357" s="60"/>
    </row>
    <row r="358" spans="3:3" ht="15.75" customHeight="1">
      <c r="C358" s="60"/>
    </row>
    <row r="359" spans="3:3" ht="15.75" customHeight="1">
      <c r="C359" s="60"/>
    </row>
    <row r="360" spans="3:3" ht="15.75" customHeight="1">
      <c r="C360" s="60"/>
    </row>
    <row r="361" spans="3:3" ht="15.75" customHeight="1">
      <c r="C361" s="60"/>
    </row>
    <row r="362" spans="3:3" ht="15.75" customHeight="1">
      <c r="C362" s="60"/>
    </row>
    <row r="363" spans="3:3" ht="15.75" customHeight="1">
      <c r="C363" s="60"/>
    </row>
    <row r="364" spans="3:3" ht="15.75" customHeight="1">
      <c r="C364" s="60"/>
    </row>
    <row r="365" spans="3:3" ht="15.75" customHeight="1">
      <c r="C365" s="60"/>
    </row>
    <row r="366" spans="3:3" ht="15.75" customHeight="1">
      <c r="C366" s="60"/>
    </row>
    <row r="367" spans="3:3" ht="15.75" customHeight="1">
      <c r="C367" s="60"/>
    </row>
    <row r="368" spans="3:3" ht="15.75" customHeight="1">
      <c r="C368" s="60"/>
    </row>
    <row r="369" spans="3:3" ht="15.75" customHeight="1">
      <c r="C369" s="60"/>
    </row>
    <row r="370" spans="3:3" ht="15.75" customHeight="1">
      <c r="C370" s="60"/>
    </row>
    <row r="371" spans="3:3" ht="15.75" customHeight="1">
      <c r="C371" s="60"/>
    </row>
    <row r="372" spans="3:3" ht="15.75" customHeight="1">
      <c r="C372" s="60"/>
    </row>
    <row r="373" spans="3:3" ht="15.75" customHeight="1">
      <c r="C373" s="60"/>
    </row>
    <row r="374" spans="3:3" ht="15.75" customHeight="1">
      <c r="C374" s="60"/>
    </row>
    <row r="375" spans="3:3" ht="15.75" customHeight="1">
      <c r="C375" s="60"/>
    </row>
    <row r="376" spans="3:3" ht="15.75" customHeight="1">
      <c r="C376" s="60"/>
    </row>
    <row r="377" spans="3:3" ht="15.75" customHeight="1">
      <c r="C377" s="60"/>
    </row>
    <row r="378" spans="3:3" ht="15.75" customHeight="1">
      <c r="C378" s="60"/>
    </row>
    <row r="379" spans="3:3" ht="15.75" customHeight="1">
      <c r="C379" s="60"/>
    </row>
    <row r="380" spans="3:3" ht="15.75" customHeight="1">
      <c r="C380" s="60"/>
    </row>
    <row r="381" spans="3:3" ht="15.75" customHeight="1">
      <c r="C381" s="60"/>
    </row>
    <row r="382" spans="3:3" ht="15.75" customHeight="1">
      <c r="C382" s="60"/>
    </row>
    <row r="383" spans="3:3" ht="15.75" customHeight="1">
      <c r="C383" s="60"/>
    </row>
    <row r="384" spans="3:3" ht="15.75" customHeight="1">
      <c r="C384" s="60"/>
    </row>
    <row r="385" spans="3:3" ht="15.75" customHeight="1">
      <c r="C385" s="60"/>
    </row>
    <row r="386" spans="3:3" ht="15.75" customHeight="1">
      <c r="C386" s="60"/>
    </row>
    <row r="387" spans="3:3" ht="15.75" customHeight="1">
      <c r="C387" s="60"/>
    </row>
    <row r="388" spans="3:3" ht="15.75" customHeight="1">
      <c r="C388" s="60"/>
    </row>
    <row r="389" spans="3:3" ht="15.75" customHeight="1">
      <c r="C389" s="60"/>
    </row>
    <row r="390" spans="3:3" ht="15.75" customHeight="1">
      <c r="C390" s="60"/>
    </row>
    <row r="391" spans="3:3" ht="15.75" customHeight="1">
      <c r="C391" s="60"/>
    </row>
    <row r="392" spans="3:3" ht="15.75" customHeight="1">
      <c r="C392" s="60"/>
    </row>
    <row r="393" spans="3:3" ht="15.75" customHeight="1">
      <c r="C393" s="60"/>
    </row>
    <row r="394" spans="3:3" ht="15.75" customHeight="1">
      <c r="C394" s="60"/>
    </row>
    <row r="395" spans="3:3" ht="15.75" customHeight="1">
      <c r="C395" s="60"/>
    </row>
    <row r="396" spans="3:3" ht="15.75" customHeight="1">
      <c r="C396" s="60"/>
    </row>
    <row r="397" spans="3:3" ht="15.75" customHeight="1">
      <c r="C397" s="60"/>
    </row>
    <row r="398" spans="3:3" ht="15.75" customHeight="1">
      <c r="C398" s="60"/>
    </row>
    <row r="399" spans="3:3" ht="15.75" customHeight="1">
      <c r="C399" s="60"/>
    </row>
    <row r="400" spans="3:3" ht="15.75" customHeight="1">
      <c r="C400" s="60"/>
    </row>
    <row r="401" spans="3:3" ht="15.75" customHeight="1">
      <c r="C401" s="60"/>
    </row>
    <row r="402" spans="3:3" ht="15.75" customHeight="1">
      <c r="C402" s="60"/>
    </row>
    <row r="403" spans="3:3" ht="15.75" customHeight="1">
      <c r="C403" s="60"/>
    </row>
    <row r="404" spans="3:3" ht="15.75" customHeight="1">
      <c r="C404" s="60"/>
    </row>
    <row r="405" spans="3:3" ht="15.75" customHeight="1">
      <c r="C405" s="60"/>
    </row>
    <row r="406" spans="3:3" ht="15.75" customHeight="1">
      <c r="C406" s="60"/>
    </row>
    <row r="407" spans="3:3" ht="15.75" customHeight="1">
      <c r="C407" s="60"/>
    </row>
    <row r="408" spans="3:3" ht="15.75" customHeight="1">
      <c r="C408" s="60"/>
    </row>
    <row r="409" spans="3:3" ht="15.75" customHeight="1">
      <c r="C409" s="60"/>
    </row>
    <row r="410" spans="3:3" ht="15.75" customHeight="1">
      <c r="C410" s="60"/>
    </row>
    <row r="411" spans="3:3" ht="15.75" customHeight="1">
      <c r="C411" s="60"/>
    </row>
    <row r="412" spans="3:3" ht="15.75" customHeight="1">
      <c r="C412" s="60"/>
    </row>
    <row r="413" spans="3:3" ht="15.75" customHeight="1">
      <c r="C413" s="60"/>
    </row>
    <row r="414" spans="3:3" ht="15.75" customHeight="1">
      <c r="C414" s="60"/>
    </row>
    <row r="415" spans="3:3" ht="15.75" customHeight="1">
      <c r="C415" s="60"/>
    </row>
    <row r="416" spans="3:3" ht="15.75" customHeight="1">
      <c r="C416" s="60"/>
    </row>
    <row r="417" spans="3:3" ht="15.75" customHeight="1">
      <c r="C417" s="60"/>
    </row>
    <row r="418" spans="3:3" ht="15.75" customHeight="1">
      <c r="C418" s="60"/>
    </row>
    <row r="419" spans="3:3" ht="15.75" customHeight="1">
      <c r="C419" s="60"/>
    </row>
    <row r="420" spans="3:3" ht="15.75" customHeight="1">
      <c r="C420" s="60"/>
    </row>
    <row r="421" spans="3:3" ht="15.75" customHeight="1">
      <c r="C421" s="60"/>
    </row>
    <row r="422" spans="3:3" ht="15.75" customHeight="1">
      <c r="C422" s="60"/>
    </row>
    <row r="423" spans="3:3" ht="15.75" customHeight="1">
      <c r="C423" s="60"/>
    </row>
    <row r="424" spans="3:3" ht="15.75" customHeight="1">
      <c r="C424" s="60"/>
    </row>
    <row r="425" spans="3:3" ht="15.75" customHeight="1">
      <c r="C425" s="60"/>
    </row>
    <row r="426" spans="3:3" ht="15.75" customHeight="1">
      <c r="C426" s="60"/>
    </row>
    <row r="427" spans="3:3" ht="15.75" customHeight="1">
      <c r="C427" s="60"/>
    </row>
    <row r="428" spans="3:3" ht="15.75" customHeight="1">
      <c r="C428" s="60"/>
    </row>
    <row r="429" spans="3:3" ht="15.75" customHeight="1">
      <c r="C429" s="60"/>
    </row>
    <row r="430" spans="3:3" ht="15.75" customHeight="1">
      <c r="C430" s="60"/>
    </row>
    <row r="431" spans="3:3" ht="15.75" customHeight="1">
      <c r="C431" s="60"/>
    </row>
    <row r="432" spans="3:3" ht="15.75" customHeight="1">
      <c r="C432" s="60"/>
    </row>
    <row r="433" spans="3:3" ht="15.75" customHeight="1">
      <c r="C433" s="60"/>
    </row>
    <row r="434" spans="3:3" ht="15.75" customHeight="1">
      <c r="C434" s="60"/>
    </row>
    <row r="435" spans="3:3" ht="15.75" customHeight="1">
      <c r="C435" s="60"/>
    </row>
    <row r="436" spans="3:3" ht="15.75" customHeight="1">
      <c r="C436" s="60"/>
    </row>
    <row r="437" spans="3:3" ht="15.75" customHeight="1">
      <c r="C437" s="60"/>
    </row>
    <row r="438" spans="3:3" ht="15.75" customHeight="1">
      <c r="C438" s="60"/>
    </row>
    <row r="439" spans="3:3" ht="15.75" customHeight="1">
      <c r="C439" s="60"/>
    </row>
    <row r="440" spans="3:3" ht="15.75" customHeight="1">
      <c r="C440" s="60"/>
    </row>
    <row r="441" spans="3:3" ht="15.75" customHeight="1">
      <c r="C441" s="60"/>
    </row>
    <row r="442" spans="3:3" ht="15.75" customHeight="1">
      <c r="C442" s="60"/>
    </row>
    <row r="443" spans="3:3" ht="15.75" customHeight="1">
      <c r="C443" s="60"/>
    </row>
    <row r="444" spans="3:3" ht="15.75" customHeight="1">
      <c r="C444" s="60"/>
    </row>
    <row r="445" spans="3:3" ht="15.75" customHeight="1">
      <c r="C445" s="60"/>
    </row>
    <row r="446" spans="3:3" ht="15.75" customHeight="1">
      <c r="C446" s="60"/>
    </row>
    <row r="447" spans="3:3" ht="15.75" customHeight="1">
      <c r="C447" s="60"/>
    </row>
    <row r="448" spans="3:3" ht="15.75" customHeight="1">
      <c r="C448" s="60"/>
    </row>
    <row r="449" spans="3:3" ht="15.75" customHeight="1">
      <c r="C449" s="60"/>
    </row>
    <row r="450" spans="3:3" ht="15.75" customHeight="1">
      <c r="C450" s="60"/>
    </row>
    <row r="451" spans="3:3" ht="15.75" customHeight="1">
      <c r="C451" s="60"/>
    </row>
    <row r="452" spans="3:3" ht="15.75" customHeight="1">
      <c r="C452" s="60"/>
    </row>
    <row r="453" spans="3:3" ht="15.75" customHeight="1">
      <c r="C453" s="60"/>
    </row>
    <row r="454" spans="3:3" ht="15.75" customHeight="1">
      <c r="C454" s="60"/>
    </row>
    <row r="455" spans="3:3" ht="15.75" customHeight="1">
      <c r="C455" s="60"/>
    </row>
    <row r="456" spans="3:3" ht="15.75" customHeight="1">
      <c r="C456" s="60"/>
    </row>
    <row r="457" spans="3:3" ht="15.75" customHeight="1">
      <c r="C457" s="60"/>
    </row>
    <row r="458" spans="3:3" ht="15.75" customHeight="1">
      <c r="C458" s="60"/>
    </row>
    <row r="459" spans="3:3" ht="15.75" customHeight="1">
      <c r="C459" s="60"/>
    </row>
    <row r="460" spans="3:3" ht="15.75" customHeight="1">
      <c r="C460" s="60"/>
    </row>
    <row r="461" spans="3:3" ht="15.75" customHeight="1">
      <c r="C461" s="60"/>
    </row>
    <row r="462" spans="3:3" ht="15.75" customHeight="1">
      <c r="C462" s="60"/>
    </row>
    <row r="463" spans="3:3" ht="15.75" customHeight="1">
      <c r="C463" s="60"/>
    </row>
    <row r="464" spans="3:3" ht="15.75" customHeight="1">
      <c r="C464" s="60"/>
    </row>
    <row r="465" spans="3:3" ht="15.75" customHeight="1">
      <c r="C465" s="60"/>
    </row>
    <row r="466" spans="3:3" ht="15.75" customHeight="1">
      <c r="C466" s="60"/>
    </row>
    <row r="467" spans="3:3" ht="15.75" customHeight="1">
      <c r="C467" s="60"/>
    </row>
    <row r="468" spans="3:3" ht="15.75" customHeight="1">
      <c r="C468" s="60"/>
    </row>
    <row r="469" spans="3:3" ht="15.75" customHeight="1">
      <c r="C469" s="60"/>
    </row>
    <row r="470" spans="3:3" ht="15.75" customHeight="1">
      <c r="C470" s="60"/>
    </row>
    <row r="471" spans="3:3" ht="15.75" customHeight="1">
      <c r="C471" s="60"/>
    </row>
    <row r="472" spans="3:3" ht="15.75" customHeight="1">
      <c r="C472" s="60"/>
    </row>
    <row r="473" spans="3:3" ht="15.75" customHeight="1">
      <c r="C473" s="60"/>
    </row>
    <row r="474" spans="3:3" ht="15.75" customHeight="1">
      <c r="C474" s="60"/>
    </row>
    <row r="475" spans="3:3" ht="15.75" customHeight="1">
      <c r="C475" s="60"/>
    </row>
    <row r="476" spans="3:3" ht="15.75" customHeight="1">
      <c r="C476" s="60"/>
    </row>
    <row r="477" spans="3:3" ht="15.75" customHeight="1">
      <c r="C477" s="60"/>
    </row>
    <row r="478" spans="3:3" ht="15.75" customHeight="1">
      <c r="C478" s="60"/>
    </row>
    <row r="479" spans="3:3" ht="15.75" customHeight="1">
      <c r="C479" s="60"/>
    </row>
    <row r="480" spans="3:3" ht="15.75" customHeight="1">
      <c r="C480" s="60"/>
    </row>
    <row r="481" spans="3:3" ht="15.75" customHeight="1">
      <c r="C481" s="60"/>
    </row>
    <row r="482" spans="3:3" ht="15.75" customHeight="1">
      <c r="C482" s="60"/>
    </row>
    <row r="483" spans="3:3" ht="15.75" customHeight="1">
      <c r="C483" s="60"/>
    </row>
    <row r="484" spans="3:3" ht="15.75" customHeight="1">
      <c r="C484" s="60"/>
    </row>
    <row r="485" spans="3:3" ht="15.75" customHeight="1">
      <c r="C485" s="60"/>
    </row>
    <row r="486" spans="3:3" ht="15.75" customHeight="1">
      <c r="C486" s="60"/>
    </row>
    <row r="487" spans="3:3" ht="15.75" customHeight="1">
      <c r="C487" s="60"/>
    </row>
    <row r="488" spans="3:3" ht="15.75" customHeight="1">
      <c r="C488" s="60"/>
    </row>
    <row r="489" spans="3:3" ht="15.75" customHeight="1">
      <c r="C489" s="60"/>
    </row>
    <row r="490" spans="3:3" ht="15.75" customHeight="1">
      <c r="C490" s="60"/>
    </row>
    <row r="491" spans="3:3" ht="15.75" customHeight="1">
      <c r="C491" s="60"/>
    </row>
    <row r="492" spans="3:3" ht="15.75" customHeight="1">
      <c r="C492" s="60"/>
    </row>
    <row r="493" spans="3:3" ht="15.75" customHeight="1">
      <c r="C493" s="60"/>
    </row>
    <row r="494" spans="3:3" ht="15.75" customHeight="1">
      <c r="C494" s="60"/>
    </row>
    <row r="495" spans="3:3" ht="15.75" customHeight="1">
      <c r="C495" s="60"/>
    </row>
    <row r="496" spans="3:3" ht="15.75" customHeight="1">
      <c r="C496" s="60"/>
    </row>
    <row r="497" spans="3:3" ht="15.75" customHeight="1">
      <c r="C497" s="60"/>
    </row>
    <row r="498" spans="3:3" ht="15.75" customHeight="1">
      <c r="C498" s="60"/>
    </row>
    <row r="499" spans="3:3" ht="15.75" customHeight="1">
      <c r="C499" s="60"/>
    </row>
    <row r="500" spans="3:3" ht="15.75" customHeight="1">
      <c r="C500" s="60"/>
    </row>
    <row r="501" spans="3:3" ht="15.75" customHeight="1">
      <c r="C501" s="60"/>
    </row>
    <row r="502" spans="3:3" ht="15.75" customHeight="1">
      <c r="C502" s="60"/>
    </row>
    <row r="503" spans="3:3" ht="15.75" customHeight="1">
      <c r="C503" s="60"/>
    </row>
    <row r="504" spans="3:3" ht="15.75" customHeight="1">
      <c r="C504" s="60"/>
    </row>
    <row r="505" spans="3:3" ht="15.75" customHeight="1">
      <c r="C505" s="60"/>
    </row>
    <row r="506" spans="3:3" ht="15.75" customHeight="1">
      <c r="C506" s="60"/>
    </row>
    <row r="507" spans="3:3" ht="15.75" customHeight="1">
      <c r="C507" s="60"/>
    </row>
    <row r="508" spans="3:3" ht="15.75" customHeight="1">
      <c r="C508" s="60"/>
    </row>
    <row r="509" spans="3:3" ht="15.75" customHeight="1">
      <c r="C509" s="60"/>
    </row>
    <row r="510" spans="3:3" ht="15.75" customHeight="1">
      <c r="C510" s="60"/>
    </row>
    <row r="511" spans="3:3" ht="15.75" customHeight="1">
      <c r="C511" s="60"/>
    </row>
    <row r="512" spans="3:3" ht="15.75" customHeight="1">
      <c r="C512" s="60"/>
    </row>
    <row r="513" spans="3:3" ht="15.75" customHeight="1">
      <c r="C513" s="60"/>
    </row>
    <row r="514" spans="3:3" ht="15.75" customHeight="1">
      <c r="C514" s="60"/>
    </row>
    <row r="515" spans="3:3" ht="15.75" customHeight="1">
      <c r="C515" s="60"/>
    </row>
    <row r="516" spans="3:3" ht="15.75" customHeight="1">
      <c r="C516" s="60"/>
    </row>
    <row r="517" spans="3:3" ht="15.75" customHeight="1">
      <c r="C517" s="60"/>
    </row>
    <row r="518" spans="3:3" ht="15.75" customHeight="1">
      <c r="C518" s="60"/>
    </row>
    <row r="519" spans="3:3" ht="15.75" customHeight="1">
      <c r="C519" s="60"/>
    </row>
    <row r="520" spans="3:3" ht="15.75" customHeight="1">
      <c r="C520" s="60"/>
    </row>
    <row r="521" spans="3:3" ht="15.75" customHeight="1">
      <c r="C521" s="60"/>
    </row>
    <row r="522" spans="3:3" ht="15.75" customHeight="1">
      <c r="C522" s="60"/>
    </row>
    <row r="523" spans="3:3" ht="15.75" customHeight="1">
      <c r="C523" s="60"/>
    </row>
    <row r="524" spans="3:3" ht="15.75" customHeight="1">
      <c r="C524" s="60"/>
    </row>
    <row r="525" spans="3:3" ht="15.75" customHeight="1">
      <c r="C525" s="60"/>
    </row>
    <row r="526" spans="3:3" ht="15.75" customHeight="1">
      <c r="C526" s="60"/>
    </row>
    <row r="527" spans="3:3" ht="15.75" customHeight="1">
      <c r="C527" s="60"/>
    </row>
    <row r="528" spans="3:3" ht="15.75" customHeight="1">
      <c r="C528" s="60"/>
    </row>
    <row r="529" spans="3:3" ht="15.75" customHeight="1">
      <c r="C529" s="60"/>
    </row>
    <row r="530" spans="3:3" ht="15.75" customHeight="1">
      <c r="C530" s="60"/>
    </row>
    <row r="531" spans="3:3" ht="15.75" customHeight="1">
      <c r="C531" s="60"/>
    </row>
    <row r="532" spans="3:3" ht="15.75" customHeight="1">
      <c r="C532" s="60"/>
    </row>
    <row r="533" spans="3:3" ht="15.75" customHeight="1">
      <c r="C533" s="60"/>
    </row>
    <row r="534" spans="3:3" ht="15.75" customHeight="1">
      <c r="C534" s="60"/>
    </row>
    <row r="535" spans="3:3" ht="15.75" customHeight="1">
      <c r="C535" s="60"/>
    </row>
    <row r="536" spans="3:3" ht="15.75" customHeight="1">
      <c r="C536" s="60"/>
    </row>
    <row r="537" spans="3:3" ht="15.75" customHeight="1">
      <c r="C537" s="60"/>
    </row>
    <row r="538" spans="3:3" ht="15.75" customHeight="1">
      <c r="C538" s="60"/>
    </row>
    <row r="539" spans="3:3" ht="15.75" customHeight="1">
      <c r="C539" s="60"/>
    </row>
    <row r="540" spans="3:3" ht="15.75" customHeight="1">
      <c r="C540" s="60"/>
    </row>
    <row r="541" spans="3:3" ht="15.75" customHeight="1">
      <c r="C541" s="60"/>
    </row>
    <row r="542" spans="3:3" ht="15.75" customHeight="1">
      <c r="C542" s="60"/>
    </row>
    <row r="543" spans="3:3" ht="15.75" customHeight="1">
      <c r="C543" s="60"/>
    </row>
    <row r="544" spans="3:3" ht="15.75" customHeight="1">
      <c r="C544" s="60"/>
    </row>
    <row r="545" spans="3:3" ht="15.75" customHeight="1">
      <c r="C545" s="60"/>
    </row>
    <row r="546" spans="3:3" ht="15.75" customHeight="1">
      <c r="C546" s="60"/>
    </row>
    <row r="547" spans="3:3" ht="15.75" customHeight="1">
      <c r="C547" s="60"/>
    </row>
    <row r="548" spans="3:3" ht="15.75" customHeight="1">
      <c r="C548" s="60"/>
    </row>
    <row r="549" spans="3:3" ht="15.75" customHeight="1">
      <c r="C549" s="60"/>
    </row>
    <row r="550" spans="3:3" ht="15.75" customHeight="1">
      <c r="C550" s="60"/>
    </row>
    <row r="551" spans="3:3" ht="15.75" customHeight="1">
      <c r="C551" s="60"/>
    </row>
    <row r="552" spans="3:3" ht="15.75" customHeight="1">
      <c r="C552" s="60"/>
    </row>
    <row r="553" spans="3:3" ht="15.75" customHeight="1">
      <c r="C553" s="60"/>
    </row>
    <row r="554" spans="3:3" ht="15.75" customHeight="1">
      <c r="C554" s="60"/>
    </row>
    <row r="555" spans="3:3" ht="15.75" customHeight="1">
      <c r="C555" s="60"/>
    </row>
    <row r="556" spans="3:3" ht="15.75" customHeight="1">
      <c r="C556" s="60"/>
    </row>
    <row r="557" spans="3:3" ht="15.75" customHeight="1">
      <c r="C557" s="60"/>
    </row>
    <row r="558" spans="3:3" ht="15.75" customHeight="1">
      <c r="C558" s="60"/>
    </row>
    <row r="559" spans="3:3" ht="15.75" customHeight="1">
      <c r="C559" s="60"/>
    </row>
    <row r="560" spans="3:3" ht="15.75" customHeight="1">
      <c r="C560" s="60"/>
    </row>
    <row r="561" spans="3:3" ht="15.75" customHeight="1">
      <c r="C561" s="60"/>
    </row>
    <row r="562" spans="3:3" ht="15.75" customHeight="1">
      <c r="C562" s="60"/>
    </row>
    <row r="563" spans="3:3" ht="15.75" customHeight="1">
      <c r="C563" s="60"/>
    </row>
    <row r="564" spans="3:3" ht="15.75" customHeight="1">
      <c r="C564" s="60"/>
    </row>
    <row r="565" spans="3:3" ht="15.75" customHeight="1">
      <c r="C565" s="60"/>
    </row>
    <row r="566" spans="3:3" ht="15.75" customHeight="1">
      <c r="C566" s="60"/>
    </row>
    <row r="567" spans="3:3" ht="15.75" customHeight="1">
      <c r="C567" s="60"/>
    </row>
    <row r="568" spans="3:3" ht="15.75" customHeight="1">
      <c r="C568" s="60"/>
    </row>
    <row r="569" spans="3:3" ht="15.75" customHeight="1">
      <c r="C569" s="60"/>
    </row>
    <row r="570" spans="3:3" ht="15.75" customHeight="1">
      <c r="C570" s="60"/>
    </row>
    <row r="571" spans="3:3" ht="15.75" customHeight="1">
      <c r="C571" s="60"/>
    </row>
    <row r="572" spans="3:3" ht="15.75" customHeight="1">
      <c r="C572" s="60"/>
    </row>
    <row r="573" spans="3:3" ht="15.75" customHeight="1">
      <c r="C573" s="60"/>
    </row>
    <row r="574" spans="3:3" ht="15.75" customHeight="1">
      <c r="C574" s="60"/>
    </row>
    <row r="575" spans="3:3" ht="15.75" customHeight="1">
      <c r="C575" s="60"/>
    </row>
    <row r="576" spans="3:3" ht="15.75" customHeight="1">
      <c r="C576" s="60"/>
    </row>
    <row r="577" spans="3:3" ht="15.75" customHeight="1">
      <c r="C577" s="60"/>
    </row>
    <row r="578" spans="3:3" ht="15.75" customHeight="1">
      <c r="C578" s="60"/>
    </row>
    <row r="579" spans="3:3" ht="15.75" customHeight="1">
      <c r="C579" s="60"/>
    </row>
    <row r="580" spans="3:3" ht="15.75" customHeight="1">
      <c r="C580" s="60"/>
    </row>
    <row r="581" spans="3:3" ht="15.75" customHeight="1">
      <c r="C581" s="60"/>
    </row>
    <row r="582" spans="3:3" ht="15.75" customHeight="1">
      <c r="C582" s="60"/>
    </row>
    <row r="583" spans="3:3" ht="15.75" customHeight="1">
      <c r="C583" s="60"/>
    </row>
    <row r="584" spans="3:3" ht="15.75" customHeight="1">
      <c r="C584" s="60"/>
    </row>
    <row r="585" spans="3:3" ht="15.75" customHeight="1">
      <c r="C585" s="60"/>
    </row>
    <row r="586" spans="3:3" ht="15.75" customHeight="1">
      <c r="C586" s="60"/>
    </row>
    <row r="587" spans="3:3" ht="15.75" customHeight="1">
      <c r="C587" s="60"/>
    </row>
    <row r="588" spans="3:3" ht="15.75" customHeight="1">
      <c r="C588" s="60"/>
    </row>
    <row r="589" spans="3:3" ht="15.75" customHeight="1">
      <c r="C589" s="60"/>
    </row>
    <row r="590" spans="3:3" ht="15.75" customHeight="1">
      <c r="C590" s="60"/>
    </row>
    <row r="591" spans="3:3" ht="15.75" customHeight="1">
      <c r="C591" s="60"/>
    </row>
    <row r="592" spans="3:3" ht="15.75" customHeight="1">
      <c r="C592" s="60"/>
    </row>
    <row r="593" spans="3:3" ht="15.75" customHeight="1">
      <c r="C593" s="60"/>
    </row>
    <row r="594" spans="3:3" ht="15.75" customHeight="1">
      <c r="C594" s="60"/>
    </row>
    <row r="595" spans="3:3" ht="15.75" customHeight="1">
      <c r="C595" s="60"/>
    </row>
    <row r="596" spans="3:3" ht="15.75" customHeight="1">
      <c r="C596" s="60"/>
    </row>
    <row r="597" spans="3:3" ht="15.75" customHeight="1">
      <c r="C597" s="60"/>
    </row>
    <row r="598" spans="3:3" ht="15.75" customHeight="1">
      <c r="C598" s="60"/>
    </row>
    <row r="599" spans="3:3" ht="15.75" customHeight="1">
      <c r="C599" s="60"/>
    </row>
    <row r="600" spans="3:3" ht="15.75" customHeight="1">
      <c r="C600" s="60"/>
    </row>
    <row r="601" spans="3:3" ht="15.75" customHeight="1">
      <c r="C601" s="60"/>
    </row>
    <row r="602" spans="3:3" ht="15.75" customHeight="1">
      <c r="C602" s="60"/>
    </row>
    <row r="603" spans="3:3" ht="15.75" customHeight="1">
      <c r="C603" s="60"/>
    </row>
    <row r="604" spans="3:3" ht="15.75" customHeight="1">
      <c r="C604" s="60"/>
    </row>
    <row r="605" spans="3:3" ht="15.75" customHeight="1">
      <c r="C605" s="60"/>
    </row>
    <row r="606" spans="3:3" ht="15.75" customHeight="1">
      <c r="C606" s="60"/>
    </row>
    <row r="607" spans="3:3" ht="15.75" customHeight="1">
      <c r="C607" s="60"/>
    </row>
    <row r="608" spans="3:3" ht="15.75" customHeight="1">
      <c r="C608" s="60"/>
    </row>
    <row r="609" spans="3:3" ht="15.75" customHeight="1">
      <c r="C609" s="60"/>
    </row>
    <row r="610" spans="3:3" ht="15.75" customHeight="1">
      <c r="C610" s="60"/>
    </row>
    <row r="611" spans="3:3" ht="15.75" customHeight="1">
      <c r="C611" s="60"/>
    </row>
    <row r="612" spans="3:3" ht="15.75" customHeight="1">
      <c r="C612" s="60"/>
    </row>
    <row r="613" spans="3:3" ht="15.75" customHeight="1">
      <c r="C613" s="60"/>
    </row>
    <row r="614" spans="3:3" ht="15.75" customHeight="1">
      <c r="C614" s="60"/>
    </row>
    <row r="615" spans="3:3" ht="15.75" customHeight="1">
      <c r="C615" s="60"/>
    </row>
    <row r="616" spans="3:3" ht="15.75" customHeight="1">
      <c r="C616" s="60"/>
    </row>
    <row r="617" spans="3:3" ht="15.75" customHeight="1">
      <c r="C617" s="60"/>
    </row>
    <row r="618" spans="3:3" ht="15.75" customHeight="1">
      <c r="C618" s="60"/>
    </row>
    <row r="619" spans="3:3" ht="15.75" customHeight="1">
      <c r="C619" s="60"/>
    </row>
    <row r="620" spans="3:3" ht="15.75" customHeight="1">
      <c r="C620" s="60"/>
    </row>
    <row r="621" spans="3:3" ht="15.75" customHeight="1">
      <c r="C621" s="60"/>
    </row>
    <row r="622" spans="3:3" ht="15.75" customHeight="1">
      <c r="C622" s="60"/>
    </row>
    <row r="623" spans="3:3" ht="15.75" customHeight="1">
      <c r="C623" s="60"/>
    </row>
    <row r="624" spans="3:3" ht="15.75" customHeight="1">
      <c r="C624" s="60"/>
    </row>
    <row r="625" spans="3:3" ht="15.75" customHeight="1">
      <c r="C625" s="60"/>
    </row>
    <row r="626" spans="3:3" ht="15.75" customHeight="1">
      <c r="C626" s="60"/>
    </row>
    <row r="627" spans="3:3" ht="15.75" customHeight="1">
      <c r="C627" s="60"/>
    </row>
    <row r="628" spans="3:3" ht="15.75" customHeight="1">
      <c r="C628" s="60"/>
    </row>
    <row r="629" spans="3:3" ht="15.75" customHeight="1">
      <c r="C629" s="60"/>
    </row>
    <row r="630" spans="3:3" ht="15.75" customHeight="1">
      <c r="C630" s="60"/>
    </row>
    <row r="631" spans="3:3" ht="15.75" customHeight="1">
      <c r="C631" s="60"/>
    </row>
    <row r="632" spans="3:3" ht="15.75" customHeight="1">
      <c r="C632" s="60"/>
    </row>
    <row r="633" spans="3:3" ht="15.75" customHeight="1">
      <c r="C633" s="60"/>
    </row>
    <row r="634" spans="3:3" ht="15.75" customHeight="1">
      <c r="C634" s="60"/>
    </row>
    <row r="635" spans="3:3" ht="15.75" customHeight="1">
      <c r="C635" s="60"/>
    </row>
    <row r="636" spans="3:3" ht="15.75" customHeight="1">
      <c r="C636" s="60"/>
    </row>
    <row r="637" spans="3:3" ht="15.75" customHeight="1">
      <c r="C637" s="60"/>
    </row>
    <row r="638" spans="3:3" ht="15.75" customHeight="1">
      <c r="C638" s="60"/>
    </row>
    <row r="639" spans="3:3" ht="15.75" customHeight="1">
      <c r="C639" s="60"/>
    </row>
    <row r="640" spans="3:3" ht="15.75" customHeight="1">
      <c r="C640" s="60"/>
    </row>
    <row r="641" spans="3:3" ht="15.75" customHeight="1">
      <c r="C641" s="60"/>
    </row>
    <row r="642" spans="3:3" ht="15.75" customHeight="1">
      <c r="C642" s="60"/>
    </row>
    <row r="643" spans="3:3" ht="15.75" customHeight="1">
      <c r="C643" s="60"/>
    </row>
    <row r="644" spans="3:3" ht="15.75" customHeight="1">
      <c r="C644" s="60"/>
    </row>
    <row r="645" spans="3:3" ht="15.75" customHeight="1">
      <c r="C645" s="60"/>
    </row>
    <row r="646" spans="3:3" ht="15.75" customHeight="1">
      <c r="C646" s="60"/>
    </row>
    <row r="647" spans="3:3" ht="15.75" customHeight="1">
      <c r="C647" s="60"/>
    </row>
    <row r="648" spans="3:3" ht="15.75" customHeight="1">
      <c r="C648" s="60"/>
    </row>
    <row r="649" spans="3:3" ht="15.75" customHeight="1">
      <c r="C649" s="60"/>
    </row>
    <row r="650" spans="3:3" ht="15.75" customHeight="1">
      <c r="C650" s="60"/>
    </row>
    <row r="651" spans="3:3" ht="15.75" customHeight="1">
      <c r="C651" s="60"/>
    </row>
    <row r="652" spans="3:3" ht="15.75" customHeight="1">
      <c r="C652" s="60"/>
    </row>
    <row r="653" spans="3:3" ht="15.75" customHeight="1">
      <c r="C653" s="60"/>
    </row>
    <row r="654" spans="3:3" ht="15.75" customHeight="1">
      <c r="C654" s="60"/>
    </row>
    <row r="655" spans="3:3" ht="15.75" customHeight="1">
      <c r="C655" s="60"/>
    </row>
    <row r="656" spans="3:3" ht="15.75" customHeight="1">
      <c r="C656" s="60"/>
    </row>
    <row r="657" spans="3:3" ht="15.75" customHeight="1">
      <c r="C657" s="60"/>
    </row>
    <row r="658" spans="3:3" ht="15.75" customHeight="1">
      <c r="C658" s="60"/>
    </row>
    <row r="659" spans="3:3" ht="15.75" customHeight="1">
      <c r="C659" s="60"/>
    </row>
    <row r="660" spans="3:3" ht="15.75" customHeight="1">
      <c r="C660" s="60"/>
    </row>
    <row r="661" spans="3:3" ht="15.75" customHeight="1">
      <c r="C661" s="60"/>
    </row>
    <row r="662" spans="3:3" ht="15.75" customHeight="1">
      <c r="C662" s="60"/>
    </row>
    <row r="663" spans="3:3" ht="15.75" customHeight="1">
      <c r="C663" s="60"/>
    </row>
    <row r="664" spans="3:3" ht="15.75" customHeight="1">
      <c r="C664" s="60"/>
    </row>
    <row r="665" spans="3:3" ht="15.75" customHeight="1">
      <c r="C665" s="60"/>
    </row>
    <row r="666" spans="3:3" ht="15.75" customHeight="1">
      <c r="C666" s="60"/>
    </row>
    <row r="667" spans="3:3" ht="15.75" customHeight="1">
      <c r="C667" s="60"/>
    </row>
    <row r="668" spans="3:3" ht="15.75" customHeight="1">
      <c r="C668" s="60"/>
    </row>
    <row r="669" spans="3:3" ht="15.75" customHeight="1">
      <c r="C669" s="60"/>
    </row>
    <row r="670" spans="3:3" ht="15.75" customHeight="1">
      <c r="C670" s="60"/>
    </row>
    <row r="671" spans="3:3" ht="15.75" customHeight="1">
      <c r="C671" s="60"/>
    </row>
    <row r="672" spans="3:3" ht="15.75" customHeight="1">
      <c r="C672" s="60"/>
    </row>
    <row r="673" spans="3:3" ht="15.75" customHeight="1">
      <c r="C673" s="60"/>
    </row>
    <row r="674" spans="3:3" ht="15.75" customHeight="1">
      <c r="C674" s="60"/>
    </row>
    <row r="675" spans="3:3" ht="15.75" customHeight="1">
      <c r="C675" s="60"/>
    </row>
    <row r="676" spans="3:3" ht="15.75" customHeight="1">
      <c r="C676" s="60"/>
    </row>
    <row r="677" spans="3:3" ht="15.75" customHeight="1">
      <c r="C677" s="60"/>
    </row>
    <row r="678" spans="3:3" ht="15.75" customHeight="1">
      <c r="C678" s="60"/>
    </row>
    <row r="679" spans="3:3" ht="15.75" customHeight="1">
      <c r="C679" s="60"/>
    </row>
    <row r="680" spans="3:3" ht="15.75" customHeight="1">
      <c r="C680" s="60"/>
    </row>
    <row r="681" spans="3:3" ht="15.75" customHeight="1">
      <c r="C681" s="60"/>
    </row>
    <row r="682" spans="3:3" ht="15.75" customHeight="1">
      <c r="C682" s="60"/>
    </row>
    <row r="683" spans="3:3" ht="15.75" customHeight="1">
      <c r="C683" s="60"/>
    </row>
    <row r="684" spans="3:3" ht="15.75" customHeight="1">
      <c r="C684" s="60"/>
    </row>
    <row r="685" spans="3:3" ht="15.75" customHeight="1">
      <c r="C685" s="60"/>
    </row>
    <row r="686" spans="3:3" ht="15.75" customHeight="1">
      <c r="C686" s="60"/>
    </row>
    <row r="687" spans="3:3" ht="15.75" customHeight="1">
      <c r="C687" s="60"/>
    </row>
    <row r="688" spans="3:3" ht="15.75" customHeight="1">
      <c r="C688" s="60"/>
    </row>
    <row r="689" spans="3:3" ht="15.75" customHeight="1">
      <c r="C689" s="60"/>
    </row>
    <row r="690" spans="3:3" ht="15.75" customHeight="1">
      <c r="C690" s="60"/>
    </row>
    <row r="691" spans="3:3" ht="15.75" customHeight="1">
      <c r="C691" s="60"/>
    </row>
    <row r="692" spans="3:3" ht="15.75" customHeight="1">
      <c r="C692" s="60"/>
    </row>
    <row r="693" spans="3:3" ht="15.75" customHeight="1">
      <c r="C693" s="60"/>
    </row>
    <row r="694" spans="3:3" ht="15.75" customHeight="1">
      <c r="C694" s="60"/>
    </row>
    <row r="695" spans="3:3" ht="15.75" customHeight="1">
      <c r="C695" s="60"/>
    </row>
    <row r="696" spans="3:3" ht="15.75" customHeight="1">
      <c r="C696" s="60"/>
    </row>
    <row r="697" spans="3:3" ht="15.75" customHeight="1">
      <c r="C697" s="60"/>
    </row>
    <row r="698" spans="3:3" ht="15.75" customHeight="1">
      <c r="C698" s="60"/>
    </row>
    <row r="699" spans="3:3" ht="15.75" customHeight="1">
      <c r="C699" s="60"/>
    </row>
    <row r="700" spans="3:3" ht="15.75" customHeight="1">
      <c r="C700" s="60"/>
    </row>
    <row r="701" spans="3:3" ht="15.75" customHeight="1">
      <c r="C701" s="60"/>
    </row>
    <row r="702" spans="3:3" ht="15.75" customHeight="1">
      <c r="C702" s="60"/>
    </row>
    <row r="703" spans="3:3" ht="15.75" customHeight="1">
      <c r="C703" s="60"/>
    </row>
    <row r="704" spans="3:3" ht="15.75" customHeight="1">
      <c r="C704" s="60"/>
    </row>
    <row r="705" spans="3:3" ht="15.75" customHeight="1">
      <c r="C705" s="60"/>
    </row>
    <row r="706" spans="3:3" ht="15.75" customHeight="1">
      <c r="C706" s="60"/>
    </row>
    <row r="707" spans="3:3" ht="15.75" customHeight="1">
      <c r="C707" s="60"/>
    </row>
    <row r="708" spans="3:3" ht="15.75" customHeight="1">
      <c r="C708" s="60"/>
    </row>
    <row r="709" spans="3:3" ht="15.75" customHeight="1">
      <c r="C709" s="60"/>
    </row>
    <row r="710" spans="3:3" ht="15.75" customHeight="1">
      <c r="C710" s="60"/>
    </row>
    <row r="711" spans="3:3" ht="15.75" customHeight="1">
      <c r="C711" s="60"/>
    </row>
    <row r="712" spans="3:3" ht="15.75" customHeight="1">
      <c r="C712" s="60"/>
    </row>
    <row r="713" spans="3:3" ht="15.75" customHeight="1">
      <c r="C713" s="60"/>
    </row>
    <row r="714" spans="3:3" ht="15.75" customHeight="1">
      <c r="C714" s="60"/>
    </row>
    <row r="715" spans="3:3" ht="15.75" customHeight="1">
      <c r="C715" s="60"/>
    </row>
    <row r="716" spans="3:3" ht="15.75" customHeight="1">
      <c r="C716" s="60"/>
    </row>
    <row r="717" spans="3:3" ht="15.75" customHeight="1">
      <c r="C717" s="60"/>
    </row>
    <row r="718" spans="3:3" ht="15.75" customHeight="1">
      <c r="C718" s="60"/>
    </row>
    <row r="719" spans="3:3" ht="15.75" customHeight="1">
      <c r="C719" s="60"/>
    </row>
    <row r="720" spans="3:3" ht="15.75" customHeight="1">
      <c r="C720" s="60"/>
    </row>
    <row r="721" spans="3:3" ht="15.75" customHeight="1">
      <c r="C721" s="60"/>
    </row>
    <row r="722" spans="3:3" ht="15.75" customHeight="1">
      <c r="C722" s="60"/>
    </row>
    <row r="723" spans="3:3" ht="15.75" customHeight="1">
      <c r="C723" s="60"/>
    </row>
    <row r="724" spans="3:3" ht="15.75" customHeight="1">
      <c r="C724" s="60"/>
    </row>
    <row r="725" spans="3:3" ht="15.75" customHeight="1">
      <c r="C725" s="60"/>
    </row>
    <row r="726" spans="3:3" ht="15.75" customHeight="1">
      <c r="C726" s="60"/>
    </row>
    <row r="727" spans="3:3" ht="15.75" customHeight="1">
      <c r="C727" s="60"/>
    </row>
    <row r="728" spans="3:3" ht="15.75" customHeight="1">
      <c r="C728" s="60"/>
    </row>
    <row r="729" spans="3:3" ht="15.75" customHeight="1">
      <c r="C729" s="60"/>
    </row>
    <row r="730" spans="3:3" ht="15.75" customHeight="1">
      <c r="C730" s="60"/>
    </row>
    <row r="731" spans="3:3" ht="15.75" customHeight="1">
      <c r="C731" s="60"/>
    </row>
    <row r="732" spans="3:3" ht="15.75" customHeight="1">
      <c r="C732" s="60"/>
    </row>
    <row r="733" spans="3:3" ht="15.75" customHeight="1">
      <c r="C733" s="60"/>
    </row>
    <row r="734" spans="3:3" ht="15.75" customHeight="1">
      <c r="C734" s="60"/>
    </row>
    <row r="735" spans="3:3" ht="15.75" customHeight="1">
      <c r="C735" s="60"/>
    </row>
    <row r="736" spans="3:3" ht="15.75" customHeight="1">
      <c r="C736" s="60"/>
    </row>
    <row r="737" spans="3:3" ht="15.75" customHeight="1">
      <c r="C737" s="60"/>
    </row>
    <row r="738" spans="3:3" ht="15.75" customHeight="1">
      <c r="C738" s="60"/>
    </row>
    <row r="739" spans="3:3" ht="15.75" customHeight="1">
      <c r="C739" s="60"/>
    </row>
    <row r="740" spans="3:3" ht="15.75" customHeight="1">
      <c r="C740" s="60"/>
    </row>
    <row r="741" spans="3:3" ht="15.75" customHeight="1">
      <c r="C741" s="60"/>
    </row>
    <row r="742" spans="3:3" ht="15.75" customHeight="1">
      <c r="C742" s="60"/>
    </row>
    <row r="743" spans="3:3" ht="15.75" customHeight="1">
      <c r="C743" s="60"/>
    </row>
    <row r="744" spans="3:3" ht="15.75" customHeight="1">
      <c r="C744" s="60"/>
    </row>
    <row r="745" spans="3:3" ht="15.75" customHeight="1">
      <c r="C745" s="60"/>
    </row>
    <row r="746" spans="3:3" ht="15.75" customHeight="1">
      <c r="C746" s="60"/>
    </row>
    <row r="747" spans="3:3" ht="15.75" customHeight="1">
      <c r="C747" s="60"/>
    </row>
    <row r="748" spans="3:3" ht="15.75" customHeight="1">
      <c r="C748" s="60"/>
    </row>
    <row r="749" spans="3:3" ht="15.75" customHeight="1">
      <c r="C749" s="60"/>
    </row>
    <row r="750" spans="3:3" ht="15.75" customHeight="1">
      <c r="C750" s="60"/>
    </row>
    <row r="751" spans="3:3" ht="15.75" customHeight="1">
      <c r="C751" s="60"/>
    </row>
    <row r="752" spans="3:3" ht="15.75" customHeight="1">
      <c r="C752" s="60"/>
    </row>
    <row r="753" spans="3:3" ht="15.75" customHeight="1">
      <c r="C753" s="60"/>
    </row>
    <row r="754" spans="3:3" ht="15.75" customHeight="1">
      <c r="C754" s="60"/>
    </row>
    <row r="755" spans="3:3" ht="15.75" customHeight="1">
      <c r="C755" s="60"/>
    </row>
    <row r="756" spans="3:3" ht="15.75" customHeight="1">
      <c r="C756" s="60"/>
    </row>
    <row r="757" spans="3:3" ht="15.75" customHeight="1">
      <c r="C757" s="60"/>
    </row>
    <row r="758" spans="3:3" ht="15.75" customHeight="1">
      <c r="C758" s="60"/>
    </row>
    <row r="759" spans="3:3" ht="15.75" customHeight="1">
      <c r="C759" s="60"/>
    </row>
    <row r="760" spans="3:3" ht="15.75" customHeight="1">
      <c r="C760" s="60"/>
    </row>
    <row r="761" spans="3:3" ht="15.75" customHeight="1">
      <c r="C761" s="60"/>
    </row>
    <row r="762" spans="3:3" ht="15.75" customHeight="1">
      <c r="C762" s="60"/>
    </row>
    <row r="763" spans="3:3" ht="15.75" customHeight="1">
      <c r="C763" s="60"/>
    </row>
    <row r="764" spans="3:3" ht="15.75" customHeight="1">
      <c r="C764" s="60"/>
    </row>
    <row r="765" spans="3:3" ht="15.75" customHeight="1">
      <c r="C765" s="60"/>
    </row>
    <row r="766" spans="3:3" ht="15.75" customHeight="1">
      <c r="C766" s="60"/>
    </row>
    <row r="767" spans="3:3" ht="15.75" customHeight="1">
      <c r="C767" s="60"/>
    </row>
    <row r="768" spans="3:3" ht="15.75" customHeight="1">
      <c r="C768" s="60"/>
    </row>
    <row r="769" spans="3:3" ht="15.75" customHeight="1">
      <c r="C769" s="60"/>
    </row>
    <row r="770" spans="3:3" ht="15.75" customHeight="1">
      <c r="C770" s="60"/>
    </row>
    <row r="771" spans="3:3" ht="15.75" customHeight="1">
      <c r="C771" s="60"/>
    </row>
    <row r="772" spans="3:3" ht="15.75" customHeight="1">
      <c r="C772" s="60"/>
    </row>
    <row r="773" spans="3:3" ht="15.75" customHeight="1">
      <c r="C773" s="60"/>
    </row>
    <row r="774" spans="3:3" ht="15.75" customHeight="1">
      <c r="C774" s="60"/>
    </row>
    <row r="775" spans="3:3" ht="15.75" customHeight="1">
      <c r="C775" s="60"/>
    </row>
    <row r="776" spans="3:3" ht="15.75" customHeight="1">
      <c r="C776" s="60"/>
    </row>
    <row r="777" spans="3:3" ht="15.75" customHeight="1">
      <c r="C777" s="60"/>
    </row>
    <row r="778" spans="3:3" ht="15.75" customHeight="1">
      <c r="C778" s="60"/>
    </row>
    <row r="779" spans="3:3" ht="15.75" customHeight="1">
      <c r="C779" s="60"/>
    </row>
    <row r="780" spans="3:3" ht="15.75" customHeight="1">
      <c r="C780" s="60"/>
    </row>
    <row r="781" spans="3:3" ht="15.75" customHeight="1">
      <c r="C781" s="60"/>
    </row>
    <row r="782" spans="3:3" ht="15.75" customHeight="1">
      <c r="C782" s="60"/>
    </row>
    <row r="783" spans="3:3" ht="15.75" customHeight="1">
      <c r="C783" s="60"/>
    </row>
    <row r="784" spans="3:3" ht="15.75" customHeight="1">
      <c r="C784" s="60"/>
    </row>
    <row r="785" spans="3:3" ht="15.75" customHeight="1">
      <c r="C785" s="60"/>
    </row>
    <row r="786" spans="3:3" ht="15.75" customHeight="1">
      <c r="C786" s="60"/>
    </row>
    <row r="787" spans="3:3" ht="15.75" customHeight="1">
      <c r="C787" s="60"/>
    </row>
    <row r="788" spans="3:3" ht="15.75" customHeight="1">
      <c r="C788" s="60"/>
    </row>
    <row r="789" spans="3:3" ht="15.75" customHeight="1">
      <c r="C789" s="60"/>
    </row>
    <row r="790" spans="3:3" ht="15.75" customHeight="1">
      <c r="C790" s="60"/>
    </row>
    <row r="791" spans="3:3" ht="15.75" customHeight="1">
      <c r="C791" s="60"/>
    </row>
    <row r="792" spans="3:3" ht="15.75" customHeight="1">
      <c r="C792" s="60"/>
    </row>
    <row r="793" spans="3:3" ht="15.75" customHeight="1">
      <c r="C793" s="60"/>
    </row>
    <row r="794" spans="3:3" ht="15.75" customHeight="1">
      <c r="C794" s="60"/>
    </row>
    <row r="795" spans="3:3" ht="15.75" customHeight="1">
      <c r="C795" s="60"/>
    </row>
    <row r="796" spans="3:3" ht="15.75" customHeight="1">
      <c r="C796" s="60"/>
    </row>
    <row r="797" spans="3:3" ht="15.75" customHeight="1">
      <c r="C797" s="60"/>
    </row>
    <row r="798" spans="3:3" ht="15.75" customHeight="1">
      <c r="C798" s="60"/>
    </row>
    <row r="799" spans="3:3" ht="15.75" customHeight="1">
      <c r="C799" s="60"/>
    </row>
    <row r="800" spans="3:3" ht="15.75" customHeight="1">
      <c r="C800" s="60"/>
    </row>
    <row r="801" spans="3:3" ht="15.75" customHeight="1">
      <c r="C801" s="60"/>
    </row>
    <row r="802" spans="3:3" ht="15.75" customHeight="1">
      <c r="C802" s="60"/>
    </row>
    <row r="803" spans="3:3" ht="15.75" customHeight="1">
      <c r="C803" s="60"/>
    </row>
    <row r="804" spans="3:3" ht="15.75" customHeight="1">
      <c r="C804" s="60"/>
    </row>
    <row r="805" spans="3:3" ht="15.75" customHeight="1">
      <c r="C805" s="60"/>
    </row>
    <row r="806" spans="3:3" ht="15.75" customHeight="1">
      <c r="C806" s="60"/>
    </row>
    <row r="807" spans="3:3" ht="15.75" customHeight="1">
      <c r="C807" s="60"/>
    </row>
    <row r="808" spans="3:3" ht="15.75" customHeight="1">
      <c r="C808" s="60"/>
    </row>
    <row r="809" spans="3:3" ht="15.75" customHeight="1">
      <c r="C809" s="60"/>
    </row>
    <row r="810" spans="3:3" ht="15.75" customHeight="1">
      <c r="C810" s="60"/>
    </row>
    <row r="811" spans="3:3" ht="15.75" customHeight="1">
      <c r="C811" s="60"/>
    </row>
    <row r="812" spans="3:3" ht="15.75" customHeight="1">
      <c r="C812" s="60"/>
    </row>
    <row r="813" spans="3:3" ht="15.75" customHeight="1">
      <c r="C813" s="60"/>
    </row>
    <row r="814" spans="3:3" ht="15.75" customHeight="1">
      <c r="C814" s="60"/>
    </row>
    <row r="815" spans="3:3" ht="15.75" customHeight="1">
      <c r="C815" s="60"/>
    </row>
    <row r="816" spans="3:3" ht="15.75" customHeight="1">
      <c r="C816" s="60"/>
    </row>
    <row r="817" spans="3:3" ht="15.75" customHeight="1">
      <c r="C817" s="60"/>
    </row>
    <row r="818" spans="3:3" ht="15.75" customHeight="1">
      <c r="C818" s="60"/>
    </row>
    <row r="819" spans="3:3" ht="15.75" customHeight="1">
      <c r="C819" s="60"/>
    </row>
    <row r="820" spans="3:3" ht="15.75" customHeight="1">
      <c r="C820" s="60"/>
    </row>
    <row r="821" spans="3:3" ht="15.75" customHeight="1">
      <c r="C821" s="60"/>
    </row>
    <row r="822" spans="3:3" ht="15.75" customHeight="1">
      <c r="C822" s="60"/>
    </row>
    <row r="823" spans="3:3" ht="15.75" customHeight="1">
      <c r="C823" s="60"/>
    </row>
    <row r="824" spans="3:3" ht="15.75" customHeight="1">
      <c r="C824" s="60"/>
    </row>
    <row r="825" spans="3:3" ht="15.75" customHeight="1">
      <c r="C825" s="60"/>
    </row>
    <row r="826" spans="3:3" ht="15.75" customHeight="1">
      <c r="C826" s="60"/>
    </row>
    <row r="827" spans="3:3" ht="15.75" customHeight="1">
      <c r="C827" s="60"/>
    </row>
    <row r="828" spans="3:3" ht="15.75" customHeight="1">
      <c r="C828" s="60"/>
    </row>
    <row r="829" spans="3:3" ht="15.75" customHeight="1">
      <c r="C829" s="60"/>
    </row>
    <row r="830" spans="3:3" ht="15.75" customHeight="1">
      <c r="C830" s="60"/>
    </row>
    <row r="831" spans="3:3" ht="15.75" customHeight="1">
      <c r="C831" s="60"/>
    </row>
    <row r="832" spans="3:3" ht="15.75" customHeight="1">
      <c r="C832" s="60"/>
    </row>
    <row r="833" spans="3:3" ht="15.75" customHeight="1">
      <c r="C833" s="60"/>
    </row>
    <row r="834" spans="3:3" ht="15.75" customHeight="1">
      <c r="C834" s="60"/>
    </row>
    <row r="835" spans="3:3" ht="15.75" customHeight="1">
      <c r="C835" s="60"/>
    </row>
    <row r="836" spans="3:3" ht="15.75" customHeight="1">
      <c r="C836" s="60"/>
    </row>
    <row r="837" spans="3:3" ht="15.75" customHeight="1">
      <c r="C837" s="60"/>
    </row>
    <row r="838" spans="3:3" ht="15.75" customHeight="1">
      <c r="C838" s="60"/>
    </row>
    <row r="839" spans="3:3" ht="15.75" customHeight="1">
      <c r="C839" s="60"/>
    </row>
    <row r="840" spans="3:3" ht="15.75" customHeight="1">
      <c r="C840" s="60"/>
    </row>
    <row r="841" spans="3:3" ht="15.75" customHeight="1">
      <c r="C841" s="60"/>
    </row>
    <row r="842" spans="3:3" ht="15.75" customHeight="1">
      <c r="C842" s="60"/>
    </row>
    <row r="843" spans="3:3" ht="15.75" customHeight="1">
      <c r="C843" s="60"/>
    </row>
    <row r="844" spans="3:3" ht="15.75" customHeight="1">
      <c r="C844" s="60"/>
    </row>
    <row r="845" spans="3:3" ht="15.75" customHeight="1">
      <c r="C845" s="60"/>
    </row>
    <row r="846" spans="3:3" ht="15.75" customHeight="1">
      <c r="C846" s="60"/>
    </row>
    <row r="847" spans="3:3" ht="15.75" customHeight="1">
      <c r="C847" s="60"/>
    </row>
    <row r="848" spans="3:3" ht="15.75" customHeight="1">
      <c r="C848" s="60"/>
    </row>
    <row r="849" spans="3:3" ht="15.75" customHeight="1">
      <c r="C849" s="60"/>
    </row>
    <row r="850" spans="3:3" ht="15.75" customHeight="1">
      <c r="C850" s="60"/>
    </row>
    <row r="851" spans="3:3" ht="15.75" customHeight="1">
      <c r="C851" s="60"/>
    </row>
    <row r="852" spans="3:3" ht="15.75" customHeight="1">
      <c r="C852" s="60"/>
    </row>
    <row r="853" spans="3:3" ht="15.75" customHeight="1">
      <c r="C853" s="60"/>
    </row>
    <row r="854" spans="3:3" ht="15.75" customHeight="1">
      <c r="C854" s="60"/>
    </row>
    <row r="855" spans="3:3" ht="15.75" customHeight="1">
      <c r="C855" s="60"/>
    </row>
    <row r="856" spans="3:3" ht="15.75" customHeight="1">
      <c r="C856" s="60"/>
    </row>
    <row r="857" spans="3:3" ht="15.75" customHeight="1">
      <c r="C857" s="60"/>
    </row>
    <row r="858" spans="3:3" ht="15.75" customHeight="1">
      <c r="C858" s="60"/>
    </row>
    <row r="859" spans="3:3" ht="15.75" customHeight="1">
      <c r="C859" s="60"/>
    </row>
    <row r="860" spans="3:3" ht="15.75" customHeight="1">
      <c r="C860" s="60"/>
    </row>
    <row r="861" spans="3:3" ht="15.75" customHeight="1">
      <c r="C861" s="60"/>
    </row>
    <row r="862" spans="3:3" ht="15.75" customHeight="1">
      <c r="C862" s="60"/>
    </row>
    <row r="863" spans="3:3" ht="15.75" customHeight="1">
      <c r="C863" s="60"/>
    </row>
    <row r="864" spans="3:3" ht="15.75" customHeight="1">
      <c r="C864" s="60"/>
    </row>
    <row r="865" spans="3:3" ht="15.75" customHeight="1">
      <c r="C865" s="60"/>
    </row>
    <row r="866" spans="3:3" ht="15.75" customHeight="1">
      <c r="C866" s="60"/>
    </row>
    <row r="867" spans="3:3" ht="15.75" customHeight="1">
      <c r="C867" s="60"/>
    </row>
    <row r="868" spans="3:3" ht="15.75" customHeight="1">
      <c r="C868" s="60"/>
    </row>
    <row r="869" spans="3:3" ht="15.75" customHeight="1">
      <c r="C869" s="60"/>
    </row>
    <row r="870" spans="3:3" ht="15.75" customHeight="1">
      <c r="C870" s="60"/>
    </row>
    <row r="871" spans="3:3" ht="15.75" customHeight="1">
      <c r="C871" s="60"/>
    </row>
    <row r="872" spans="3:3" ht="15.75" customHeight="1">
      <c r="C872" s="60"/>
    </row>
    <row r="873" spans="3:3" ht="15.75" customHeight="1">
      <c r="C873" s="60"/>
    </row>
    <row r="874" spans="3:3" ht="15.75" customHeight="1">
      <c r="C874" s="60"/>
    </row>
    <row r="875" spans="3:3" ht="15.75" customHeight="1">
      <c r="C875" s="60"/>
    </row>
    <row r="876" spans="3:3" ht="15.75" customHeight="1">
      <c r="C876" s="60"/>
    </row>
    <row r="877" spans="3:3" ht="15.75" customHeight="1">
      <c r="C877" s="60"/>
    </row>
    <row r="878" spans="3:3" ht="15.75" customHeight="1">
      <c r="C878" s="60"/>
    </row>
    <row r="879" spans="3:3" ht="15.75" customHeight="1">
      <c r="C879" s="60"/>
    </row>
    <row r="880" spans="3:3" ht="15.75" customHeight="1">
      <c r="C880" s="60"/>
    </row>
    <row r="881" spans="3:3" ht="15.75" customHeight="1">
      <c r="C881" s="60"/>
    </row>
    <row r="882" spans="3:3" ht="15.75" customHeight="1">
      <c r="C882" s="60"/>
    </row>
    <row r="883" spans="3:3" ht="15.75" customHeight="1">
      <c r="C883" s="60"/>
    </row>
    <row r="884" spans="3:3" ht="15.75" customHeight="1">
      <c r="C884" s="60"/>
    </row>
    <row r="885" spans="3:3" ht="15.75" customHeight="1">
      <c r="C885" s="60"/>
    </row>
    <row r="886" spans="3:3" ht="15.75" customHeight="1">
      <c r="C886" s="60"/>
    </row>
    <row r="887" spans="3:3" ht="15.75" customHeight="1">
      <c r="C887" s="60"/>
    </row>
    <row r="888" spans="3:3" ht="15.75" customHeight="1">
      <c r="C888" s="60"/>
    </row>
    <row r="889" spans="3:3" ht="15.75" customHeight="1">
      <c r="C889" s="60"/>
    </row>
    <row r="890" spans="3:3" ht="15.75" customHeight="1">
      <c r="C890" s="60"/>
    </row>
    <row r="891" spans="3:3" ht="15.75" customHeight="1">
      <c r="C891" s="60"/>
    </row>
    <row r="892" spans="3:3" ht="15.75" customHeight="1">
      <c r="C892" s="60"/>
    </row>
    <row r="893" spans="3:3" ht="15.75" customHeight="1">
      <c r="C893" s="60"/>
    </row>
    <row r="894" spans="3:3" ht="15.75" customHeight="1">
      <c r="C894" s="60"/>
    </row>
    <row r="895" spans="3:3" ht="15.75" customHeight="1">
      <c r="C895" s="60"/>
    </row>
    <row r="896" spans="3:3" ht="15.75" customHeight="1">
      <c r="C896" s="60"/>
    </row>
    <row r="897" spans="3:3" ht="15.75" customHeight="1">
      <c r="C897" s="60"/>
    </row>
    <row r="898" spans="3:3" ht="15.75" customHeight="1">
      <c r="C898" s="60"/>
    </row>
    <row r="899" spans="3:3" ht="15.75" customHeight="1">
      <c r="C899" s="60"/>
    </row>
    <row r="900" spans="3:3" ht="15.75" customHeight="1">
      <c r="C900" s="60"/>
    </row>
    <row r="901" spans="3:3" ht="15.75" customHeight="1">
      <c r="C901" s="60"/>
    </row>
    <row r="902" spans="3:3" ht="15.75" customHeight="1">
      <c r="C902" s="60"/>
    </row>
    <row r="903" spans="3:3" ht="15.75" customHeight="1">
      <c r="C903" s="60"/>
    </row>
    <row r="904" spans="3:3" ht="15.75" customHeight="1">
      <c r="C904" s="60"/>
    </row>
    <row r="905" spans="3:3" ht="15.75" customHeight="1">
      <c r="C905" s="60"/>
    </row>
    <row r="906" spans="3:3" ht="15.75" customHeight="1">
      <c r="C906" s="60"/>
    </row>
    <row r="907" spans="3:3" ht="15.75" customHeight="1">
      <c r="C907" s="60"/>
    </row>
    <row r="908" spans="3:3" ht="15.75" customHeight="1">
      <c r="C908" s="60"/>
    </row>
    <row r="909" spans="3:3" ht="15.75" customHeight="1">
      <c r="C909" s="60"/>
    </row>
    <row r="910" spans="3:3" ht="15.75" customHeight="1">
      <c r="C910" s="60"/>
    </row>
    <row r="911" spans="3:3" ht="15.75" customHeight="1">
      <c r="C911" s="60"/>
    </row>
    <row r="912" spans="3:3" ht="15.75" customHeight="1">
      <c r="C912" s="60"/>
    </row>
    <row r="913" spans="3:3" ht="15.75" customHeight="1">
      <c r="C913" s="60"/>
    </row>
    <row r="914" spans="3:3" ht="15.75" customHeight="1">
      <c r="C914" s="60"/>
    </row>
    <row r="915" spans="3:3" ht="15.75" customHeight="1">
      <c r="C915" s="60"/>
    </row>
    <row r="916" spans="3:3" ht="15.75" customHeight="1">
      <c r="C916" s="60"/>
    </row>
    <row r="917" spans="3:3" ht="15.75" customHeight="1">
      <c r="C917" s="60"/>
    </row>
    <row r="918" spans="3:3" ht="15.75" customHeight="1">
      <c r="C918" s="60"/>
    </row>
    <row r="919" spans="3:3" ht="15.75" customHeight="1">
      <c r="C919" s="60"/>
    </row>
    <row r="920" spans="3:3" ht="15.75" customHeight="1">
      <c r="C920" s="60"/>
    </row>
    <row r="921" spans="3:3" ht="15.75" customHeight="1">
      <c r="C921" s="60"/>
    </row>
    <row r="922" spans="3:3" ht="15.75" customHeight="1">
      <c r="C922" s="60"/>
    </row>
    <row r="923" spans="3:3" ht="15.75" customHeight="1">
      <c r="C923" s="60"/>
    </row>
    <row r="924" spans="3:3" ht="15.75" customHeight="1">
      <c r="C924" s="60"/>
    </row>
    <row r="925" spans="3:3" ht="15.75" customHeight="1">
      <c r="C925" s="60"/>
    </row>
    <row r="926" spans="3:3" ht="15.75" customHeight="1">
      <c r="C926" s="60"/>
    </row>
    <row r="927" spans="3:3" ht="15.75" customHeight="1">
      <c r="C927" s="60"/>
    </row>
    <row r="928" spans="3:3" ht="15.75" customHeight="1">
      <c r="C928" s="60"/>
    </row>
    <row r="929" spans="3:3" ht="15.75" customHeight="1">
      <c r="C929" s="60"/>
    </row>
    <row r="930" spans="3:3" ht="15.75" customHeight="1">
      <c r="C930" s="60"/>
    </row>
    <row r="931" spans="3:3" ht="15.75" customHeight="1">
      <c r="C931" s="60"/>
    </row>
    <row r="932" spans="3:3" ht="15.75" customHeight="1">
      <c r="C932" s="60"/>
    </row>
    <row r="933" spans="3:3" ht="15.75" customHeight="1">
      <c r="C933" s="60"/>
    </row>
    <row r="934" spans="3:3" ht="15.75" customHeight="1">
      <c r="C934" s="60"/>
    </row>
    <row r="935" spans="3:3" ht="15.75" customHeight="1">
      <c r="C935" s="60"/>
    </row>
    <row r="936" spans="3:3" ht="15.75" customHeight="1">
      <c r="C936" s="60"/>
    </row>
    <row r="937" spans="3:3" ht="15.75" customHeight="1">
      <c r="C937" s="60"/>
    </row>
    <row r="938" spans="3:3" ht="15.75" customHeight="1">
      <c r="C938" s="60"/>
    </row>
    <row r="939" spans="3:3" ht="15.75" customHeight="1">
      <c r="C939" s="60"/>
    </row>
    <row r="940" spans="3:3" ht="15.75" customHeight="1">
      <c r="C940" s="60"/>
    </row>
    <row r="941" spans="3:3" ht="15.75" customHeight="1">
      <c r="C941" s="60"/>
    </row>
    <row r="942" spans="3:3" ht="15.75" customHeight="1">
      <c r="C942" s="60"/>
    </row>
    <row r="943" spans="3:3" ht="15.75" customHeight="1">
      <c r="C943" s="60"/>
    </row>
    <row r="944" spans="3:3" ht="15.75" customHeight="1">
      <c r="C944" s="60"/>
    </row>
    <row r="945" spans="3:3" ht="15.75" customHeight="1">
      <c r="C945" s="60"/>
    </row>
    <row r="946" spans="3:3" ht="15.75" customHeight="1">
      <c r="C946" s="60"/>
    </row>
    <row r="947" spans="3:3" ht="15.75" customHeight="1">
      <c r="C947" s="60"/>
    </row>
    <row r="948" spans="3:3" ht="15.75" customHeight="1">
      <c r="C948" s="60"/>
    </row>
    <row r="949" spans="3:3" ht="15.75" customHeight="1">
      <c r="C949" s="60"/>
    </row>
    <row r="950" spans="3:3" ht="15.75" customHeight="1">
      <c r="C950" s="60"/>
    </row>
    <row r="951" spans="3:3" ht="15.75" customHeight="1">
      <c r="C951" s="60"/>
    </row>
    <row r="952" spans="3:3" ht="15.75" customHeight="1">
      <c r="C952" s="60"/>
    </row>
    <row r="953" spans="3:3" ht="15.75" customHeight="1">
      <c r="C953" s="60"/>
    </row>
    <row r="954" spans="3:3" ht="15.75" customHeight="1">
      <c r="C954" s="60"/>
    </row>
    <row r="955" spans="3:3" ht="15.75" customHeight="1">
      <c r="C955" s="60"/>
    </row>
    <row r="956" spans="3:3" ht="15.75" customHeight="1">
      <c r="C956" s="60"/>
    </row>
    <row r="957" spans="3:3" ht="15.75" customHeight="1">
      <c r="C957" s="60"/>
    </row>
    <row r="958" spans="3:3" ht="15.75" customHeight="1">
      <c r="C958" s="60"/>
    </row>
    <row r="959" spans="3:3" ht="15.75" customHeight="1">
      <c r="C959" s="60"/>
    </row>
    <row r="960" spans="3:3" ht="15.75" customHeight="1">
      <c r="C960" s="60"/>
    </row>
    <row r="961" spans="3:3" ht="15.75" customHeight="1">
      <c r="C961" s="60"/>
    </row>
    <row r="962" spans="3:3" ht="15.75" customHeight="1">
      <c r="C962" s="60"/>
    </row>
    <row r="963" spans="3:3" ht="15.75" customHeight="1">
      <c r="C963" s="60"/>
    </row>
    <row r="964" spans="3:3" ht="15.75" customHeight="1">
      <c r="C964" s="60"/>
    </row>
    <row r="965" spans="3:3" ht="15.75" customHeight="1">
      <c r="C965" s="60"/>
    </row>
    <row r="966" spans="3:3" ht="15.75" customHeight="1">
      <c r="C966" s="60"/>
    </row>
    <row r="967" spans="3:3" ht="15.75" customHeight="1">
      <c r="C967" s="60"/>
    </row>
    <row r="968" spans="3:3" ht="15.75" customHeight="1">
      <c r="C968" s="60"/>
    </row>
    <row r="969" spans="3:3" ht="15.75" customHeight="1">
      <c r="C969" s="60"/>
    </row>
    <row r="970" spans="3:3" ht="15.75" customHeight="1">
      <c r="C970" s="60"/>
    </row>
    <row r="971" spans="3:3" ht="15.75" customHeight="1">
      <c r="C971" s="60"/>
    </row>
    <row r="972" spans="3:3" ht="15.75" customHeight="1">
      <c r="C972" s="60"/>
    </row>
    <row r="973" spans="3:3" ht="15.75" customHeight="1">
      <c r="C973" s="60"/>
    </row>
    <row r="974" spans="3:3" ht="15.75" customHeight="1">
      <c r="C974" s="60"/>
    </row>
    <row r="975" spans="3:3" ht="15.75" customHeight="1">
      <c r="C975" s="60"/>
    </row>
    <row r="976" spans="3:3" ht="15.75" customHeight="1">
      <c r="C976" s="60"/>
    </row>
    <row r="977" spans="3:3" ht="15.75" customHeight="1">
      <c r="C977" s="60"/>
    </row>
    <row r="978" spans="3:3" ht="15.75" customHeight="1">
      <c r="C978" s="60"/>
    </row>
    <row r="979" spans="3:3" ht="15.75" customHeight="1">
      <c r="C979" s="60"/>
    </row>
    <row r="980" spans="3:3" ht="15.75" customHeight="1">
      <c r="C980" s="60"/>
    </row>
    <row r="981" spans="3:3" ht="15.75" customHeight="1">
      <c r="C981" s="60"/>
    </row>
    <row r="982" spans="3:3" ht="15.75" customHeight="1">
      <c r="C982" s="60"/>
    </row>
    <row r="983" spans="3:3" ht="15.75" customHeight="1">
      <c r="C983" s="60"/>
    </row>
    <row r="984" spans="3:3" ht="15.75" customHeight="1">
      <c r="C984" s="60"/>
    </row>
    <row r="985" spans="3:3" ht="15.75" customHeight="1">
      <c r="C985" s="60"/>
    </row>
    <row r="986" spans="3:3" ht="15.75" customHeight="1">
      <c r="C986" s="60"/>
    </row>
    <row r="987" spans="3:3" ht="15.75" customHeight="1">
      <c r="C987" s="60"/>
    </row>
    <row r="988" spans="3:3" ht="15.75" customHeight="1">
      <c r="C988" s="60"/>
    </row>
    <row r="989" spans="3:3" ht="15.75" customHeight="1">
      <c r="C989" s="60"/>
    </row>
    <row r="990" spans="3:3" ht="15.75" customHeight="1">
      <c r="C990" s="60"/>
    </row>
    <row r="991" spans="3:3" ht="15.75" customHeight="1">
      <c r="C991" s="60"/>
    </row>
    <row r="992" spans="3:3" ht="15.75" customHeight="1">
      <c r="C992" s="60"/>
    </row>
    <row r="993" spans="3:3" ht="15.75" customHeight="1">
      <c r="C993" s="60"/>
    </row>
    <row r="994" spans="3:3" ht="15.75" customHeight="1">
      <c r="C994" s="60"/>
    </row>
    <row r="995" spans="3:3" ht="15.75" customHeight="1">
      <c r="C995" s="60"/>
    </row>
    <row r="996" spans="3:3" ht="15.75" customHeight="1">
      <c r="C996" s="60"/>
    </row>
    <row r="997" spans="3:3" ht="15.75" customHeight="1">
      <c r="C997" s="60"/>
    </row>
    <row r="998" spans="3:3" ht="15.75" customHeight="1">
      <c r="C998" s="60"/>
    </row>
    <row r="999" spans="3:3" ht="15.75" customHeight="1">
      <c r="C999" s="60"/>
    </row>
    <row r="1000" spans="3:3" ht="15.75" customHeight="1">
      <c r="C1000" s="60"/>
    </row>
  </sheetData>
  <autoFilter ref="A3:H116" xr:uid="{00000000-0009-0000-0000-000002000000}">
    <sortState xmlns:xlrd2="http://schemas.microsoft.com/office/spreadsheetml/2017/richdata2" ref="A4:H116">
      <sortCondition ref="A3:A116"/>
    </sortState>
  </autoFilter>
  <pageMargins left="0.74791666666666701" right="0.74791666666666701" top="0.98402777777777795" bottom="0.9840277777777779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1002"/>
  <sheetViews>
    <sheetView topLeftCell="C84" workbookViewId="0">
      <selection activeCell="H114" sqref="H114"/>
    </sheetView>
  </sheetViews>
  <sheetFormatPr defaultColWidth="14.453125" defaultRowHeight="15" customHeight="1"/>
  <cols>
    <col min="1" max="1" width="16" customWidth="1"/>
    <col min="2" max="2" width="33.36328125" customWidth="1"/>
    <col min="3" max="3" width="48.36328125" customWidth="1"/>
    <col min="4" max="4" width="21.6328125" customWidth="1"/>
    <col min="5" max="5" width="13" customWidth="1"/>
    <col min="6" max="6" width="15.36328125" customWidth="1"/>
    <col min="7" max="7" width="13.36328125" customWidth="1"/>
    <col min="8" max="8" width="13" customWidth="1"/>
    <col min="9" max="9" width="32.6328125" customWidth="1"/>
    <col min="10" max="28" width="8.6328125" customWidth="1"/>
  </cols>
  <sheetData>
    <row r="1" spans="1:28" ht="14.25" customHeight="1">
      <c r="A1" s="61" t="s">
        <v>0</v>
      </c>
      <c r="B1" s="62" t="s">
        <v>216</v>
      </c>
      <c r="C1" s="62"/>
      <c r="D1" s="63"/>
      <c r="E1" s="64"/>
      <c r="F1" s="65"/>
      <c r="G1" s="65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</row>
    <row r="2" spans="1:28" ht="14.25" customHeight="1">
      <c r="A2" s="66" t="s">
        <v>217</v>
      </c>
      <c r="B2" s="62" t="s">
        <v>218</v>
      </c>
      <c r="C2" s="62"/>
      <c r="D2" s="67" t="s">
        <v>219</v>
      </c>
      <c r="E2" s="64"/>
      <c r="F2" s="65"/>
      <c r="G2" s="65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</row>
    <row r="3" spans="1:28" ht="48">
      <c r="A3" s="68" t="s">
        <v>6</v>
      </c>
      <c r="B3" s="68" t="s">
        <v>7</v>
      </c>
      <c r="C3" s="68" t="s">
        <v>220</v>
      </c>
      <c r="D3" s="68" t="s">
        <v>9</v>
      </c>
      <c r="E3" s="69" t="s">
        <v>10</v>
      </c>
      <c r="F3" s="8" t="s">
        <v>221</v>
      </c>
      <c r="G3" s="7" t="s">
        <v>12</v>
      </c>
      <c r="H3" s="45" t="s">
        <v>13</v>
      </c>
      <c r="I3" s="7" t="s">
        <v>14</v>
      </c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</row>
    <row r="4" spans="1:28" ht="15" customHeight="1">
      <c r="A4" s="70">
        <v>1</v>
      </c>
      <c r="B4" s="70" t="s">
        <v>243</v>
      </c>
      <c r="C4" s="76" t="s">
        <v>244</v>
      </c>
      <c r="D4" s="70">
        <v>3</v>
      </c>
      <c r="E4" s="71">
        <f>(14)/3.14</f>
        <v>4.4585987261146496</v>
      </c>
      <c r="F4" s="71">
        <v>0.6</v>
      </c>
      <c r="G4" s="71">
        <f t="shared" ref="G4:G35" si="0">0.0673*(F4*E4^2*D4)^0.976</f>
        <v>2.2100203962905973</v>
      </c>
      <c r="H4" s="70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</row>
    <row r="5" spans="1:28" ht="15" customHeight="1">
      <c r="A5" s="70">
        <v>1</v>
      </c>
      <c r="B5" s="70" t="s">
        <v>70</v>
      </c>
      <c r="C5" s="17" t="s">
        <v>71</v>
      </c>
      <c r="D5" s="70">
        <v>4.5</v>
      </c>
      <c r="E5" s="71">
        <f>(22)/3.14</f>
        <v>7.0063694267515917</v>
      </c>
      <c r="F5" s="13">
        <f>AVERAGE(0.37,0.6)</f>
        <v>0.48499999999999999</v>
      </c>
      <c r="G5" s="71">
        <f t="shared" si="0"/>
        <v>6.4452061744053371</v>
      </c>
      <c r="H5" s="77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</row>
    <row r="6" spans="1:28" ht="15" customHeight="1">
      <c r="A6" s="70">
        <v>1</v>
      </c>
      <c r="B6" s="70" t="s">
        <v>231</v>
      </c>
      <c r="C6" s="76" t="s">
        <v>232</v>
      </c>
      <c r="D6" s="10">
        <v>5</v>
      </c>
      <c r="E6" s="71">
        <f>(13.3)/3.14</f>
        <v>4.2356687898089174</v>
      </c>
      <c r="F6" s="72">
        <v>0.62</v>
      </c>
      <c r="G6" s="71">
        <f t="shared" si="0"/>
        <v>3.3988798103926423</v>
      </c>
      <c r="H6" s="70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</row>
    <row r="7" spans="1:28" ht="15" customHeight="1">
      <c r="A7" s="70">
        <v>1</v>
      </c>
      <c r="B7" s="70" t="s">
        <v>234</v>
      </c>
      <c r="C7" s="76" t="s">
        <v>235</v>
      </c>
      <c r="D7" s="10">
        <v>4.5</v>
      </c>
      <c r="E7" s="71">
        <f>(19+20+16)/3.14</f>
        <v>17.515923566878982</v>
      </c>
      <c r="F7" s="13"/>
      <c r="G7" s="71">
        <f t="shared" si="0"/>
        <v>0</v>
      </c>
      <c r="H7" s="7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</row>
    <row r="8" spans="1:28" ht="15" customHeight="1">
      <c r="A8" s="70">
        <v>1</v>
      </c>
      <c r="B8" s="70" t="s">
        <v>56</v>
      </c>
      <c r="C8" s="195" t="s">
        <v>56</v>
      </c>
      <c r="D8" s="10">
        <v>4.5</v>
      </c>
      <c r="E8" s="71">
        <f>(21.5+17.5+26.5)/3.14</f>
        <v>20.859872611464969</v>
      </c>
      <c r="F8" s="47">
        <f t="shared" ref="F8:F23" si="1">AVERAGE(0.6,0.77)</f>
        <v>0.68500000000000005</v>
      </c>
      <c r="G8" s="71">
        <f t="shared" si="0"/>
        <v>75.941788329639124</v>
      </c>
      <c r="H8" s="78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</row>
    <row r="9" spans="1:28" ht="15" customHeight="1">
      <c r="A9" s="70">
        <v>1</v>
      </c>
      <c r="B9" s="70" t="s">
        <v>56</v>
      </c>
      <c r="C9" s="195" t="s">
        <v>56</v>
      </c>
      <c r="D9" s="70">
        <v>7</v>
      </c>
      <c r="E9" s="71">
        <f>(19.5+21+36.5)/3.14</f>
        <v>24.522292993630572</v>
      </c>
      <c r="F9" s="47">
        <f t="shared" si="1"/>
        <v>0.68500000000000005</v>
      </c>
      <c r="G9" s="71">
        <f t="shared" si="0"/>
        <v>160.28318788072224</v>
      </c>
      <c r="H9" s="7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</row>
    <row r="10" spans="1:28" ht="15" customHeight="1">
      <c r="A10" s="70">
        <v>1</v>
      </c>
      <c r="B10" s="70" t="s">
        <v>56</v>
      </c>
      <c r="C10" s="188" t="s">
        <v>56</v>
      </c>
      <c r="D10" s="10">
        <v>8</v>
      </c>
      <c r="E10" s="71">
        <f>(33+20+15)/3.14</f>
        <v>21.656050955414013</v>
      </c>
      <c r="F10" s="47">
        <f t="shared" si="1"/>
        <v>0.68500000000000005</v>
      </c>
      <c r="G10" s="71">
        <f t="shared" si="0"/>
        <v>143.25692138695845</v>
      </c>
      <c r="H10" s="74"/>
      <c r="I10" s="75" t="s">
        <v>22</v>
      </c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</row>
    <row r="11" spans="1:28" ht="15" customHeight="1">
      <c r="A11" s="70">
        <v>1</v>
      </c>
      <c r="B11" s="70" t="s">
        <v>56</v>
      </c>
      <c r="C11" s="188" t="s">
        <v>56</v>
      </c>
      <c r="D11" s="70">
        <v>8</v>
      </c>
      <c r="E11" s="71">
        <f>(28+27)/3.14</f>
        <v>17.515923566878982</v>
      </c>
      <c r="F11" s="47">
        <f t="shared" si="1"/>
        <v>0.68500000000000005</v>
      </c>
      <c r="G11" s="71">
        <f t="shared" si="0"/>
        <v>94.677370175424073</v>
      </c>
      <c r="H11" s="74"/>
      <c r="I11" s="75" t="s">
        <v>22</v>
      </c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</row>
    <row r="12" spans="1:28" ht="15" customHeight="1">
      <c r="A12" s="70">
        <v>1</v>
      </c>
      <c r="B12" s="70" t="s">
        <v>56</v>
      </c>
      <c r="C12" s="188" t="s">
        <v>56</v>
      </c>
      <c r="D12" s="70">
        <v>6</v>
      </c>
      <c r="E12" s="71">
        <f>(28)/3.14</f>
        <v>8.9171974522292992</v>
      </c>
      <c r="F12" s="47">
        <f t="shared" si="1"/>
        <v>0.68500000000000005</v>
      </c>
      <c r="G12" s="71">
        <f t="shared" si="0"/>
        <v>19.141258417616417</v>
      </c>
      <c r="H12" s="74"/>
      <c r="I12" s="49" t="s">
        <v>39</v>
      </c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</row>
    <row r="13" spans="1:28" ht="15" customHeight="1">
      <c r="A13" s="70">
        <v>1</v>
      </c>
      <c r="B13" s="70" t="s">
        <v>56</v>
      </c>
      <c r="C13" s="11" t="s">
        <v>56</v>
      </c>
      <c r="D13" s="70">
        <v>7.5</v>
      </c>
      <c r="E13" s="71">
        <f>(34+16+24.5+23)/3.14</f>
        <v>31.050955414012737</v>
      </c>
      <c r="F13" s="47">
        <f t="shared" si="1"/>
        <v>0.68500000000000005</v>
      </c>
      <c r="G13" s="71">
        <f t="shared" si="0"/>
        <v>271.79357860444804</v>
      </c>
      <c r="H13" s="70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</row>
    <row r="14" spans="1:28" ht="15" customHeight="1">
      <c r="A14" s="70">
        <v>1</v>
      </c>
      <c r="B14" s="70" t="s">
        <v>229</v>
      </c>
      <c r="C14" s="11" t="s">
        <v>230</v>
      </c>
      <c r="D14" s="70">
        <v>2.7</v>
      </c>
      <c r="E14" s="71">
        <f>(13)/3.14</f>
        <v>4.1401273885350314</v>
      </c>
      <c r="F14" s="47">
        <f t="shared" si="1"/>
        <v>0.68500000000000005</v>
      </c>
      <c r="G14" s="71">
        <f t="shared" si="0"/>
        <v>1.9636805860361319</v>
      </c>
      <c r="H14" s="70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</row>
    <row r="15" spans="1:28" ht="15" customHeight="1">
      <c r="A15" s="70">
        <v>1</v>
      </c>
      <c r="B15" s="70" t="s">
        <v>229</v>
      </c>
      <c r="C15" s="11" t="s">
        <v>230</v>
      </c>
      <c r="D15" s="70">
        <v>2</v>
      </c>
      <c r="E15" s="71">
        <f>(10+6)/3.14</f>
        <v>5.0955414012738851</v>
      </c>
      <c r="F15" s="47">
        <f t="shared" si="1"/>
        <v>0.68500000000000005</v>
      </c>
      <c r="G15" s="71">
        <f t="shared" si="0"/>
        <v>2.1973026064371144</v>
      </c>
      <c r="H15" s="70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</row>
    <row r="16" spans="1:28" ht="15" customHeight="1">
      <c r="A16" s="70">
        <v>1</v>
      </c>
      <c r="B16" s="70" t="s">
        <v>229</v>
      </c>
      <c r="C16" s="11" t="s">
        <v>230</v>
      </c>
      <c r="D16" s="70">
        <v>4.5</v>
      </c>
      <c r="E16" s="71">
        <f>(16.5+8.5+11.5)/3.14</f>
        <v>11.624203821656051</v>
      </c>
      <c r="F16" s="47">
        <f t="shared" si="1"/>
        <v>0.68500000000000005</v>
      </c>
      <c r="G16" s="71">
        <f t="shared" si="0"/>
        <v>24.253447155032973</v>
      </c>
      <c r="H16" s="70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</row>
    <row r="17" spans="1:28" ht="15" customHeight="1">
      <c r="A17" s="70">
        <v>1</v>
      </c>
      <c r="B17" s="70" t="s">
        <v>229</v>
      </c>
      <c r="C17" s="11" t="s">
        <v>230</v>
      </c>
      <c r="D17" s="70">
        <v>6.5</v>
      </c>
      <c r="E17" s="71">
        <f>(17+20.5)/3.14</f>
        <v>11.942675159235668</v>
      </c>
      <c r="F17" s="47">
        <f t="shared" si="1"/>
        <v>0.68500000000000005</v>
      </c>
      <c r="G17" s="71">
        <f t="shared" si="0"/>
        <v>36.606217825009907</v>
      </c>
      <c r="H17" s="77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</row>
    <row r="18" spans="1:28" ht="15" customHeight="1">
      <c r="A18" s="70">
        <v>1</v>
      </c>
      <c r="B18" s="70" t="s">
        <v>229</v>
      </c>
      <c r="C18" s="11" t="s">
        <v>230</v>
      </c>
      <c r="D18" s="10">
        <v>4.5</v>
      </c>
      <c r="E18" s="71">
        <f>(8.5+12.5)/3.14</f>
        <v>6.6878980891719744</v>
      </c>
      <c r="F18" s="47">
        <f t="shared" si="1"/>
        <v>0.68500000000000005</v>
      </c>
      <c r="G18" s="71">
        <f t="shared" si="0"/>
        <v>8.2442255650536218</v>
      </c>
      <c r="H18" s="70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</row>
    <row r="19" spans="1:28" ht="15" customHeight="1">
      <c r="A19" s="70">
        <v>1</v>
      </c>
      <c r="B19" s="70" t="s">
        <v>229</v>
      </c>
      <c r="C19" s="11" t="s">
        <v>230</v>
      </c>
      <c r="D19" s="10">
        <v>3.5</v>
      </c>
      <c r="E19" s="71">
        <f>(11.5+9.5)/3.14</f>
        <v>6.6878980891719744</v>
      </c>
      <c r="F19" s="47">
        <f t="shared" si="1"/>
        <v>0.68500000000000005</v>
      </c>
      <c r="G19" s="71">
        <f t="shared" si="0"/>
        <v>6.4509676432795393</v>
      </c>
      <c r="H19" s="70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</row>
    <row r="20" spans="1:28" ht="15" customHeight="1">
      <c r="A20" s="70">
        <v>1</v>
      </c>
      <c r="B20" s="70" t="s">
        <v>229</v>
      </c>
      <c r="C20" s="11" t="s">
        <v>230</v>
      </c>
      <c r="D20" s="70">
        <v>5.5</v>
      </c>
      <c r="E20" s="71">
        <f>(11.5)/3.14</f>
        <v>3.6624203821656049</v>
      </c>
      <c r="F20" s="47">
        <f t="shared" si="1"/>
        <v>0.68500000000000005</v>
      </c>
      <c r="G20" s="71">
        <f t="shared" si="0"/>
        <v>3.0954126869891372</v>
      </c>
      <c r="H20" s="70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</row>
    <row r="21" spans="1:28" ht="15" customHeight="1">
      <c r="A21" s="70">
        <v>1</v>
      </c>
      <c r="B21" s="70" t="s">
        <v>229</v>
      </c>
      <c r="C21" s="11" t="s">
        <v>230</v>
      </c>
      <c r="D21" s="70">
        <v>6.5</v>
      </c>
      <c r="E21" s="71">
        <f>(24.2+36.5)/3.14</f>
        <v>19.331210191082803</v>
      </c>
      <c r="F21" s="47">
        <f t="shared" si="1"/>
        <v>0.68500000000000005</v>
      </c>
      <c r="G21" s="71">
        <f t="shared" si="0"/>
        <v>93.719540372181385</v>
      </c>
      <c r="H21" s="77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</row>
    <row r="22" spans="1:28" ht="15" customHeight="1">
      <c r="A22" s="70">
        <v>1</v>
      </c>
      <c r="B22" s="70" t="s">
        <v>229</v>
      </c>
      <c r="C22" s="11" t="s">
        <v>230</v>
      </c>
      <c r="D22" s="10">
        <v>7</v>
      </c>
      <c r="E22" s="71">
        <f>(17+10.5)/3.14</f>
        <v>8.7579617834394909</v>
      </c>
      <c r="F22" s="47">
        <f t="shared" si="1"/>
        <v>0.68500000000000005</v>
      </c>
      <c r="G22" s="71">
        <f t="shared" si="0"/>
        <v>21.480060209380301</v>
      </c>
      <c r="H22" s="77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</row>
    <row r="23" spans="1:28" ht="15" customHeight="1">
      <c r="A23" s="70">
        <v>1</v>
      </c>
      <c r="B23" s="70" t="s">
        <v>229</v>
      </c>
      <c r="C23" s="11" t="s">
        <v>230</v>
      </c>
      <c r="D23" s="70">
        <v>8</v>
      </c>
      <c r="E23" s="71">
        <f>(45+118)/3.14</f>
        <v>51.910828025477706</v>
      </c>
      <c r="F23" s="47">
        <f t="shared" si="1"/>
        <v>0.68500000000000005</v>
      </c>
      <c r="G23" s="71">
        <f t="shared" si="0"/>
        <v>789.31148125844595</v>
      </c>
      <c r="H23" s="70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</row>
    <row r="24" spans="1:28" ht="15" customHeight="1">
      <c r="A24" s="70">
        <v>1</v>
      </c>
      <c r="B24" s="70" t="s">
        <v>45</v>
      </c>
      <c r="C24" s="76" t="s">
        <v>46</v>
      </c>
      <c r="D24" s="10">
        <v>1.9</v>
      </c>
      <c r="E24" s="71">
        <f>(7+7+6.5)/3.14</f>
        <v>6.5286624203821653</v>
      </c>
      <c r="F24" s="13">
        <v>0.8</v>
      </c>
      <c r="G24" s="71">
        <f t="shared" si="0"/>
        <v>3.9448570456603047</v>
      </c>
      <c r="H24" s="70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</row>
    <row r="25" spans="1:28" ht="15" customHeight="1">
      <c r="A25" s="70">
        <v>1</v>
      </c>
      <c r="B25" s="70" t="s">
        <v>45</v>
      </c>
      <c r="C25" s="76" t="s">
        <v>46</v>
      </c>
      <c r="D25" s="70">
        <v>1.5</v>
      </c>
      <c r="E25" s="71">
        <f>(4)/3.14</f>
        <v>1.2738853503184713</v>
      </c>
      <c r="F25" s="13">
        <v>0.8</v>
      </c>
      <c r="G25" s="71">
        <f t="shared" si="0"/>
        <v>0.12897644148588824</v>
      </c>
      <c r="H25" s="70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</row>
    <row r="26" spans="1:28" ht="15" customHeight="1">
      <c r="A26" s="70">
        <v>1</v>
      </c>
      <c r="B26" s="70" t="s">
        <v>226</v>
      </c>
      <c r="C26" s="76" t="s">
        <v>227</v>
      </c>
      <c r="D26" s="70">
        <v>7</v>
      </c>
      <c r="E26" s="71">
        <f>(14.5)/3.14</f>
        <v>4.6178343949044587</v>
      </c>
      <c r="F26" s="71"/>
      <c r="G26" s="71">
        <f t="shared" si="0"/>
        <v>0</v>
      </c>
      <c r="H26" s="70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</row>
    <row r="27" spans="1:28" ht="15" customHeight="1">
      <c r="A27" s="70">
        <v>1</v>
      </c>
      <c r="B27" s="70" t="s">
        <v>66</v>
      </c>
      <c r="C27" s="11" t="s">
        <v>67</v>
      </c>
      <c r="D27" s="70">
        <v>7</v>
      </c>
      <c r="E27" s="71">
        <f>(22.5+16+13.5+22.5)/3.14</f>
        <v>23.726114649681527</v>
      </c>
      <c r="F27" s="12">
        <f>AVERAGE(0.75,0.9)</f>
        <v>0.82499999999999996</v>
      </c>
      <c r="G27" s="71">
        <f t="shared" si="0"/>
        <v>180.19061868203195</v>
      </c>
      <c r="H27" s="78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</row>
    <row r="28" spans="1:28" ht="15" customHeight="1">
      <c r="A28" s="70">
        <v>1</v>
      </c>
      <c r="B28" s="70" t="s">
        <v>189</v>
      </c>
      <c r="C28" s="76" t="s">
        <v>228</v>
      </c>
      <c r="D28" s="10">
        <v>2.5</v>
      </c>
      <c r="E28" s="71">
        <f>(8.5+9.5)/3.14</f>
        <v>5.7324840764331206</v>
      </c>
      <c r="F28" s="47">
        <f>AVERAGE(0.6,0.77)</f>
        <v>0.68500000000000005</v>
      </c>
      <c r="G28" s="71">
        <f t="shared" si="0"/>
        <v>3.4381416651708743</v>
      </c>
      <c r="H28" s="78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</row>
    <row r="29" spans="1:28" ht="15" customHeight="1">
      <c r="A29" s="70">
        <v>1</v>
      </c>
      <c r="B29" s="70" t="s">
        <v>189</v>
      </c>
      <c r="C29" s="76" t="s">
        <v>228</v>
      </c>
      <c r="D29" s="10">
        <v>4.5</v>
      </c>
      <c r="E29" s="71">
        <f>(8)/3.14</f>
        <v>2.5477707006369426</v>
      </c>
      <c r="F29" s="47">
        <f>AVERAGE(0.6,0.77)</f>
        <v>0.68500000000000005</v>
      </c>
      <c r="G29" s="71">
        <f t="shared" si="0"/>
        <v>1.2531684631157094</v>
      </c>
      <c r="H29" s="70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</row>
    <row r="30" spans="1:28" ht="15" customHeight="1">
      <c r="A30" s="70">
        <v>1</v>
      </c>
      <c r="B30" s="70" t="s">
        <v>240</v>
      </c>
      <c r="C30" s="76" t="s">
        <v>241</v>
      </c>
      <c r="D30" s="10">
        <v>2</v>
      </c>
      <c r="E30" s="71">
        <f>(5)/3.14</f>
        <v>1.592356687898089</v>
      </c>
      <c r="F30" s="71"/>
      <c r="G30" s="71">
        <f t="shared" si="0"/>
        <v>0</v>
      </c>
      <c r="H30" s="70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</row>
    <row r="31" spans="1:28" ht="15" customHeight="1">
      <c r="A31" s="70">
        <v>2</v>
      </c>
      <c r="B31" s="70" t="s">
        <v>236</v>
      </c>
      <c r="C31" s="11" t="s">
        <v>237</v>
      </c>
      <c r="D31" s="70">
        <v>4</v>
      </c>
      <c r="E31" s="71">
        <f>(8)/3.14</f>
        <v>2.5477707006369426</v>
      </c>
      <c r="F31" s="72">
        <f>AVERAGE(0.8,1)</f>
        <v>0.9</v>
      </c>
      <c r="G31" s="71">
        <f t="shared" si="0"/>
        <v>1.4581133510288153</v>
      </c>
      <c r="H31" s="70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</row>
    <row r="32" spans="1:28" ht="15" customHeight="1">
      <c r="A32" s="70">
        <v>2</v>
      </c>
      <c r="B32" s="70" t="s">
        <v>56</v>
      </c>
      <c r="C32" s="11" t="s">
        <v>56</v>
      </c>
      <c r="D32" s="70">
        <v>5</v>
      </c>
      <c r="E32" s="71">
        <f>(16+12.5)/3.14</f>
        <v>9.0764331210191074</v>
      </c>
      <c r="F32" s="47">
        <f t="shared" ref="F32:F37" si="2">AVERAGE(0.6,0.77)</f>
        <v>0.68500000000000005</v>
      </c>
      <c r="G32" s="71">
        <f t="shared" si="0"/>
        <v>16.58419058183576</v>
      </c>
      <c r="H32" s="70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</row>
    <row r="33" spans="1:28" ht="15" customHeight="1">
      <c r="A33" s="70">
        <v>2</v>
      </c>
      <c r="B33" s="70" t="s">
        <v>56</v>
      </c>
      <c r="C33" s="11" t="s">
        <v>56</v>
      </c>
      <c r="D33" s="70">
        <v>6</v>
      </c>
      <c r="E33" s="71">
        <f>(21)/3.14</f>
        <v>6.6878980891719744</v>
      </c>
      <c r="F33" s="47">
        <f t="shared" si="2"/>
        <v>0.68500000000000005</v>
      </c>
      <c r="G33" s="71">
        <f t="shared" si="0"/>
        <v>10.916667246028442</v>
      </c>
      <c r="H33" s="70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</row>
    <row r="34" spans="1:28" ht="15" customHeight="1">
      <c r="A34" s="70">
        <v>2</v>
      </c>
      <c r="B34" s="70" t="s">
        <v>56</v>
      </c>
      <c r="C34" s="11" t="s">
        <v>56</v>
      </c>
      <c r="D34" s="70">
        <v>6</v>
      </c>
      <c r="E34" s="71">
        <f>(16.5)/3.14</f>
        <v>5.2547770700636942</v>
      </c>
      <c r="F34" s="47">
        <f t="shared" si="2"/>
        <v>0.68500000000000005</v>
      </c>
      <c r="G34" s="71">
        <f t="shared" si="0"/>
        <v>6.8178378553124386</v>
      </c>
      <c r="H34" s="70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</row>
    <row r="35" spans="1:28" ht="15" customHeight="1">
      <c r="A35" s="70">
        <v>2</v>
      </c>
      <c r="B35" s="70" t="s">
        <v>56</v>
      </c>
      <c r="C35" s="11" t="s">
        <v>56</v>
      </c>
      <c r="D35" s="70">
        <v>6</v>
      </c>
      <c r="E35" s="71">
        <f>(30)/3.14</f>
        <v>9.5541401273885338</v>
      </c>
      <c r="F35" s="47">
        <f t="shared" si="2"/>
        <v>0.68500000000000005</v>
      </c>
      <c r="G35" s="71">
        <f t="shared" si="0"/>
        <v>21.900735419393659</v>
      </c>
      <c r="H35" s="70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</row>
    <row r="36" spans="1:28" ht="15" customHeight="1">
      <c r="A36" s="70">
        <v>2</v>
      </c>
      <c r="B36" s="70" t="s">
        <v>56</v>
      </c>
      <c r="C36" s="11" t="s">
        <v>56</v>
      </c>
      <c r="D36" s="70">
        <v>5.7</v>
      </c>
      <c r="E36" s="71">
        <f>(32+20+27)/3.14</f>
        <v>25.159235668789808</v>
      </c>
      <c r="F36" s="47">
        <f t="shared" si="2"/>
        <v>0.68500000000000005</v>
      </c>
      <c r="G36" s="71">
        <f t="shared" ref="G36:G67" si="3">0.0673*(F36*E36^2*D36)^0.976</f>
        <v>137.89366997575283</v>
      </c>
      <c r="H36" s="70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</row>
    <row r="37" spans="1:28" ht="15" customHeight="1">
      <c r="A37" s="70">
        <v>2</v>
      </c>
      <c r="B37" s="70" t="s">
        <v>56</v>
      </c>
      <c r="C37" s="11" t="s">
        <v>56</v>
      </c>
      <c r="D37" s="70">
        <v>6.3</v>
      </c>
      <c r="E37" s="71">
        <f>(15+28)/3.14</f>
        <v>13.694267515923567</v>
      </c>
      <c r="F37" s="47">
        <f t="shared" si="2"/>
        <v>0.68500000000000005</v>
      </c>
      <c r="G37" s="71">
        <f t="shared" si="3"/>
        <v>46.37983406583573</v>
      </c>
      <c r="H37" s="70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</row>
    <row r="38" spans="1:28" ht="15" customHeight="1">
      <c r="A38" s="70">
        <v>2</v>
      </c>
      <c r="B38" s="70" t="s">
        <v>222</v>
      </c>
      <c r="C38" s="11" t="s">
        <v>223</v>
      </c>
      <c r="D38" s="10">
        <v>9</v>
      </c>
      <c r="E38" s="71">
        <f>(51+29)/3.14</f>
        <v>25.477707006369425</v>
      </c>
      <c r="F38" s="71"/>
      <c r="G38" s="71">
        <f t="shared" si="3"/>
        <v>0</v>
      </c>
      <c r="H38" s="70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</row>
    <row r="39" spans="1:28" ht="15" customHeight="1">
      <c r="A39" s="70">
        <v>2</v>
      </c>
      <c r="B39" s="70" t="s">
        <v>229</v>
      </c>
      <c r="C39" s="11" t="s">
        <v>230</v>
      </c>
      <c r="D39" s="70">
        <v>2.5</v>
      </c>
      <c r="E39" s="71">
        <f>(6)/3.14</f>
        <v>1.910828025477707</v>
      </c>
      <c r="F39" s="47">
        <f t="shared" ref="F39:F44" si="4">AVERAGE(0.6,0.77)</f>
        <v>0.68500000000000005</v>
      </c>
      <c r="G39" s="71">
        <f t="shared" si="3"/>
        <v>0.40270134318748069</v>
      </c>
      <c r="H39" s="70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</row>
    <row r="40" spans="1:28" ht="15" customHeight="1">
      <c r="A40" s="70">
        <v>2</v>
      </c>
      <c r="B40" s="70" t="s">
        <v>229</v>
      </c>
      <c r="C40" s="11" t="s">
        <v>230</v>
      </c>
      <c r="D40" s="10">
        <v>4</v>
      </c>
      <c r="E40" s="71">
        <f>(11.5)/3.14</f>
        <v>3.6624203821656049</v>
      </c>
      <c r="F40" s="47">
        <f t="shared" si="4"/>
        <v>0.68500000000000005</v>
      </c>
      <c r="G40" s="71">
        <f t="shared" si="3"/>
        <v>2.2684808889969323</v>
      </c>
      <c r="H40" s="70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</row>
    <row r="41" spans="1:28" ht="15" customHeight="1">
      <c r="A41" s="70">
        <v>2</v>
      </c>
      <c r="B41" s="70" t="s">
        <v>229</v>
      </c>
      <c r="C41" s="11" t="s">
        <v>230</v>
      </c>
      <c r="D41" s="10">
        <v>7.5</v>
      </c>
      <c r="E41" s="71">
        <f>(38.5)/3.14</f>
        <v>12.261146496815286</v>
      </c>
      <c r="F41" s="47">
        <f t="shared" si="4"/>
        <v>0.68500000000000005</v>
      </c>
      <c r="G41" s="71">
        <f t="shared" si="3"/>
        <v>44.312017742775609</v>
      </c>
      <c r="H41" s="70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</row>
    <row r="42" spans="1:28" ht="15" customHeight="1">
      <c r="A42" s="70">
        <v>2</v>
      </c>
      <c r="B42" s="70" t="s">
        <v>229</v>
      </c>
      <c r="C42" s="11" t="s">
        <v>230</v>
      </c>
      <c r="D42" s="70">
        <v>3</v>
      </c>
      <c r="E42" s="71">
        <f>(13)/3.14</f>
        <v>4.1401273885350314</v>
      </c>
      <c r="F42" s="47">
        <f t="shared" si="4"/>
        <v>0.68500000000000005</v>
      </c>
      <c r="G42" s="71">
        <f t="shared" si="3"/>
        <v>2.1763571034854152</v>
      </c>
      <c r="H42" s="70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</row>
    <row r="43" spans="1:28" ht="15" customHeight="1">
      <c r="A43" s="70">
        <v>2</v>
      </c>
      <c r="B43" s="70" t="s">
        <v>229</v>
      </c>
      <c r="C43" s="11" t="s">
        <v>230</v>
      </c>
      <c r="D43" s="70">
        <v>6.5</v>
      </c>
      <c r="E43" s="71">
        <f>(10.5)/3.14</f>
        <v>3.3439490445859872</v>
      </c>
      <c r="F43" s="47">
        <f t="shared" si="4"/>
        <v>0.68500000000000005</v>
      </c>
      <c r="G43" s="71">
        <f t="shared" si="3"/>
        <v>3.0507550358497388</v>
      </c>
      <c r="H43" s="70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</row>
    <row r="44" spans="1:28" ht="15" customHeight="1">
      <c r="A44" s="70">
        <v>2</v>
      </c>
      <c r="B44" s="70" t="s">
        <v>229</v>
      </c>
      <c r="C44" s="11" t="s">
        <v>230</v>
      </c>
      <c r="D44" s="10">
        <v>6</v>
      </c>
      <c r="E44" s="71">
        <f>(10+9.5)/3.14</f>
        <v>6.2101910828025479</v>
      </c>
      <c r="F44" s="47">
        <f t="shared" si="4"/>
        <v>0.68500000000000005</v>
      </c>
      <c r="G44" s="71">
        <f t="shared" si="3"/>
        <v>9.4463834527224257</v>
      </c>
      <c r="H44" s="70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</row>
    <row r="45" spans="1:28" ht="15" customHeight="1">
      <c r="A45" s="70">
        <v>2</v>
      </c>
      <c r="B45" s="70" t="s">
        <v>37</v>
      </c>
      <c r="C45" s="76" t="s">
        <v>38</v>
      </c>
      <c r="D45" s="10">
        <v>3.7</v>
      </c>
      <c r="E45" s="71">
        <f>(16)/3.14</f>
        <v>5.0955414012738851</v>
      </c>
      <c r="F45" s="72">
        <f>AVERAGE(0.75,0.9)</f>
        <v>0.82499999999999996</v>
      </c>
      <c r="G45" s="71">
        <f t="shared" si="3"/>
        <v>4.8025791800970685</v>
      </c>
      <c r="H45" s="7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</row>
    <row r="46" spans="1:28" ht="15" customHeight="1">
      <c r="A46" s="70">
        <v>2</v>
      </c>
      <c r="B46" s="70" t="s">
        <v>45</v>
      </c>
      <c r="C46" s="76" t="s">
        <v>46</v>
      </c>
      <c r="D46" s="70">
        <v>2</v>
      </c>
      <c r="E46" s="71">
        <f>(8)/3.14</f>
        <v>2.5477707006369426</v>
      </c>
      <c r="F46" s="13">
        <v>0.8</v>
      </c>
      <c r="G46" s="71">
        <f t="shared" si="3"/>
        <v>0.66078648050244271</v>
      </c>
      <c r="H46" s="70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</row>
    <row r="47" spans="1:28" ht="15" customHeight="1">
      <c r="A47" s="70">
        <v>2</v>
      </c>
      <c r="B47" s="70" t="s">
        <v>45</v>
      </c>
      <c r="C47" s="76" t="s">
        <v>46</v>
      </c>
      <c r="D47" s="10">
        <v>2.5</v>
      </c>
      <c r="E47" s="71">
        <f>(8.5)/3.14</f>
        <v>2.7070063694267517</v>
      </c>
      <c r="F47" s="13">
        <v>0.8</v>
      </c>
      <c r="G47" s="71">
        <f t="shared" si="3"/>
        <v>0.9247820892570775</v>
      </c>
      <c r="H47" s="7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</row>
    <row r="48" spans="1:28" ht="15" customHeight="1">
      <c r="A48" s="70">
        <v>2</v>
      </c>
      <c r="B48" s="70" t="s">
        <v>226</v>
      </c>
      <c r="C48" s="76" t="s">
        <v>227</v>
      </c>
      <c r="D48" s="70">
        <v>5.5</v>
      </c>
      <c r="E48" s="71">
        <f>(12+10.5)/3.14</f>
        <v>7.1656050955414008</v>
      </c>
      <c r="F48" s="71"/>
      <c r="G48" s="71">
        <f t="shared" si="3"/>
        <v>0</v>
      </c>
      <c r="H48" s="70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</row>
    <row r="49" spans="1:28" ht="15" customHeight="1">
      <c r="A49" s="70">
        <v>2</v>
      </c>
      <c r="B49" s="70" t="s">
        <v>226</v>
      </c>
      <c r="C49" s="76" t="s">
        <v>227</v>
      </c>
      <c r="D49" s="70">
        <v>5.2</v>
      </c>
      <c r="E49" s="71">
        <f>(30)/3.14</f>
        <v>9.5541401273885338</v>
      </c>
      <c r="F49" s="71"/>
      <c r="G49" s="71">
        <f t="shared" si="3"/>
        <v>0</v>
      </c>
      <c r="H49" s="70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</row>
    <row r="50" spans="1:28" ht="15" customHeight="1">
      <c r="A50" s="70">
        <v>2</v>
      </c>
      <c r="B50" s="70" t="s">
        <v>66</v>
      </c>
      <c r="C50" s="11" t="s">
        <v>67</v>
      </c>
      <c r="D50" s="70">
        <v>9.5</v>
      </c>
      <c r="E50" s="71">
        <f>(31+25+26.5)/3.14</f>
        <v>26.273885350318469</v>
      </c>
      <c r="F50" s="191">
        <f>AVERAGE(0.74,0.79)</f>
        <v>0.76500000000000001</v>
      </c>
      <c r="G50" s="71">
        <f t="shared" si="3"/>
        <v>275.19358013613225</v>
      </c>
      <c r="H50" s="70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</row>
    <row r="51" spans="1:28" ht="15" customHeight="1">
      <c r="A51" s="70">
        <v>2</v>
      </c>
      <c r="B51" s="70" t="s">
        <v>66</v>
      </c>
      <c r="C51" s="11" t="s">
        <v>67</v>
      </c>
      <c r="D51" s="70">
        <v>9.5</v>
      </c>
      <c r="E51" s="71">
        <f>(59)/3.14</f>
        <v>18.789808917197451</v>
      </c>
      <c r="F51" s="191">
        <f>AVERAGE(0.74,0.79)</f>
        <v>0.76500000000000001</v>
      </c>
      <c r="G51" s="71">
        <f t="shared" si="3"/>
        <v>143.02874151740869</v>
      </c>
      <c r="H51" s="70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</row>
    <row r="52" spans="1:28" ht="15" customHeight="1">
      <c r="A52" s="70">
        <v>3</v>
      </c>
      <c r="B52" s="70" t="s">
        <v>224</v>
      </c>
      <c r="C52" s="187" t="s">
        <v>21</v>
      </c>
      <c r="D52" s="70">
        <v>5.5</v>
      </c>
      <c r="E52" s="71">
        <f>(17.5+25+21.5+23)/3.14</f>
        <v>27.70700636942675</v>
      </c>
      <c r="F52" s="51">
        <f>AVERAGE(0.84,1.1)</f>
        <v>0.97</v>
      </c>
      <c r="G52" s="71">
        <f t="shared" si="3"/>
        <v>225.75281265046709</v>
      </c>
      <c r="H52" s="70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</row>
    <row r="53" spans="1:28" ht="15" customHeight="1">
      <c r="A53" s="70">
        <v>3</v>
      </c>
      <c r="B53" s="70" t="s">
        <v>238</v>
      </c>
      <c r="C53" s="11" t="s">
        <v>239</v>
      </c>
      <c r="D53" s="70">
        <v>2</v>
      </c>
      <c r="E53" s="71">
        <f>(11)/3.14</f>
        <v>3.5031847133757958</v>
      </c>
      <c r="F53" s="192"/>
      <c r="G53" s="71">
        <f t="shared" si="3"/>
        <v>0</v>
      </c>
      <c r="H53" s="70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</row>
    <row r="54" spans="1:28" ht="15" customHeight="1">
      <c r="A54" s="70">
        <v>3</v>
      </c>
      <c r="B54" s="70" t="s">
        <v>243</v>
      </c>
      <c r="C54" s="76" t="s">
        <v>244</v>
      </c>
      <c r="D54" s="70">
        <v>6.5</v>
      </c>
      <c r="E54" s="71">
        <f>(39.5)/3.14</f>
        <v>12.579617834394904</v>
      </c>
      <c r="F54" s="71">
        <v>0.6</v>
      </c>
      <c r="G54" s="71">
        <f t="shared" si="3"/>
        <v>35.599588530079252</v>
      </c>
      <c r="H54" s="70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</row>
    <row r="55" spans="1:28" ht="15" customHeight="1">
      <c r="A55" s="70">
        <v>3</v>
      </c>
      <c r="B55" s="70" t="s">
        <v>70</v>
      </c>
      <c r="C55" s="17" t="s">
        <v>71</v>
      </c>
      <c r="D55" s="10">
        <v>8.5</v>
      </c>
      <c r="E55" s="71">
        <f>(47.2)/3.14</f>
        <v>15.031847133757962</v>
      </c>
      <c r="F55" s="13">
        <f>AVERAGE(0.37,0.6)</f>
        <v>0.48499999999999999</v>
      </c>
      <c r="G55" s="71">
        <f t="shared" si="3"/>
        <v>53.203472746330185</v>
      </c>
      <c r="H55" s="70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</row>
    <row r="56" spans="1:28" ht="15" customHeight="1">
      <c r="A56" s="70">
        <v>3</v>
      </c>
      <c r="B56" s="70" t="s">
        <v>160</v>
      </c>
      <c r="C56" s="11" t="s">
        <v>242</v>
      </c>
      <c r="D56" s="25">
        <v>10</v>
      </c>
      <c r="E56" s="71">
        <f>(67.5)/3.14</f>
        <v>21.496815286624201</v>
      </c>
      <c r="F56" s="10">
        <f>AVERAGE(0.5,0.68)</f>
        <v>0.59000000000000008</v>
      </c>
      <c r="G56" s="71">
        <f t="shared" si="3"/>
        <v>151.76125842132856</v>
      </c>
      <c r="H56" s="70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</row>
    <row r="57" spans="1:28" ht="15" customHeight="1">
      <c r="A57" s="70">
        <v>3</v>
      </c>
      <c r="B57" s="70" t="s">
        <v>229</v>
      </c>
      <c r="C57" s="11" t="s">
        <v>230</v>
      </c>
      <c r="D57" s="70">
        <v>8.5</v>
      </c>
      <c r="E57" s="71">
        <f>(55+88.5)/3.14</f>
        <v>45.70063694267516</v>
      </c>
      <c r="F57" s="47">
        <f>AVERAGE(0.6,0.77)</f>
        <v>0.68500000000000005</v>
      </c>
      <c r="G57" s="71">
        <f t="shared" si="3"/>
        <v>653.02554656980658</v>
      </c>
      <c r="H57" s="70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</row>
    <row r="58" spans="1:28" ht="15" customHeight="1">
      <c r="A58" s="70">
        <v>3</v>
      </c>
      <c r="B58" s="70" t="s">
        <v>37</v>
      </c>
      <c r="C58" s="76" t="s">
        <v>38</v>
      </c>
      <c r="D58" s="70">
        <v>5</v>
      </c>
      <c r="E58" s="71">
        <f>(16.5+8+21.3+8.5)/3.14</f>
        <v>17.292993630573246</v>
      </c>
      <c r="F58" s="72">
        <f>AVERAGE(0.75,0.9)</f>
        <v>0.82499999999999996</v>
      </c>
      <c r="G58" s="71">
        <f t="shared" si="3"/>
        <v>69.982819661801599</v>
      </c>
      <c r="H58" s="70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</row>
    <row r="59" spans="1:28" ht="15" customHeight="1">
      <c r="A59" s="70">
        <v>3</v>
      </c>
      <c r="B59" s="70" t="s">
        <v>226</v>
      </c>
      <c r="C59" s="76" t="s">
        <v>227</v>
      </c>
      <c r="D59" s="70">
        <v>6</v>
      </c>
      <c r="E59" s="71">
        <f>(30+20.5+23)/3.14</f>
        <v>23.407643312101911</v>
      </c>
      <c r="F59" s="192"/>
      <c r="G59" s="71">
        <f t="shared" si="3"/>
        <v>0</v>
      </c>
      <c r="H59" s="70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</row>
    <row r="60" spans="1:28" ht="15" customHeight="1">
      <c r="A60" s="70">
        <v>3</v>
      </c>
      <c r="B60" s="70" t="s">
        <v>226</v>
      </c>
      <c r="C60" s="76" t="s">
        <v>227</v>
      </c>
      <c r="D60" s="73">
        <v>5</v>
      </c>
      <c r="E60" s="71">
        <f>(24.2+24.5)/3.14</f>
        <v>15.509554140127388</v>
      </c>
      <c r="F60" s="192"/>
      <c r="G60" s="71">
        <f t="shared" si="3"/>
        <v>0</v>
      </c>
      <c r="H60" s="77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</row>
    <row r="61" spans="1:28" ht="15" customHeight="1">
      <c r="A61" s="70">
        <v>4</v>
      </c>
      <c r="B61" s="70" t="s">
        <v>134</v>
      </c>
      <c r="C61" s="76" t="s">
        <v>135</v>
      </c>
      <c r="D61" s="70">
        <v>2.5</v>
      </c>
      <c r="E61" s="71">
        <f>(12+9.5+8)/3.14</f>
        <v>9.3949044585987256</v>
      </c>
      <c r="F61" s="192"/>
      <c r="G61" s="71">
        <f t="shared" si="3"/>
        <v>0</v>
      </c>
      <c r="H61" s="70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</row>
    <row r="62" spans="1:28" ht="15" customHeight="1">
      <c r="A62" s="70">
        <v>4</v>
      </c>
      <c r="B62" s="70" t="s">
        <v>70</v>
      </c>
      <c r="C62" s="17" t="s">
        <v>71</v>
      </c>
      <c r="D62" s="70">
        <v>4.5</v>
      </c>
      <c r="E62" s="71">
        <f>(34)/3.14</f>
        <v>10.828025477707007</v>
      </c>
      <c r="F62" s="191">
        <f>AVERAGE(0.37,0.6)</f>
        <v>0.48499999999999999</v>
      </c>
      <c r="G62" s="71">
        <f t="shared" si="3"/>
        <v>15.075599366537793</v>
      </c>
      <c r="H62" s="70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</row>
    <row r="63" spans="1:28" ht="15" customHeight="1">
      <c r="A63" s="70">
        <v>4</v>
      </c>
      <c r="B63" s="70" t="s">
        <v>85</v>
      </c>
      <c r="C63" s="76" t="s">
        <v>86</v>
      </c>
      <c r="D63" s="70">
        <v>2</v>
      </c>
      <c r="E63" s="71">
        <f>(4+5)/3.14</f>
        <v>2.8662420382165603</v>
      </c>
      <c r="F63" s="192">
        <v>0.6</v>
      </c>
      <c r="G63" s="71">
        <f t="shared" si="3"/>
        <v>0.62801593829559199</v>
      </c>
      <c r="H63" s="70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</row>
    <row r="64" spans="1:28" ht="15" customHeight="1">
      <c r="A64" s="70">
        <v>4</v>
      </c>
      <c r="B64" s="70" t="s">
        <v>56</v>
      </c>
      <c r="C64" s="11" t="s">
        <v>56</v>
      </c>
      <c r="D64" s="70">
        <v>6</v>
      </c>
      <c r="E64" s="71">
        <f>(44+51.5)/3.14</f>
        <v>30.414012738853501</v>
      </c>
      <c r="F64" s="47">
        <f>AVERAGE(0.6,0.77)</f>
        <v>0.68500000000000005</v>
      </c>
      <c r="G64" s="71">
        <f t="shared" si="3"/>
        <v>209.93487490959183</v>
      </c>
      <c r="H64" s="70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</row>
    <row r="65" spans="1:28" ht="15" customHeight="1">
      <c r="A65" s="70">
        <v>4</v>
      </c>
      <c r="B65" s="70" t="s">
        <v>222</v>
      </c>
      <c r="C65" s="11" t="s">
        <v>223</v>
      </c>
      <c r="D65" s="70">
        <v>10</v>
      </c>
      <c r="E65" s="71">
        <f>(64)/3.14</f>
        <v>20.38216560509554</v>
      </c>
      <c r="F65" s="71"/>
      <c r="G65" s="71">
        <f t="shared" si="3"/>
        <v>0</v>
      </c>
      <c r="H65" s="70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</row>
    <row r="66" spans="1:28" ht="15" customHeight="1">
      <c r="A66" s="70">
        <v>4</v>
      </c>
      <c r="B66" s="70" t="s">
        <v>222</v>
      </c>
      <c r="C66" s="11" t="s">
        <v>223</v>
      </c>
      <c r="D66" s="70">
        <v>9</v>
      </c>
      <c r="E66" s="71">
        <f>(56)/3.14</f>
        <v>17.834394904458598</v>
      </c>
      <c r="F66" s="71"/>
      <c r="G66" s="71">
        <f t="shared" si="3"/>
        <v>0</v>
      </c>
      <c r="H66" s="70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</row>
    <row r="67" spans="1:28" ht="15" customHeight="1">
      <c r="A67" s="70">
        <v>4</v>
      </c>
      <c r="B67" s="70" t="s">
        <v>222</v>
      </c>
      <c r="C67" s="11" t="s">
        <v>223</v>
      </c>
      <c r="D67" s="70">
        <v>8.5</v>
      </c>
      <c r="E67" s="71">
        <f>(41+18.5+42)/3.14</f>
        <v>32.324840764331206</v>
      </c>
      <c r="F67" s="71"/>
      <c r="G67" s="71">
        <f t="shared" si="3"/>
        <v>0</v>
      </c>
      <c r="H67" s="70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</row>
    <row r="68" spans="1:28" ht="15" customHeight="1">
      <c r="A68" s="70">
        <v>4</v>
      </c>
      <c r="B68" s="70" t="s">
        <v>229</v>
      </c>
      <c r="C68" s="11" t="s">
        <v>230</v>
      </c>
      <c r="D68" s="70">
        <v>5</v>
      </c>
      <c r="E68" s="71">
        <f>(16.5+9+18.5)/3.14</f>
        <v>14.012738853503183</v>
      </c>
      <c r="F68" s="47">
        <f>AVERAGE(0.6,0.77)</f>
        <v>0.68500000000000005</v>
      </c>
      <c r="G68" s="71">
        <f t="shared" ref="G68:G99" si="5">0.0673*(F68*E68^2*D68)^0.976</f>
        <v>38.712991989703269</v>
      </c>
      <c r="H68" s="77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</row>
    <row r="69" spans="1:28" ht="15" customHeight="1">
      <c r="A69" s="70">
        <v>4</v>
      </c>
      <c r="B69" s="70" t="s">
        <v>213</v>
      </c>
      <c r="C69" s="11" t="s">
        <v>173</v>
      </c>
      <c r="D69" s="70">
        <v>3</v>
      </c>
      <c r="E69" s="71">
        <f>(9)/3.14</f>
        <v>2.8662420382165603</v>
      </c>
      <c r="F69" s="9">
        <v>0.74</v>
      </c>
      <c r="G69" s="71">
        <f t="shared" si="5"/>
        <v>1.1448017184692159</v>
      </c>
      <c r="H69" s="70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</row>
    <row r="70" spans="1:28" ht="15" customHeight="1">
      <c r="A70" s="70">
        <v>5</v>
      </c>
      <c r="B70" s="70" t="s">
        <v>20</v>
      </c>
      <c r="C70" s="187" t="s">
        <v>21</v>
      </c>
      <c r="D70" s="70">
        <v>9.5</v>
      </c>
      <c r="E70" s="71">
        <f>(32)/3.14</f>
        <v>10.19108280254777</v>
      </c>
      <c r="F70" s="72">
        <f>AVERAGE(0.84,1.1)</f>
        <v>0.97</v>
      </c>
      <c r="G70" s="71">
        <f t="shared" si="5"/>
        <v>54.627157184311137</v>
      </c>
      <c r="H70" s="70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</row>
    <row r="71" spans="1:28" ht="15" customHeight="1">
      <c r="A71" s="70">
        <v>5</v>
      </c>
      <c r="B71" s="70" t="s">
        <v>20</v>
      </c>
      <c r="C71" s="187" t="s">
        <v>21</v>
      </c>
      <c r="D71" s="73">
        <v>9.5</v>
      </c>
      <c r="E71" s="71">
        <f>(25)/3.14</f>
        <v>7.9617834394904454</v>
      </c>
      <c r="F71" s="72">
        <f>AVERAGE(0.84,1.1)</f>
        <v>0.97</v>
      </c>
      <c r="G71" s="71">
        <f t="shared" si="5"/>
        <v>33.739196801333904</v>
      </c>
      <c r="H71" s="70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</row>
    <row r="72" spans="1:28" ht="15" customHeight="1">
      <c r="A72" s="70">
        <v>5</v>
      </c>
      <c r="B72" s="70" t="s">
        <v>243</v>
      </c>
      <c r="C72" s="76" t="s">
        <v>244</v>
      </c>
      <c r="D72" s="70">
        <v>7</v>
      </c>
      <c r="E72" s="71">
        <f>(20)/3.14</f>
        <v>6.3694267515923562</v>
      </c>
      <c r="F72" s="71">
        <v>0.6</v>
      </c>
      <c r="G72" s="71">
        <f t="shared" si="5"/>
        <v>10.137018758372601</v>
      </c>
      <c r="H72" s="70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</row>
    <row r="73" spans="1:28" ht="15" customHeight="1">
      <c r="A73" s="70">
        <v>5</v>
      </c>
      <c r="B73" s="70" t="s">
        <v>243</v>
      </c>
      <c r="C73" s="76" t="s">
        <v>244</v>
      </c>
      <c r="D73" s="70">
        <v>7.3</v>
      </c>
      <c r="E73" s="71">
        <f>(30)/3.14</f>
        <v>9.5541401273885338</v>
      </c>
      <c r="F73" s="71">
        <v>0.6</v>
      </c>
      <c r="G73" s="71">
        <f t="shared" si="5"/>
        <v>23.303857300136425</v>
      </c>
      <c r="H73" s="70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</row>
    <row r="74" spans="1:28" ht="15" customHeight="1">
      <c r="A74" s="70">
        <v>5</v>
      </c>
      <c r="B74" s="70" t="s">
        <v>243</v>
      </c>
      <c r="C74" s="76" t="s">
        <v>244</v>
      </c>
      <c r="D74" s="70">
        <v>7.5</v>
      </c>
      <c r="E74" s="71">
        <f>(18)/3.14</f>
        <v>5.7324840764331206</v>
      </c>
      <c r="F74" s="71">
        <v>0.6</v>
      </c>
      <c r="G74" s="71">
        <f t="shared" si="5"/>
        <v>8.8274595178040602</v>
      </c>
      <c r="H74" s="70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</row>
    <row r="75" spans="1:28" ht="15" customHeight="1">
      <c r="A75" s="70">
        <v>5</v>
      </c>
      <c r="B75" s="70" t="s">
        <v>70</v>
      </c>
      <c r="C75" s="17" t="s">
        <v>71</v>
      </c>
      <c r="D75" s="10">
        <v>6.5</v>
      </c>
      <c r="E75" s="71">
        <f>(23)/3.14</f>
        <v>7.3248407643312099</v>
      </c>
      <c r="F75" s="13">
        <f>AVERAGE(0.37,0.6)</f>
        <v>0.48499999999999999</v>
      </c>
      <c r="G75" s="71">
        <f t="shared" si="5"/>
        <v>10.064414159073163</v>
      </c>
      <c r="H75" s="70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</row>
    <row r="76" spans="1:28" ht="15" customHeight="1">
      <c r="A76" s="70">
        <v>5</v>
      </c>
      <c r="B76" s="70" t="s">
        <v>233</v>
      </c>
      <c r="C76" s="17" t="s">
        <v>54</v>
      </c>
      <c r="D76" s="70">
        <v>3.5</v>
      </c>
      <c r="E76" s="71">
        <f>(19)/3.14</f>
        <v>6.0509554140127388</v>
      </c>
      <c r="F76" s="13">
        <v>0.76</v>
      </c>
      <c r="G76" s="71">
        <f t="shared" si="5"/>
        <v>5.8724577055435248</v>
      </c>
      <c r="H76" s="77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</row>
    <row r="77" spans="1:28" ht="15" customHeight="1">
      <c r="A77" s="70">
        <v>5</v>
      </c>
      <c r="B77" s="70" t="s">
        <v>233</v>
      </c>
      <c r="C77" s="17" t="s">
        <v>54</v>
      </c>
      <c r="D77" s="70">
        <v>6</v>
      </c>
      <c r="E77" s="71">
        <f>(30+26+22)/3.14</f>
        <v>24.840764331210192</v>
      </c>
      <c r="F77" s="13">
        <v>0.76</v>
      </c>
      <c r="G77" s="71">
        <f t="shared" si="5"/>
        <v>156.50446853065827</v>
      </c>
      <c r="H77" s="70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</row>
    <row r="78" spans="1:28" ht="15" customHeight="1">
      <c r="A78" s="70">
        <v>5</v>
      </c>
      <c r="B78" s="70" t="s">
        <v>231</v>
      </c>
      <c r="C78" s="76" t="s">
        <v>232</v>
      </c>
      <c r="D78" s="10">
        <v>4.5</v>
      </c>
      <c r="E78" s="71">
        <f>(26+13+9)/3.14</f>
        <v>15.286624203821656</v>
      </c>
      <c r="F78" s="72">
        <v>0.62</v>
      </c>
      <c r="G78" s="71">
        <f t="shared" si="5"/>
        <v>37.557872988968555</v>
      </c>
      <c r="H78" s="77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</row>
    <row r="79" spans="1:28" ht="15" customHeight="1">
      <c r="A79" s="70">
        <v>5</v>
      </c>
      <c r="B79" s="70" t="s">
        <v>231</v>
      </c>
      <c r="C79" s="76" t="s">
        <v>232</v>
      </c>
      <c r="D79" s="70">
        <v>4</v>
      </c>
      <c r="E79" s="71">
        <f>(10+19)/3.14</f>
        <v>9.2356687898089174</v>
      </c>
      <c r="F79" s="72">
        <v>0.62</v>
      </c>
      <c r="G79" s="71">
        <f t="shared" si="5"/>
        <v>12.519705801218496</v>
      </c>
      <c r="H79" s="77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</row>
    <row r="80" spans="1:28" ht="15" customHeight="1">
      <c r="A80" s="70">
        <v>5</v>
      </c>
      <c r="B80" s="70" t="s">
        <v>231</v>
      </c>
      <c r="C80" s="76" t="s">
        <v>232</v>
      </c>
      <c r="D80" s="10">
        <v>3.5</v>
      </c>
      <c r="E80" s="71">
        <f>(16)/3.14</f>
        <v>5.0955414012738851</v>
      </c>
      <c r="F80" s="72">
        <v>0.62</v>
      </c>
      <c r="G80" s="71">
        <f t="shared" si="5"/>
        <v>3.442193637835155</v>
      </c>
      <c r="H80" s="70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</row>
    <row r="81" spans="1:28" ht="15" customHeight="1">
      <c r="A81" s="70">
        <v>5</v>
      </c>
      <c r="B81" s="70" t="s">
        <v>231</v>
      </c>
      <c r="C81" s="76" t="s">
        <v>232</v>
      </c>
      <c r="D81" s="70">
        <v>5</v>
      </c>
      <c r="E81" s="71">
        <f>(19)/3.14</f>
        <v>6.0509554140127388</v>
      </c>
      <c r="F81" s="72">
        <v>0.62</v>
      </c>
      <c r="G81" s="71">
        <f t="shared" si="5"/>
        <v>6.8187447480190562</v>
      </c>
      <c r="H81" s="70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</row>
    <row r="82" spans="1:28" ht="15" customHeight="1">
      <c r="A82" s="70">
        <v>5</v>
      </c>
      <c r="B82" s="70" t="s">
        <v>56</v>
      </c>
      <c r="C82" s="11" t="s">
        <v>56</v>
      </c>
      <c r="D82" s="10">
        <v>6</v>
      </c>
      <c r="E82" s="71">
        <f>(14+21+16+24+23)/3.14</f>
        <v>31.210191082802545</v>
      </c>
      <c r="F82" s="47">
        <f>AVERAGE(0.6,0.77)</f>
        <v>0.68500000000000005</v>
      </c>
      <c r="G82" s="71">
        <f t="shared" si="5"/>
        <v>220.79605478313249</v>
      </c>
      <c r="H82" s="70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</row>
    <row r="83" spans="1:28" ht="15" customHeight="1">
      <c r="A83" s="70">
        <v>5</v>
      </c>
      <c r="B83" s="70" t="s">
        <v>229</v>
      </c>
      <c r="C83" s="11" t="s">
        <v>230</v>
      </c>
      <c r="D83" s="70">
        <v>3.5</v>
      </c>
      <c r="E83" s="71">
        <f>(30)/3.14</f>
        <v>9.5541401273885338</v>
      </c>
      <c r="F83" s="47">
        <f>AVERAGE(0.6,0.77)</f>
        <v>0.68500000000000005</v>
      </c>
      <c r="G83" s="71">
        <f t="shared" si="5"/>
        <v>12.941764402128619</v>
      </c>
      <c r="H83" s="7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</row>
    <row r="84" spans="1:28" ht="15" customHeight="1">
      <c r="A84" s="70">
        <v>5</v>
      </c>
      <c r="B84" s="70" t="s">
        <v>229</v>
      </c>
      <c r="C84" s="11" t="s">
        <v>230</v>
      </c>
      <c r="D84" s="10">
        <v>6</v>
      </c>
      <c r="E84" s="71">
        <f>(21)/3.14</f>
        <v>6.6878980891719744</v>
      </c>
      <c r="F84" s="47">
        <f>AVERAGE(0.6,0.77)</f>
        <v>0.68500000000000005</v>
      </c>
      <c r="G84" s="71">
        <f t="shared" si="5"/>
        <v>10.916667246028442</v>
      </c>
      <c r="H84" s="70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</row>
    <row r="85" spans="1:28" ht="15" customHeight="1">
      <c r="A85" s="70">
        <v>5</v>
      </c>
      <c r="B85" s="70" t="s">
        <v>229</v>
      </c>
      <c r="C85" s="11" t="s">
        <v>230</v>
      </c>
      <c r="D85" s="70">
        <v>7</v>
      </c>
      <c r="E85" s="71">
        <f>(50+37+36)/3.14</f>
        <v>39.171974522292992</v>
      </c>
      <c r="F85" s="47">
        <f>AVERAGE(0.6,0.77)</f>
        <v>0.68500000000000005</v>
      </c>
      <c r="G85" s="71">
        <f t="shared" si="5"/>
        <v>399.90133462605814</v>
      </c>
      <c r="H85" s="7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</row>
    <row r="86" spans="1:28" ht="15" customHeight="1">
      <c r="A86" s="70">
        <v>5</v>
      </c>
      <c r="B86" s="70" t="s">
        <v>229</v>
      </c>
      <c r="C86" s="11" t="s">
        <v>230</v>
      </c>
      <c r="D86" s="70">
        <v>2.5</v>
      </c>
      <c r="E86" s="71">
        <f>(20+22)/3.14</f>
        <v>13.375796178343949</v>
      </c>
      <c r="F86" s="47">
        <f>AVERAGE(0.6,0.77)</f>
        <v>0.68500000000000005</v>
      </c>
      <c r="G86" s="71">
        <f t="shared" si="5"/>
        <v>17.972746645573935</v>
      </c>
      <c r="H86" s="70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</row>
    <row r="87" spans="1:28" ht="15" customHeight="1">
      <c r="A87" s="70">
        <v>5</v>
      </c>
      <c r="B87" s="70" t="s">
        <v>37</v>
      </c>
      <c r="C87" s="76" t="s">
        <v>38</v>
      </c>
      <c r="D87" s="70">
        <v>7</v>
      </c>
      <c r="E87" s="71">
        <f>(36)/3.14</f>
        <v>11.464968152866241</v>
      </c>
      <c r="F87" s="72">
        <f>AVERAGE(0.75,0.9)</f>
        <v>0.82499999999999996</v>
      </c>
      <c r="G87" s="71">
        <f t="shared" si="5"/>
        <v>43.569804729083984</v>
      </c>
      <c r="H87" s="70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</row>
    <row r="88" spans="1:28" ht="15" customHeight="1">
      <c r="A88" s="70">
        <v>5</v>
      </c>
      <c r="B88" s="70" t="s">
        <v>66</v>
      </c>
      <c r="C88" s="11" t="s">
        <v>67</v>
      </c>
      <c r="D88" s="79">
        <v>10</v>
      </c>
      <c r="E88" s="71">
        <f>(36+45+16+23+15)/3.14</f>
        <v>42.993630573248403</v>
      </c>
      <c r="F88" s="13">
        <f>AVERAGE(0.74,0.79)</f>
        <v>0.76500000000000001</v>
      </c>
      <c r="G88" s="71">
        <f t="shared" si="5"/>
        <v>756.61242334355404</v>
      </c>
      <c r="H88" s="70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</row>
    <row r="89" spans="1:28" ht="15" customHeight="1">
      <c r="A89" s="70">
        <v>5</v>
      </c>
      <c r="B89" s="70" t="s">
        <v>66</v>
      </c>
      <c r="C89" s="11" t="s">
        <v>67</v>
      </c>
      <c r="D89" s="70">
        <v>4.5</v>
      </c>
      <c r="E89" s="71">
        <f>(16)/3.14</f>
        <v>5.0955414012738851</v>
      </c>
      <c r="F89" s="13">
        <f>AVERAGE(0.74,0.79)</f>
        <v>0.76500000000000001</v>
      </c>
      <c r="G89" s="71">
        <f t="shared" si="5"/>
        <v>5.4005696503834715</v>
      </c>
      <c r="H89" s="70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</row>
    <row r="90" spans="1:28" ht="15" customHeight="1">
      <c r="A90" s="70">
        <v>5</v>
      </c>
      <c r="B90" s="70" t="s">
        <v>66</v>
      </c>
      <c r="C90" s="11" t="s">
        <v>67</v>
      </c>
      <c r="D90" s="70">
        <v>8.5</v>
      </c>
      <c r="E90" s="71">
        <f>(34+27+23+10)/3.14</f>
        <v>29.936305732484076</v>
      </c>
      <c r="F90" s="13">
        <f>AVERAGE(0.74,0.79)</f>
        <v>0.76500000000000001</v>
      </c>
      <c r="G90" s="71">
        <f t="shared" si="5"/>
        <v>318.50803563459817</v>
      </c>
      <c r="H90" s="70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</row>
    <row r="91" spans="1:28" ht="15" customHeight="1">
      <c r="A91" s="70">
        <v>5</v>
      </c>
      <c r="B91" s="70" t="s">
        <v>66</v>
      </c>
      <c r="C91" s="11" t="s">
        <v>67</v>
      </c>
      <c r="D91" s="73">
        <v>8.5</v>
      </c>
      <c r="E91" s="71">
        <f>(34+45)/3.14</f>
        <v>25.159235668789808</v>
      </c>
      <c r="F91" s="13">
        <f>AVERAGE(0.74,0.79)</f>
        <v>0.76500000000000001</v>
      </c>
      <c r="G91" s="71">
        <f t="shared" si="5"/>
        <v>226.85215309586476</v>
      </c>
      <c r="H91" s="70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</row>
    <row r="92" spans="1:28" ht="15" customHeight="1">
      <c r="A92" s="70">
        <v>5</v>
      </c>
      <c r="B92" s="70" t="s">
        <v>66</v>
      </c>
      <c r="C92" s="11" t="s">
        <v>67</v>
      </c>
      <c r="D92" s="10">
        <v>10</v>
      </c>
      <c r="E92" s="71">
        <f>(39+13+23)/3.14</f>
        <v>23.885350318471335</v>
      </c>
      <c r="F92" s="13">
        <f>AVERAGE(0.74,0.79)</f>
        <v>0.76500000000000001</v>
      </c>
      <c r="G92" s="71">
        <f t="shared" si="5"/>
        <v>240.20472057489289</v>
      </c>
      <c r="H92" s="77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</row>
    <row r="93" spans="1:28" ht="15" customHeight="1">
      <c r="A93" s="70">
        <v>5</v>
      </c>
      <c r="B93" s="70" t="s">
        <v>240</v>
      </c>
      <c r="C93" s="76" t="s">
        <v>241</v>
      </c>
      <c r="D93" s="25">
        <v>5</v>
      </c>
      <c r="E93" s="71">
        <f>(16)/3.14</f>
        <v>5.0955414012738851</v>
      </c>
      <c r="F93" s="71"/>
      <c r="G93" s="71">
        <f t="shared" si="5"/>
        <v>0</v>
      </c>
      <c r="H93" s="70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</row>
    <row r="94" spans="1:28" ht="15" customHeight="1">
      <c r="A94" s="70">
        <v>5</v>
      </c>
      <c r="B94" s="70" t="s">
        <v>240</v>
      </c>
      <c r="C94" s="76" t="s">
        <v>241</v>
      </c>
      <c r="D94" s="70">
        <v>8</v>
      </c>
      <c r="E94" s="71">
        <f>(31)/3.14</f>
        <v>9.872611464968152</v>
      </c>
      <c r="F94" s="71"/>
      <c r="G94" s="71">
        <f t="shared" si="5"/>
        <v>0</v>
      </c>
      <c r="H94" s="70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</row>
    <row r="95" spans="1:28" ht="15" customHeight="1">
      <c r="A95" s="70" t="s">
        <v>225</v>
      </c>
      <c r="B95" s="70" t="s">
        <v>20</v>
      </c>
      <c r="C95" s="187" t="s">
        <v>21</v>
      </c>
      <c r="D95" s="70">
        <v>10</v>
      </c>
      <c r="E95" s="71">
        <f>(44)/3.14</f>
        <v>14.012738853503183</v>
      </c>
      <c r="F95" s="72">
        <f>AVERAGE(0.84,1.1)</f>
        <v>0.97</v>
      </c>
      <c r="G95" s="71">
        <f t="shared" si="5"/>
        <v>106.93434862371183</v>
      </c>
      <c r="H95" s="77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</row>
    <row r="96" spans="1:28" ht="15" customHeight="1">
      <c r="A96" s="70" t="s">
        <v>225</v>
      </c>
      <c r="B96" s="70" t="s">
        <v>20</v>
      </c>
      <c r="C96" s="187" t="s">
        <v>21</v>
      </c>
      <c r="D96" s="70">
        <v>10</v>
      </c>
      <c r="E96" s="71">
        <f>(47)/3.14</f>
        <v>14.968152866242038</v>
      </c>
      <c r="F96" s="72">
        <f>AVERAGE(0.84,1.1)</f>
        <v>0.97</v>
      </c>
      <c r="G96" s="71">
        <f t="shared" si="5"/>
        <v>121.62773592595981</v>
      </c>
      <c r="H96" s="70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</row>
    <row r="97" spans="1:28" ht="15" customHeight="1">
      <c r="A97" s="70" t="s">
        <v>225</v>
      </c>
      <c r="B97" s="70" t="s">
        <v>243</v>
      </c>
      <c r="C97" s="76" t="s">
        <v>244</v>
      </c>
      <c r="D97" s="10">
        <v>6</v>
      </c>
      <c r="E97" s="71">
        <f>(19)/3.14</f>
        <v>6.0509554140127388</v>
      </c>
      <c r="F97" s="71">
        <v>0.6</v>
      </c>
      <c r="G97" s="71">
        <f t="shared" si="5"/>
        <v>7.8901754587489323</v>
      </c>
      <c r="H97" s="70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</row>
    <row r="98" spans="1:28" ht="15" customHeight="1">
      <c r="A98" s="70" t="s">
        <v>225</v>
      </c>
      <c r="B98" s="70" t="s">
        <v>243</v>
      </c>
      <c r="C98" s="76" t="s">
        <v>244</v>
      </c>
      <c r="D98" s="70">
        <v>7</v>
      </c>
      <c r="E98" s="71">
        <f>(26)/3.14</f>
        <v>8.2802547770700627</v>
      </c>
      <c r="F98" s="71">
        <v>0.6</v>
      </c>
      <c r="G98" s="71">
        <f t="shared" si="5"/>
        <v>16.917168454091559</v>
      </c>
      <c r="H98" s="70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</row>
    <row r="99" spans="1:28" ht="15" customHeight="1">
      <c r="A99" s="70" t="s">
        <v>225</v>
      </c>
      <c r="B99" s="70" t="s">
        <v>233</v>
      </c>
      <c r="C99" s="17" t="s">
        <v>54</v>
      </c>
      <c r="D99" s="70">
        <v>5</v>
      </c>
      <c r="E99" s="71">
        <f>(11+9+8+8)/3.14</f>
        <v>11.464968152866241</v>
      </c>
      <c r="F99" s="13">
        <v>0.76</v>
      </c>
      <c r="G99" s="71">
        <f t="shared" si="5"/>
        <v>28.958740085074115</v>
      </c>
      <c r="H99" s="70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</row>
    <row r="100" spans="1:28" ht="15" customHeight="1">
      <c r="A100" s="70" t="s">
        <v>225</v>
      </c>
      <c r="B100" s="70" t="s">
        <v>233</v>
      </c>
      <c r="C100" s="17" t="s">
        <v>54</v>
      </c>
      <c r="D100" s="70">
        <v>5</v>
      </c>
      <c r="E100" s="71">
        <f>(10)/3.14</f>
        <v>3.1847133757961781</v>
      </c>
      <c r="F100" s="13">
        <v>0.76</v>
      </c>
      <c r="G100" s="71">
        <f t="shared" ref="G100:G110" si="6">0.0673*(F100*E100^2*D100)^0.976</f>
        <v>2.3761682110228586</v>
      </c>
      <c r="H100" s="77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</row>
    <row r="101" spans="1:28" ht="15" customHeight="1">
      <c r="A101" s="70" t="s">
        <v>225</v>
      </c>
      <c r="B101" s="70" t="s">
        <v>233</v>
      </c>
      <c r="C101" s="17" t="s">
        <v>54</v>
      </c>
      <c r="D101" s="70">
        <v>4</v>
      </c>
      <c r="E101" s="71">
        <f>(10+10)/3.14</f>
        <v>6.3694267515923562</v>
      </c>
      <c r="F101" s="13">
        <v>0.76</v>
      </c>
      <c r="G101" s="71">
        <f t="shared" si="6"/>
        <v>7.3944105612918491</v>
      </c>
      <c r="H101" s="77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</row>
    <row r="102" spans="1:28" ht="15" customHeight="1">
      <c r="A102" s="70" t="s">
        <v>225</v>
      </c>
      <c r="B102" s="70" t="s">
        <v>229</v>
      </c>
      <c r="C102" s="11" t="s">
        <v>230</v>
      </c>
      <c r="D102" s="70">
        <v>9</v>
      </c>
      <c r="E102" s="71">
        <f>(56)/3.14</f>
        <v>17.834394904458598</v>
      </c>
      <c r="F102" s="47">
        <f t="shared" ref="F102:F109" si="7">AVERAGE(0.6,0.77)</f>
        <v>0.68500000000000005</v>
      </c>
      <c r="G102" s="71">
        <f t="shared" si="6"/>
        <v>110.0135317215335</v>
      </c>
      <c r="H102" s="70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</row>
    <row r="103" spans="1:28" ht="15" customHeight="1">
      <c r="A103" s="70" t="s">
        <v>225</v>
      </c>
      <c r="B103" s="70" t="s">
        <v>229</v>
      </c>
      <c r="C103" s="11" t="s">
        <v>230</v>
      </c>
      <c r="D103" s="70">
        <v>8.5</v>
      </c>
      <c r="E103" s="71">
        <f>(50)/3.14</f>
        <v>15.923566878980891</v>
      </c>
      <c r="F103" s="47">
        <f t="shared" si="7"/>
        <v>0.68500000000000005</v>
      </c>
      <c r="G103" s="71">
        <f t="shared" si="6"/>
        <v>83.395901731719476</v>
      </c>
      <c r="H103" s="77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</row>
    <row r="104" spans="1:28" ht="15" customHeight="1">
      <c r="A104" s="70" t="s">
        <v>225</v>
      </c>
      <c r="B104" s="70" t="s">
        <v>229</v>
      </c>
      <c r="C104" s="11" t="s">
        <v>230</v>
      </c>
      <c r="D104" s="10">
        <v>8.5</v>
      </c>
      <c r="E104" s="71">
        <f>(40+52+24)/3.14</f>
        <v>36.942675159235669</v>
      </c>
      <c r="F104" s="47">
        <f t="shared" si="7"/>
        <v>0.68500000000000005</v>
      </c>
      <c r="G104" s="71">
        <f t="shared" si="6"/>
        <v>431.09923822138745</v>
      </c>
      <c r="H104" s="70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</row>
    <row r="105" spans="1:28" ht="15" customHeight="1">
      <c r="A105" s="70" t="s">
        <v>225</v>
      </c>
      <c r="B105" s="70" t="s">
        <v>229</v>
      </c>
      <c r="C105" s="11" t="s">
        <v>230</v>
      </c>
      <c r="D105" s="70">
        <v>9.5</v>
      </c>
      <c r="E105" s="71">
        <f>(55+33)/3.14</f>
        <v>28.025477707006367</v>
      </c>
      <c r="F105" s="47">
        <f t="shared" si="7"/>
        <v>0.68500000000000005</v>
      </c>
      <c r="G105" s="71">
        <f t="shared" si="6"/>
        <v>280.2404384341192</v>
      </c>
      <c r="H105" s="70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</row>
    <row r="106" spans="1:28" ht="15" customHeight="1">
      <c r="A106" s="70" t="s">
        <v>225</v>
      </c>
      <c r="B106" s="70" t="s">
        <v>229</v>
      </c>
      <c r="C106" s="11" t="s">
        <v>230</v>
      </c>
      <c r="D106" s="79">
        <v>9</v>
      </c>
      <c r="E106" s="71">
        <f>(46+48)/3.14</f>
        <v>29.936305732484076</v>
      </c>
      <c r="F106" s="47">
        <f t="shared" si="7"/>
        <v>0.68500000000000005</v>
      </c>
      <c r="G106" s="71">
        <f t="shared" si="6"/>
        <v>302.36300188397905</v>
      </c>
      <c r="H106" s="70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</row>
    <row r="107" spans="1:28" ht="15" customHeight="1">
      <c r="A107" s="70" t="s">
        <v>225</v>
      </c>
      <c r="B107" s="70" t="s">
        <v>229</v>
      </c>
      <c r="C107" s="11" t="s">
        <v>230</v>
      </c>
      <c r="D107" s="73">
        <v>9</v>
      </c>
      <c r="E107" s="71">
        <f>(44)/3.14</f>
        <v>14.012738853503183</v>
      </c>
      <c r="F107" s="47">
        <f t="shared" si="7"/>
        <v>0.68500000000000005</v>
      </c>
      <c r="G107" s="71">
        <f t="shared" si="6"/>
        <v>68.707271575082615</v>
      </c>
      <c r="H107" s="70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</row>
    <row r="108" spans="1:28" ht="15" customHeight="1">
      <c r="A108" s="70" t="s">
        <v>225</v>
      </c>
      <c r="B108" s="70" t="s">
        <v>229</v>
      </c>
      <c r="C108" s="11" t="s">
        <v>230</v>
      </c>
      <c r="D108" s="70">
        <v>8</v>
      </c>
      <c r="E108" s="71">
        <f>(48+30)/3.14</f>
        <v>24.840764331210192</v>
      </c>
      <c r="F108" s="47">
        <f t="shared" si="7"/>
        <v>0.68500000000000005</v>
      </c>
      <c r="G108" s="71">
        <f t="shared" si="6"/>
        <v>187.25217923979599</v>
      </c>
      <c r="H108" s="70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</row>
    <row r="109" spans="1:28" ht="15" customHeight="1">
      <c r="A109" s="70" t="s">
        <v>225</v>
      </c>
      <c r="B109" s="70" t="s">
        <v>229</v>
      </c>
      <c r="C109" s="11" t="s">
        <v>230</v>
      </c>
      <c r="D109" s="70">
        <v>8</v>
      </c>
      <c r="E109" s="71">
        <f>(36)/3.14</f>
        <v>11.464968152866241</v>
      </c>
      <c r="F109" s="47">
        <f t="shared" si="7"/>
        <v>0.68500000000000005</v>
      </c>
      <c r="G109" s="71">
        <f t="shared" si="6"/>
        <v>41.396221089244442</v>
      </c>
      <c r="H109" s="70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</row>
    <row r="110" spans="1:28" ht="15" customHeight="1">
      <c r="A110" s="70" t="s">
        <v>225</v>
      </c>
      <c r="B110" s="70" t="s">
        <v>37</v>
      </c>
      <c r="C110" s="76" t="s">
        <v>38</v>
      </c>
      <c r="D110" s="10">
        <v>2.5</v>
      </c>
      <c r="E110" s="71">
        <f>(13)/3.14</f>
        <v>4.1401273885350314</v>
      </c>
      <c r="F110" s="72">
        <f>AVERAGE(0.75,0.9)</f>
        <v>0.82499999999999996</v>
      </c>
      <c r="G110" s="71">
        <f t="shared" si="6"/>
        <v>2.1841090437092272</v>
      </c>
      <c r="H110" s="70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</row>
    <row r="111" spans="1:28" ht="15" customHeight="1">
      <c r="A111" s="70"/>
      <c r="B111" s="70"/>
      <c r="C111" s="76"/>
      <c r="D111" s="70"/>
      <c r="E111" s="71"/>
      <c r="F111" s="10"/>
      <c r="G111" s="71"/>
      <c r="H111" s="70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</row>
    <row r="112" spans="1:28" ht="15" customHeight="1">
      <c r="A112" s="70"/>
      <c r="B112" s="70"/>
      <c r="C112" s="76"/>
      <c r="D112" s="70"/>
      <c r="E112" s="71"/>
      <c r="F112" s="71"/>
      <c r="G112" s="71"/>
      <c r="H112" s="70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</row>
    <row r="113" spans="1:28" ht="15" customHeight="1">
      <c r="A113" s="79"/>
      <c r="B113" s="79"/>
      <c r="C113" s="79"/>
      <c r="D113" s="79"/>
      <c r="E113" s="79"/>
      <c r="F113" s="79"/>
      <c r="G113" s="79"/>
      <c r="H113" s="79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</row>
    <row r="114" spans="1:28" ht="15" customHeight="1">
      <c r="A114" s="79"/>
      <c r="B114" s="79"/>
      <c r="C114" s="79"/>
      <c r="D114" s="79"/>
      <c r="E114" s="79"/>
      <c r="F114" s="79"/>
      <c r="G114" s="79"/>
      <c r="H114" s="79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</row>
    <row r="115" spans="1:28" ht="15" customHeight="1">
      <c r="A115" s="79"/>
      <c r="B115" s="79"/>
      <c r="C115" s="79"/>
      <c r="D115" s="79"/>
      <c r="E115" s="79"/>
      <c r="F115" s="79"/>
      <c r="G115" s="79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</row>
    <row r="116" spans="1:28" ht="15" customHeight="1">
      <c r="A116" s="79"/>
      <c r="B116" s="79"/>
      <c r="C116" s="79"/>
      <c r="D116" s="79"/>
      <c r="E116" s="79"/>
      <c r="F116" s="79"/>
      <c r="G116" s="79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</row>
    <row r="117" spans="1:28" ht="14.25" customHeight="1">
      <c r="A117" s="62"/>
      <c r="B117" s="62"/>
      <c r="C117" s="62"/>
      <c r="D117" s="63"/>
      <c r="E117" s="64"/>
      <c r="F117" s="65"/>
      <c r="G117" s="65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</row>
    <row r="118" spans="1:28" ht="14.25" customHeight="1">
      <c r="A118" s="62"/>
      <c r="B118" s="62"/>
      <c r="C118" s="62"/>
      <c r="D118" s="63"/>
      <c r="E118" s="64"/>
      <c r="F118" s="65"/>
      <c r="G118" s="65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</row>
    <row r="119" spans="1:28" ht="14.25" customHeight="1">
      <c r="A119" s="62"/>
      <c r="B119" s="62"/>
      <c r="C119" s="62"/>
      <c r="D119" s="63"/>
      <c r="E119" s="64"/>
      <c r="F119" s="65"/>
      <c r="G119" s="65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</row>
    <row r="120" spans="1:28" ht="14.25" customHeight="1">
      <c r="A120" s="62"/>
      <c r="B120" s="62"/>
      <c r="C120" s="62"/>
      <c r="D120" s="63"/>
      <c r="E120" s="64"/>
      <c r="F120" s="65"/>
      <c r="G120" s="65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</row>
    <row r="121" spans="1:28" ht="14.25" customHeight="1">
      <c r="A121" s="62"/>
      <c r="B121" s="62"/>
      <c r="C121" s="62"/>
      <c r="D121" s="63"/>
      <c r="E121" s="64"/>
      <c r="F121" s="65"/>
      <c r="G121" s="65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</row>
    <row r="122" spans="1:28" ht="14.25" customHeight="1">
      <c r="A122" s="62"/>
      <c r="B122" s="62"/>
      <c r="C122" s="62"/>
      <c r="D122" s="63"/>
      <c r="E122" s="64"/>
      <c r="F122" s="65"/>
      <c r="G122" s="65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</row>
    <row r="123" spans="1:28" ht="14.25" customHeight="1">
      <c r="A123" s="62"/>
      <c r="B123" s="62"/>
      <c r="C123" s="62"/>
      <c r="D123" s="63"/>
      <c r="E123" s="64"/>
      <c r="F123" s="65"/>
      <c r="G123" s="65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</row>
    <row r="124" spans="1:28" ht="14.25" customHeight="1">
      <c r="A124" s="62"/>
      <c r="B124" s="62"/>
      <c r="C124" s="62"/>
      <c r="D124" s="63"/>
      <c r="E124" s="64"/>
      <c r="F124" s="65"/>
      <c r="G124" s="65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</row>
    <row r="125" spans="1:28" ht="14.25" customHeight="1">
      <c r="A125" s="62"/>
      <c r="B125" s="62"/>
      <c r="C125" s="62"/>
      <c r="D125" s="63"/>
      <c r="E125" s="64"/>
      <c r="F125" s="65"/>
      <c r="G125" s="65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</row>
    <row r="126" spans="1:28" ht="14.25" customHeight="1">
      <c r="A126" s="62"/>
      <c r="B126" s="62"/>
      <c r="C126" s="62"/>
      <c r="D126" s="63"/>
      <c r="E126" s="64"/>
      <c r="F126" s="65"/>
      <c r="G126" s="65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</row>
    <row r="127" spans="1:28" ht="14.25" customHeight="1">
      <c r="A127" s="62"/>
      <c r="B127" s="62"/>
      <c r="C127" s="62"/>
      <c r="D127" s="63"/>
      <c r="E127" s="64"/>
      <c r="F127" s="65"/>
      <c r="G127" s="65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</row>
    <row r="128" spans="1:28" ht="14.25" customHeight="1">
      <c r="A128" s="62"/>
      <c r="B128" s="62"/>
      <c r="C128" s="62"/>
      <c r="D128" s="63"/>
      <c r="E128" s="64"/>
      <c r="F128" s="65"/>
      <c r="G128" s="65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</row>
    <row r="129" spans="1:28" ht="14.25" customHeight="1">
      <c r="A129" s="62"/>
      <c r="B129" s="62"/>
      <c r="C129" s="62"/>
      <c r="D129" s="63"/>
      <c r="E129" s="64"/>
      <c r="F129" s="65"/>
      <c r="G129" s="65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</row>
    <row r="130" spans="1:28" ht="14.25" customHeight="1">
      <c r="A130" s="62"/>
      <c r="B130" s="62"/>
      <c r="C130" s="62"/>
      <c r="D130" s="63"/>
      <c r="E130" s="64"/>
      <c r="F130" s="65"/>
      <c r="G130" s="65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</row>
    <row r="131" spans="1:28" ht="14.25" customHeight="1">
      <c r="A131" s="62"/>
      <c r="B131" s="62"/>
      <c r="C131" s="62"/>
      <c r="D131" s="63"/>
      <c r="E131" s="64"/>
      <c r="F131" s="65"/>
      <c r="G131" s="65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</row>
    <row r="132" spans="1:28" ht="14.25" customHeight="1">
      <c r="A132" s="62"/>
      <c r="B132" s="62"/>
      <c r="C132" s="62"/>
      <c r="D132" s="63"/>
      <c r="E132" s="64"/>
      <c r="F132" s="65"/>
      <c r="G132" s="65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</row>
    <row r="133" spans="1:28" ht="14.25" customHeight="1">
      <c r="A133" s="62"/>
      <c r="B133" s="62"/>
      <c r="C133" s="62"/>
      <c r="D133" s="63"/>
      <c r="E133" s="64"/>
      <c r="F133" s="65"/>
      <c r="G133" s="65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</row>
    <row r="134" spans="1:28" ht="14.25" customHeight="1">
      <c r="A134" s="62"/>
      <c r="B134" s="62"/>
      <c r="C134" s="62"/>
      <c r="D134" s="63"/>
      <c r="E134" s="64"/>
      <c r="F134" s="65"/>
      <c r="G134" s="65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</row>
    <row r="135" spans="1:28" ht="14.25" customHeight="1">
      <c r="A135" s="62"/>
      <c r="B135" s="62"/>
      <c r="C135" s="62"/>
      <c r="D135" s="63"/>
      <c r="E135" s="64"/>
      <c r="F135" s="65"/>
      <c r="G135" s="65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</row>
    <row r="136" spans="1:28" ht="14.25" customHeight="1">
      <c r="A136" s="62"/>
      <c r="B136" s="62"/>
      <c r="C136" s="62"/>
      <c r="D136" s="63"/>
      <c r="E136" s="64"/>
      <c r="F136" s="65"/>
      <c r="G136" s="65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</row>
    <row r="137" spans="1:28" ht="14.25" customHeight="1">
      <c r="A137" s="62"/>
      <c r="B137" s="62"/>
      <c r="C137" s="62"/>
      <c r="D137" s="63"/>
      <c r="E137" s="64"/>
      <c r="F137" s="65"/>
      <c r="G137" s="65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</row>
    <row r="138" spans="1:28" ht="14.25" customHeight="1">
      <c r="A138" s="62"/>
      <c r="B138" s="62"/>
      <c r="C138" s="62"/>
      <c r="D138" s="63"/>
      <c r="E138" s="64"/>
      <c r="F138" s="65"/>
      <c r="G138" s="65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</row>
    <row r="139" spans="1:28" ht="14.25" customHeight="1">
      <c r="A139" s="62"/>
      <c r="B139" s="62"/>
      <c r="C139" s="62"/>
      <c r="D139" s="63"/>
      <c r="E139" s="64"/>
      <c r="F139" s="65"/>
      <c r="G139" s="65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</row>
    <row r="140" spans="1:28" ht="14.25" customHeight="1">
      <c r="A140" s="62"/>
      <c r="B140" s="62"/>
      <c r="C140" s="62"/>
      <c r="D140" s="63"/>
      <c r="E140" s="64"/>
      <c r="F140" s="65"/>
      <c r="G140" s="65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</row>
    <row r="141" spans="1:28" ht="14.25" customHeight="1">
      <c r="A141" s="62"/>
      <c r="B141" s="62"/>
      <c r="C141" s="62"/>
      <c r="D141" s="63"/>
      <c r="E141" s="64"/>
      <c r="F141" s="65"/>
      <c r="G141" s="65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</row>
    <row r="142" spans="1:28" ht="14.25" customHeight="1">
      <c r="A142" s="62"/>
      <c r="B142" s="62"/>
      <c r="C142" s="62"/>
      <c r="D142" s="63"/>
      <c r="E142" s="64"/>
      <c r="F142" s="65"/>
      <c r="G142" s="65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</row>
    <row r="143" spans="1:28" ht="14.25" customHeight="1">
      <c r="A143" s="62"/>
      <c r="B143" s="62"/>
      <c r="C143" s="62"/>
      <c r="D143" s="63"/>
      <c r="E143" s="64"/>
      <c r="F143" s="65"/>
      <c r="G143" s="65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</row>
    <row r="144" spans="1:28" ht="14.25" customHeight="1">
      <c r="A144" s="62"/>
      <c r="B144" s="62"/>
      <c r="C144" s="62"/>
      <c r="D144" s="63"/>
      <c r="E144" s="64"/>
      <c r="F144" s="65"/>
      <c r="G144" s="65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</row>
    <row r="145" spans="1:28" ht="14.25" customHeight="1">
      <c r="A145" s="62"/>
      <c r="B145" s="62"/>
      <c r="C145" s="62"/>
      <c r="D145" s="63"/>
      <c r="E145" s="64"/>
      <c r="F145" s="65"/>
      <c r="G145" s="65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</row>
    <row r="146" spans="1:28" ht="14.25" customHeight="1">
      <c r="A146" s="62"/>
      <c r="B146" s="62"/>
      <c r="C146" s="62"/>
      <c r="D146" s="63"/>
      <c r="E146" s="64"/>
      <c r="F146" s="65"/>
      <c r="G146" s="65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</row>
    <row r="147" spans="1:28" ht="14.25" customHeight="1">
      <c r="A147" s="62"/>
      <c r="B147" s="62"/>
      <c r="C147" s="62"/>
      <c r="D147" s="63"/>
      <c r="E147" s="64"/>
      <c r="F147" s="65"/>
      <c r="G147" s="65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</row>
    <row r="148" spans="1:28" ht="14.25" customHeight="1">
      <c r="A148" s="62"/>
      <c r="B148" s="62"/>
      <c r="C148" s="62"/>
      <c r="D148" s="63"/>
      <c r="E148" s="64"/>
      <c r="F148" s="65"/>
      <c r="G148" s="65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</row>
    <row r="149" spans="1:28" ht="14.25" customHeight="1">
      <c r="A149" s="62"/>
      <c r="B149" s="62"/>
      <c r="C149" s="62"/>
      <c r="D149" s="63"/>
      <c r="E149" s="64"/>
      <c r="F149" s="65"/>
      <c r="G149" s="65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</row>
    <row r="150" spans="1:28" ht="14.25" customHeight="1">
      <c r="A150" s="62"/>
      <c r="B150" s="62"/>
      <c r="C150" s="62"/>
      <c r="D150" s="63"/>
      <c r="E150" s="64"/>
      <c r="F150" s="65"/>
      <c r="G150" s="65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</row>
    <row r="151" spans="1:28" ht="14.25" customHeight="1">
      <c r="A151" s="62"/>
      <c r="B151" s="62"/>
      <c r="C151" s="62"/>
      <c r="D151" s="63"/>
      <c r="E151" s="64"/>
      <c r="F151" s="65"/>
      <c r="G151" s="65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</row>
    <row r="152" spans="1:28" ht="14.25" customHeight="1">
      <c r="A152" s="62"/>
      <c r="B152" s="62"/>
      <c r="C152" s="62"/>
      <c r="D152" s="63"/>
      <c r="E152" s="64"/>
      <c r="F152" s="65"/>
      <c r="G152" s="65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</row>
    <row r="153" spans="1:28" ht="14.25" customHeight="1">
      <c r="A153" s="62"/>
      <c r="B153" s="62"/>
      <c r="C153" s="62"/>
      <c r="D153" s="63"/>
      <c r="E153" s="64"/>
      <c r="F153" s="65"/>
      <c r="G153" s="65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</row>
    <row r="154" spans="1:28" ht="14.25" customHeight="1">
      <c r="A154" s="62"/>
      <c r="B154" s="62"/>
      <c r="C154" s="62"/>
      <c r="D154" s="63"/>
      <c r="E154" s="64"/>
      <c r="F154" s="65"/>
      <c r="G154" s="65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</row>
    <row r="155" spans="1:28" ht="14.25" customHeight="1">
      <c r="A155" s="62"/>
      <c r="B155" s="62"/>
      <c r="C155" s="62"/>
      <c r="D155" s="63"/>
      <c r="E155" s="64"/>
      <c r="F155" s="65"/>
      <c r="G155" s="65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</row>
    <row r="156" spans="1:28" ht="14.25" customHeight="1">
      <c r="A156" s="62"/>
      <c r="B156" s="62"/>
      <c r="C156" s="62"/>
      <c r="D156" s="63"/>
      <c r="E156" s="64"/>
      <c r="F156" s="65"/>
      <c r="G156" s="65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</row>
    <row r="157" spans="1:28" ht="14.25" customHeight="1">
      <c r="A157" s="62"/>
      <c r="B157" s="62"/>
      <c r="C157" s="62"/>
      <c r="D157" s="63"/>
      <c r="E157" s="64"/>
      <c r="F157" s="65"/>
      <c r="G157" s="65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</row>
    <row r="158" spans="1:28" ht="14.25" customHeight="1">
      <c r="A158" s="62"/>
      <c r="B158" s="62"/>
      <c r="C158" s="62"/>
      <c r="D158" s="63"/>
      <c r="E158" s="64"/>
      <c r="F158" s="65"/>
      <c r="G158" s="65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</row>
    <row r="159" spans="1:28" ht="14.25" customHeight="1">
      <c r="A159" s="62"/>
      <c r="B159" s="62"/>
      <c r="C159" s="62"/>
      <c r="D159" s="63"/>
      <c r="E159" s="64"/>
      <c r="F159" s="65"/>
      <c r="G159" s="65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</row>
    <row r="160" spans="1:28" ht="14.25" customHeight="1">
      <c r="A160" s="62"/>
      <c r="B160" s="62"/>
      <c r="C160" s="62"/>
      <c r="D160" s="63"/>
      <c r="E160" s="64"/>
      <c r="F160" s="65"/>
      <c r="G160" s="65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</row>
    <row r="161" spans="1:28" ht="14.25" customHeight="1">
      <c r="A161" s="62"/>
      <c r="B161" s="62"/>
      <c r="C161" s="62"/>
      <c r="D161" s="63"/>
      <c r="E161" s="64"/>
      <c r="F161" s="65"/>
      <c r="G161" s="65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</row>
    <row r="162" spans="1:28" ht="14.25" customHeight="1">
      <c r="A162" s="62"/>
      <c r="B162" s="62"/>
      <c r="C162" s="62"/>
      <c r="D162" s="63"/>
      <c r="E162" s="64"/>
      <c r="F162" s="65"/>
      <c r="G162" s="65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</row>
    <row r="163" spans="1:28" ht="14.25" customHeight="1">
      <c r="A163" s="62"/>
      <c r="B163" s="62"/>
      <c r="C163" s="62"/>
      <c r="D163" s="63"/>
      <c r="E163" s="64"/>
      <c r="F163" s="65"/>
      <c r="G163" s="65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</row>
    <row r="164" spans="1:28" ht="14.25" customHeight="1">
      <c r="A164" s="62"/>
      <c r="B164" s="62"/>
      <c r="C164" s="62"/>
      <c r="D164" s="63"/>
      <c r="E164" s="64"/>
      <c r="F164" s="65"/>
      <c r="G164" s="65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</row>
    <row r="165" spans="1:28" ht="14.25" customHeight="1">
      <c r="A165" s="62"/>
      <c r="B165" s="62"/>
      <c r="C165" s="62"/>
      <c r="D165" s="63"/>
      <c r="E165" s="64"/>
      <c r="F165" s="65"/>
      <c r="G165" s="65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</row>
    <row r="166" spans="1:28" ht="14.25" customHeight="1">
      <c r="A166" s="62"/>
      <c r="B166" s="62"/>
      <c r="C166" s="62"/>
      <c r="D166" s="63"/>
      <c r="E166" s="64"/>
      <c r="F166" s="65"/>
      <c r="G166" s="65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</row>
    <row r="167" spans="1:28" ht="14.25" customHeight="1">
      <c r="A167" s="62"/>
      <c r="B167" s="62"/>
      <c r="C167" s="62"/>
      <c r="D167" s="63"/>
      <c r="E167" s="64"/>
      <c r="F167" s="65"/>
      <c r="G167" s="65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</row>
    <row r="168" spans="1:28" ht="14.25" customHeight="1">
      <c r="A168" s="62"/>
      <c r="B168" s="62"/>
      <c r="C168" s="62"/>
      <c r="D168" s="63"/>
      <c r="E168" s="64"/>
      <c r="F168" s="65"/>
      <c r="G168" s="65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</row>
    <row r="169" spans="1:28" ht="14.25" customHeight="1">
      <c r="A169" s="62"/>
      <c r="B169" s="62"/>
      <c r="C169" s="62"/>
      <c r="D169" s="63"/>
      <c r="E169" s="64"/>
      <c r="F169" s="65"/>
      <c r="G169" s="65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</row>
    <row r="170" spans="1:28" ht="14.25" customHeight="1">
      <c r="A170" s="62"/>
      <c r="B170" s="62"/>
      <c r="C170" s="62"/>
      <c r="D170" s="63"/>
      <c r="E170" s="64"/>
      <c r="F170" s="65"/>
      <c r="G170" s="65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</row>
    <row r="171" spans="1:28" ht="14.25" customHeight="1">
      <c r="A171" s="62"/>
      <c r="B171" s="62"/>
      <c r="C171" s="62"/>
      <c r="D171" s="63"/>
      <c r="E171" s="64"/>
      <c r="F171" s="65"/>
      <c r="G171" s="65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</row>
    <row r="172" spans="1:28" ht="14.25" customHeight="1">
      <c r="A172" s="62"/>
      <c r="B172" s="62"/>
      <c r="C172" s="62"/>
      <c r="D172" s="63"/>
      <c r="E172" s="64"/>
      <c r="F172" s="65"/>
      <c r="G172" s="65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</row>
    <row r="173" spans="1:28" ht="14.25" customHeight="1">
      <c r="A173" s="62"/>
      <c r="B173" s="62"/>
      <c r="C173" s="62"/>
      <c r="D173" s="63"/>
      <c r="E173" s="64"/>
      <c r="F173" s="65"/>
      <c r="G173" s="65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</row>
    <row r="174" spans="1:28" ht="14.25" customHeight="1">
      <c r="A174" s="62"/>
      <c r="B174" s="62"/>
      <c r="C174" s="62"/>
      <c r="D174" s="63"/>
      <c r="E174" s="64"/>
      <c r="F174" s="65"/>
      <c r="G174" s="65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</row>
    <row r="175" spans="1:28" ht="14.25" customHeight="1">
      <c r="A175" s="62"/>
      <c r="B175" s="62"/>
      <c r="C175" s="62"/>
      <c r="D175" s="63"/>
      <c r="E175" s="64"/>
      <c r="F175" s="65"/>
      <c r="G175" s="65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</row>
    <row r="176" spans="1:28" ht="14.25" customHeight="1">
      <c r="A176" s="62"/>
      <c r="B176" s="62"/>
      <c r="C176" s="62"/>
      <c r="D176" s="63"/>
      <c r="E176" s="64"/>
      <c r="F176" s="65"/>
      <c r="G176" s="65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</row>
    <row r="177" spans="1:28" ht="14.25" customHeight="1">
      <c r="A177" s="62"/>
      <c r="B177" s="62"/>
      <c r="C177" s="62"/>
      <c r="D177" s="63"/>
      <c r="E177" s="64"/>
      <c r="F177" s="65"/>
      <c r="G177" s="65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</row>
    <row r="178" spans="1:28" ht="14.25" customHeight="1">
      <c r="A178" s="62"/>
      <c r="B178" s="62"/>
      <c r="C178" s="62"/>
      <c r="D178" s="63"/>
      <c r="E178" s="64"/>
      <c r="F178" s="65"/>
      <c r="G178" s="65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</row>
    <row r="179" spans="1:28" ht="14.25" customHeight="1">
      <c r="A179" s="62"/>
      <c r="B179" s="62"/>
      <c r="C179" s="62"/>
      <c r="D179" s="63"/>
      <c r="E179" s="64"/>
      <c r="F179" s="65"/>
      <c r="G179" s="65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</row>
    <row r="180" spans="1:28" ht="14.25" customHeight="1">
      <c r="A180" s="62"/>
      <c r="B180" s="62"/>
      <c r="C180" s="62"/>
      <c r="D180" s="63"/>
      <c r="E180" s="64"/>
      <c r="F180" s="65"/>
      <c r="G180" s="65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</row>
    <row r="181" spans="1:28" ht="14.25" customHeight="1">
      <c r="A181" s="62"/>
      <c r="B181" s="62"/>
      <c r="C181" s="62"/>
      <c r="D181" s="63"/>
      <c r="E181" s="64"/>
      <c r="F181" s="65"/>
      <c r="G181" s="65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</row>
    <row r="182" spans="1:28" ht="14.25" customHeight="1">
      <c r="A182" s="62"/>
      <c r="B182" s="62"/>
      <c r="C182" s="62"/>
      <c r="D182" s="63"/>
      <c r="E182" s="64"/>
      <c r="F182" s="65"/>
      <c r="G182" s="65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</row>
    <row r="183" spans="1:28" ht="14.25" customHeight="1">
      <c r="A183" s="62"/>
      <c r="B183" s="62"/>
      <c r="C183" s="62"/>
      <c r="D183" s="63"/>
      <c r="E183" s="64"/>
      <c r="F183" s="65"/>
      <c r="G183" s="65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</row>
    <row r="184" spans="1:28" ht="14.25" customHeight="1">
      <c r="A184" s="62"/>
      <c r="B184" s="62"/>
      <c r="C184" s="62"/>
      <c r="D184" s="63"/>
      <c r="E184" s="64"/>
      <c r="F184" s="65"/>
      <c r="G184" s="65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</row>
    <row r="185" spans="1:28" ht="14.25" customHeight="1">
      <c r="A185" s="62"/>
      <c r="B185" s="62"/>
      <c r="C185" s="62"/>
      <c r="D185" s="63"/>
      <c r="E185" s="64"/>
      <c r="F185" s="65"/>
      <c r="G185" s="65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</row>
    <row r="186" spans="1:28" ht="14.25" customHeight="1">
      <c r="A186" s="62"/>
      <c r="B186" s="62"/>
      <c r="C186" s="62"/>
      <c r="D186" s="63"/>
      <c r="E186" s="64"/>
      <c r="F186" s="65"/>
      <c r="G186" s="65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</row>
    <row r="187" spans="1:28" ht="14.25" customHeight="1">
      <c r="A187" s="62"/>
      <c r="B187" s="62"/>
      <c r="C187" s="62"/>
      <c r="D187" s="63"/>
      <c r="E187" s="64"/>
      <c r="F187" s="65"/>
      <c r="G187" s="65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</row>
    <row r="188" spans="1:28" ht="14.25" customHeight="1">
      <c r="A188" s="62"/>
      <c r="B188" s="62"/>
      <c r="C188" s="62"/>
      <c r="D188" s="63"/>
      <c r="E188" s="64"/>
      <c r="F188" s="65"/>
      <c r="G188" s="65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</row>
    <row r="189" spans="1:28" ht="14.25" customHeight="1">
      <c r="A189" s="62"/>
      <c r="B189" s="62"/>
      <c r="C189" s="62"/>
      <c r="D189" s="63"/>
      <c r="E189" s="64"/>
      <c r="F189" s="65"/>
      <c r="G189" s="65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</row>
    <row r="190" spans="1:28" ht="14.25" customHeight="1">
      <c r="A190" s="62"/>
      <c r="B190" s="62"/>
      <c r="C190" s="62"/>
      <c r="D190" s="63"/>
      <c r="E190" s="64"/>
      <c r="F190" s="65"/>
      <c r="G190" s="65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</row>
    <row r="191" spans="1:28" ht="14.25" customHeight="1">
      <c r="A191" s="62"/>
      <c r="B191" s="62"/>
      <c r="C191" s="62"/>
      <c r="D191" s="63"/>
      <c r="E191" s="64"/>
      <c r="F191" s="65"/>
      <c r="G191" s="65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</row>
    <row r="192" spans="1:28" ht="14.25" customHeight="1">
      <c r="A192" s="62"/>
      <c r="B192" s="62"/>
      <c r="C192" s="62"/>
      <c r="D192" s="63"/>
      <c r="E192" s="64"/>
      <c r="F192" s="65"/>
      <c r="G192" s="65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</row>
    <row r="193" spans="1:28" ht="14.25" customHeight="1">
      <c r="A193" s="62"/>
      <c r="B193" s="62"/>
      <c r="C193" s="62"/>
      <c r="D193" s="63"/>
      <c r="E193" s="64"/>
      <c r="F193" s="65"/>
      <c r="G193" s="65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</row>
    <row r="194" spans="1:28" ht="14.25" customHeight="1">
      <c r="A194" s="62"/>
      <c r="B194" s="62"/>
      <c r="C194" s="62"/>
      <c r="D194" s="63"/>
      <c r="E194" s="64"/>
      <c r="F194" s="65"/>
      <c r="G194" s="65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</row>
    <row r="195" spans="1:28" ht="14.25" customHeight="1">
      <c r="A195" s="62"/>
      <c r="B195" s="62"/>
      <c r="C195" s="62"/>
      <c r="D195" s="63"/>
      <c r="E195" s="64"/>
      <c r="F195" s="65"/>
      <c r="G195" s="65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</row>
    <row r="196" spans="1:28" ht="14.25" customHeight="1">
      <c r="A196" s="62"/>
      <c r="B196" s="62"/>
      <c r="C196" s="62"/>
      <c r="D196" s="63"/>
      <c r="E196" s="64"/>
      <c r="F196" s="65"/>
      <c r="G196" s="65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</row>
    <row r="197" spans="1:28" ht="14.25" customHeight="1">
      <c r="A197" s="62"/>
      <c r="B197" s="62"/>
      <c r="C197" s="62"/>
      <c r="D197" s="63"/>
      <c r="E197" s="64"/>
      <c r="F197" s="65"/>
      <c r="G197" s="65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</row>
    <row r="198" spans="1:28" ht="14.25" customHeight="1">
      <c r="A198" s="62"/>
      <c r="B198" s="62"/>
      <c r="C198" s="62"/>
      <c r="D198" s="63"/>
      <c r="E198" s="64"/>
      <c r="F198" s="65"/>
      <c r="G198" s="65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</row>
    <row r="199" spans="1:28" ht="14.25" customHeight="1">
      <c r="A199" s="62"/>
      <c r="B199" s="62"/>
      <c r="C199" s="62"/>
      <c r="D199" s="63"/>
      <c r="E199" s="64"/>
      <c r="F199" s="65"/>
      <c r="G199" s="65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</row>
    <row r="200" spans="1:28" ht="14.25" customHeight="1">
      <c r="A200" s="62"/>
      <c r="B200" s="62"/>
      <c r="C200" s="62"/>
      <c r="D200" s="63"/>
      <c r="E200" s="64"/>
      <c r="F200" s="65"/>
      <c r="G200" s="65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</row>
    <row r="201" spans="1:28" ht="14.25" customHeight="1">
      <c r="A201" s="62"/>
      <c r="B201" s="62"/>
      <c r="C201" s="62"/>
      <c r="D201" s="63"/>
      <c r="E201" s="64"/>
      <c r="F201" s="65"/>
      <c r="G201" s="65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</row>
    <row r="202" spans="1:28" ht="14.25" customHeight="1">
      <c r="A202" s="62"/>
      <c r="B202" s="62"/>
      <c r="C202" s="62"/>
      <c r="D202" s="63"/>
      <c r="E202" s="64"/>
      <c r="F202" s="65"/>
      <c r="G202" s="65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</row>
    <row r="203" spans="1:28" ht="14.25" customHeight="1">
      <c r="A203" s="62"/>
      <c r="B203" s="62"/>
      <c r="C203" s="62"/>
      <c r="D203" s="63"/>
      <c r="E203" s="64"/>
      <c r="F203" s="65"/>
      <c r="G203" s="65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</row>
    <row r="204" spans="1:28" ht="14.25" customHeight="1">
      <c r="A204" s="62"/>
      <c r="B204" s="62"/>
      <c r="C204" s="62"/>
      <c r="D204" s="63"/>
      <c r="E204" s="64"/>
      <c r="F204" s="65"/>
      <c r="G204" s="65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</row>
    <row r="205" spans="1:28" ht="14.25" customHeight="1">
      <c r="A205" s="62"/>
      <c r="B205" s="62"/>
      <c r="C205" s="62"/>
      <c r="D205" s="63"/>
      <c r="E205" s="64"/>
      <c r="F205" s="65"/>
      <c r="G205" s="65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</row>
    <row r="206" spans="1:28" ht="14.25" customHeight="1">
      <c r="A206" s="62"/>
      <c r="B206" s="62"/>
      <c r="C206" s="62"/>
      <c r="D206" s="63"/>
      <c r="E206" s="64"/>
      <c r="F206" s="65"/>
      <c r="G206" s="65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</row>
    <row r="207" spans="1:28" ht="14.25" customHeight="1">
      <c r="A207" s="62"/>
      <c r="B207" s="62"/>
      <c r="C207" s="62"/>
      <c r="D207" s="63"/>
      <c r="E207" s="64"/>
      <c r="F207" s="65"/>
      <c r="G207" s="65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</row>
    <row r="208" spans="1:28" ht="14.25" customHeight="1">
      <c r="A208" s="62"/>
      <c r="B208" s="62"/>
      <c r="C208" s="62"/>
      <c r="D208" s="63"/>
      <c r="E208" s="64"/>
      <c r="F208" s="65"/>
      <c r="G208" s="65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</row>
    <row r="209" spans="1:28" ht="14.25" customHeight="1">
      <c r="A209" s="62"/>
      <c r="B209" s="62"/>
      <c r="C209" s="62"/>
      <c r="D209" s="63"/>
      <c r="E209" s="64"/>
      <c r="F209" s="65"/>
      <c r="G209" s="65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</row>
    <row r="210" spans="1:28" ht="14.25" customHeight="1">
      <c r="A210" s="62"/>
      <c r="B210" s="62"/>
      <c r="C210" s="62"/>
      <c r="D210" s="63"/>
      <c r="E210" s="64"/>
      <c r="F210" s="65"/>
      <c r="G210" s="65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</row>
    <row r="211" spans="1:28" ht="14.25" customHeight="1">
      <c r="A211" s="62"/>
      <c r="B211" s="62"/>
      <c r="C211" s="62"/>
      <c r="D211" s="63"/>
      <c r="E211" s="64"/>
      <c r="F211" s="65"/>
      <c r="G211" s="65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</row>
    <row r="212" spans="1:28" ht="14.25" customHeight="1">
      <c r="A212" s="62"/>
      <c r="B212" s="62"/>
      <c r="C212" s="62"/>
      <c r="D212" s="63"/>
      <c r="E212" s="64"/>
      <c r="F212" s="65"/>
      <c r="G212" s="65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</row>
    <row r="213" spans="1:28" ht="14.25" customHeight="1">
      <c r="A213" s="62"/>
      <c r="B213" s="62"/>
      <c r="C213" s="62"/>
      <c r="D213" s="63"/>
      <c r="E213" s="64"/>
      <c r="F213" s="65"/>
      <c r="G213" s="65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</row>
    <row r="214" spans="1:28" ht="14.25" customHeight="1">
      <c r="A214" s="62"/>
      <c r="B214" s="62"/>
      <c r="C214" s="62"/>
      <c r="D214" s="63"/>
      <c r="E214" s="64"/>
      <c r="F214" s="65"/>
      <c r="G214" s="65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</row>
    <row r="215" spans="1:28" ht="14.25" customHeight="1">
      <c r="A215" s="62"/>
      <c r="B215" s="62"/>
      <c r="C215" s="62"/>
      <c r="D215" s="63"/>
      <c r="E215" s="64"/>
      <c r="F215" s="65"/>
      <c r="G215" s="65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</row>
    <row r="216" spans="1:28" ht="14.25" customHeight="1">
      <c r="A216" s="62"/>
      <c r="B216" s="62"/>
      <c r="C216" s="62"/>
      <c r="D216" s="63"/>
      <c r="E216" s="64"/>
      <c r="F216" s="65"/>
      <c r="G216" s="65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</row>
    <row r="217" spans="1:28" ht="14.25" customHeight="1">
      <c r="A217" s="62"/>
      <c r="B217" s="62"/>
      <c r="C217" s="62"/>
      <c r="D217" s="63"/>
      <c r="E217" s="64"/>
      <c r="F217" s="65"/>
      <c r="G217" s="65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</row>
    <row r="218" spans="1:28" ht="14.25" customHeight="1">
      <c r="A218" s="62"/>
      <c r="B218" s="62"/>
      <c r="C218" s="62"/>
      <c r="D218" s="63"/>
      <c r="E218" s="64"/>
      <c r="F218" s="65"/>
      <c r="G218" s="65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</row>
    <row r="219" spans="1:28" ht="14.25" customHeight="1">
      <c r="A219" s="62"/>
      <c r="B219" s="62"/>
      <c r="C219" s="62"/>
      <c r="D219" s="63"/>
      <c r="E219" s="64"/>
      <c r="F219" s="65"/>
      <c r="G219" s="65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</row>
    <row r="220" spans="1:28" ht="14.25" customHeight="1">
      <c r="A220" s="62"/>
      <c r="B220" s="62"/>
      <c r="C220" s="62"/>
      <c r="D220" s="63"/>
      <c r="E220" s="64"/>
      <c r="F220" s="65"/>
      <c r="G220" s="65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</row>
    <row r="221" spans="1:28" ht="14.25" customHeight="1">
      <c r="A221" s="62"/>
      <c r="B221" s="62"/>
      <c r="C221" s="62"/>
      <c r="D221" s="63"/>
      <c r="E221" s="64"/>
      <c r="F221" s="65"/>
      <c r="G221" s="65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</row>
    <row r="222" spans="1:28" ht="14.25" customHeight="1">
      <c r="A222" s="62"/>
      <c r="B222" s="62"/>
      <c r="C222" s="62"/>
      <c r="D222" s="63"/>
      <c r="E222" s="64"/>
      <c r="F222" s="65"/>
      <c r="G222" s="65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</row>
    <row r="223" spans="1:28" ht="14.25" customHeight="1">
      <c r="A223" s="62"/>
      <c r="B223" s="62"/>
      <c r="C223" s="62"/>
      <c r="D223" s="63"/>
      <c r="E223" s="64"/>
      <c r="F223" s="65"/>
      <c r="G223" s="65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</row>
    <row r="224" spans="1:28" ht="14.25" customHeight="1">
      <c r="A224" s="62"/>
      <c r="B224" s="62"/>
      <c r="C224" s="62"/>
      <c r="D224" s="63"/>
      <c r="E224" s="64"/>
      <c r="F224" s="65"/>
      <c r="G224" s="65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</row>
    <row r="225" spans="1:28" ht="14.25" customHeight="1">
      <c r="A225" s="62"/>
      <c r="B225" s="62"/>
      <c r="C225" s="62"/>
      <c r="D225" s="63"/>
      <c r="E225" s="64"/>
      <c r="F225" s="65"/>
      <c r="G225" s="65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</row>
    <row r="226" spans="1:28" ht="14.25" customHeight="1">
      <c r="A226" s="62"/>
      <c r="B226" s="62"/>
      <c r="C226" s="62"/>
      <c r="D226" s="63"/>
      <c r="E226" s="64"/>
      <c r="F226" s="65"/>
      <c r="G226" s="65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</row>
    <row r="227" spans="1:28" ht="14.25" customHeight="1">
      <c r="A227" s="62"/>
      <c r="B227" s="62"/>
      <c r="C227" s="62"/>
      <c r="D227" s="63"/>
      <c r="E227" s="64"/>
      <c r="F227" s="65"/>
      <c r="G227" s="65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</row>
    <row r="228" spans="1:28" ht="14.25" customHeight="1">
      <c r="A228" s="62"/>
      <c r="B228" s="62"/>
      <c r="C228" s="62"/>
      <c r="D228" s="63"/>
      <c r="E228" s="64"/>
      <c r="F228" s="65"/>
      <c r="G228" s="65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</row>
    <row r="229" spans="1:28" ht="14.25" customHeight="1">
      <c r="A229" s="62"/>
      <c r="B229" s="62"/>
      <c r="C229" s="62"/>
      <c r="D229" s="63"/>
      <c r="E229" s="64"/>
      <c r="F229" s="65"/>
      <c r="G229" s="65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</row>
    <row r="230" spans="1:28" ht="14.25" customHeight="1">
      <c r="A230" s="62"/>
      <c r="B230" s="62"/>
      <c r="C230" s="62"/>
      <c r="D230" s="63"/>
      <c r="E230" s="64"/>
      <c r="F230" s="65"/>
      <c r="G230" s="65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</row>
    <row r="231" spans="1:28" ht="14.25" customHeight="1">
      <c r="A231" s="62"/>
      <c r="B231" s="62"/>
      <c r="C231" s="62"/>
      <c r="D231" s="63"/>
      <c r="E231" s="64"/>
      <c r="F231" s="65"/>
      <c r="G231" s="65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</row>
    <row r="232" spans="1:28" ht="14.25" customHeight="1">
      <c r="A232" s="62"/>
      <c r="B232" s="62"/>
      <c r="C232" s="62"/>
      <c r="D232" s="63"/>
      <c r="E232" s="64"/>
      <c r="F232" s="65"/>
      <c r="G232" s="65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</row>
    <row r="233" spans="1:28" ht="14.25" customHeight="1">
      <c r="A233" s="62"/>
      <c r="B233" s="62"/>
      <c r="C233" s="62"/>
      <c r="D233" s="63"/>
      <c r="E233" s="64"/>
      <c r="F233" s="65"/>
      <c r="G233" s="65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</row>
    <row r="234" spans="1:28" ht="14.25" customHeight="1">
      <c r="A234" s="62"/>
      <c r="B234" s="62"/>
      <c r="C234" s="62"/>
      <c r="D234" s="63"/>
      <c r="E234" s="64"/>
      <c r="F234" s="65"/>
      <c r="G234" s="65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</row>
    <row r="235" spans="1:28" ht="14.25" customHeight="1">
      <c r="A235" s="62"/>
      <c r="B235" s="62"/>
      <c r="C235" s="62"/>
      <c r="D235" s="63"/>
      <c r="E235" s="64"/>
      <c r="F235" s="65"/>
      <c r="G235" s="65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</row>
    <row r="236" spans="1:28" ht="14.25" customHeight="1">
      <c r="A236" s="62"/>
      <c r="B236" s="62"/>
      <c r="C236" s="62"/>
      <c r="D236" s="63"/>
      <c r="E236" s="64"/>
      <c r="F236" s="65"/>
      <c r="G236" s="65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</row>
    <row r="237" spans="1:28" ht="14.25" customHeight="1">
      <c r="A237" s="62"/>
      <c r="B237" s="62"/>
      <c r="C237" s="62"/>
      <c r="D237" s="63"/>
      <c r="E237" s="64"/>
      <c r="F237" s="65"/>
      <c r="G237" s="65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</row>
    <row r="238" spans="1:28" ht="14.25" customHeight="1">
      <c r="A238" s="62"/>
      <c r="B238" s="62"/>
      <c r="C238" s="62"/>
      <c r="D238" s="63"/>
      <c r="E238" s="64"/>
      <c r="F238" s="65"/>
      <c r="G238" s="65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</row>
    <row r="239" spans="1:28" ht="14.25" customHeight="1">
      <c r="A239" s="62"/>
      <c r="B239" s="62"/>
      <c r="C239" s="62"/>
      <c r="D239" s="63"/>
      <c r="E239" s="64"/>
      <c r="F239" s="65"/>
      <c r="G239" s="65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</row>
    <row r="240" spans="1:28" ht="14.25" customHeight="1">
      <c r="A240" s="62"/>
      <c r="B240" s="62"/>
      <c r="C240" s="62"/>
      <c r="D240" s="63"/>
      <c r="E240" s="64"/>
      <c r="F240" s="65"/>
      <c r="G240" s="65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</row>
    <row r="241" spans="1:28" ht="14.25" customHeight="1">
      <c r="A241" s="62"/>
      <c r="B241" s="62"/>
      <c r="C241" s="62"/>
      <c r="D241" s="63"/>
      <c r="E241" s="64"/>
      <c r="F241" s="65"/>
      <c r="G241" s="65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</row>
    <row r="242" spans="1:28" ht="14.25" customHeight="1">
      <c r="A242" s="62"/>
      <c r="B242" s="62"/>
      <c r="C242" s="62"/>
      <c r="D242" s="63"/>
      <c r="E242" s="64"/>
      <c r="F242" s="65"/>
      <c r="G242" s="65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</row>
    <row r="243" spans="1:28" ht="14.25" customHeight="1">
      <c r="A243" s="62"/>
      <c r="B243" s="62"/>
      <c r="C243" s="62"/>
      <c r="D243" s="63"/>
      <c r="E243" s="64"/>
      <c r="F243" s="65"/>
      <c r="G243" s="65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</row>
    <row r="244" spans="1:28" ht="14.25" customHeight="1">
      <c r="A244" s="62"/>
      <c r="B244" s="62"/>
      <c r="C244" s="62"/>
      <c r="D244" s="63"/>
      <c r="E244" s="64"/>
      <c r="F244" s="65"/>
      <c r="G244" s="65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</row>
    <row r="245" spans="1:28" ht="14.25" customHeight="1">
      <c r="A245" s="62"/>
      <c r="B245" s="62"/>
      <c r="C245" s="62"/>
      <c r="D245" s="63"/>
      <c r="E245" s="64"/>
      <c r="F245" s="65"/>
      <c r="G245" s="65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</row>
    <row r="246" spans="1:28" ht="14.25" customHeight="1">
      <c r="A246" s="62"/>
      <c r="B246" s="62"/>
      <c r="C246" s="62"/>
      <c r="D246" s="63"/>
      <c r="E246" s="64"/>
      <c r="F246" s="65"/>
      <c r="G246" s="65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</row>
    <row r="247" spans="1:28" ht="14.25" customHeight="1">
      <c r="A247" s="62"/>
      <c r="B247" s="62"/>
      <c r="C247" s="62"/>
      <c r="D247" s="63"/>
      <c r="E247" s="64"/>
      <c r="F247" s="65"/>
      <c r="G247" s="65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</row>
    <row r="248" spans="1:28" ht="14.25" customHeight="1">
      <c r="A248" s="62"/>
      <c r="B248" s="62"/>
      <c r="C248" s="62"/>
      <c r="D248" s="63"/>
      <c r="E248" s="64"/>
      <c r="F248" s="65"/>
      <c r="G248" s="65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</row>
    <row r="249" spans="1:28" ht="14.25" customHeight="1">
      <c r="A249" s="62"/>
      <c r="B249" s="62"/>
      <c r="C249" s="62"/>
      <c r="D249" s="63"/>
      <c r="E249" s="64"/>
      <c r="F249" s="65"/>
      <c r="G249" s="65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</row>
    <row r="250" spans="1:28" ht="14.25" customHeight="1">
      <c r="A250" s="62"/>
      <c r="B250" s="62"/>
      <c r="C250" s="62"/>
      <c r="D250" s="63"/>
      <c r="E250" s="64"/>
      <c r="F250" s="65"/>
      <c r="G250" s="65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</row>
    <row r="251" spans="1:28" ht="14.25" customHeight="1">
      <c r="A251" s="62"/>
      <c r="B251" s="62"/>
      <c r="C251" s="62"/>
      <c r="D251" s="63"/>
      <c r="E251" s="64"/>
      <c r="F251" s="65"/>
      <c r="G251" s="65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</row>
    <row r="252" spans="1:28" ht="14.25" customHeight="1">
      <c r="A252" s="62"/>
      <c r="B252" s="62"/>
      <c r="C252" s="62"/>
      <c r="D252" s="63"/>
      <c r="E252" s="64"/>
      <c r="F252" s="65"/>
      <c r="G252" s="65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</row>
    <row r="253" spans="1:28" ht="14.25" customHeight="1">
      <c r="A253" s="62"/>
      <c r="B253" s="62"/>
      <c r="C253" s="62"/>
      <c r="D253" s="63"/>
      <c r="E253" s="64"/>
      <c r="F253" s="65"/>
      <c r="G253" s="65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</row>
    <row r="254" spans="1:28" ht="14.25" customHeight="1">
      <c r="A254" s="62"/>
      <c r="B254" s="62"/>
      <c r="C254" s="62"/>
      <c r="D254" s="63"/>
      <c r="E254" s="64"/>
      <c r="F254" s="65"/>
      <c r="G254" s="65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</row>
    <row r="255" spans="1:28" ht="14.25" customHeight="1">
      <c r="A255" s="62"/>
      <c r="B255" s="62"/>
      <c r="C255" s="62"/>
      <c r="D255" s="63"/>
      <c r="E255" s="64"/>
      <c r="F255" s="65"/>
      <c r="G255" s="65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</row>
    <row r="256" spans="1:28" ht="14.25" customHeight="1">
      <c r="A256" s="62"/>
      <c r="B256" s="62"/>
      <c r="C256" s="62"/>
      <c r="D256" s="63"/>
      <c r="E256" s="64"/>
      <c r="F256" s="65"/>
      <c r="G256" s="65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</row>
    <row r="257" spans="1:28" ht="14.25" customHeight="1">
      <c r="A257" s="62"/>
      <c r="B257" s="62"/>
      <c r="C257" s="62"/>
      <c r="D257" s="63"/>
      <c r="E257" s="64"/>
      <c r="F257" s="65"/>
      <c r="G257" s="65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</row>
    <row r="258" spans="1:28" ht="14.25" customHeight="1">
      <c r="A258" s="62"/>
      <c r="B258" s="62"/>
      <c r="C258" s="62"/>
      <c r="D258" s="63"/>
      <c r="E258" s="64"/>
      <c r="F258" s="65"/>
      <c r="G258" s="65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</row>
    <row r="259" spans="1:28" ht="14.25" customHeight="1">
      <c r="A259" s="62"/>
      <c r="B259" s="62"/>
      <c r="C259" s="62"/>
      <c r="D259" s="63"/>
      <c r="E259" s="64"/>
      <c r="F259" s="65"/>
      <c r="G259" s="65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</row>
    <row r="260" spans="1:28" ht="14.25" customHeight="1">
      <c r="A260" s="62"/>
      <c r="B260" s="62"/>
      <c r="C260" s="62"/>
      <c r="D260" s="63"/>
      <c r="E260" s="64"/>
      <c r="F260" s="65"/>
      <c r="G260" s="65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</row>
    <row r="261" spans="1:28" ht="14.25" customHeight="1">
      <c r="A261" s="62"/>
      <c r="B261" s="62"/>
      <c r="C261" s="62"/>
      <c r="D261" s="63"/>
      <c r="E261" s="64"/>
      <c r="F261" s="65"/>
      <c r="G261" s="65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</row>
    <row r="262" spans="1:28" ht="14.25" customHeight="1">
      <c r="A262" s="62"/>
      <c r="B262" s="62"/>
      <c r="C262" s="62"/>
      <c r="D262" s="63"/>
      <c r="E262" s="64"/>
      <c r="F262" s="65"/>
      <c r="G262" s="65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</row>
    <row r="263" spans="1:28" ht="14.25" customHeight="1">
      <c r="A263" s="62"/>
      <c r="B263" s="62"/>
      <c r="C263" s="62"/>
      <c r="D263" s="63"/>
      <c r="E263" s="64"/>
      <c r="F263" s="65"/>
      <c r="G263" s="65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</row>
    <row r="264" spans="1:28" ht="14.25" customHeight="1">
      <c r="A264" s="62"/>
      <c r="B264" s="62"/>
      <c r="C264" s="62"/>
      <c r="D264" s="63"/>
      <c r="E264" s="64"/>
      <c r="F264" s="65"/>
      <c r="G264" s="65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</row>
    <row r="265" spans="1:28" ht="14.25" customHeight="1">
      <c r="A265" s="62"/>
      <c r="B265" s="62"/>
      <c r="C265" s="62"/>
      <c r="D265" s="63"/>
      <c r="E265" s="64"/>
      <c r="F265" s="65"/>
      <c r="G265" s="65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</row>
    <row r="266" spans="1:28" ht="14.25" customHeight="1">
      <c r="A266" s="62"/>
      <c r="B266" s="62"/>
      <c r="C266" s="62"/>
      <c r="D266" s="63"/>
      <c r="E266" s="64"/>
      <c r="F266" s="65"/>
      <c r="G266" s="65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</row>
    <row r="267" spans="1:28" ht="14.25" customHeight="1">
      <c r="A267" s="62"/>
      <c r="B267" s="62"/>
      <c r="C267" s="62"/>
      <c r="D267" s="63"/>
      <c r="E267" s="64"/>
      <c r="F267" s="65"/>
      <c r="G267" s="65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</row>
    <row r="268" spans="1:28" ht="14.25" customHeight="1">
      <c r="A268" s="62"/>
      <c r="B268" s="62"/>
      <c r="C268" s="62"/>
      <c r="D268" s="63"/>
      <c r="E268" s="64"/>
      <c r="F268" s="65"/>
      <c r="G268" s="65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</row>
    <row r="269" spans="1:28" ht="14.25" customHeight="1">
      <c r="A269" s="62"/>
      <c r="B269" s="62"/>
      <c r="C269" s="62"/>
      <c r="D269" s="63"/>
      <c r="E269" s="64"/>
      <c r="F269" s="65"/>
      <c r="G269" s="65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</row>
    <row r="270" spans="1:28" ht="14.25" customHeight="1">
      <c r="A270" s="62"/>
      <c r="B270" s="62"/>
      <c r="C270" s="62"/>
      <c r="D270" s="63"/>
      <c r="E270" s="64"/>
      <c r="F270" s="65"/>
      <c r="G270" s="65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</row>
    <row r="271" spans="1:28" ht="14.25" customHeight="1">
      <c r="A271" s="62"/>
      <c r="B271" s="62"/>
      <c r="C271" s="62"/>
      <c r="D271" s="63"/>
      <c r="E271" s="64"/>
      <c r="F271" s="65"/>
      <c r="G271" s="65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</row>
    <row r="272" spans="1:28" ht="14.25" customHeight="1">
      <c r="A272" s="62"/>
      <c r="B272" s="62"/>
      <c r="C272" s="62"/>
      <c r="D272" s="63"/>
      <c r="E272" s="64"/>
      <c r="F272" s="65"/>
      <c r="G272" s="65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</row>
    <row r="273" spans="1:28" ht="14.25" customHeight="1">
      <c r="A273" s="62"/>
      <c r="B273" s="62"/>
      <c r="C273" s="62"/>
      <c r="D273" s="63"/>
      <c r="E273" s="64"/>
      <c r="F273" s="65"/>
      <c r="G273" s="65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</row>
    <row r="274" spans="1:28" ht="14.25" customHeight="1">
      <c r="A274" s="62"/>
      <c r="B274" s="62"/>
      <c r="C274" s="62"/>
      <c r="D274" s="63"/>
      <c r="E274" s="64"/>
      <c r="F274" s="65"/>
      <c r="G274" s="65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</row>
    <row r="275" spans="1:28" ht="14.25" customHeight="1">
      <c r="A275" s="62"/>
      <c r="B275" s="62"/>
      <c r="C275" s="62"/>
      <c r="D275" s="63"/>
      <c r="E275" s="64"/>
      <c r="F275" s="65"/>
      <c r="G275" s="65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</row>
    <row r="276" spans="1:28" ht="14.25" customHeight="1">
      <c r="A276" s="62"/>
      <c r="B276" s="62"/>
      <c r="C276" s="62"/>
      <c r="D276" s="63"/>
      <c r="E276" s="64"/>
      <c r="F276" s="65"/>
      <c r="G276" s="65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</row>
    <row r="277" spans="1:28" ht="14.25" customHeight="1">
      <c r="A277" s="62"/>
      <c r="B277" s="62"/>
      <c r="C277" s="62"/>
      <c r="D277" s="63"/>
      <c r="E277" s="64"/>
      <c r="F277" s="65"/>
      <c r="G277" s="65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</row>
    <row r="278" spans="1:28" ht="14.25" customHeight="1">
      <c r="A278" s="62"/>
      <c r="B278" s="62"/>
      <c r="C278" s="62"/>
      <c r="D278" s="63"/>
      <c r="E278" s="64"/>
      <c r="F278" s="65"/>
      <c r="G278" s="65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</row>
    <row r="279" spans="1:28" ht="14.25" customHeight="1">
      <c r="A279" s="62"/>
      <c r="B279" s="62"/>
      <c r="C279" s="62"/>
      <c r="D279" s="63"/>
      <c r="E279" s="64"/>
      <c r="F279" s="65"/>
      <c r="G279" s="65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</row>
    <row r="280" spans="1:28" ht="14.25" customHeight="1">
      <c r="A280" s="62"/>
      <c r="B280" s="62"/>
      <c r="C280" s="62"/>
      <c r="D280" s="63"/>
      <c r="E280" s="64"/>
      <c r="F280" s="65"/>
      <c r="G280" s="65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</row>
    <row r="281" spans="1:28" ht="14.25" customHeight="1">
      <c r="A281" s="62"/>
      <c r="B281" s="62"/>
      <c r="C281" s="62"/>
      <c r="D281" s="63"/>
      <c r="E281" s="64"/>
      <c r="F281" s="65"/>
      <c r="G281" s="65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</row>
    <row r="282" spans="1:28" ht="14.25" customHeight="1">
      <c r="A282" s="62"/>
      <c r="B282" s="62"/>
      <c r="C282" s="62"/>
      <c r="D282" s="63"/>
      <c r="E282" s="64"/>
      <c r="F282" s="65"/>
      <c r="G282" s="65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</row>
    <row r="283" spans="1:28" ht="14.25" customHeight="1">
      <c r="A283" s="62"/>
      <c r="B283" s="62"/>
      <c r="C283" s="62"/>
      <c r="D283" s="63"/>
      <c r="E283" s="64"/>
      <c r="F283" s="65"/>
      <c r="G283" s="65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</row>
    <row r="284" spans="1:28" ht="14.25" customHeight="1">
      <c r="A284" s="62"/>
      <c r="B284" s="62"/>
      <c r="C284" s="62"/>
      <c r="D284" s="63"/>
      <c r="E284" s="64"/>
      <c r="F284" s="65"/>
      <c r="G284" s="65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</row>
    <row r="285" spans="1:28" ht="14.25" customHeight="1">
      <c r="A285" s="62"/>
      <c r="B285" s="62"/>
      <c r="C285" s="62"/>
      <c r="D285" s="63"/>
      <c r="E285" s="64"/>
      <c r="F285" s="65"/>
      <c r="G285" s="65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</row>
    <row r="286" spans="1:28" ht="14.25" customHeight="1">
      <c r="A286" s="62"/>
      <c r="B286" s="62"/>
      <c r="C286" s="62"/>
      <c r="D286" s="63"/>
      <c r="E286" s="64"/>
      <c r="F286" s="65"/>
      <c r="G286" s="65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</row>
    <row r="287" spans="1:28" ht="14.25" customHeight="1">
      <c r="A287" s="62"/>
      <c r="B287" s="62"/>
      <c r="C287" s="62"/>
      <c r="D287" s="63"/>
      <c r="E287" s="64"/>
      <c r="F287" s="65"/>
      <c r="G287" s="65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</row>
    <row r="288" spans="1:28" ht="14.25" customHeight="1">
      <c r="A288" s="62"/>
      <c r="B288" s="62"/>
      <c r="C288" s="62"/>
      <c r="D288" s="63"/>
      <c r="E288" s="64"/>
      <c r="F288" s="65"/>
      <c r="G288" s="65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</row>
    <row r="289" spans="1:28" ht="14.25" customHeight="1">
      <c r="A289" s="62"/>
      <c r="B289" s="62"/>
      <c r="C289" s="62"/>
      <c r="D289" s="63"/>
      <c r="E289" s="64"/>
      <c r="F289" s="65"/>
      <c r="G289" s="65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</row>
    <row r="290" spans="1:28" ht="14.25" customHeight="1">
      <c r="A290" s="62"/>
      <c r="B290" s="62"/>
      <c r="C290" s="62"/>
      <c r="D290" s="63"/>
      <c r="E290" s="64"/>
      <c r="F290" s="65"/>
      <c r="G290" s="65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</row>
    <row r="291" spans="1:28" ht="14.25" customHeight="1">
      <c r="A291" s="62"/>
      <c r="B291" s="62"/>
      <c r="C291" s="62"/>
      <c r="D291" s="63"/>
      <c r="E291" s="64"/>
      <c r="F291" s="65"/>
      <c r="G291" s="65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</row>
    <row r="292" spans="1:28" ht="14.25" customHeight="1">
      <c r="A292" s="62"/>
      <c r="B292" s="62"/>
      <c r="C292" s="62"/>
      <c r="D292" s="63"/>
      <c r="E292" s="64"/>
      <c r="F292" s="65"/>
      <c r="G292" s="65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</row>
    <row r="293" spans="1:28" ht="14.25" customHeight="1">
      <c r="A293" s="62"/>
      <c r="B293" s="62"/>
      <c r="C293" s="62"/>
      <c r="D293" s="63"/>
      <c r="E293" s="64"/>
      <c r="F293" s="65"/>
      <c r="G293" s="65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</row>
    <row r="294" spans="1:28" ht="14.25" customHeight="1">
      <c r="A294" s="62"/>
      <c r="B294" s="62"/>
      <c r="C294" s="62"/>
      <c r="D294" s="63"/>
      <c r="E294" s="64"/>
      <c r="F294" s="65"/>
      <c r="G294" s="65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</row>
    <row r="295" spans="1:28" ht="14.25" customHeight="1">
      <c r="A295" s="62"/>
      <c r="B295" s="62"/>
      <c r="C295" s="62"/>
      <c r="D295" s="63"/>
      <c r="E295" s="64"/>
      <c r="F295" s="65"/>
      <c r="G295" s="65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</row>
    <row r="296" spans="1:28" ht="14.25" customHeight="1">
      <c r="A296" s="62"/>
      <c r="B296" s="62"/>
      <c r="C296" s="62"/>
      <c r="D296" s="63"/>
      <c r="E296" s="64"/>
      <c r="F296" s="65"/>
      <c r="G296" s="65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</row>
    <row r="297" spans="1:28" ht="14.25" customHeight="1">
      <c r="A297" s="62"/>
      <c r="B297" s="62"/>
      <c r="C297" s="62"/>
      <c r="D297" s="63"/>
      <c r="E297" s="64"/>
      <c r="F297" s="65"/>
      <c r="G297" s="65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</row>
    <row r="298" spans="1:28" ht="14.25" customHeight="1">
      <c r="A298" s="62"/>
      <c r="B298" s="62"/>
      <c r="C298" s="62"/>
      <c r="D298" s="63"/>
      <c r="E298" s="64"/>
      <c r="F298" s="65"/>
      <c r="G298" s="65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</row>
    <row r="299" spans="1:28" ht="14.25" customHeight="1">
      <c r="A299" s="62"/>
      <c r="B299" s="62"/>
      <c r="C299" s="62"/>
      <c r="D299" s="63"/>
      <c r="E299" s="64"/>
      <c r="F299" s="65"/>
      <c r="G299" s="65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</row>
    <row r="300" spans="1:28" ht="14.25" customHeight="1">
      <c r="A300" s="62"/>
      <c r="B300" s="62"/>
      <c r="C300" s="62"/>
      <c r="D300" s="63"/>
      <c r="E300" s="64"/>
      <c r="F300" s="65"/>
      <c r="G300" s="65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</row>
    <row r="301" spans="1:28" ht="14.25" customHeight="1">
      <c r="A301" s="62"/>
      <c r="B301" s="62"/>
      <c r="C301" s="62"/>
      <c r="D301" s="63"/>
      <c r="E301" s="64"/>
      <c r="F301" s="65"/>
      <c r="G301" s="65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</row>
    <row r="302" spans="1:28" ht="14.25" customHeight="1">
      <c r="A302" s="62"/>
      <c r="B302" s="62"/>
      <c r="C302" s="62"/>
      <c r="D302" s="63"/>
      <c r="E302" s="64"/>
      <c r="F302" s="65"/>
      <c r="G302" s="65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</row>
    <row r="303" spans="1:28" ht="14.25" customHeight="1">
      <c r="A303" s="62"/>
      <c r="B303" s="62"/>
      <c r="C303" s="62"/>
      <c r="D303" s="63"/>
      <c r="E303" s="64"/>
      <c r="F303" s="65"/>
      <c r="G303" s="65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</row>
    <row r="304" spans="1:28" ht="14.25" customHeight="1">
      <c r="A304" s="62"/>
      <c r="B304" s="62"/>
      <c r="C304" s="62"/>
      <c r="D304" s="63"/>
      <c r="E304" s="64"/>
      <c r="F304" s="65"/>
      <c r="G304" s="65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</row>
    <row r="305" spans="1:28" ht="14.25" customHeight="1">
      <c r="A305" s="62"/>
      <c r="B305" s="62"/>
      <c r="C305" s="62"/>
      <c r="D305" s="63"/>
      <c r="E305" s="64"/>
      <c r="F305" s="65"/>
      <c r="G305" s="65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</row>
    <row r="306" spans="1:28" ht="14.25" customHeight="1">
      <c r="A306" s="62"/>
      <c r="B306" s="62"/>
      <c r="C306" s="62"/>
      <c r="D306" s="63"/>
      <c r="E306" s="64"/>
      <c r="F306" s="65"/>
      <c r="G306" s="65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</row>
    <row r="307" spans="1:28" ht="14.25" customHeight="1">
      <c r="A307" s="62"/>
      <c r="B307" s="62"/>
      <c r="C307" s="62"/>
      <c r="D307" s="63"/>
      <c r="E307" s="64"/>
      <c r="F307" s="65"/>
      <c r="G307" s="65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</row>
    <row r="308" spans="1:28" ht="14.25" customHeight="1">
      <c r="A308" s="62"/>
      <c r="B308" s="62"/>
      <c r="C308" s="62"/>
      <c r="D308" s="63"/>
      <c r="E308" s="64"/>
      <c r="F308" s="65"/>
      <c r="G308" s="65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</row>
    <row r="309" spans="1:28" ht="14.25" customHeight="1">
      <c r="A309" s="62"/>
      <c r="B309" s="62"/>
      <c r="C309" s="62"/>
      <c r="D309" s="63"/>
      <c r="E309" s="64"/>
      <c r="F309" s="65"/>
      <c r="G309" s="65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</row>
    <row r="310" spans="1:28" ht="14.25" customHeight="1">
      <c r="A310" s="62"/>
      <c r="B310" s="62"/>
      <c r="C310" s="62"/>
      <c r="D310" s="63"/>
      <c r="E310" s="64"/>
      <c r="F310" s="65"/>
      <c r="G310" s="65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</row>
    <row r="311" spans="1:28" ht="14.25" customHeight="1">
      <c r="A311" s="62"/>
      <c r="B311" s="62"/>
      <c r="C311" s="62"/>
      <c r="D311" s="63"/>
      <c r="E311" s="64"/>
      <c r="F311" s="65"/>
      <c r="G311" s="65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</row>
    <row r="312" spans="1:28" ht="14.25" customHeight="1">
      <c r="A312" s="62"/>
      <c r="B312" s="62"/>
      <c r="C312" s="62"/>
      <c r="D312" s="63"/>
      <c r="E312" s="64"/>
      <c r="F312" s="65"/>
      <c r="G312" s="65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</row>
    <row r="313" spans="1:28" ht="15.75" customHeight="1">
      <c r="D313" s="80"/>
      <c r="E313" s="80"/>
    </row>
    <row r="314" spans="1:28" ht="15.75" customHeight="1">
      <c r="D314" s="80"/>
      <c r="E314" s="80"/>
    </row>
    <row r="315" spans="1:28" ht="15.75" customHeight="1">
      <c r="D315" s="80"/>
      <c r="E315" s="80"/>
    </row>
    <row r="316" spans="1:28" ht="15.75" customHeight="1">
      <c r="D316" s="80"/>
      <c r="E316" s="80"/>
    </row>
    <row r="317" spans="1:28" ht="15.75" customHeight="1">
      <c r="D317" s="80"/>
      <c r="E317" s="80"/>
    </row>
    <row r="318" spans="1:28" ht="15.75" customHeight="1">
      <c r="D318" s="80"/>
      <c r="E318" s="80"/>
    </row>
    <row r="319" spans="1:28" ht="15.75" customHeight="1">
      <c r="D319" s="80"/>
      <c r="E319" s="80"/>
    </row>
    <row r="320" spans="1:28" ht="15.75" customHeight="1">
      <c r="D320" s="80"/>
      <c r="E320" s="80"/>
    </row>
    <row r="321" spans="4:5" ht="15.75" customHeight="1">
      <c r="D321" s="80"/>
      <c r="E321" s="80"/>
    </row>
    <row r="322" spans="4:5" ht="15.75" customHeight="1">
      <c r="D322" s="80"/>
      <c r="E322" s="80"/>
    </row>
    <row r="323" spans="4:5" ht="15.75" customHeight="1">
      <c r="D323" s="80"/>
      <c r="E323" s="80"/>
    </row>
    <row r="324" spans="4:5" ht="15.75" customHeight="1">
      <c r="D324" s="80"/>
      <c r="E324" s="80"/>
    </row>
    <row r="325" spans="4:5" ht="15.75" customHeight="1">
      <c r="D325" s="80"/>
      <c r="E325" s="80"/>
    </row>
    <row r="326" spans="4:5" ht="15.75" customHeight="1">
      <c r="D326" s="80"/>
      <c r="E326" s="80"/>
    </row>
    <row r="327" spans="4:5" ht="15.75" customHeight="1">
      <c r="D327" s="80"/>
      <c r="E327" s="80"/>
    </row>
    <row r="328" spans="4:5" ht="15.75" customHeight="1">
      <c r="D328" s="80"/>
      <c r="E328" s="80"/>
    </row>
    <row r="329" spans="4:5" ht="15.75" customHeight="1">
      <c r="D329" s="80"/>
      <c r="E329" s="80"/>
    </row>
    <row r="330" spans="4:5" ht="15.75" customHeight="1">
      <c r="D330" s="80"/>
      <c r="E330" s="80"/>
    </row>
    <row r="331" spans="4:5" ht="15.75" customHeight="1">
      <c r="D331" s="80"/>
      <c r="E331" s="80"/>
    </row>
    <row r="332" spans="4:5" ht="15.75" customHeight="1">
      <c r="D332" s="80"/>
      <c r="E332" s="80"/>
    </row>
    <row r="333" spans="4:5" ht="15.75" customHeight="1">
      <c r="D333" s="80"/>
      <c r="E333" s="80"/>
    </row>
    <row r="334" spans="4:5" ht="15.75" customHeight="1">
      <c r="D334" s="80"/>
      <c r="E334" s="80"/>
    </row>
    <row r="335" spans="4:5" ht="15.75" customHeight="1">
      <c r="D335" s="80"/>
      <c r="E335" s="80"/>
    </row>
    <row r="336" spans="4:5" ht="15.75" customHeight="1">
      <c r="D336" s="80"/>
      <c r="E336" s="80"/>
    </row>
    <row r="337" spans="4:5" ht="15.75" customHeight="1">
      <c r="D337" s="80"/>
      <c r="E337" s="80"/>
    </row>
    <row r="338" spans="4:5" ht="15.75" customHeight="1">
      <c r="D338" s="80"/>
      <c r="E338" s="80"/>
    </row>
    <row r="339" spans="4:5" ht="15.75" customHeight="1">
      <c r="D339" s="80"/>
      <c r="E339" s="80"/>
    </row>
    <row r="340" spans="4:5" ht="15.75" customHeight="1">
      <c r="D340" s="80"/>
      <c r="E340" s="80"/>
    </row>
    <row r="341" spans="4:5" ht="15.75" customHeight="1">
      <c r="D341" s="80"/>
      <c r="E341" s="80"/>
    </row>
    <row r="342" spans="4:5" ht="15.75" customHeight="1">
      <c r="D342" s="80"/>
      <c r="E342" s="80"/>
    </row>
    <row r="343" spans="4:5" ht="15.75" customHeight="1">
      <c r="D343" s="80"/>
      <c r="E343" s="80"/>
    </row>
    <row r="344" spans="4:5" ht="15.75" customHeight="1">
      <c r="D344" s="80"/>
      <c r="E344" s="80"/>
    </row>
    <row r="345" spans="4:5" ht="15.75" customHeight="1">
      <c r="D345" s="80"/>
      <c r="E345" s="80"/>
    </row>
    <row r="346" spans="4:5" ht="15.75" customHeight="1">
      <c r="D346" s="80"/>
      <c r="E346" s="80"/>
    </row>
    <row r="347" spans="4:5" ht="15.75" customHeight="1">
      <c r="D347" s="80"/>
      <c r="E347" s="80"/>
    </row>
    <row r="348" spans="4:5" ht="15.75" customHeight="1">
      <c r="D348" s="80"/>
      <c r="E348" s="80"/>
    </row>
    <row r="349" spans="4:5" ht="15.75" customHeight="1">
      <c r="D349" s="80"/>
      <c r="E349" s="80"/>
    </row>
    <row r="350" spans="4:5" ht="15.75" customHeight="1">
      <c r="D350" s="80"/>
      <c r="E350" s="80"/>
    </row>
    <row r="351" spans="4:5" ht="15.75" customHeight="1">
      <c r="D351" s="80"/>
      <c r="E351" s="80"/>
    </row>
    <row r="352" spans="4:5" ht="15.75" customHeight="1">
      <c r="D352" s="80"/>
      <c r="E352" s="80"/>
    </row>
    <row r="353" spans="4:5" ht="15.75" customHeight="1">
      <c r="D353" s="80"/>
      <c r="E353" s="80"/>
    </row>
    <row r="354" spans="4:5" ht="15.75" customHeight="1">
      <c r="D354" s="80"/>
      <c r="E354" s="80"/>
    </row>
    <row r="355" spans="4:5" ht="15.75" customHeight="1">
      <c r="D355" s="80"/>
      <c r="E355" s="80"/>
    </row>
    <row r="356" spans="4:5" ht="15.75" customHeight="1">
      <c r="D356" s="80"/>
      <c r="E356" s="80"/>
    </row>
    <row r="357" spans="4:5" ht="15.75" customHeight="1">
      <c r="D357" s="80"/>
      <c r="E357" s="80"/>
    </row>
    <row r="358" spans="4:5" ht="15.75" customHeight="1">
      <c r="D358" s="80"/>
      <c r="E358" s="80"/>
    </row>
    <row r="359" spans="4:5" ht="15.75" customHeight="1">
      <c r="D359" s="80"/>
      <c r="E359" s="80"/>
    </row>
    <row r="360" spans="4:5" ht="15.75" customHeight="1">
      <c r="D360" s="80"/>
      <c r="E360" s="80"/>
    </row>
    <row r="361" spans="4:5" ht="15.75" customHeight="1">
      <c r="D361" s="80"/>
      <c r="E361" s="80"/>
    </row>
    <row r="362" spans="4:5" ht="15.75" customHeight="1">
      <c r="D362" s="80"/>
      <c r="E362" s="80"/>
    </row>
    <row r="363" spans="4:5" ht="15.75" customHeight="1">
      <c r="D363" s="80"/>
      <c r="E363" s="80"/>
    </row>
    <row r="364" spans="4:5" ht="15.75" customHeight="1">
      <c r="D364" s="80"/>
      <c r="E364" s="80"/>
    </row>
    <row r="365" spans="4:5" ht="15.75" customHeight="1">
      <c r="D365" s="80"/>
      <c r="E365" s="80"/>
    </row>
    <row r="366" spans="4:5" ht="15.75" customHeight="1">
      <c r="D366" s="80"/>
      <c r="E366" s="80"/>
    </row>
    <row r="367" spans="4:5" ht="15.75" customHeight="1">
      <c r="D367" s="80"/>
      <c r="E367" s="80"/>
    </row>
    <row r="368" spans="4:5" ht="15.75" customHeight="1">
      <c r="D368" s="80"/>
      <c r="E368" s="80"/>
    </row>
    <row r="369" spans="4:5" ht="15.75" customHeight="1">
      <c r="D369" s="80"/>
      <c r="E369" s="80"/>
    </row>
    <row r="370" spans="4:5" ht="15.75" customHeight="1">
      <c r="D370" s="80"/>
      <c r="E370" s="80"/>
    </row>
    <row r="371" spans="4:5" ht="15.75" customHeight="1">
      <c r="D371" s="80"/>
      <c r="E371" s="80"/>
    </row>
    <row r="372" spans="4:5" ht="15.75" customHeight="1">
      <c r="D372" s="80"/>
      <c r="E372" s="80"/>
    </row>
    <row r="373" spans="4:5" ht="15.75" customHeight="1">
      <c r="D373" s="80"/>
      <c r="E373" s="80"/>
    </row>
    <row r="374" spans="4:5" ht="15.75" customHeight="1">
      <c r="D374" s="80"/>
      <c r="E374" s="80"/>
    </row>
    <row r="375" spans="4:5" ht="15.75" customHeight="1">
      <c r="D375" s="80"/>
      <c r="E375" s="80"/>
    </row>
    <row r="376" spans="4:5" ht="15.75" customHeight="1">
      <c r="D376" s="80"/>
      <c r="E376" s="80"/>
    </row>
    <row r="377" spans="4:5" ht="15.75" customHeight="1">
      <c r="D377" s="80"/>
      <c r="E377" s="80"/>
    </row>
    <row r="378" spans="4:5" ht="15.75" customHeight="1">
      <c r="D378" s="80"/>
      <c r="E378" s="80"/>
    </row>
    <row r="379" spans="4:5" ht="15.75" customHeight="1">
      <c r="D379" s="80"/>
      <c r="E379" s="80"/>
    </row>
    <row r="380" spans="4:5" ht="15.75" customHeight="1">
      <c r="D380" s="80"/>
      <c r="E380" s="80"/>
    </row>
    <row r="381" spans="4:5" ht="15.75" customHeight="1">
      <c r="D381" s="80"/>
      <c r="E381" s="80"/>
    </row>
    <row r="382" spans="4:5" ht="15.75" customHeight="1">
      <c r="D382" s="80"/>
      <c r="E382" s="80"/>
    </row>
    <row r="383" spans="4:5" ht="15.75" customHeight="1">
      <c r="D383" s="80"/>
      <c r="E383" s="80"/>
    </row>
    <row r="384" spans="4:5" ht="15.75" customHeight="1">
      <c r="D384" s="80"/>
      <c r="E384" s="80"/>
    </row>
    <row r="385" spans="4:5" ht="15.75" customHeight="1">
      <c r="D385" s="80"/>
      <c r="E385" s="80"/>
    </row>
    <row r="386" spans="4:5" ht="15.75" customHeight="1">
      <c r="D386" s="80"/>
      <c r="E386" s="80"/>
    </row>
    <row r="387" spans="4:5" ht="15.75" customHeight="1">
      <c r="D387" s="80"/>
      <c r="E387" s="80"/>
    </row>
    <row r="388" spans="4:5" ht="15.75" customHeight="1">
      <c r="D388" s="80"/>
      <c r="E388" s="80"/>
    </row>
    <row r="389" spans="4:5" ht="15.75" customHeight="1">
      <c r="D389" s="80"/>
      <c r="E389" s="80"/>
    </row>
    <row r="390" spans="4:5" ht="15.75" customHeight="1">
      <c r="D390" s="80"/>
      <c r="E390" s="80"/>
    </row>
    <row r="391" spans="4:5" ht="15.75" customHeight="1">
      <c r="D391" s="80"/>
      <c r="E391" s="80"/>
    </row>
    <row r="392" spans="4:5" ht="15.75" customHeight="1">
      <c r="D392" s="80"/>
      <c r="E392" s="80"/>
    </row>
    <row r="393" spans="4:5" ht="15.75" customHeight="1">
      <c r="D393" s="80"/>
      <c r="E393" s="80"/>
    </row>
    <row r="394" spans="4:5" ht="15.75" customHeight="1">
      <c r="D394" s="80"/>
      <c r="E394" s="80"/>
    </row>
    <row r="395" spans="4:5" ht="15.75" customHeight="1">
      <c r="D395" s="80"/>
      <c r="E395" s="80"/>
    </row>
    <row r="396" spans="4:5" ht="15.75" customHeight="1">
      <c r="D396" s="80"/>
      <c r="E396" s="80"/>
    </row>
    <row r="397" spans="4:5" ht="15.75" customHeight="1">
      <c r="D397" s="80"/>
      <c r="E397" s="80"/>
    </row>
    <row r="398" spans="4:5" ht="15.75" customHeight="1">
      <c r="D398" s="80"/>
      <c r="E398" s="80"/>
    </row>
    <row r="399" spans="4:5" ht="15.75" customHeight="1">
      <c r="D399" s="80"/>
      <c r="E399" s="80"/>
    </row>
    <row r="400" spans="4:5" ht="15.75" customHeight="1">
      <c r="D400" s="80"/>
      <c r="E400" s="80"/>
    </row>
    <row r="401" spans="4:5" ht="15.75" customHeight="1">
      <c r="D401" s="80"/>
      <c r="E401" s="80"/>
    </row>
    <row r="402" spans="4:5" ht="15.75" customHeight="1">
      <c r="D402" s="80"/>
      <c r="E402" s="80"/>
    </row>
    <row r="403" spans="4:5" ht="15.75" customHeight="1">
      <c r="D403" s="80"/>
      <c r="E403" s="80"/>
    </row>
    <row r="404" spans="4:5" ht="15.75" customHeight="1">
      <c r="D404" s="80"/>
      <c r="E404" s="80"/>
    </row>
    <row r="405" spans="4:5" ht="15.75" customHeight="1">
      <c r="D405" s="80"/>
      <c r="E405" s="80"/>
    </row>
    <row r="406" spans="4:5" ht="15.75" customHeight="1">
      <c r="D406" s="80"/>
      <c r="E406" s="80"/>
    </row>
    <row r="407" spans="4:5" ht="15.75" customHeight="1">
      <c r="D407" s="80"/>
      <c r="E407" s="80"/>
    </row>
    <row r="408" spans="4:5" ht="15.75" customHeight="1">
      <c r="D408" s="80"/>
      <c r="E408" s="80"/>
    </row>
    <row r="409" spans="4:5" ht="15.75" customHeight="1">
      <c r="D409" s="80"/>
      <c r="E409" s="80"/>
    </row>
    <row r="410" spans="4:5" ht="15.75" customHeight="1">
      <c r="D410" s="80"/>
      <c r="E410" s="80"/>
    </row>
    <row r="411" spans="4:5" ht="15.75" customHeight="1">
      <c r="D411" s="80"/>
      <c r="E411" s="80"/>
    </row>
    <row r="412" spans="4:5" ht="15.75" customHeight="1">
      <c r="D412" s="80"/>
      <c r="E412" s="80"/>
    </row>
    <row r="413" spans="4:5" ht="15.75" customHeight="1">
      <c r="D413" s="80"/>
      <c r="E413" s="80"/>
    </row>
    <row r="414" spans="4:5" ht="15.75" customHeight="1">
      <c r="D414" s="80"/>
      <c r="E414" s="80"/>
    </row>
    <row r="415" spans="4:5" ht="15.75" customHeight="1">
      <c r="D415" s="80"/>
      <c r="E415" s="80"/>
    </row>
    <row r="416" spans="4:5" ht="15.75" customHeight="1">
      <c r="D416" s="80"/>
      <c r="E416" s="80"/>
    </row>
    <row r="417" spans="4:5" ht="15.75" customHeight="1">
      <c r="D417" s="80"/>
      <c r="E417" s="80"/>
    </row>
    <row r="418" spans="4:5" ht="15.75" customHeight="1">
      <c r="D418" s="80"/>
      <c r="E418" s="80"/>
    </row>
    <row r="419" spans="4:5" ht="15.75" customHeight="1">
      <c r="D419" s="80"/>
      <c r="E419" s="80"/>
    </row>
    <row r="420" spans="4:5" ht="15.75" customHeight="1">
      <c r="D420" s="80"/>
      <c r="E420" s="80"/>
    </row>
    <row r="421" spans="4:5" ht="15.75" customHeight="1">
      <c r="D421" s="80"/>
      <c r="E421" s="80"/>
    </row>
    <row r="422" spans="4:5" ht="15.75" customHeight="1">
      <c r="D422" s="80"/>
      <c r="E422" s="80"/>
    </row>
    <row r="423" spans="4:5" ht="15.75" customHeight="1">
      <c r="D423" s="80"/>
      <c r="E423" s="80"/>
    </row>
    <row r="424" spans="4:5" ht="15.75" customHeight="1">
      <c r="D424" s="80"/>
      <c r="E424" s="80"/>
    </row>
    <row r="425" spans="4:5" ht="15.75" customHeight="1">
      <c r="D425" s="80"/>
      <c r="E425" s="80"/>
    </row>
    <row r="426" spans="4:5" ht="15.75" customHeight="1">
      <c r="D426" s="80"/>
      <c r="E426" s="80"/>
    </row>
    <row r="427" spans="4:5" ht="15.75" customHeight="1">
      <c r="D427" s="80"/>
      <c r="E427" s="80"/>
    </row>
    <row r="428" spans="4:5" ht="15.75" customHeight="1">
      <c r="D428" s="80"/>
      <c r="E428" s="80"/>
    </row>
    <row r="429" spans="4:5" ht="15.75" customHeight="1">
      <c r="D429" s="80"/>
      <c r="E429" s="80"/>
    </row>
    <row r="430" spans="4:5" ht="15.75" customHeight="1">
      <c r="D430" s="80"/>
      <c r="E430" s="80"/>
    </row>
    <row r="431" spans="4:5" ht="15.75" customHeight="1">
      <c r="D431" s="80"/>
      <c r="E431" s="80"/>
    </row>
    <row r="432" spans="4:5" ht="15.75" customHeight="1">
      <c r="D432" s="80"/>
      <c r="E432" s="80"/>
    </row>
    <row r="433" spans="4:5" ht="15.75" customHeight="1">
      <c r="D433" s="80"/>
      <c r="E433" s="80"/>
    </row>
    <row r="434" spans="4:5" ht="15.75" customHeight="1">
      <c r="D434" s="80"/>
      <c r="E434" s="80"/>
    </row>
    <row r="435" spans="4:5" ht="15.75" customHeight="1">
      <c r="D435" s="80"/>
      <c r="E435" s="80"/>
    </row>
    <row r="436" spans="4:5" ht="15.75" customHeight="1">
      <c r="D436" s="80"/>
      <c r="E436" s="80"/>
    </row>
    <row r="437" spans="4:5" ht="15.75" customHeight="1">
      <c r="D437" s="80"/>
      <c r="E437" s="80"/>
    </row>
    <row r="438" spans="4:5" ht="15.75" customHeight="1">
      <c r="D438" s="80"/>
      <c r="E438" s="80"/>
    </row>
    <row r="439" spans="4:5" ht="15.75" customHeight="1">
      <c r="D439" s="80"/>
      <c r="E439" s="80"/>
    </row>
    <row r="440" spans="4:5" ht="15.75" customHeight="1">
      <c r="D440" s="80"/>
      <c r="E440" s="80"/>
    </row>
    <row r="441" spans="4:5" ht="15.75" customHeight="1">
      <c r="D441" s="80"/>
      <c r="E441" s="80"/>
    </row>
    <row r="442" spans="4:5" ht="15.75" customHeight="1">
      <c r="D442" s="80"/>
      <c r="E442" s="80"/>
    </row>
    <row r="443" spans="4:5" ht="15.75" customHeight="1">
      <c r="D443" s="80"/>
      <c r="E443" s="80"/>
    </row>
    <row r="444" spans="4:5" ht="15.75" customHeight="1">
      <c r="D444" s="80"/>
      <c r="E444" s="80"/>
    </row>
    <row r="445" spans="4:5" ht="15.75" customHeight="1">
      <c r="D445" s="80"/>
      <c r="E445" s="80"/>
    </row>
    <row r="446" spans="4:5" ht="15.75" customHeight="1">
      <c r="D446" s="80"/>
      <c r="E446" s="80"/>
    </row>
    <row r="447" spans="4:5" ht="15.75" customHeight="1">
      <c r="D447" s="80"/>
      <c r="E447" s="80"/>
    </row>
    <row r="448" spans="4:5" ht="15.75" customHeight="1">
      <c r="D448" s="80"/>
      <c r="E448" s="80"/>
    </row>
    <row r="449" spans="4:5" ht="15.75" customHeight="1">
      <c r="D449" s="80"/>
      <c r="E449" s="80"/>
    </row>
    <row r="450" spans="4:5" ht="15.75" customHeight="1">
      <c r="D450" s="80"/>
      <c r="E450" s="80"/>
    </row>
    <row r="451" spans="4:5" ht="15.75" customHeight="1">
      <c r="D451" s="80"/>
      <c r="E451" s="80"/>
    </row>
    <row r="452" spans="4:5" ht="15.75" customHeight="1">
      <c r="D452" s="80"/>
      <c r="E452" s="80"/>
    </row>
    <row r="453" spans="4:5" ht="15.75" customHeight="1">
      <c r="D453" s="80"/>
      <c r="E453" s="80"/>
    </row>
    <row r="454" spans="4:5" ht="15.75" customHeight="1">
      <c r="D454" s="80"/>
      <c r="E454" s="80"/>
    </row>
    <row r="455" spans="4:5" ht="15.75" customHeight="1">
      <c r="D455" s="80"/>
      <c r="E455" s="80"/>
    </row>
    <row r="456" spans="4:5" ht="15.75" customHeight="1">
      <c r="D456" s="80"/>
      <c r="E456" s="80"/>
    </row>
    <row r="457" spans="4:5" ht="15.75" customHeight="1">
      <c r="D457" s="80"/>
      <c r="E457" s="80"/>
    </row>
    <row r="458" spans="4:5" ht="15.75" customHeight="1">
      <c r="D458" s="80"/>
      <c r="E458" s="80"/>
    </row>
    <row r="459" spans="4:5" ht="15.75" customHeight="1">
      <c r="D459" s="80"/>
      <c r="E459" s="80"/>
    </row>
    <row r="460" spans="4:5" ht="15.75" customHeight="1">
      <c r="D460" s="80"/>
      <c r="E460" s="80"/>
    </row>
    <row r="461" spans="4:5" ht="15.75" customHeight="1">
      <c r="D461" s="80"/>
      <c r="E461" s="80"/>
    </row>
    <row r="462" spans="4:5" ht="15.75" customHeight="1">
      <c r="D462" s="80"/>
      <c r="E462" s="80"/>
    </row>
    <row r="463" spans="4:5" ht="15.75" customHeight="1">
      <c r="D463" s="80"/>
      <c r="E463" s="80"/>
    </row>
    <row r="464" spans="4:5" ht="15.75" customHeight="1">
      <c r="D464" s="80"/>
      <c r="E464" s="80"/>
    </row>
    <row r="465" spans="4:5" ht="15.75" customHeight="1">
      <c r="D465" s="80"/>
      <c r="E465" s="80"/>
    </row>
    <row r="466" spans="4:5" ht="15.75" customHeight="1">
      <c r="D466" s="80"/>
      <c r="E466" s="80"/>
    </row>
    <row r="467" spans="4:5" ht="15.75" customHeight="1">
      <c r="D467" s="80"/>
      <c r="E467" s="80"/>
    </row>
    <row r="468" spans="4:5" ht="15.75" customHeight="1">
      <c r="D468" s="80"/>
      <c r="E468" s="80"/>
    </row>
    <row r="469" spans="4:5" ht="15.75" customHeight="1">
      <c r="D469" s="80"/>
      <c r="E469" s="80"/>
    </row>
    <row r="470" spans="4:5" ht="15.75" customHeight="1">
      <c r="D470" s="80"/>
      <c r="E470" s="80"/>
    </row>
    <row r="471" spans="4:5" ht="15.75" customHeight="1">
      <c r="D471" s="80"/>
      <c r="E471" s="80"/>
    </row>
    <row r="472" spans="4:5" ht="15.75" customHeight="1">
      <c r="D472" s="80"/>
      <c r="E472" s="80"/>
    </row>
    <row r="473" spans="4:5" ht="15.75" customHeight="1">
      <c r="D473" s="80"/>
      <c r="E473" s="80"/>
    </row>
    <row r="474" spans="4:5" ht="15.75" customHeight="1">
      <c r="D474" s="80"/>
      <c r="E474" s="80"/>
    </row>
    <row r="475" spans="4:5" ht="15.75" customHeight="1">
      <c r="D475" s="80"/>
      <c r="E475" s="80"/>
    </row>
    <row r="476" spans="4:5" ht="15.75" customHeight="1">
      <c r="D476" s="80"/>
      <c r="E476" s="80"/>
    </row>
    <row r="477" spans="4:5" ht="15.75" customHeight="1">
      <c r="D477" s="80"/>
      <c r="E477" s="80"/>
    </row>
    <row r="478" spans="4:5" ht="15.75" customHeight="1">
      <c r="D478" s="80"/>
      <c r="E478" s="80"/>
    </row>
    <row r="479" spans="4:5" ht="15.75" customHeight="1">
      <c r="D479" s="80"/>
      <c r="E479" s="80"/>
    </row>
    <row r="480" spans="4:5" ht="15.75" customHeight="1">
      <c r="D480" s="80"/>
      <c r="E480" s="80"/>
    </row>
    <row r="481" spans="4:5" ht="15.75" customHeight="1">
      <c r="D481" s="80"/>
      <c r="E481" s="80"/>
    </row>
    <row r="482" spans="4:5" ht="15.75" customHeight="1">
      <c r="D482" s="80"/>
      <c r="E482" s="80"/>
    </row>
    <row r="483" spans="4:5" ht="15.75" customHeight="1">
      <c r="D483" s="80"/>
      <c r="E483" s="80"/>
    </row>
    <row r="484" spans="4:5" ht="15.75" customHeight="1">
      <c r="D484" s="80"/>
      <c r="E484" s="80"/>
    </row>
    <row r="485" spans="4:5" ht="15.75" customHeight="1">
      <c r="D485" s="80"/>
      <c r="E485" s="80"/>
    </row>
    <row r="486" spans="4:5" ht="15.75" customHeight="1">
      <c r="D486" s="80"/>
      <c r="E486" s="80"/>
    </row>
    <row r="487" spans="4:5" ht="15.75" customHeight="1">
      <c r="D487" s="80"/>
      <c r="E487" s="80"/>
    </row>
    <row r="488" spans="4:5" ht="15.75" customHeight="1">
      <c r="D488" s="80"/>
      <c r="E488" s="80"/>
    </row>
    <row r="489" spans="4:5" ht="15.75" customHeight="1">
      <c r="D489" s="80"/>
      <c r="E489" s="80"/>
    </row>
    <row r="490" spans="4:5" ht="15.75" customHeight="1">
      <c r="D490" s="80"/>
      <c r="E490" s="80"/>
    </row>
    <row r="491" spans="4:5" ht="15.75" customHeight="1">
      <c r="D491" s="80"/>
      <c r="E491" s="80"/>
    </row>
    <row r="492" spans="4:5" ht="15.75" customHeight="1">
      <c r="D492" s="80"/>
      <c r="E492" s="80"/>
    </row>
    <row r="493" spans="4:5" ht="15.75" customHeight="1">
      <c r="D493" s="80"/>
      <c r="E493" s="80"/>
    </row>
    <row r="494" spans="4:5" ht="15.75" customHeight="1">
      <c r="D494" s="80"/>
      <c r="E494" s="80"/>
    </row>
    <row r="495" spans="4:5" ht="15.75" customHeight="1">
      <c r="D495" s="80"/>
      <c r="E495" s="80"/>
    </row>
    <row r="496" spans="4:5" ht="15.75" customHeight="1">
      <c r="D496" s="80"/>
      <c r="E496" s="80"/>
    </row>
    <row r="497" spans="4:5" ht="15.75" customHeight="1">
      <c r="D497" s="80"/>
      <c r="E497" s="80"/>
    </row>
    <row r="498" spans="4:5" ht="15.75" customHeight="1">
      <c r="D498" s="80"/>
      <c r="E498" s="80"/>
    </row>
    <row r="499" spans="4:5" ht="15.75" customHeight="1">
      <c r="D499" s="80"/>
      <c r="E499" s="80"/>
    </row>
    <row r="500" spans="4:5" ht="15.75" customHeight="1">
      <c r="D500" s="80"/>
      <c r="E500" s="80"/>
    </row>
    <row r="501" spans="4:5" ht="15.75" customHeight="1">
      <c r="D501" s="80"/>
      <c r="E501" s="80"/>
    </row>
    <row r="502" spans="4:5" ht="15.75" customHeight="1">
      <c r="D502" s="80"/>
      <c r="E502" s="80"/>
    </row>
    <row r="503" spans="4:5" ht="15.75" customHeight="1">
      <c r="D503" s="80"/>
      <c r="E503" s="80"/>
    </row>
    <row r="504" spans="4:5" ht="15.75" customHeight="1">
      <c r="D504" s="80"/>
      <c r="E504" s="80"/>
    </row>
    <row r="505" spans="4:5" ht="15.75" customHeight="1">
      <c r="D505" s="80"/>
      <c r="E505" s="80"/>
    </row>
    <row r="506" spans="4:5" ht="15.75" customHeight="1">
      <c r="D506" s="80"/>
      <c r="E506" s="80"/>
    </row>
    <row r="507" spans="4:5" ht="15.75" customHeight="1">
      <c r="D507" s="80"/>
      <c r="E507" s="80"/>
    </row>
    <row r="508" spans="4:5" ht="15.75" customHeight="1">
      <c r="D508" s="80"/>
      <c r="E508" s="80"/>
    </row>
    <row r="509" spans="4:5" ht="15.75" customHeight="1">
      <c r="D509" s="80"/>
      <c r="E509" s="80"/>
    </row>
    <row r="510" spans="4:5" ht="15.75" customHeight="1">
      <c r="D510" s="80"/>
      <c r="E510" s="80"/>
    </row>
    <row r="511" spans="4:5" ht="15.75" customHeight="1">
      <c r="D511" s="80"/>
      <c r="E511" s="80"/>
    </row>
    <row r="512" spans="4:5" ht="15.75" customHeight="1">
      <c r="D512" s="80"/>
      <c r="E512" s="80"/>
    </row>
    <row r="513" spans="4:5" ht="15.75" customHeight="1">
      <c r="D513" s="80"/>
      <c r="E513" s="80"/>
    </row>
    <row r="514" spans="4:5" ht="15.75" customHeight="1">
      <c r="D514" s="80"/>
      <c r="E514" s="80"/>
    </row>
    <row r="515" spans="4:5" ht="15.75" customHeight="1">
      <c r="D515" s="80"/>
      <c r="E515" s="80"/>
    </row>
    <row r="516" spans="4:5" ht="15.75" customHeight="1">
      <c r="D516" s="80"/>
      <c r="E516" s="80"/>
    </row>
    <row r="517" spans="4:5" ht="15.75" customHeight="1">
      <c r="D517" s="80"/>
      <c r="E517" s="80"/>
    </row>
    <row r="518" spans="4:5" ht="15.75" customHeight="1">
      <c r="D518" s="80"/>
      <c r="E518" s="80"/>
    </row>
    <row r="519" spans="4:5" ht="15.75" customHeight="1">
      <c r="D519" s="80"/>
      <c r="E519" s="80"/>
    </row>
    <row r="520" spans="4:5" ht="15.75" customHeight="1">
      <c r="D520" s="80"/>
      <c r="E520" s="80"/>
    </row>
    <row r="521" spans="4:5" ht="15.75" customHeight="1">
      <c r="D521" s="80"/>
      <c r="E521" s="80"/>
    </row>
    <row r="522" spans="4:5" ht="15.75" customHeight="1">
      <c r="D522" s="80"/>
      <c r="E522" s="80"/>
    </row>
    <row r="523" spans="4:5" ht="15.75" customHeight="1">
      <c r="D523" s="80"/>
      <c r="E523" s="80"/>
    </row>
    <row r="524" spans="4:5" ht="15.75" customHeight="1">
      <c r="D524" s="80"/>
      <c r="E524" s="80"/>
    </row>
    <row r="525" spans="4:5" ht="15.75" customHeight="1">
      <c r="D525" s="80"/>
      <c r="E525" s="80"/>
    </row>
    <row r="526" spans="4:5" ht="15.75" customHeight="1">
      <c r="D526" s="80"/>
      <c r="E526" s="80"/>
    </row>
    <row r="527" spans="4:5" ht="15.75" customHeight="1">
      <c r="D527" s="80"/>
      <c r="E527" s="80"/>
    </row>
    <row r="528" spans="4:5" ht="15.75" customHeight="1">
      <c r="D528" s="80"/>
      <c r="E528" s="80"/>
    </row>
    <row r="529" spans="4:5" ht="15.75" customHeight="1">
      <c r="D529" s="80"/>
      <c r="E529" s="80"/>
    </row>
    <row r="530" spans="4:5" ht="15.75" customHeight="1">
      <c r="D530" s="80"/>
      <c r="E530" s="80"/>
    </row>
    <row r="531" spans="4:5" ht="15.75" customHeight="1">
      <c r="D531" s="80"/>
      <c r="E531" s="80"/>
    </row>
    <row r="532" spans="4:5" ht="15.75" customHeight="1">
      <c r="D532" s="80"/>
      <c r="E532" s="80"/>
    </row>
    <row r="533" spans="4:5" ht="15.75" customHeight="1">
      <c r="D533" s="80"/>
      <c r="E533" s="80"/>
    </row>
    <row r="534" spans="4:5" ht="15.75" customHeight="1">
      <c r="D534" s="80"/>
      <c r="E534" s="80"/>
    </row>
    <row r="535" spans="4:5" ht="15.75" customHeight="1">
      <c r="D535" s="80"/>
      <c r="E535" s="80"/>
    </row>
    <row r="536" spans="4:5" ht="15.75" customHeight="1">
      <c r="D536" s="80"/>
      <c r="E536" s="80"/>
    </row>
    <row r="537" spans="4:5" ht="15.75" customHeight="1">
      <c r="D537" s="80"/>
      <c r="E537" s="80"/>
    </row>
    <row r="538" spans="4:5" ht="15.75" customHeight="1">
      <c r="D538" s="80"/>
      <c r="E538" s="80"/>
    </row>
    <row r="539" spans="4:5" ht="15.75" customHeight="1">
      <c r="D539" s="80"/>
      <c r="E539" s="80"/>
    </row>
    <row r="540" spans="4:5" ht="15.75" customHeight="1">
      <c r="D540" s="80"/>
      <c r="E540" s="80"/>
    </row>
    <row r="541" spans="4:5" ht="15.75" customHeight="1">
      <c r="D541" s="80"/>
      <c r="E541" s="80"/>
    </row>
    <row r="542" spans="4:5" ht="15.75" customHeight="1">
      <c r="D542" s="80"/>
      <c r="E542" s="80"/>
    </row>
    <row r="543" spans="4:5" ht="15.75" customHeight="1">
      <c r="D543" s="80"/>
      <c r="E543" s="80"/>
    </row>
    <row r="544" spans="4:5" ht="15.75" customHeight="1">
      <c r="D544" s="80"/>
      <c r="E544" s="80"/>
    </row>
    <row r="545" spans="4:5" ht="15.75" customHeight="1">
      <c r="D545" s="80"/>
      <c r="E545" s="80"/>
    </row>
    <row r="546" spans="4:5" ht="15.75" customHeight="1">
      <c r="D546" s="80"/>
      <c r="E546" s="80"/>
    </row>
    <row r="547" spans="4:5" ht="15.75" customHeight="1">
      <c r="D547" s="80"/>
      <c r="E547" s="80"/>
    </row>
    <row r="548" spans="4:5" ht="15.75" customHeight="1">
      <c r="D548" s="80"/>
      <c r="E548" s="80"/>
    </row>
    <row r="549" spans="4:5" ht="15.75" customHeight="1">
      <c r="D549" s="80"/>
      <c r="E549" s="80"/>
    </row>
    <row r="550" spans="4:5" ht="15.75" customHeight="1">
      <c r="D550" s="80"/>
      <c r="E550" s="80"/>
    </row>
    <row r="551" spans="4:5" ht="15.75" customHeight="1">
      <c r="D551" s="80"/>
      <c r="E551" s="80"/>
    </row>
    <row r="552" spans="4:5" ht="15.75" customHeight="1">
      <c r="D552" s="80"/>
      <c r="E552" s="80"/>
    </row>
    <row r="553" spans="4:5" ht="15.75" customHeight="1">
      <c r="D553" s="80"/>
      <c r="E553" s="80"/>
    </row>
    <row r="554" spans="4:5" ht="15.75" customHeight="1">
      <c r="D554" s="80"/>
      <c r="E554" s="80"/>
    </row>
    <row r="555" spans="4:5" ht="15.75" customHeight="1">
      <c r="D555" s="80"/>
      <c r="E555" s="80"/>
    </row>
    <row r="556" spans="4:5" ht="15.75" customHeight="1">
      <c r="D556" s="80"/>
      <c r="E556" s="80"/>
    </row>
    <row r="557" spans="4:5" ht="15.75" customHeight="1">
      <c r="D557" s="80"/>
      <c r="E557" s="80"/>
    </row>
    <row r="558" spans="4:5" ht="15.75" customHeight="1">
      <c r="D558" s="80"/>
      <c r="E558" s="80"/>
    </row>
    <row r="559" spans="4:5" ht="15.75" customHeight="1">
      <c r="D559" s="80"/>
      <c r="E559" s="80"/>
    </row>
    <row r="560" spans="4:5" ht="15.75" customHeight="1">
      <c r="D560" s="80"/>
      <c r="E560" s="80"/>
    </row>
    <row r="561" spans="4:5" ht="15.75" customHeight="1">
      <c r="D561" s="80"/>
      <c r="E561" s="80"/>
    </row>
    <row r="562" spans="4:5" ht="15.75" customHeight="1">
      <c r="D562" s="80"/>
      <c r="E562" s="80"/>
    </row>
    <row r="563" spans="4:5" ht="15.75" customHeight="1">
      <c r="D563" s="80"/>
      <c r="E563" s="80"/>
    </row>
    <row r="564" spans="4:5" ht="15.75" customHeight="1">
      <c r="D564" s="80"/>
      <c r="E564" s="80"/>
    </row>
    <row r="565" spans="4:5" ht="15.75" customHeight="1">
      <c r="D565" s="80"/>
      <c r="E565" s="80"/>
    </row>
    <row r="566" spans="4:5" ht="15.75" customHeight="1">
      <c r="D566" s="80"/>
      <c r="E566" s="80"/>
    </row>
    <row r="567" spans="4:5" ht="15.75" customHeight="1">
      <c r="D567" s="80"/>
      <c r="E567" s="80"/>
    </row>
    <row r="568" spans="4:5" ht="15.75" customHeight="1">
      <c r="D568" s="80"/>
      <c r="E568" s="80"/>
    </row>
    <row r="569" spans="4:5" ht="15.75" customHeight="1">
      <c r="D569" s="80"/>
      <c r="E569" s="80"/>
    </row>
    <row r="570" spans="4:5" ht="15.75" customHeight="1">
      <c r="D570" s="80"/>
      <c r="E570" s="80"/>
    </row>
    <row r="571" spans="4:5" ht="15.75" customHeight="1">
      <c r="D571" s="80"/>
      <c r="E571" s="80"/>
    </row>
    <row r="572" spans="4:5" ht="15.75" customHeight="1">
      <c r="D572" s="80"/>
      <c r="E572" s="80"/>
    </row>
    <row r="573" spans="4:5" ht="15.75" customHeight="1">
      <c r="D573" s="80"/>
      <c r="E573" s="80"/>
    </row>
    <row r="574" spans="4:5" ht="15.75" customHeight="1">
      <c r="D574" s="80"/>
      <c r="E574" s="80"/>
    </row>
    <row r="575" spans="4:5" ht="15.75" customHeight="1">
      <c r="D575" s="80"/>
      <c r="E575" s="80"/>
    </row>
    <row r="576" spans="4:5" ht="15.75" customHeight="1">
      <c r="D576" s="80"/>
      <c r="E576" s="80"/>
    </row>
    <row r="577" spans="4:5" ht="15.75" customHeight="1">
      <c r="D577" s="80"/>
      <c r="E577" s="80"/>
    </row>
    <row r="578" spans="4:5" ht="15.75" customHeight="1">
      <c r="D578" s="80"/>
      <c r="E578" s="80"/>
    </row>
    <row r="579" spans="4:5" ht="15.75" customHeight="1">
      <c r="D579" s="80"/>
      <c r="E579" s="80"/>
    </row>
    <row r="580" spans="4:5" ht="15.75" customHeight="1">
      <c r="D580" s="80"/>
      <c r="E580" s="80"/>
    </row>
    <row r="581" spans="4:5" ht="15.75" customHeight="1">
      <c r="D581" s="80"/>
      <c r="E581" s="80"/>
    </row>
    <row r="582" spans="4:5" ht="15.75" customHeight="1">
      <c r="D582" s="80"/>
      <c r="E582" s="80"/>
    </row>
    <row r="583" spans="4:5" ht="15.75" customHeight="1">
      <c r="D583" s="80"/>
      <c r="E583" s="80"/>
    </row>
    <row r="584" spans="4:5" ht="15.75" customHeight="1">
      <c r="D584" s="80"/>
      <c r="E584" s="80"/>
    </row>
    <row r="585" spans="4:5" ht="15.75" customHeight="1">
      <c r="D585" s="80"/>
      <c r="E585" s="80"/>
    </row>
    <row r="586" spans="4:5" ht="15.75" customHeight="1">
      <c r="D586" s="80"/>
      <c r="E586" s="80"/>
    </row>
    <row r="587" spans="4:5" ht="15.75" customHeight="1">
      <c r="D587" s="80"/>
      <c r="E587" s="80"/>
    </row>
    <row r="588" spans="4:5" ht="15.75" customHeight="1">
      <c r="D588" s="80"/>
      <c r="E588" s="80"/>
    </row>
    <row r="589" spans="4:5" ht="15.75" customHeight="1">
      <c r="D589" s="80"/>
      <c r="E589" s="80"/>
    </row>
    <row r="590" spans="4:5" ht="15.75" customHeight="1">
      <c r="D590" s="80"/>
      <c r="E590" s="80"/>
    </row>
    <row r="591" spans="4:5" ht="15.75" customHeight="1">
      <c r="D591" s="80"/>
      <c r="E591" s="80"/>
    </row>
    <row r="592" spans="4:5" ht="15.75" customHeight="1">
      <c r="D592" s="80"/>
      <c r="E592" s="80"/>
    </row>
    <row r="593" spans="4:5" ht="15.75" customHeight="1">
      <c r="D593" s="80"/>
      <c r="E593" s="80"/>
    </row>
    <row r="594" spans="4:5" ht="15.75" customHeight="1">
      <c r="D594" s="80"/>
      <c r="E594" s="80"/>
    </row>
    <row r="595" spans="4:5" ht="15.75" customHeight="1">
      <c r="D595" s="80"/>
      <c r="E595" s="80"/>
    </row>
    <row r="596" spans="4:5" ht="15.75" customHeight="1">
      <c r="D596" s="80"/>
      <c r="E596" s="80"/>
    </row>
    <row r="597" spans="4:5" ht="15.75" customHeight="1">
      <c r="D597" s="80"/>
      <c r="E597" s="80"/>
    </row>
    <row r="598" spans="4:5" ht="15.75" customHeight="1">
      <c r="D598" s="80"/>
      <c r="E598" s="80"/>
    </row>
    <row r="599" spans="4:5" ht="15.75" customHeight="1">
      <c r="D599" s="80"/>
      <c r="E599" s="80"/>
    </row>
    <row r="600" spans="4:5" ht="15.75" customHeight="1">
      <c r="D600" s="80"/>
      <c r="E600" s="80"/>
    </row>
    <row r="601" spans="4:5" ht="15.75" customHeight="1">
      <c r="D601" s="80"/>
      <c r="E601" s="80"/>
    </row>
    <row r="602" spans="4:5" ht="15.75" customHeight="1">
      <c r="D602" s="80"/>
      <c r="E602" s="80"/>
    </row>
    <row r="603" spans="4:5" ht="15.75" customHeight="1">
      <c r="D603" s="80"/>
      <c r="E603" s="80"/>
    </row>
    <row r="604" spans="4:5" ht="15.75" customHeight="1">
      <c r="D604" s="80"/>
      <c r="E604" s="80"/>
    </row>
    <row r="605" spans="4:5" ht="15.75" customHeight="1">
      <c r="D605" s="80"/>
      <c r="E605" s="80"/>
    </row>
    <row r="606" spans="4:5" ht="15.75" customHeight="1">
      <c r="D606" s="80"/>
      <c r="E606" s="80"/>
    </row>
    <row r="607" spans="4:5" ht="15.75" customHeight="1">
      <c r="D607" s="80"/>
      <c r="E607" s="80"/>
    </row>
    <row r="608" spans="4:5" ht="15.75" customHeight="1">
      <c r="D608" s="80"/>
      <c r="E608" s="80"/>
    </row>
    <row r="609" spans="4:5" ht="15.75" customHeight="1">
      <c r="D609" s="80"/>
      <c r="E609" s="80"/>
    </row>
    <row r="610" spans="4:5" ht="15.75" customHeight="1">
      <c r="D610" s="80"/>
      <c r="E610" s="80"/>
    </row>
    <row r="611" spans="4:5" ht="15.75" customHeight="1">
      <c r="D611" s="80"/>
      <c r="E611" s="80"/>
    </row>
    <row r="612" spans="4:5" ht="15.75" customHeight="1">
      <c r="D612" s="80"/>
      <c r="E612" s="80"/>
    </row>
    <row r="613" spans="4:5" ht="15.75" customHeight="1">
      <c r="D613" s="80"/>
      <c r="E613" s="80"/>
    </row>
    <row r="614" spans="4:5" ht="15.75" customHeight="1">
      <c r="D614" s="80"/>
      <c r="E614" s="80"/>
    </row>
    <row r="615" spans="4:5" ht="15.75" customHeight="1">
      <c r="D615" s="80"/>
      <c r="E615" s="80"/>
    </row>
    <row r="616" spans="4:5" ht="15.75" customHeight="1">
      <c r="D616" s="80"/>
      <c r="E616" s="80"/>
    </row>
    <row r="617" spans="4:5" ht="15.75" customHeight="1">
      <c r="D617" s="80"/>
      <c r="E617" s="80"/>
    </row>
    <row r="618" spans="4:5" ht="15.75" customHeight="1">
      <c r="D618" s="80"/>
      <c r="E618" s="80"/>
    </row>
    <row r="619" spans="4:5" ht="15.75" customHeight="1">
      <c r="D619" s="80"/>
      <c r="E619" s="80"/>
    </row>
    <row r="620" spans="4:5" ht="15.75" customHeight="1">
      <c r="D620" s="80"/>
      <c r="E620" s="80"/>
    </row>
    <row r="621" spans="4:5" ht="15.75" customHeight="1">
      <c r="D621" s="80"/>
      <c r="E621" s="80"/>
    </row>
    <row r="622" spans="4:5" ht="15.75" customHeight="1">
      <c r="D622" s="80"/>
      <c r="E622" s="80"/>
    </row>
    <row r="623" spans="4:5" ht="15.75" customHeight="1">
      <c r="D623" s="80"/>
      <c r="E623" s="80"/>
    </row>
    <row r="624" spans="4:5" ht="15.75" customHeight="1">
      <c r="D624" s="80"/>
      <c r="E624" s="80"/>
    </row>
    <row r="625" spans="4:5" ht="15.75" customHeight="1">
      <c r="D625" s="80"/>
      <c r="E625" s="80"/>
    </row>
    <row r="626" spans="4:5" ht="15.75" customHeight="1">
      <c r="D626" s="80"/>
      <c r="E626" s="80"/>
    </row>
    <row r="627" spans="4:5" ht="15.75" customHeight="1">
      <c r="D627" s="80"/>
      <c r="E627" s="80"/>
    </row>
    <row r="628" spans="4:5" ht="15.75" customHeight="1">
      <c r="D628" s="80"/>
      <c r="E628" s="80"/>
    </row>
    <row r="629" spans="4:5" ht="15.75" customHeight="1">
      <c r="D629" s="80"/>
      <c r="E629" s="80"/>
    </row>
    <row r="630" spans="4:5" ht="15.75" customHeight="1">
      <c r="D630" s="80"/>
      <c r="E630" s="80"/>
    </row>
    <row r="631" spans="4:5" ht="15.75" customHeight="1">
      <c r="D631" s="80"/>
      <c r="E631" s="80"/>
    </row>
    <row r="632" spans="4:5" ht="15.75" customHeight="1">
      <c r="D632" s="80"/>
      <c r="E632" s="80"/>
    </row>
    <row r="633" spans="4:5" ht="15.75" customHeight="1">
      <c r="D633" s="80"/>
      <c r="E633" s="80"/>
    </row>
    <row r="634" spans="4:5" ht="15.75" customHeight="1">
      <c r="D634" s="80"/>
      <c r="E634" s="80"/>
    </row>
    <row r="635" spans="4:5" ht="15.75" customHeight="1">
      <c r="D635" s="80"/>
      <c r="E635" s="80"/>
    </row>
    <row r="636" spans="4:5" ht="15.75" customHeight="1">
      <c r="D636" s="80"/>
      <c r="E636" s="80"/>
    </row>
    <row r="637" spans="4:5" ht="15.75" customHeight="1">
      <c r="D637" s="80"/>
      <c r="E637" s="80"/>
    </row>
    <row r="638" spans="4:5" ht="15.75" customHeight="1">
      <c r="D638" s="80"/>
      <c r="E638" s="80"/>
    </row>
    <row r="639" spans="4:5" ht="15.75" customHeight="1">
      <c r="D639" s="80"/>
      <c r="E639" s="80"/>
    </row>
    <row r="640" spans="4:5" ht="15.75" customHeight="1">
      <c r="D640" s="80"/>
      <c r="E640" s="80"/>
    </row>
    <row r="641" spans="4:5" ht="15.75" customHeight="1">
      <c r="D641" s="80"/>
      <c r="E641" s="80"/>
    </row>
    <row r="642" spans="4:5" ht="15.75" customHeight="1">
      <c r="D642" s="80"/>
      <c r="E642" s="80"/>
    </row>
    <row r="643" spans="4:5" ht="15.75" customHeight="1">
      <c r="D643" s="80"/>
      <c r="E643" s="80"/>
    </row>
    <row r="644" spans="4:5" ht="15.75" customHeight="1">
      <c r="D644" s="80"/>
      <c r="E644" s="80"/>
    </row>
    <row r="645" spans="4:5" ht="15.75" customHeight="1">
      <c r="D645" s="80"/>
      <c r="E645" s="80"/>
    </row>
    <row r="646" spans="4:5" ht="15.75" customHeight="1">
      <c r="D646" s="80"/>
      <c r="E646" s="80"/>
    </row>
    <row r="647" spans="4:5" ht="15.75" customHeight="1">
      <c r="D647" s="80"/>
      <c r="E647" s="80"/>
    </row>
    <row r="648" spans="4:5" ht="15.75" customHeight="1">
      <c r="D648" s="80"/>
      <c r="E648" s="80"/>
    </row>
    <row r="649" spans="4:5" ht="15.75" customHeight="1">
      <c r="D649" s="80"/>
      <c r="E649" s="80"/>
    </row>
    <row r="650" spans="4:5" ht="15.75" customHeight="1">
      <c r="D650" s="80"/>
      <c r="E650" s="80"/>
    </row>
    <row r="651" spans="4:5" ht="15.75" customHeight="1">
      <c r="D651" s="80"/>
      <c r="E651" s="80"/>
    </row>
    <row r="652" spans="4:5" ht="15.75" customHeight="1">
      <c r="D652" s="80"/>
      <c r="E652" s="80"/>
    </row>
    <row r="653" spans="4:5" ht="15.75" customHeight="1">
      <c r="D653" s="80"/>
      <c r="E653" s="80"/>
    </row>
    <row r="654" spans="4:5" ht="15.75" customHeight="1">
      <c r="D654" s="80"/>
      <c r="E654" s="80"/>
    </row>
    <row r="655" spans="4:5" ht="15.75" customHeight="1">
      <c r="D655" s="80"/>
      <c r="E655" s="80"/>
    </row>
    <row r="656" spans="4:5" ht="15.75" customHeight="1">
      <c r="D656" s="80"/>
      <c r="E656" s="80"/>
    </row>
    <row r="657" spans="4:5" ht="15.75" customHeight="1">
      <c r="D657" s="80"/>
      <c r="E657" s="80"/>
    </row>
    <row r="658" spans="4:5" ht="15.75" customHeight="1">
      <c r="D658" s="80"/>
      <c r="E658" s="80"/>
    </row>
    <row r="659" spans="4:5" ht="15.75" customHeight="1">
      <c r="D659" s="80"/>
      <c r="E659" s="80"/>
    </row>
    <row r="660" spans="4:5" ht="15.75" customHeight="1">
      <c r="D660" s="80"/>
      <c r="E660" s="80"/>
    </row>
    <row r="661" spans="4:5" ht="15.75" customHeight="1">
      <c r="D661" s="80"/>
      <c r="E661" s="80"/>
    </row>
    <row r="662" spans="4:5" ht="15.75" customHeight="1">
      <c r="D662" s="80"/>
      <c r="E662" s="80"/>
    </row>
    <row r="663" spans="4:5" ht="15.75" customHeight="1">
      <c r="D663" s="80"/>
      <c r="E663" s="80"/>
    </row>
    <row r="664" spans="4:5" ht="15.75" customHeight="1">
      <c r="D664" s="80"/>
      <c r="E664" s="80"/>
    </row>
    <row r="665" spans="4:5" ht="15.75" customHeight="1">
      <c r="D665" s="80"/>
      <c r="E665" s="80"/>
    </row>
    <row r="666" spans="4:5" ht="15.75" customHeight="1">
      <c r="D666" s="80"/>
      <c r="E666" s="80"/>
    </row>
    <row r="667" spans="4:5" ht="15.75" customHeight="1">
      <c r="D667" s="80"/>
      <c r="E667" s="80"/>
    </row>
    <row r="668" spans="4:5" ht="15.75" customHeight="1">
      <c r="D668" s="80"/>
      <c r="E668" s="80"/>
    </row>
    <row r="669" spans="4:5" ht="15.75" customHeight="1">
      <c r="D669" s="80"/>
      <c r="E669" s="80"/>
    </row>
    <row r="670" spans="4:5" ht="15.75" customHeight="1">
      <c r="D670" s="80"/>
      <c r="E670" s="80"/>
    </row>
    <row r="671" spans="4:5" ht="15.75" customHeight="1">
      <c r="D671" s="80"/>
      <c r="E671" s="80"/>
    </row>
    <row r="672" spans="4:5" ht="15.75" customHeight="1">
      <c r="D672" s="80"/>
      <c r="E672" s="80"/>
    </row>
    <row r="673" spans="4:5" ht="15.75" customHeight="1">
      <c r="D673" s="80"/>
      <c r="E673" s="80"/>
    </row>
    <row r="674" spans="4:5" ht="15.75" customHeight="1">
      <c r="D674" s="80"/>
      <c r="E674" s="80"/>
    </row>
    <row r="675" spans="4:5" ht="15.75" customHeight="1">
      <c r="D675" s="80"/>
      <c r="E675" s="80"/>
    </row>
    <row r="676" spans="4:5" ht="15.75" customHeight="1">
      <c r="D676" s="80"/>
      <c r="E676" s="80"/>
    </row>
    <row r="677" spans="4:5" ht="15.75" customHeight="1">
      <c r="D677" s="80"/>
      <c r="E677" s="80"/>
    </row>
    <row r="678" spans="4:5" ht="15.75" customHeight="1">
      <c r="D678" s="80"/>
      <c r="E678" s="80"/>
    </row>
    <row r="679" spans="4:5" ht="15.75" customHeight="1">
      <c r="D679" s="80"/>
      <c r="E679" s="80"/>
    </row>
    <row r="680" spans="4:5" ht="15.75" customHeight="1">
      <c r="D680" s="80"/>
      <c r="E680" s="80"/>
    </row>
    <row r="681" spans="4:5" ht="15.75" customHeight="1">
      <c r="D681" s="80"/>
      <c r="E681" s="80"/>
    </row>
    <row r="682" spans="4:5" ht="15.75" customHeight="1">
      <c r="D682" s="80"/>
      <c r="E682" s="80"/>
    </row>
    <row r="683" spans="4:5" ht="15.75" customHeight="1">
      <c r="D683" s="80"/>
      <c r="E683" s="80"/>
    </row>
    <row r="684" spans="4:5" ht="15.75" customHeight="1">
      <c r="D684" s="80"/>
      <c r="E684" s="80"/>
    </row>
    <row r="685" spans="4:5" ht="15.75" customHeight="1">
      <c r="D685" s="80"/>
      <c r="E685" s="80"/>
    </row>
    <row r="686" spans="4:5" ht="15.75" customHeight="1">
      <c r="D686" s="80"/>
      <c r="E686" s="80"/>
    </row>
    <row r="687" spans="4:5" ht="15.75" customHeight="1">
      <c r="D687" s="80"/>
      <c r="E687" s="80"/>
    </row>
    <row r="688" spans="4:5" ht="15.75" customHeight="1">
      <c r="D688" s="80"/>
      <c r="E688" s="80"/>
    </row>
    <row r="689" spans="4:5" ht="15.75" customHeight="1">
      <c r="D689" s="80"/>
      <c r="E689" s="80"/>
    </row>
    <row r="690" spans="4:5" ht="15.75" customHeight="1">
      <c r="D690" s="80"/>
      <c r="E690" s="80"/>
    </row>
    <row r="691" spans="4:5" ht="15.75" customHeight="1">
      <c r="D691" s="80"/>
      <c r="E691" s="80"/>
    </row>
    <row r="692" spans="4:5" ht="15.75" customHeight="1">
      <c r="D692" s="80"/>
      <c r="E692" s="80"/>
    </row>
    <row r="693" spans="4:5" ht="15.75" customHeight="1">
      <c r="D693" s="80"/>
      <c r="E693" s="80"/>
    </row>
    <row r="694" spans="4:5" ht="15.75" customHeight="1">
      <c r="D694" s="80"/>
      <c r="E694" s="80"/>
    </row>
    <row r="695" spans="4:5" ht="15.75" customHeight="1">
      <c r="D695" s="80"/>
      <c r="E695" s="80"/>
    </row>
    <row r="696" spans="4:5" ht="15.75" customHeight="1">
      <c r="D696" s="80"/>
      <c r="E696" s="80"/>
    </row>
    <row r="697" spans="4:5" ht="15.75" customHeight="1">
      <c r="D697" s="80"/>
      <c r="E697" s="80"/>
    </row>
    <row r="698" spans="4:5" ht="15.75" customHeight="1">
      <c r="D698" s="80"/>
      <c r="E698" s="80"/>
    </row>
    <row r="699" spans="4:5" ht="15.75" customHeight="1">
      <c r="D699" s="80"/>
      <c r="E699" s="80"/>
    </row>
    <row r="700" spans="4:5" ht="15.75" customHeight="1">
      <c r="D700" s="80"/>
      <c r="E700" s="80"/>
    </row>
    <row r="701" spans="4:5" ht="15.75" customHeight="1">
      <c r="D701" s="80"/>
      <c r="E701" s="80"/>
    </row>
    <row r="702" spans="4:5" ht="15.75" customHeight="1">
      <c r="D702" s="80"/>
      <c r="E702" s="80"/>
    </row>
    <row r="703" spans="4:5" ht="15.75" customHeight="1">
      <c r="D703" s="80"/>
      <c r="E703" s="80"/>
    </row>
    <row r="704" spans="4:5" ht="15.75" customHeight="1">
      <c r="D704" s="80"/>
      <c r="E704" s="80"/>
    </row>
    <row r="705" spans="4:5" ht="15.75" customHeight="1">
      <c r="D705" s="80"/>
      <c r="E705" s="80"/>
    </row>
    <row r="706" spans="4:5" ht="15.75" customHeight="1">
      <c r="D706" s="80"/>
      <c r="E706" s="80"/>
    </row>
    <row r="707" spans="4:5" ht="15.75" customHeight="1">
      <c r="D707" s="80"/>
      <c r="E707" s="80"/>
    </row>
    <row r="708" spans="4:5" ht="15.75" customHeight="1">
      <c r="D708" s="80"/>
      <c r="E708" s="80"/>
    </row>
    <row r="709" spans="4:5" ht="15.75" customHeight="1">
      <c r="D709" s="80"/>
      <c r="E709" s="80"/>
    </row>
    <row r="710" spans="4:5" ht="15.75" customHeight="1">
      <c r="D710" s="80"/>
      <c r="E710" s="80"/>
    </row>
    <row r="711" spans="4:5" ht="15.75" customHeight="1">
      <c r="D711" s="80"/>
      <c r="E711" s="80"/>
    </row>
    <row r="712" spans="4:5" ht="15.75" customHeight="1">
      <c r="D712" s="80"/>
      <c r="E712" s="80"/>
    </row>
    <row r="713" spans="4:5" ht="15.75" customHeight="1">
      <c r="D713" s="80"/>
      <c r="E713" s="80"/>
    </row>
    <row r="714" spans="4:5" ht="15.75" customHeight="1">
      <c r="D714" s="80"/>
      <c r="E714" s="80"/>
    </row>
    <row r="715" spans="4:5" ht="15.75" customHeight="1">
      <c r="D715" s="80"/>
      <c r="E715" s="80"/>
    </row>
    <row r="716" spans="4:5" ht="15.75" customHeight="1">
      <c r="D716" s="80"/>
      <c r="E716" s="80"/>
    </row>
    <row r="717" spans="4:5" ht="15.75" customHeight="1">
      <c r="D717" s="80"/>
      <c r="E717" s="80"/>
    </row>
    <row r="718" spans="4:5" ht="15.75" customHeight="1">
      <c r="D718" s="80"/>
      <c r="E718" s="80"/>
    </row>
    <row r="719" spans="4:5" ht="15.75" customHeight="1">
      <c r="D719" s="80"/>
      <c r="E719" s="80"/>
    </row>
    <row r="720" spans="4:5" ht="15.75" customHeight="1">
      <c r="D720" s="80"/>
      <c r="E720" s="80"/>
    </row>
    <row r="721" spans="4:5" ht="15.75" customHeight="1">
      <c r="D721" s="80"/>
      <c r="E721" s="80"/>
    </row>
    <row r="722" spans="4:5" ht="15.75" customHeight="1">
      <c r="D722" s="80"/>
      <c r="E722" s="80"/>
    </row>
    <row r="723" spans="4:5" ht="15.75" customHeight="1">
      <c r="D723" s="80"/>
      <c r="E723" s="80"/>
    </row>
    <row r="724" spans="4:5" ht="15.75" customHeight="1">
      <c r="D724" s="80"/>
      <c r="E724" s="80"/>
    </row>
    <row r="725" spans="4:5" ht="15.75" customHeight="1">
      <c r="D725" s="80"/>
      <c r="E725" s="80"/>
    </row>
    <row r="726" spans="4:5" ht="15.75" customHeight="1">
      <c r="D726" s="80"/>
      <c r="E726" s="80"/>
    </row>
    <row r="727" spans="4:5" ht="15.75" customHeight="1">
      <c r="D727" s="80"/>
      <c r="E727" s="80"/>
    </row>
    <row r="728" spans="4:5" ht="15.75" customHeight="1">
      <c r="D728" s="80"/>
      <c r="E728" s="80"/>
    </row>
    <row r="729" spans="4:5" ht="15.75" customHeight="1">
      <c r="D729" s="80"/>
      <c r="E729" s="80"/>
    </row>
    <row r="730" spans="4:5" ht="15.75" customHeight="1">
      <c r="D730" s="80"/>
      <c r="E730" s="80"/>
    </row>
    <row r="731" spans="4:5" ht="15.75" customHeight="1">
      <c r="D731" s="80"/>
      <c r="E731" s="80"/>
    </row>
    <row r="732" spans="4:5" ht="15.75" customHeight="1">
      <c r="D732" s="80"/>
      <c r="E732" s="80"/>
    </row>
    <row r="733" spans="4:5" ht="15.75" customHeight="1">
      <c r="D733" s="80"/>
      <c r="E733" s="80"/>
    </row>
    <row r="734" spans="4:5" ht="15.75" customHeight="1">
      <c r="D734" s="80"/>
      <c r="E734" s="80"/>
    </row>
    <row r="735" spans="4:5" ht="15.75" customHeight="1">
      <c r="D735" s="80"/>
      <c r="E735" s="80"/>
    </row>
    <row r="736" spans="4:5" ht="15.75" customHeight="1">
      <c r="D736" s="80"/>
      <c r="E736" s="80"/>
    </row>
    <row r="737" spans="4:5" ht="15.75" customHeight="1">
      <c r="D737" s="80"/>
      <c r="E737" s="80"/>
    </row>
    <row r="738" spans="4:5" ht="15.75" customHeight="1">
      <c r="D738" s="80"/>
      <c r="E738" s="80"/>
    </row>
    <row r="739" spans="4:5" ht="15.75" customHeight="1">
      <c r="D739" s="80"/>
      <c r="E739" s="80"/>
    </row>
    <row r="740" spans="4:5" ht="15.75" customHeight="1">
      <c r="D740" s="80"/>
      <c r="E740" s="80"/>
    </row>
    <row r="741" spans="4:5" ht="15.75" customHeight="1">
      <c r="D741" s="80"/>
      <c r="E741" s="80"/>
    </row>
    <row r="742" spans="4:5" ht="15.75" customHeight="1">
      <c r="D742" s="80"/>
      <c r="E742" s="80"/>
    </row>
    <row r="743" spans="4:5" ht="15.75" customHeight="1">
      <c r="D743" s="80"/>
      <c r="E743" s="80"/>
    </row>
    <row r="744" spans="4:5" ht="15.75" customHeight="1">
      <c r="D744" s="80"/>
      <c r="E744" s="80"/>
    </row>
    <row r="745" spans="4:5" ht="15.75" customHeight="1">
      <c r="D745" s="80"/>
      <c r="E745" s="80"/>
    </row>
    <row r="746" spans="4:5" ht="15.75" customHeight="1">
      <c r="D746" s="80"/>
      <c r="E746" s="80"/>
    </row>
    <row r="747" spans="4:5" ht="15.75" customHeight="1">
      <c r="D747" s="80"/>
      <c r="E747" s="80"/>
    </row>
    <row r="748" spans="4:5" ht="15.75" customHeight="1">
      <c r="D748" s="80"/>
      <c r="E748" s="80"/>
    </row>
    <row r="749" spans="4:5" ht="15.75" customHeight="1">
      <c r="D749" s="80"/>
      <c r="E749" s="80"/>
    </row>
    <row r="750" spans="4:5" ht="15.75" customHeight="1">
      <c r="D750" s="80"/>
      <c r="E750" s="80"/>
    </row>
    <row r="751" spans="4:5" ht="15.75" customHeight="1">
      <c r="D751" s="80"/>
      <c r="E751" s="80"/>
    </row>
    <row r="752" spans="4:5" ht="15.75" customHeight="1">
      <c r="D752" s="80"/>
      <c r="E752" s="80"/>
    </row>
    <row r="753" spans="4:5" ht="15.75" customHeight="1">
      <c r="D753" s="80"/>
      <c r="E753" s="80"/>
    </row>
    <row r="754" spans="4:5" ht="15.75" customHeight="1">
      <c r="D754" s="80"/>
      <c r="E754" s="80"/>
    </row>
    <row r="755" spans="4:5" ht="15.75" customHeight="1">
      <c r="D755" s="80"/>
      <c r="E755" s="80"/>
    </row>
    <row r="756" spans="4:5" ht="15.75" customHeight="1">
      <c r="D756" s="80"/>
      <c r="E756" s="80"/>
    </row>
    <row r="757" spans="4:5" ht="15.75" customHeight="1">
      <c r="D757" s="80"/>
      <c r="E757" s="80"/>
    </row>
    <row r="758" spans="4:5" ht="15.75" customHeight="1">
      <c r="D758" s="80"/>
      <c r="E758" s="80"/>
    </row>
    <row r="759" spans="4:5" ht="15.75" customHeight="1">
      <c r="D759" s="80"/>
      <c r="E759" s="80"/>
    </row>
    <row r="760" spans="4:5" ht="15.75" customHeight="1">
      <c r="D760" s="80"/>
      <c r="E760" s="80"/>
    </row>
    <row r="761" spans="4:5" ht="15.75" customHeight="1">
      <c r="D761" s="80"/>
      <c r="E761" s="80"/>
    </row>
    <row r="762" spans="4:5" ht="15.75" customHeight="1">
      <c r="D762" s="80"/>
      <c r="E762" s="80"/>
    </row>
    <row r="763" spans="4:5" ht="15.75" customHeight="1">
      <c r="D763" s="80"/>
      <c r="E763" s="80"/>
    </row>
    <row r="764" spans="4:5" ht="15.75" customHeight="1">
      <c r="D764" s="80"/>
      <c r="E764" s="80"/>
    </row>
    <row r="765" spans="4:5" ht="15.75" customHeight="1">
      <c r="D765" s="80"/>
      <c r="E765" s="80"/>
    </row>
    <row r="766" spans="4:5" ht="15.75" customHeight="1">
      <c r="D766" s="80"/>
      <c r="E766" s="80"/>
    </row>
    <row r="767" spans="4:5" ht="15.75" customHeight="1">
      <c r="D767" s="80"/>
      <c r="E767" s="80"/>
    </row>
    <row r="768" spans="4:5" ht="15.75" customHeight="1">
      <c r="D768" s="80"/>
      <c r="E768" s="80"/>
    </row>
    <row r="769" spans="4:5" ht="15.75" customHeight="1">
      <c r="D769" s="80"/>
      <c r="E769" s="80"/>
    </row>
    <row r="770" spans="4:5" ht="15.75" customHeight="1">
      <c r="D770" s="80"/>
      <c r="E770" s="80"/>
    </row>
    <row r="771" spans="4:5" ht="15.75" customHeight="1">
      <c r="D771" s="80"/>
      <c r="E771" s="80"/>
    </row>
    <row r="772" spans="4:5" ht="15.75" customHeight="1">
      <c r="D772" s="80"/>
      <c r="E772" s="80"/>
    </row>
    <row r="773" spans="4:5" ht="15.75" customHeight="1">
      <c r="D773" s="80"/>
      <c r="E773" s="80"/>
    </row>
    <row r="774" spans="4:5" ht="15.75" customHeight="1">
      <c r="D774" s="80"/>
      <c r="E774" s="80"/>
    </row>
    <row r="775" spans="4:5" ht="15.75" customHeight="1">
      <c r="D775" s="80"/>
      <c r="E775" s="80"/>
    </row>
    <row r="776" spans="4:5" ht="15.75" customHeight="1">
      <c r="D776" s="80"/>
      <c r="E776" s="80"/>
    </row>
    <row r="777" spans="4:5" ht="15.75" customHeight="1">
      <c r="D777" s="80"/>
      <c r="E777" s="80"/>
    </row>
    <row r="778" spans="4:5" ht="15.75" customHeight="1">
      <c r="D778" s="80"/>
      <c r="E778" s="80"/>
    </row>
    <row r="779" spans="4:5" ht="15.75" customHeight="1">
      <c r="D779" s="80"/>
      <c r="E779" s="80"/>
    </row>
    <row r="780" spans="4:5" ht="15.75" customHeight="1">
      <c r="D780" s="80"/>
      <c r="E780" s="80"/>
    </row>
    <row r="781" spans="4:5" ht="15.75" customHeight="1">
      <c r="D781" s="80"/>
      <c r="E781" s="80"/>
    </row>
    <row r="782" spans="4:5" ht="15.75" customHeight="1">
      <c r="D782" s="80"/>
      <c r="E782" s="80"/>
    </row>
    <row r="783" spans="4:5" ht="15.75" customHeight="1">
      <c r="D783" s="80"/>
      <c r="E783" s="80"/>
    </row>
    <row r="784" spans="4:5" ht="15.75" customHeight="1">
      <c r="D784" s="80"/>
      <c r="E784" s="80"/>
    </row>
    <row r="785" spans="4:5" ht="15.75" customHeight="1">
      <c r="D785" s="80"/>
      <c r="E785" s="80"/>
    </row>
    <row r="786" spans="4:5" ht="15.75" customHeight="1">
      <c r="D786" s="80"/>
      <c r="E786" s="80"/>
    </row>
    <row r="787" spans="4:5" ht="15.75" customHeight="1">
      <c r="D787" s="80"/>
      <c r="E787" s="80"/>
    </row>
    <row r="788" spans="4:5" ht="15.75" customHeight="1">
      <c r="D788" s="80"/>
      <c r="E788" s="80"/>
    </row>
    <row r="789" spans="4:5" ht="15.75" customHeight="1">
      <c r="D789" s="80"/>
      <c r="E789" s="80"/>
    </row>
    <row r="790" spans="4:5" ht="15.75" customHeight="1">
      <c r="D790" s="80"/>
      <c r="E790" s="80"/>
    </row>
    <row r="791" spans="4:5" ht="15.75" customHeight="1">
      <c r="D791" s="80"/>
      <c r="E791" s="80"/>
    </row>
    <row r="792" spans="4:5" ht="15.75" customHeight="1">
      <c r="D792" s="80"/>
      <c r="E792" s="80"/>
    </row>
    <row r="793" spans="4:5" ht="15.75" customHeight="1">
      <c r="D793" s="80"/>
      <c r="E793" s="80"/>
    </row>
    <row r="794" spans="4:5" ht="15.75" customHeight="1">
      <c r="D794" s="80"/>
      <c r="E794" s="80"/>
    </row>
    <row r="795" spans="4:5" ht="15.75" customHeight="1">
      <c r="D795" s="80"/>
      <c r="E795" s="80"/>
    </row>
    <row r="796" spans="4:5" ht="15.75" customHeight="1">
      <c r="D796" s="80"/>
      <c r="E796" s="80"/>
    </row>
    <row r="797" spans="4:5" ht="15.75" customHeight="1">
      <c r="D797" s="80"/>
      <c r="E797" s="80"/>
    </row>
    <row r="798" spans="4:5" ht="15.75" customHeight="1">
      <c r="D798" s="80"/>
      <c r="E798" s="80"/>
    </row>
    <row r="799" spans="4:5" ht="15.75" customHeight="1">
      <c r="D799" s="80"/>
      <c r="E799" s="80"/>
    </row>
    <row r="800" spans="4:5" ht="15.75" customHeight="1">
      <c r="D800" s="80"/>
      <c r="E800" s="80"/>
    </row>
    <row r="801" spans="4:5" ht="15.75" customHeight="1">
      <c r="D801" s="80"/>
      <c r="E801" s="80"/>
    </row>
    <row r="802" spans="4:5" ht="15.75" customHeight="1">
      <c r="D802" s="80"/>
      <c r="E802" s="80"/>
    </row>
    <row r="803" spans="4:5" ht="15.75" customHeight="1">
      <c r="D803" s="80"/>
      <c r="E803" s="80"/>
    </row>
    <row r="804" spans="4:5" ht="15.75" customHeight="1">
      <c r="D804" s="80"/>
      <c r="E804" s="80"/>
    </row>
    <row r="805" spans="4:5" ht="15.75" customHeight="1">
      <c r="D805" s="80"/>
      <c r="E805" s="80"/>
    </row>
    <row r="806" spans="4:5" ht="15.75" customHeight="1">
      <c r="D806" s="80"/>
      <c r="E806" s="80"/>
    </row>
    <row r="807" spans="4:5" ht="15.75" customHeight="1">
      <c r="D807" s="80"/>
      <c r="E807" s="80"/>
    </row>
    <row r="808" spans="4:5" ht="15.75" customHeight="1">
      <c r="D808" s="80"/>
      <c r="E808" s="80"/>
    </row>
    <row r="809" spans="4:5" ht="15.75" customHeight="1">
      <c r="D809" s="80"/>
      <c r="E809" s="80"/>
    </row>
    <row r="810" spans="4:5" ht="15.75" customHeight="1">
      <c r="D810" s="80"/>
      <c r="E810" s="80"/>
    </row>
    <row r="811" spans="4:5" ht="15.75" customHeight="1">
      <c r="D811" s="80"/>
      <c r="E811" s="80"/>
    </row>
    <row r="812" spans="4:5" ht="15.75" customHeight="1">
      <c r="D812" s="80"/>
      <c r="E812" s="80"/>
    </row>
    <row r="813" spans="4:5" ht="15.75" customHeight="1">
      <c r="D813" s="80"/>
      <c r="E813" s="80"/>
    </row>
    <row r="814" spans="4:5" ht="15.75" customHeight="1">
      <c r="D814" s="80"/>
      <c r="E814" s="80"/>
    </row>
    <row r="815" spans="4:5" ht="15.75" customHeight="1">
      <c r="D815" s="80"/>
      <c r="E815" s="80"/>
    </row>
    <row r="816" spans="4:5" ht="15.75" customHeight="1">
      <c r="D816" s="80"/>
      <c r="E816" s="80"/>
    </row>
    <row r="817" spans="4:5" ht="15.75" customHeight="1">
      <c r="D817" s="80"/>
      <c r="E817" s="80"/>
    </row>
    <row r="818" spans="4:5" ht="15.75" customHeight="1">
      <c r="D818" s="80"/>
      <c r="E818" s="80"/>
    </row>
    <row r="819" spans="4:5" ht="15.75" customHeight="1">
      <c r="D819" s="80"/>
      <c r="E819" s="80"/>
    </row>
    <row r="820" spans="4:5" ht="15.75" customHeight="1">
      <c r="D820" s="80"/>
      <c r="E820" s="80"/>
    </row>
    <row r="821" spans="4:5" ht="15.75" customHeight="1">
      <c r="D821" s="80"/>
      <c r="E821" s="80"/>
    </row>
    <row r="822" spans="4:5" ht="15.75" customHeight="1">
      <c r="D822" s="80"/>
      <c r="E822" s="80"/>
    </row>
    <row r="823" spans="4:5" ht="15.75" customHeight="1">
      <c r="D823" s="80"/>
      <c r="E823" s="80"/>
    </row>
    <row r="824" spans="4:5" ht="15.75" customHeight="1">
      <c r="D824" s="80"/>
      <c r="E824" s="80"/>
    </row>
    <row r="825" spans="4:5" ht="15.75" customHeight="1">
      <c r="D825" s="80"/>
      <c r="E825" s="80"/>
    </row>
    <row r="826" spans="4:5" ht="15.75" customHeight="1">
      <c r="D826" s="80"/>
      <c r="E826" s="80"/>
    </row>
    <row r="827" spans="4:5" ht="15.75" customHeight="1">
      <c r="D827" s="80"/>
      <c r="E827" s="80"/>
    </row>
    <row r="828" spans="4:5" ht="15.75" customHeight="1">
      <c r="D828" s="80"/>
      <c r="E828" s="80"/>
    </row>
    <row r="829" spans="4:5" ht="15.75" customHeight="1">
      <c r="D829" s="80"/>
      <c r="E829" s="80"/>
    </row>
    <row r="830" spans="4:5" ht="15.75" customHeight="1">
      <c r="D830" s="80"/>
      <c r="E830" s="80"/>
    </row>
    <row r="831" spans="4:5" ht="15.75" customHeight="1">
      <c r="D831" s="80"/>
      <c r="E831" s="80"/>
    </row>
    <row r="832" spans="4:5" ht="15.75" customHeight="1">
      <c r="D832" s="80"/>
      <c r="E832" s="80"/>
    </row>
    <row r="833" spans="4:5" ht="15.75" customHeight="1">
      <c r="D833" s="80"/>
      <c r="E833" s="80"/>
    </row>
    <row r="834" spans="4:5" ht="15.75" customHeight="1">
      <c r="D834" s="80"/>
      <c r="E834" s="80"/>
    </row>
    <row r="835" spans="4:5" ht="15.75" customHeight="1">
      <c r="D835" s="80"/>
      <c r="E835" s="80"/>
    </row>
    <row r="836" spans="4:5" ht="15.75" customHeight="1">
      <c r="D836" s="80"/>
      <c r="E836" s="80"/>
    </row>
    <row r="837" spans="4:5" ht="15.75" customHeight="1">
      <c r="D837" s="80"/>
      <c r="E837" s="80"/>
    </row>
    <row r="838" spans="4:5" ht="15.75" customHeight="1">
      <c r="D838" s="80"/>
      <c r="E838" s="80"/>
    </row>
    <row r="839" spans="4:5" ht="15.75" customHeight="1">
      <c r="D839" s="80"/>
      <c r="E839" s="80"/>
    </row>
    <row r="840" spans="4:5" ht="15.75" customHeight="1">
      <c r="D840" s="80"/>
      <c r="E840" s="80"/>
    </row>
    <row r="841" spans="4:5" ht="15.75" customHeight="1">
      <c r="D841" s="80"/>
      <c r="E841" s="80"/>
    </row>
    <row r="842" spans="4:5" ht="15.75" customHeight="1">
      <c r="D842" s="80"/>
      <c r="E842" s="80"/>
    </row>
    <row r="843" spans="4:5" ht="15.75" customHeight="1">
      <c r="D843" s="80"/>
      <c r="E843" s="80"/>
    </row>
    <row r="844" spans="4:5" ht="15.75" customHeight="1">
      <c r="D844" s="80"/>
      <c r="E844" s="80"/>
    </row>
    <row r="845" spans="4:5" ht="15.75" customHeight="1">
      <c r="D845" s="80"/>
      <c r="E845" s="80"/>
    </row>
    <row r="846" spans="4:5" ht="15.75" customHeight="1">
      <c r="D846" s="80"/>
      <c r="E846" s="80"/>
    </row>
    <row r="847" spans="4:5" ht="15.75" customHeight="1">
      <c r="D847" s="80"/>
      <c r="E847" s="80"/>
    </row>
    <row r="848" spans="4:5" ht="15.75" customHeight="1">
      <c r="D848" s="80"/>
      <c r="E848" s="80"/>
    </row>
    <row r="849" spans="4:5" ht="15.75" customHeight="1">
      <c r="D849" s="80"/>
      <c r="E849" s="80"/>
    </row>
    <row r="850" spans="4:5" ht="15.75" customHeight="1">
      <c r="D850" s="80"/>
      <c r="E850" s="80"/>
    </row>
    <row r="851" spans="4:5" ht="15.75" customHeight="1">
      <c r="D851" s="80"/>
      <c r="E851" s="80"/>
    </row>
    <row r="852" spans="4:5" ht="15.75" customHeight="1">
      <c r="D852" s="80"/>
      <c r="E852" s="80"/>
    </row>
    <row r="853" spans="4:5" ht="15.75" customHeight="1">
      <c r="D853" s="80"/>
      <c r="E853" s="80"/>
    </row>
    <row r="854" spans="4:5" ht="15.75" customHeight="1">
      <c r="D854" s="80"/>
      <c r="E854" s="80"/>
    </row>
    <row r="855" spans="4:5" ht="15.75" customHeight="1">
      <c r="D855" s="80"/>
      <c r="E855" s="80"/>
    </row>
    <row r="856" spans="4:5" ht="15.75" customHeight="1">
      <c r="D856" s="80"/>
      <c r="E856" s="80"/>
    </row>
    <row r="857" spans="4:5" ht="15.75" customHeight="1">
      <c r="D857" s="80"/>
      <c r="E857" s="80"/>
    </row>
    <row r="858" spans="4:5" ht="15.75" customHeight="1">
      <c r="D858" s="80"/>
      <c r="E858" s="80"/>
    </row>
    <row r="859" spans="4:5" ht="15.75" customHeight="1">
      <c r="D859" s="80"/>
      <c r="E859" s="80"/>
    </row>
    <row r="860" spans="4:5" ht="15.75" customHeight="1">
      <c r="D860" s="80"/>
      <c r="E860" s="80"/>
    </row>
    <row r="861" spans="4:5" ht="15.75" customHeight="1">
      <c r="D861" s="80"/>
      <c r="E861" s="80"/>
    </row>
    <row r="862" spans="4:5" ht="15.75" customHeight="1">
      <c r="D862" s="80"/>
      <c r="E862" s="80"/>
    </row>
    <row r="863" spans="4:5" ht="15.75" customHeight="1">
      <c r="D863" s="80"/>
      <c r="E863" s="80"/>
    </row>
    <row r="864" spans="4:5" ht="15.75" customHeight="1">
      <c r="D864" s="80"/>
      <c r="E864" s="80"/>
    </row>
    <row r="865" spans="4:5" ht="15.75" customHeight="1">
      <c r="D865" s="80"/>
      <c r="E865" s="80"/>
    </row>
    <row r="866" spans="4:5" ht="15.75" customHeight="1">
      <c r="D866" s="80"/>
      <c r="E866" s="80"/>
    </row>
    <row r="867" spans="4:5" ht="15.75" customHeight="1">
      <c r="D867" s="80"/>
      <c r="E867" s="80"/>
    </row>
    <row r="868" spans="4:5" ht="15.75" customHeight="1">
      <c r="D868" s="80"/>
      <c r="E868" s="80"/>
    </row>
    <row r="869" spans="4:5" ht="15.75" customHeight="1">
      <c r="D869" s="80"/>
      <c r="E869" s="80"/>
    </row>
    <row r="870" spans="4:5" ht="15.75" customHeight="1">
      <c r="D870" s="80"/>
      <c r="E870" s="80"/>
    </row>
    <row r="871" spans="4:5" ht="15.75" customHeight="1">
      <c r="D871" s="80"/>
      <c r="E871" s="80"/>
    </row>
    <row r="872" spans="4:5" ht="15.75" customHeight="1">
      <c r="D872" s="80"/>
      <c r="E872" s="80"/>
    </row>
    <row r="873" spans="4:5" ht="15.75" customHeight="1">
      <c r="D873" s="80"/>
      <c r="E873" s="80"/>
    </row>
    <row r="874" spans="4:5" ht="15.75" customHeight="1">
      <c r="D874" s="80"/>
      <c r="E874" s="80"/>
    </row>
    <row r="875" spans="4:5" ht="15.75" customHeight="1">
      <c r="D875" s="80"/>
      <c r="E875" s="80"/>
    </row>
    <row r="876" spans="4:5" ht="15.75" customHeight="1">
      <c r="D876" s="80"/>
      <c r="E876" s="80"/>
    </row>
    <row r="877" spans="4:5" ht="15.75" customHeight="1">
      <c r="D877" s="80"/>
      <c r="E877" s="80"/>
    </row>
    <row r="878" spans="4:5" ht="15.75" customHeight="1">
      <c r="D878" s="80"/>
      <c r="E878" s="80"/>
    </row>
    <row r="879" spans="4:5" ht="15.75" customHeight="1">
      <c r="D879" s="80"/>
      <c r="E879" s="80"/>
    </row>
    <row r="880" spans="4:5" ht="15.75" customHeight="1">
      <c r="D880" s="80"/>
      <c r="E880" s="80"/>
    </row>
    <row r="881" spans="4:5" ht="15.75" customHeight="1">
      <c r="D881" s="80"/>
      <c r="E881" s="80"/>
    </row>
    <row r="882" spans="4:5" ht="15.75" customHeight="1">
      <c r="D882" s="80"/>
      <c r="E882" s="80"/>
    </row>
    <row r="883" spans="4:5" ht="15.75" customHeight="1">
      <c r="D883" s="80"/>
      <c r="E883" s="80"/>
    </row>
    <row r="884" spans="4:5" ht="15.75" customHeight="1">
      <c r="D884" s="80"/>
      <c r="E884" s="80"/>
    </row>
    <row r="885" spans="4:5" ht="15.75" customHeight="1">
      <c r="D885" s="80"/>
      <c r="E885" s="80"/>
    </row>
    <row r="886" spans="4:5" ht="15.75" customHeight="1">
      <c r="D886" s="80"/>
      <c r="E886" s="80"/>
    </row>
    <row r="887" spans="4:5" ht="15.75" customHeight="1">
      <c r="D887" s="80"/>
      <c r="E887" s="80"/>
    </row>
    <row r="888" spans="4:5" ht="15.75" customHeight="1">
      <c r="D888" s="80"/>
      <c r="E888" s="80"/>
    </row>
    <row r="889" spans="4:5" ht="15.75" customHeight="1">
      <c r="D889" s="80"/>
      <c r="E889" s="80"/>
    </row>
    <row r="890" spans="4:5" ht="15.75" customHeight="1">
      <c r="D890" s="80"/>
      <c r="E890" s="80"/>
    </row>
    <row r="891" spans="4:5" ht="15.75" customHeight="1">
      <c r="D891" s="80"/>
      <c r="E891" s="80"/>
    </row>
    <row r="892" spans="4:5" ht="15.75" customHeight="1">
      <c r="D892" s="80"/>
      <c r="E892" s="80"/>
    </row>
    <row r="893" spans="4:5" ht="15.75" customHeight="1">
      <c r="D893" s="80"/>
      <c r="E893" s="80"/>
    </row>
    <row r="894" spans="4:5" ht="15.75" customHeight="1">
      <c r="D894" s="80"/>
      <c r="E894" s="80"/>
    </row>
    <row r="895" spans="4:5" ht="15.75" customHeight="1">
      <c r="D895" s="80"/>
      <c r="E895" s="80"/>
    </row>
    <row r="896" spans="4:5" ht="15.75" customHeight="1">
      <c r="D896" s="80"/>
      <c r="E896" s="80"/>
    </row>
    <row r="897" spans="4:5" ht="15.75" customHeight="1">
      <c r="D897" s="80"/>
      <c r="E897" s="80"/>
    </row>
    <row r="898" spans="4:5" ht="15.75" customHeight="1">
      <c r="D898" s="80"/>
      <c r="E898" s="80"/>
    </row>
    <row r="899" spans="4:5" ht="15.75" customHeight="1">
      <c r="D899" s="80"/>
      <c r="E899" s="80"/>
    </row>
    <row r="900" spans="4:5" ht="15.75" customHeight="1">
      <c r="D900" s="80"/>
      <c r="E900" s="80"/>
    </row>
    <row r="901" spans="4:5" ht="15.75" customHeight="1">
      <c r="D901" s="80"/>
      <c r="E901" s="80"/>
    </row>
    <row r="902" spans="4:5" ht="15.75" customHeight="1">
      <c r="D902" s="80"/>
      <c r="E902" s="80"/>
    </row>
    <row r="903" spans="4:5" ht="15.75" customHeight="1">
      <c r="D903" s="80"/>
      <c r="E903" s="80"/>
    </row>
    <row r="904" spans="4:5" ht="15.75" customHeight="1">
      <c r="D904" s="80"/>
      <c r="E904" s="80"/>
    </row>
    <row r="905" spans="4:5" ht="15.75" customHeight="1">
      <c r="D905" s="80"/>
      <c r="E905" s="80"/>
    </row>
    <row r="906" spans="4:5" ht="15.75" customHeight="1">
      <c r="D906" s="80"/>
      <c r="E906" s="80"/>
    </row>
    <row r="907" spans="4:5" ht="15.75" customHeight="1">
      <c r="D907" s="80"/>
      <c r="E907" s="80"/>
    </row>
    <row r="908" spans="4:5" ht="15.75" customHeight="1">
      <c r="D908" s="80"/>
      <c r="E908" s="80"/>
    </row>
    <row r="909" spans="4:5" ht="15.75" customHeight="1">
      <c r="D909" s="80"/>
      <c r="E909" s="80"/>
    </row>
    <row r="910" spans="4:5" ht="15.75" customHeight="1">
      <c r="D910" s="80"/>
      <c r="E910" s="80"/>
    </row>
    <row r="911" spans="4:5" ht="15.75" customHeight="1">
      <c r="D911" s="80"/>
      <c r="E911" s="80"/>
    </row>
    <row r="912" spans="4:5" ht="15.75" customHeight="1">
      <c r="D912" s="80"/>
      <c r="E912" s="80"/>
    </row>
    <row r="913" spans="4:5" ht="15.75" customHeight="1">
      <c r="D913" s="80"/>
      <c r="E913" s="80"/>
    </row>
    <row r="914" spans="4:5" ht="15.75" customHeight="1">
      <c r="D914" s="80"/>
      <c r="E914" s="80"/>
    </row>
    <row r="915" spans="4:5" ht="15.75" customHeight="1">
      <c r="D915" s="80"/>
      <c r="E915" s="80"/>
    </row>
    <row r="916" spans="4:5" ht="15.75" customHeight="1">
      <c r="D916" s="80"/>
      <c r="E916" s="80"/>
    </row>
    <row r="917" spans="4:5" ht="15.75" customHeight="1">
      <c r="D917" s="80"/>
      <c r="E917" s="80"/>
    </row>
    <row r="918" spans="4:5" ht="15.75" customHeight="1">
      <c r="D918" s="80"/>
      <c r="E918" s="80"/>
    </row>
    <row r="919" spans="4:5" ht="15.75" customHeight="1">
      <c r="D919" s="80"/>
      <c r="E919" s="80"/>
    </row>
    <row r="920" spans="4:5" ht="15.75" customHeight="1">
      <c r="D920" s="80"/>
      <c r="E920" s="80"/>
    </row>
    <row r="921" spans="4:5" ht="15.75" customHeight="1">
      <c r="D921" s="80"/>
      <c r="E921" s="80"/>
    </row>
    <row r="922" spans="4:5" ht="15.75" customHeight="1">
      <c r="D922" s="80"/>
      <c r="E922" s="80"/>
    </row>
    <row r="923" spans="4:5" ht="15.75" customHeight="1">
      <c r="D923" s="80"/>
      <c r="E923" s="80"/>
    </row>
    <row r="924" spans="4:5" ht="15.75" customHeight="1">
      <c r="D924" s="80"/>
      <c r="E924" s="80"/>
    </row>
    <row r="925" spans="4:5" ht="15.75" customHeight="1">
      <c r="D925" s="80"/>
      <c r="E925" s="80"/>
    </row>
    <row r="926" spans="4:5" ht="15.75" customHeight="1">
      <c r="D926" s="80"/>
      <c r="E926" s="80"/>
    </row>
    <row r="927" spans="4:5" ht="15.75" customHeight="1">
      <c r="D927" s="80"/>
      <c r="E927" s="80"/>
    </row>
    <row r="928" spans="4:5" ht="15.75" customHeight="1">
      <c r="D928" s="80"/>
      <c r="E928" s="80"/>
    </row>
    <row r="929" spans="4:5" ht="15.75" customHeight="1">
      <c r="D929" s="80"/>
      <c r="E929" s="80"/>
    </row>
    <row r="930" spans="4:5" ht="15.75" customHeight="1">
      <c r="D930" s="80"/>
      <c r="E930" s="80"/>
    </row>
    <row r="931" spans="4:5" ht="15.75" customHeight="1">
      <c r="D931" s="80"/>
      <c r="E931" s="80"/>
    </row>
    <row r="932" spans="4:5" ht="15.75" customHeight="1">
      <c r="D932" s="80"/>
      <c r="E932" s="80"/>
    </row>
    <row r="933" spans="4:5" ht="15.75" customHeight="1">
      <c r="D933" s="80"/>
      <c r="E933" s="80"/>
    </row>
    <row r="934" spans="4:5" ht="15.75" customHeight="1">
      <c r="D934" s="80"/>
      <c r="E934" s="80"/>
    </row>
    <row r="935" spans="4:5" ht="15.75" customHeight="1">
      <c r="D935" s="80"/>
      <c r="E935" s="80"/>
    </row>
    <row r="936" spans="4:5" ht="15.75" customHeight="1">
      <c r="D936" s="80"/>
      <c r="E936" s="80"/>
    </row>
    <row r="937" spans="4:5" ht="15.75" customHeight="1">
      <c r="D937" s="80"/>
      <c r="E937" s="80"/>
    </row>
    <row r="938" spans="4:5" ht="15.75" customHeight="1">
      <c r="D938" s="80"/>
      <c r="E938" s="80"/>
    </row>
    <row r="939" spans="4:5" ht="15.75" customHeight="1">
      <c r="D939" s="80"/>
      <c r="E939" s="80"/>
    </row>
    <row r="940" spans="4:5" ht="15.75" customHeight="1">
      <c r="D940" s="80"/>
      <c r="E940" s="80"/>
    </row>
    <row r="941" spans="4:5" ht="15.75" customHeight="1">
      <c r="D941" s="80"/>
      <c r="E941" s="80"/>
    </row>
    <row r="942" spans="4:5" ht="15.75" customHeight="1">
      <c r="D942" s="80"/>
      <c r="E942" s="80"/>
    </row>
    <row r="943" spans="4:5" ht="15.75" customHeight="1">
      <c r="D943" s="80"/>
      <c r="E943" s="80"/>
    </row>
    <row r="944" spans="4:5" ht="15.75" customHeight="1">
      <c r="D944" s="80"/>
      <c r="E944" s="80"/>
    </row>
    <row r="945" spans="4:5" ht="15.75" customHeight="1">
      <c r="D945" s="80"/>
      <c r="E945" s="80"/>
    </row>
    <row r="946" spans="4:5" ht="15.75" customHeight="1">
      <c r="D946" s="80"/>
      <c r="E946" s="80"/>
    </row>
    <row r="947" spans="4:5" ht="15.75" customHeight="1">
      <c r="D947" s="80"/>
      <c r="E947" s="80"/>
    </row>
    <row r="948" spans="4:5" ht="15.75" customHeight="1">
      <c r="D948" s="80"/>
      <c r="E948" s="80"/>
    </row>
    <row r="949" spans="4:5" ht="15.75" customHeight="1">
      <c r="D949" s="80"/>
      <c r="E949" s="80"/>
    </row>
    <row r="950" spans="4:5" ht="15.75" customHeight="1">
      <c r="D950" s="80"/>
      <c r="E950" s="80"/>
    </row>
    <row r="951" spans="4:5" ht="15.75" customHeight="1">
      <c r="D951" s="80"/>
      <c r="E951" s="80"/>
    </row>
    <row r="952" spans="4:5" ht="15.75" customHeight="1">
      <c r="D952" s="80"/>
      <c r="E952" s="80"/>
    </row>
    <row r="953" spans="4:5" ht="15.75" customHeight="1">
      <c r="D953" s="80"/>
      <c r="E953" s="80"/>
    </row>
    <row r="954" spans="4:5" ht="15.75" customHeight="1">
      <c r="D954" s="80"/>
      <c r="E954" s="80"/>
    </row>
    <row r="955" spans="4:5" ht="15.75" customHeight="1">
      <c r="D955" s="80"/>
      <c r="E955" s="80"/>
    </row>
    <row r="956" spans="4:5" ht="15.75" customHeight="1">
      <c r="D956" s="80"/>
      <c r="E956" s="80"/>
    </row>
    <row r="957" spans="4:5" ht="15.75" customHeight="1">
      <c r="D957" s="80"/>
      <c r="E957" s="80"/>
    </row>
    <row r="958" spans="4:5" ht="15.75" customHeight="1">
      <c r="D958" s="80"/>
      <c r="E958" s="80"/>
    </row>
    <row r="959" spans="4:5" ht="15.75" customHeight="1">
      <c r="D959" s="80"/>
      <c r="E959" s="80"/>
    </row>
    <row r="960" spans="4:5" ht="15.75" customHeight="1">
      <c r="D960" s="80"/>
      <c r="E960" s="80"/>
    </row>
    <row r="961" spans="4:5" ht="15.75" customHeight="1">
      <c r="D961" s="80"/>
      <c r="E961" s="80"/>
    </row>
    <row r="962" spans="4:5" ht="15.75" customHeight="1">
      <c r="D962" s="80"/>
      <c r="E962" s="80"/>
    </row>
    <row r="963" spans="4:5" ht="15.75" customHeight="1">
      <c r="D963" s="80"/>
      <c r="E963" s="80"/>
    </row>
    <row r="964" spans="4:5" ht="15.75" customHeight="1">
      <c r="D964" s="80"/>
      <c r="E964" s="80"/>
    </row>
    <row r="965" spans="4:5" ht="15.75" customHeight="1">
      <c r="D965" s="80"/>
      <c r="E965" s="80"/>
    </row>
    <row r="966" spans="4:5" ht="15.75" customHeight="1">
      <c r="D966" s="80"/>
      <c r="E966" s="80"/>
    </row>
    <row r="967" spans="4:5" ht="15.75" customHeight="1">
      <c r="D967" s="80"/>
      <c r="E967" s="80"/>
    </row>
    <row r="968" spans="4:5" ht="15.75" customHeight="1">
      <c r="D968" s="80"/>
      <c r="E968" s="80"/>
    </row>
    <row r="969" spans="4:5" ht="15.75" customHeight="1">
      <c r="D969" s="80"/>
      <c r="E969" s="80"/>
    </row>
    <row r="970" spans="4:5" ht="15.75" customHeight="1">
      <c r="D970" s="80"/>
      <c r="E970" s="80"/>
    </row>
    <row r="971" spans="4:5" ht="15.75" customHeight="1">
      <c r="D971" s="80"/>
      <c r="E971" s="80"/>
    </row>
    <row r="972" spans="4:5" ht="15.75" customHeight="1">
      <c r="D972" s="80"/>
      <c r="E972" s="80"/>
    </row>
    <row r="973" spans="4:5" ht="15.75" customHeight="1">
      <c r="D973" s="80"/>
      <c r="E973" s="80"/>
    </row>
    <row r="974" spans="4:5" ht="15.75" customHeight="1">
      <c r="D974" s="80"/>
      <c r="E974" s="80"/>
    </row>
    <row r="975" spans="4:5" ht="15.75" customHeight="1">
      <c r="D975" s="80"/>
      <c r="E975" s="80"/>
    </row>
    <row r="976" spans="4:5" ht="15.75" customHeight="1">
      <c r="D976" s="80"/>
      <c r="E976" s="80"/>
    </row>
    <row r="977" spans="4:5" ht="15.75" customHeight="1">
      <c r="D977" s="80"/>
      <c r="E977" s="80"/>
    </row>
    <row r="978" spans="4:5" ht="15.75" customHeight="1">
      <c r="D978" s="80"/>
      <c r="E978" s="80"/>
    </row>
    <row r="979" spans="4:5" ht="15.75" customHeight="1">
      <c r="D979" s="80"/>
      <c r="E979" s="80"/>
    </row>
    <row r="980" spans="4:5" ht="15.75" customHeight="1">
      <c r="D980" s="80"/>
      <c r="E980" s="80"/>
    </row>
    <row r="981" spans="4:5" ht="15.75" customHeight="1">
      <c r="D981" s="80"/>
      <c r="E981" s="80"/>
    </row>
    <row r="982" spans="4:5" ht="15.75" customHeight="1">
      <c r="D982" s="80"/>
      <c r="E982" s="80"/>
    </row>
    <row r="983" spans="4:5" ht="15.75" customHeight="1">
      <c r="D983" s="80"/>
      <c r="E983" s="80"/>
    </row>
    <row r="984" spans="4:5" ht="15.75" customHeight="1">
      <c r="D984" s="80"/>
      <c r="E984" s="80"/>
    </row>
    <row r="985" spans="4:5" ht="15.75" customHeight="1">
      <c r="D985" s="80"/>
      <c r="E985" s="80"/>
    </row>
    <row r="986" spans="4:5" ht="15.75" customHeight="1">
      <c r="D986" s="80"/>
      <c r="E986" s="80"/>
    </row>
    <row r="987" spans="4:5" ht="15.75" customHeight="1">
      <c r="D987" s="80"/>
      <c r="E987" s="80"/>
    </row>
    <row r="988" spans="4:5" ht="15.75" customHeight="1">
      <c r="D988" s="80"/>
      <c r="E988" s="80"/>
    </row>
    <row r="989" spans="4:5" ht="15.75" customHeight="1">
      <c r="D989" s="80"/>
      <c r="E989" s="80"/>
    </row>
    <row r="990" spans="4:5" ht="15.75" customHeight="1">
      <c r="D990" s="80"/>
      <c r="E990" s="80"/>
    </row>
    <row r="991" spans="4:5" ht="15.75" customHeight="1">
      <c r="D991" s="80"/>
      <c r="E991" s="80"/>
    </row>
    <row r="992" spans="4:5" ht="15.75" customHeight="1">
      <c r="D992" s="80"/>
      <c r="E992" s="80"/>
    </row>
    <row r="993" spans="4:5" ht="15.75" customHeight="1">
      <c r="D993" s="80"/>
      <c r="E993" s="80"/>
    </row>
    <row r="994" spans="4:5" ht="15.75" customHeight="1">
      <c r="D994" s="80"/>
      <c r="E994" s="80"/>
    </row>
    <row r="995" spans="4:5" ht="15.75" customHeight="1">
      <c r="D995" s="80"/>
      <c r="E995" s="80"/>
    </row>
    <row r="996" spans="4:5" ht="15.75" customHeight="1">
      <c r="D996" s="80"/>
      <c r="E996" s="80"/>
    </row>
    <row r="997" spans="4:5" ht="15.75" customHeight="1">
      <c r="D997" s="80"/>
      <c r="E997" s="80"/>
    </row>
    <row r="998" spans="4:5" ht="15.75" customHeight="1">
      <c r="D998" s="80"/>
      <c r="E998" s="80"/>
    </row>
    <row r="999" spans="4:5" ht="15.75" customHeight="1">
      <c r="D999" s="80"/>
      <c r="E999" s="80"/>
    </row>
    <row r="1000" spans="4:5" ht="15.75" customHeight="1">
      <c r="D1000" s="80"/>
      <c r="E1000" s="80"/>
    </row>
    <row r="1001" spans="4:5" ht="15.75" customHeight="1">
      <c r="D1001" s="80"/>
      <c r="E1001" s="80"/>
    </row>
    <row r="1002" spans="4:5" ht="15.75" customHeight="1">
      <c r="D1002" s="80"/>
      <c r="E1002" s="80"/>
    </row>
  </sheetData>
  <autoFilter ref="A3:H116" xr:uid="{00000000-0009-0000-0000-000003000000}">
    <sortState xmlns:xlrd2="http://schemas.microsoft.com/office/spreadsheetml/2017/richdata2" ref="A4:H116">
      <sortCondition ref="A3:A116"/>
    </sortState>
  </autoFilter>
  <pageMargins left="0.51180555555555596" right="0.51180555555555596" top="0.78749999999999998" bottom="0.78749999999999998" header="0" footer="0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topLeftCell="C138" workbookViewId="0">
      <selection activeCell="E135" sqref="E135:E156"/>
    </sheetView>
  </sheetViews>
  <sheetFormatPr defaultColWidth="14.453125" defaultRowHeight="15" customHeight="1"/>
  <cols>
    <col min="1" max="1" width="16" customWidth="1"/>
    <col min="2" max="2" width="22.6328125" customWidth="1"/>
    <col min="3" max="3" width="38" customWidth="1"/>
    <col min="4" max="4" width="17.36328125" customWidth="1"/>
    <col min="5" max="5" width="13.08984375" customWidth="1"/>
    <col min="6" max="6" width="14.6328125" customWidth="1"/>
    <col min="7" max="7" width="13.36328125" customWidth="1"/>
    <col min="8" max="8" width="34.08984375" customWidth="1"/>
    <col min="9" max="9" width="22.36328125" customWidth="1"/>
  </cols>
  <sheetData>
    <row r="1" spans="1:9" ht="14.25" customHeight="1">
      <c r="A1" s="2" t="s">
        <v>0</v>
      </c>
      <c r="B1" s="2" t="s">
        <v>245</v>
      </c>
      <c r="C1" s="21"/>
      <c r="D1" s="2"/>
      <c r="E1" s="2"/>
      <c r="F1" s="24"/>
      <c r="G1" s="23"/>
      <c r="H1" s="2"/>
      <c r="I1" s="81"/>
    </row>
    <row r="2" spans="1:9" ht="14.25" customHeight="1">
      <c r="A2" s="82" t="s">
        <v>2</v>
      </c>
      <c r="B2" s="42" t="s">
        <v>246</v>
      </c>
      <c r="C2" s="83"/>
      <c r="D2" s="1" t="s">
        <v>247</v>
      </c>
      <c r="E2" s="2"/>
      <c r="F2" s="24"/>
      <c r="G2" s="23"/>
      <c r="H2" s="2"/>
      <c r="I2" s="81"/>
    </row>
    <row r="3" spans="1:9" ht="51" customHeight="1">
      <c r="A3" s="6" t="s">
        <v>6</v>
      </c>
      <c r="B3" s="6" t="s">
        <v>102</v>
      </c>
      <c r="C3" s="6" t="s">
        <v>103</v>
      </c>
      <c r="D3" s="6" t="s">
        <v>9</v>
      </c>
      <c r="E3" s="6" t="s">
        <v>10</v>
      </c>
      <c r="F3" s="84" t="s">
        <v>248</v>
      </c>
      <c r="G3" s="6" t="s">
        <v>12</v>
      </c>
      <c r="H3" s="6" t="s">
        <v>13</v>
      </c>
      <c r="I3" s="6" t="s">
        <v>14</v>
      </c>
    </row>
    <row r="4" spans="1:9" ht="15" customHeight="1">
      <c r="A4" s="9">
        <v>1</v>
      </c>
      <c r="B4" s="9" t="s">
        <v>251</v>
      </c>
      <c r="C4" s="187" t="s">
        <v>21</v>
      </c>
      <c r="D4" s="10">
        <v>7</v>
      </c>
      <c r="E4" s="12">
        <f>SUM(14.5+22+11.5)/3.14</f>
        <v>15.286624203821656</v>
      </c>
      <c r="F4" s="72">
        <f>AVERAGE(0.84,1.1)</f>
        <v>0.97</v>
      </c>
      <c r="G4" s="13">
        <f t="shared" ref="G4:G32" si="0">0.0673*(F4*E4^2*D4)^0.976</f>
        <v>89.473862586481957</v>
      </c>
      <c r="H4" s="15"/>
      <c r="I4" s="15" t="s">
        <v>22</v>
      </c>
    </row>
    <row r="5" spans="1:9" ht="15" customHeight="1">
      <c r="A5" s="9">
        <v>1</v>
      </c>
      <c r="B5" s="9" t="s">
        <v>92</v>
      </c>
      <c r="C5" s="11" t="s">
        <v>178</v>
      </c>
      <c r="D5" s="10">
        <v>4</v>
      </c>
      <c r="E5" s="12">
        <f>SUM(13+10+8)/3.14</f>
        <v>9.872611464968152</v>
      </c>
      <c r="F5" s="13">
        <v>0.97799999999999998</v>
      </c>
      <c r="G5" s="13">
        <f t="shared" si="0"/>
        <v>22.249880938067065</v>
      </c>
      <c r="H5" s="15"/>
      <c r="I5" s="15"/>
    </row>
    <row r="6" spans="1:9" ht="15" customHeight="1">
      <c r="A6" s="9">
        <v>1</v>
      </c>
      <c r="B6" s="9" t="s">
        <v>128</v>
      </c>
      <c r="C6" s="11" t="s">
        <v>129</v>
      </c>
      <c r="D6" s="10">
        <v>7</v>
      </c>
      <c r="E6" s="12">
        <f>SUM(18.5)/3.14</f>
        <v>5.8917197452229297</v>
      </c>
      <c r="F6" s="10">
        <f>AVERAGE(0.25,0.41)</f>
        <v>0.32999999999999996</v>
      </c>
      <c r="G6" s="13">
        <f t="shared" si="0"/>
        <v>4.8575009857244957</v>
      </c>
      <c r="H6" s="15"/>
      <c r="I6" s="15"/>
    </row>
    <row r="7" spans="1:9" ht="15" customHeight="1">
      <c r="A7" s="9">
        <v>1</v>
      </c>
      <c r="B7" s="9" t="s">
        <v>286</v>
      </c>
      <c r="C7" s="188" t="s">
        <v>287</v>
      </c>
      <c r="D7" s="10">
        <v>8</v>
      </c>
      <c r="E7" s="12">
        <f>SUM(17+16+33)/3.14</f>
        <v>21.019108280254777</v>
      </c>
      <c r="F7" s="10">
        <f>AVERAGE(0.5,0.7)</f>
        <v>0.6</v>
      </c>
      <c r="G7" s="13">
        <f t="shared" si="0"/>
        <v>118.75437027387578</v>
      </c>
      <c r="H7" s="15"/>
      <c r="I7" s="15" t="s">
        <v>22</v>
      </c>
    </row>
    <row r="8" spans="1:9" ht="15" customHeight="1">
      <c r="A8" s="9">
        <v>1</v>
      </c>
      <c r="B8" s="9" t="s">
        <v>286</v>
      </c>
      <c r="C8" s="188" t="s">
        <v>287</v>
      </c>
      <c r="D8" s="10">
        <v>8</v>
      </c>
      <c r="E8" s="12">
        <f>SUM(34.5)/3.14</f>
        <v>10.987261146496815</v>
      </c>
      <c r="F8" s="10">
        <f>AVERAGE(0.5,0.7)</f>
        <v>0.6</v>
      </c>
      <c r="G8" s="13">
        <f t="shared" si="0"/>
        <v>33.475163929213799</v>
      </c>
      <c r="H8" s="15"/>
      <c r="I8" s="15" t="s">
        <v>22</v>
      </c>
    </row>
    <row r="9" spans="1:9" ht="15" customHeight="1">
      <c r="A9" s="9">
        <v>1</v>
      </c>
      <c r="B9" s="9" t="s">
        <v>286</v>
      </c>
      <c r="C9" s="188" t="s">
        <v>287</v>
      </c>
      <c r="D9" s="10">
        <v>6.5</v>
      </c>
      <c r="E9" s="12">
        <f>SUM(12+14)/3.14</f>
        <v>8.2802547770700627</v>
      </c>
      <c r="F9" s="10">
        <f>AVERAGE(0.5,0.7)</f>
        <v>0.6</v>
      </c>
      <c r="G9" s="13">
        <f t="shared" si="0"/>
        <v>15.736763674271653</v>
      </c>
      <c r="H9" s="15"/>
      <c r="I9" s="15" t="s">
        <v>22</v>
      </c>
    </row>
    <row r="10" spans="1:9" ht="15" customHeight="1">
      <c r="A10" s="9">
        <v>1</v>
      </c>
      <c r="B10" s="9" t="s">
        <v>277</v>
      </c>
      <c r="C10" s="188" t="s">
        <v>73</v>
      </c>
      <c r="D10" s="10">
        <v>1.2</v>
      </c>
      <c r="E10" s="12">
        <f>SUM(6.5)/3.14</f>
        <v>2.0700636942675157</v>
      </c>
      <c r="F10" s="10">
        <f>AVERAGE(0.58,0.66)</f>
        <v>0.62</v>
      </c>
      <c r="G10" s="13">
        <f t="shared" si="0"/>
        <v>0.20867501262320262</v>
      </c>
      <c r="H10" s="15"/>
      <c r="I10" s="15" t="s">
        <v>22</v>
      </c>
    </row>
    <row r="11" spans="1:9" ht="15" customHeight="1">
      <c r="A11" s="9">
        <v>1</v>
      </c>
      <c r="B11" s="9" t="s">
        <v>258</v>
      </c>
      <c r="C11" s="11" t="s">
        <v>259</v>
      </c>
      <c r="D11" s="10">
        <v>6.5</v>
      </c>
      <c r="E11" s="12">
        <f>SUM(23+13+17.5+11)/3.14</f>
        <v>20.541401273885349</v>
      </c>
      <c r="F11" s="10"/>
      <c r="G11" s="13">
        <f t="shared" si="0"/>
        <v>0</v>
      </c>
      <c r="H11" s="15"/>
      <c r="I11" s="15"/>
    </row>
    <row r="12" spans="1:9" ht="15" customHeight="1">
      <c r="A12" s="9">
        <v>1</v>
      </c>
      <c r="B12" s="9" t="s">
        <v>58</v>
      </c>
      <c r="C12" s="32" t="s">
        <v>59</v>
      </c>
      <c r="D12" s="10">
        <v>5</v>
      </c>
      <c r="E12" s="12">
        <f>SUM(13.5)/3.14</f>
        <v>4.2993630573248405</v>
      </c>
      <c r="F12" s="12">
        <f>AVERAGE(0.9,1.07)</f>
        <v>0.9850000000000001</v>
      </c>
      <c r="G12" s="13">
        <f t="shared" si="0"/>
        <v>5.4980462961140715</v>
      </c>
      <c r="H12" s="15"/>
      <c r="I12" s="15"/>
    </row>
    <row r="13" spans="1:9" ht="15" customHeight="1">
      <c r="A13" s="9">
        <v>1</v>
      </c>
      <c r="B13" s="9" t="s">
        <v>281</v>
      </c>
      <c r="C13" s="17" t="s">
        <v>75</v>
      </c>
      <c r="D13" s="10">
        <v>3</v>
      </c>
      <c r="E13" s="12">
        <f>SUM(6)/3.14</f>
        <v>1.910828025477707</v>
      </c>
      <c r="F13" s="13">
        <v>1.08</v>
      </c>
      <c r="G13" s="13">
        <f t="shared" si="0"/>
        <v>0.75032870588436817</v>
      </c>
      <c r="H13" s="15"/>
      <c r="I13" s="15"/>
    </row>
    <row r="14" spans="1:9" ht="15" customHeight="1">
      <c r="A14" s="9">
        <v>1</v>
      </c>
      <c r="B14" s="9" t="s">
        <v>229</v>
      </c>
      <c r="C14" s="11" t="s">
        <v>230</v>
      </c>
      <c r="D14" s="10">
        <v>8.6999999999999993</v>
      </c>
      <c r="E14" s="12">
        <f>SUM(55.5)/3.14</f>
        <v>17.67515923566879</v>
      </c>
      <c r="F14" s="47">
        <f>AVERAGE(0.6,0.77)</f>
        <v>0.68500000000000005</v>
      </c>
      <c r="G14" s="13">
        <f t="shared" si="0"/>
        <v>104.58588664706886</v>
      </c>
      <c r="H14" s="15"/>
      <c r="I14" s="15"/>
    </row>
    <row r="15" spans="1:9" ht="15" customHeight="1">
      <c r="A15" s="9">
        <v>1</v>
      </c>
      <c r="B15" s="9" t="s">
        <v>229</v>
      </c>
      <c r="C15" s="11" t="s">
        <v>230</v>
      </c>
      <c r="D15" s="10">
        <v>6</v>
      </c>
      <c r="E15" s="12">
        <f>SUM(17)/3.14</f>
        <v>5.4140127388535033</v>
      </c>
      <c r="F15" s="47">
        <f>AVERAGE(0.6,0.77)</f>
        <v>0.68500000000000005</v>
      </c>
      <c r="G15" s="13">
        <f t="shared" si="0"/>
        <v>7.226937583165487</v>
      </c>
      <c r="H15" s="15"/>
      <c r="I15" s="15"/>
    </row>
    <row r="16" spans="1:9" ht="15" customHeight="1">
      <c r="A16" s="9">
        <v>1</v>
      </c>
      <c r="B16" s="9" t="s">
        <v>229</v>
      </c>
      <c r="C16" s="11" t="s">
        <v>230</v>
      </c>
      <c r="D16" s="10">
        <v>6</v>
      </c>
      <c r="E16" s="12">
        <f>SUM(3.5+10.5)/3.14</f>
        <v>4.4585987261146496</v>
      </c>
      <c r="F16" s="47">
        <f>AVERAGE(0.6,0.77)</f>
        <v>0.68500000000000005</v>
      </c>
      <c r="G16" s="13">
        <f t="shared" si="0"/>
        <v>4.9472053206492292</v>
      </c>
      <c r="H16" s="15"/>
      <c r="I16" s="15"/>
    </row>
    <row r="17" spans="1:9" ht="15" customHeight="1">
      <c r="A17" s="9">
        <v>1</v>
      </c>
      <c r="B17" s="9" t="s">
        <v>229</v>
      </c>
      <c r="C17" s="11" t="s">
        <v>230</v>
      </c>
      <c r="D17" s="10">
        <v>5.7</v>
      </c>
      <c r="E17" s="12">
        <f>SUM(23)/3.14</f>
        <v>7.3248407643312099</v>
      </c>
      <c r="F17" s="47">
        <f>AVERAGE(0.6,0.77)</f>
        <v>0.68500000000000005</v>
      </c>
      <c r="G17" s="13">
        <f t="shared" si="0"/>
        <v>12.40135055269182</v>
      </c>
      <c r="H17" s="15"/>
      <c r="I17" s="15"/>
    </row>
    <row r="18" spans="1:9" ht="15" customHeight="1">
      <c r="A18" s="9">
        <v>1</v>
      </c>
      <c r="B18" s="9" t="s">
        <v>229</v>
      </c>
      <c r="C18" s="11" t="s">
        <v>230</v>
      </c>
      <c r="D18" s="10">
        <v>5.5</v>
      </c>
      <c r="E18" s="12">
        <f>SUM(17)/3.14</f>
        <v>5.4140127388535033</v>
      </c>
      <c r="F18" s="47">
        <f>AVERAGE(0.6,0.77)</f>
        <v>0.68500000000000005</v>
      </c>
      <c r="G18" s="13">
        <f t="shared" si="0"/>
        <v>6.6385414067795825</v>
      </c>
      <c r="H18" s="15"/>
      <c r="I18" s="15"/>
    </row>
    <row r="19" spans="1:9" ht="15" customHeight="1">
      <c r="A19" s="9">
        <v>1</v>
      </c>
      <c r="B19" s="10" t="s">
        <v>278</v>
      </c>
      <c r="C19" s="17" t="s">
        <v>279</v>
      </c>
      <c r="D19" s="10">
        <v>2</v>
      </c>
      <c r="E19" s="12">
        <f>SUM(6+5)/3.14</f>
        <v>3.5031847133757958</v>
      </c>
      <c r="F19" s="10">
        <v>1.05</v>
      </c>
      <c r="G19" s="13">
        <f t="shared" si="0"/>
        <v>1.6043271912027608</v>
      </c>
      <c r="H19" s="15"/>
      <c r="I19" s="15"/>
    </row>
    <row r="20" spans="1:9" ht="15" customHeight="1">
      <c r="A20" s="9">
        <v>1</v>
      </c>
      <c r="B20" s="9" t="s">
        <v>79</v>
      </c>
      <c r="C20" s="11" t="s">
        <v>168</v>
      </c>
      <c r="D20" s="10">
        <v>8</v>
      </c>
      <c r="E20" s="12">
        <f>SUM(12.5+25.5+21)/3.14</f>
        <v>18.789808917197451</v>
      </c>
      <c r="F20" s="13">
        <f>AVERAGE(0.54,0.58)</f>
        <v>0.56000000000000005</v>
      </c>
      <c r="G20" s="13">
        <f t="shared" si="0"/>
        <v>89.19876873228732</v>
      </c>
      <c r="H20" s="15"/>
      <c r="I20" s="15"/>
    </row>
    <row r="21" spans="1:9" ht="15.75" customHeight="1">
      <c r="A21" s="9">
        <v>1</v>
      </c>
      <c r="B21" s="9" t="s">
        <v>96</v>
      </c>
      <c r="C21" s="29" t="s">
        <v>97</v>
      </c>
      <c r="D21" s="10">
        <v>10</v>
      </c>
      <c r="E21" s="12">
        <f>SUM(38+21+47+43)/3.14</f>
        <v>47.452229299363054</v>
      </c>
      <c r="F21" s="12">
        <f>AVERAGE(0.5,0.55)</f>
        <v>0.52500000000000002</v>
      </c>
      <c r="G21" s="13">
        <f t="shared" si="0"/>
        <v>635.24823527458329</v>
      </c>
      <c r="H21" s="15"/>
      <c r="I21" s="15" t="s">
        <v>57</v>
      </c>
    </row>
    <row r="22" spans="1:9" ht="15.75" customHeight="1">
      <c r="A22" s="9">
        <v>1</v>
      </c>
      <c r="B22" s="9" t="s">
        <v>260</v>
      </c>
      <c r="C22" s="11" t="s">
        <v>261</v>
      </c>
      <c r="D22" s="10">
        <v>8</v>
      </c>
      <c r="E22" s="12">
        <f>SUM(37.5+28)/3.14</f>
        <v>20.859872611464969</v>
      </c>
      <c r="F22" s="12">
        <f>AVERAGE(0.26,0.39)</f>
        <v>0.32500000000000001</v>
      </c>
      <c r="G22" s="13">
        <f t="shared" si="0"/>
        <v>64.316943337706078</v>
      </c>
      <c r="H22" s="15"/>
      <c r="I22" s="15" t="s">
        <v>87</v>
      </c>
    </row>
    <row r="23" spans="1:9" ht="15.75" customHeight="1">
      <c r="A23" s="9">
        <v>1</v>
      </c>
      <c r="B23" s="9" t="s">
        <v>26</v>
      </c>
      <c r="C23" s="11" t="s">
        <v>117</v>
      </c>
      <c r="D23" s="10">
        <v>2.5</v>
      </c>
      <c r="E23" s="12">
        <f>SUM(6)/3.14</f>
        <v>1.910828025477707</v>
      </c>
      <c r="F23" s="10"/>
      <c r="G23" s="13">
        <f t="shared" si="0"/>
        <v>0</v>
      </c>
      <c r="H23" s="15"/>
      <c r="I23" s="15"/>
    </row>
    <row r="24" spans="1:9" ht="15.75" customHeight="1">
      <c r="A24" s="9">
        <v>1</v>
      </c>
      <c r="B24" s="9" t="s">
        <v>282</v>
      </c>
      <c r="C24" s="11" t="s">
        <v>89</v>
      </c>
      <c r="D24" s="10">
        <v>6.5</v>
      </c>
      <c r="E24" s="12">
        <f>SUM(14)/3.14</f>
        <v>4.4585987261146496</v>
      </c>
      <c r="F24" s="10">
        <f>AVERAGE(0.78,0.8)</f>
        <v>0.79</v>
      </c>
      <c r="G24" s="13">
        <f t="shared" si="0"/>
        <v>6.1480557078731355</v>
      </c>
      <c r="H24" s="15"/>
      <c r="I24" s="15"/>
    </row>
    <row r="25" spans="1:9" ht="15.75" customHeight="1">
      <c r="A25" s="9">
        <v>1</v>
      </c>
      <c r="B25" s="9" t="s">
        <v>280</v>
      </c>
      <c r="C25" s="17" t="s">
        <v>91</v>
      </c>
      <c r="D25" s="10">
        <v>10</v>
      </c>
      <c r="E25" s="12">
        <f>SUM(56+26+28)/3.14</f>
        <v>35.031847133757964</v>
      </c>
      <c r="F25" s="13">
        <f>AVERAGE(0.45,0.51)</f>
        <v>0.48</v>
      </c>
      <c r="G25" s="13">
        <f t="shared" si="0"/>
        <v>321.88323711746216</v>
      </c>
      <c r="H25" s="15"/>
      <c r="I25" s="15"/>
    </row>
    <row r="26" spans="1:9" ht="15.75" customHeight="1">
      <c r="A26" s="9">
        <v>1</v>
      </c>
      <c r="B26" s="9" t="s">
        <v>149</v>
      </c>
      <c r="C26" s="11" t="s">
        <v>150</v>
      </c>
      <c r="D26" s="10">
        <v>2.8</v>
      </c>
      <c r="E26" s="12">
        <f>SUM(8.5)/3.14</f>
        <v>2.7070063694267517</v>
      </c>
      <c r="F26" s="10"/>
      <c r="G26" s="13">
        <f t="shared" si="0"/>
        <v>0</v>
      </c>
      <c r="H26" s="15"/>
      <c r="I26" s="15"/>
    </row>
    <row r="27" spans="1:9" ht="15.75" customHeight="1">
      <c r="A27" s="9">
        <v>2</v>
      </c>
      <c r="B27" s="9" t="s">
        <v>262</v>
      </c>
      <c r="C27" s="11" t="s">
        <v>135</v>
      </c>
      <c r="D27" s="10">
        <v>3.5</v>
      </c>
      <c r="E27" s="12">
        <f>SUM(12)/3.14</f>
        <v>3.8216560509554141</v>
      </c>
      <c r="F27" s="10"/>
      <c r="G27" s="13">
        <f t="shared" si="0"/>
        <v>0</v>
      </c>
      <c r="H27" s="15" t="s">
        <v>263</v>
      </c>
      <c r="I27" s="15"/>
    </row>
    <row r="28" spans="1:9" ht="15.75" customHeight="1">
      <c r="A28" s="9">
        <v>2</v>
      </c>
      <c r="B28" s="9" t="s">
        <v>286</v>
      </c>
      <c r="C28" s="11" t="s">
        <v>287</v>
      </c>
      <c r="D28" s="10">
        <v>4</v>
      </c>
      <c r="E28" s="12">
        <f>SUM(20)/3.14</f>
        <v>6.3694267515923562</v>
      </c>
      <c r="F28" s="10">
        <f>AVERAGE(0.5,0.7)</f>
        <v>0.6</v>
      </c>
      <c r="G28" s="13">
        <f t="shared" si="0"/>
        <v>5.8709058344777425</v>
      </c>
      <c r="H28" s="15"/>
      <c r="I28" s="15" t="s">
        <v>22</v>
      </c>
    </row>
    <row r="29" spans="1:9" ht="15.75" customHeight="1">
      <c r="A29" s="9">
        <v>2</v>
      </c>
      <c r="B29" s="9" t="s">
        <v>258</v>
      </c>
      <c r="C29" s="11" t="s">
        <v>259</v>
      </c>
      <c r="D29" s="10">
        <v>2.5</v>
      </c>
      <c r="E29" s="12">
        <f>SUM(16.5)/3.14</f>
        <v>5.2547770700636942</v>
      </c>
      <c r="F29" s="10"/>
      <c r="G29" s="13">
        <f t="shared" si="0"/>
        <v>0</v>
      </c>
      <c r="H29" s="15"/>
      <c r="I29" s="15"/>
    </row>
    <row r="30" spans="1:9" ht="15.75" customHeight="1">
      <c r="A30" s="9">
        <v>2</v>
      </c>
      <c r="B30" s="9" t="s">
        <v>58</v>
      </c>
      <c r="C30" s="32" t="s">
        <v>59</v>
      </c>
      <c r="D30" s="9">
        <v>2.1</v>
      </c>
      <c r="E30" s="12">
        <f>SUM(12)/3.14</f>
        <v>3.8216560509554141</v>
      </c>
      <c r="F30" s="12">
        <f>AVERAGE(0.9,1.07)</f>
        <v>0.9850000000000001</v>
      </c>
      <c r="G30" s="13">
        <f t="shared" si="0"/>
        <v>1.8734839466322333</v>
      </c>
      <c r="H30" s="15"/>
      <c r="I30" s="15"/>
    </row>
    <row r="31" spans="1:9" ht="15.75" customHeight="1">
      <c r="A31" s="9">
        <v>2</v>
      </c>
      <c r="B31" s="9" t="s">
        <v>64</v>
      </c>
      <c r="C31" s="11" t="s">
        <v>148</v>
      </c>
      <c r="D31" s="10">
        <v>3.7</v>
      </c>
      <c r="E31" s="12">
        <f>SUM(17.5+19.5)/3.14</f>
        <v>11.783439490445859</v>
      </c>
      <c r="F31" s="13">
        <v>0.94</v>
      </c>
      <c r="G31" s="13">
        <f t="shared" si="0"/>
        <v>28.02049637160118</v>
      </c>
      <c r="H31" s="15"/>
      <c r="I31" s="15"/>
    </row>
    <row r="32" spans="1:9" ht="15.75" customHeight="1">
      <c r="A32" s="9">
        <v>2</v>
      </c>
      <c r="B32" s="9" t="s">
        <v>64</v>
      </c>
      <c r="C32" s="11" t="s">
        <v>148</v>
      </c>
      <c r="D32" s="10">
        <v>2.2000000000000002</v>
      </c>
      <c r="E32" s="12">
        <f>SUM(7+6.5)/3.14</f>
        <v>4.2993630573248405</v>
      </c>
      <c r="F32" s="13">
        <v>0.94</v>
      </c>
      <c r="G32" s="13">
        <f t="shared" si="0"/>
        <v>2.357204322912831</v>
      </c>
      <c r="H32" s="15"/>
      <c r="I32" s="15"/>
    </row>
    <row r="33" spans="1:9" ht="15.75" customHeight="1">
      <c r="A33" s="9">
        <v>2</v>
      </c>
      <c r="B33" s="9" t="s">
        <v>273</v>
      </c>
      <c r="C33" s="11" t="s">
        <v>274</v>
      </c>
      <c r="D33" s="10">
        <v>6</v>
      </c>
      <c r="E33" s="12">
        <f>SUM(40)/3.14</f>
        <v>12.738853503184712</v>
      </c>
      <c r="F33" s="10" t="s">
        <v>275</v>
      </c>
      <c r="G33" s="13"/>
      <c r="H33" s="15"/>
      <c r="I33" s="15"/>
    </row>
    <row r="34" spans="1:9" ht="15.75" customHeight="1">
      <c r="A34" s="9">
        <v>2</v>
      </c>
      <c r="B34" s="9" t="s">
        <v>273</v>
      </c>
      <c r="C34" s="11" t="s">
        <v>274</v>
      </c>
      <c r="D34" s="10">
        <v>4.5</v>
      </c>
      <c r="E34" s="12">
        <f>SUM(38)/3.14</f>
        <v>12.101910828025478</v>
      </c>
      <c r="F34" s="10" t="s">
        <v>275</v>
      </c>
      <c r="G34" s="13"/>
      <c r="H34" s="15"/>
      <c r="I34" s="15"/>
    </row>
    <row r="35" spans="1:9" ht="15.75" customHeight="1">
      <c r="A35" s="9">
        <v>2</v>
      </c>
      <c r="B35" s="9" t="s">
        <v>273</v>
      </c>
      <c r="C35" s="11" t="s">
        <v>274</v>
      </c>
      <c r="D35" s="10">
        <v>4.5</v>
      </c>
      <c r="E35" s="12">
        <f>SUM(30)/3.14</f>
        <v>9.5541401273885338</v>
      </c>
      <c r="F35" s="10" t="s">
        <v>275</v>
      </c>
      <c r="G35" s="13"/>
      <c r="H35" s="15"/>
      <c r="I35" s="15"/>
    </row>
    <row r="36" spans="1:9" ht="15.75" customHeight="1">
      <c r="A36" s="9">
        <v>2</v>
      </c>
      <c r="B36" s="9" t="s">
        <v>229</v>
      </c>
      <c r="C36" s="11" t="s">
        <v>230</v>
      </c>
      <c r="D36" s="10">
        <v>3.5</v>
      </c>
      <c r="E36" s="12">
        <f>SUM(16.5+14)/3.14</f>
        <v>9.7133757961783438</v>
      </c>
      <c r="F36" s="47">
        <f>AVERAGE(0.6,0.77)</f>
        <v>0.68500000000000005</v>
      </c>
      <c r="G36" s="13">
        <f t="shared" ref="G36:G56" si="1">0.0673*(F36*E36^2*D36)^0.976</f>
        <v>13.366142491109619</v>
      </c>
      <c r="H36" s="15"/>
      <c r="I36" s="15"/>
    </row>
    <row r="37" spans="1:9" ht="15.75" customHeight="1">
      <c r="A37" s="9">
        <v>2</v>
      </c>
      <c r="B37" s="9" t="s">
        <v>124</v>
      </c>
      <c r="C37" s="11" t="s">
        <v>257</v>
      </c>
      <c r="D37" s="10">
        <v>6</v>
      </c>
      <c r="E37" s="12">
        <f>SUM(25)/3.14</f>
        <v>7.9617834394904454</v>
      </c>
      <c r="F37" s="10"/>
      <c r="G37" s="13">
        <f t="shared" si="1"/>
        <v>0</v>
      </c>
      <c r="H37" s="15"/>
      <c r="I37" s="15"/>
    </row>
    <row r="38" spans="1:9" ht="15.75" customHeight="1">
      <c r="A38" s="9">
        <v>2</v>
      </c>
      <c r="B38" s="9" t="s">
        <v>124</v>
      </c>
      <c r="C38" s="11" t="s">
        <v>257</v>
      </c>
      <c r="D38" s="10">
        <v>4.2</v>
      </c>
      <c r="E38" s="12">
        <f>SUM(15+8.5)/3.14</f>
        <v>7.484076433121019</v>
      </c>
      <c r="F38" s="10"/>
      <c r="G38" s="13">
        <f t="shared" si="1"/>
        <v>0</v>
      </c>
      <c r="H38" s="15"/>
      <c r="I38" s="15"/>
    </row>
    <row r="39" spans="1:9" ht="15.75" customHeight="1">
      <c r="A39" s="9">
        <v>2</v>
      </c>
      <c r="B39" s="9" t="s">
        <v>250</v>
      </c>
      <c r="C39" s="11" t="s">
        <v>19</v>
      </c>
      <c r="D39" s="10">
        <v>8.9</v>
      </c>
      <c r="E39" s="12">
        <f>SUM(24)/3.14</f>
        <v>7.6433121019108281</v>
      </c>
      <c r="F39" s="12">
        <f>AVERAGE(0.7,0.87)</f>
        <v>0.78499999999999992</v>
      </c>
      <c r="G39" s="13">
        <f t="shared" si="1"/>
        <v>23.778155698679477</v>
      </c>
      <c r="H39" s="15"/>
      <c r="I39" s="15"/>
    </row>
    <row r="40" spans="1:9" ht="15.75" customHeight="1">
      <c r="A40" s="9">
        <v>2</v>
      </c>
      <c r="B40" s="9" t="s">
        <v>250</v>
      </c>
      <c r="C40" s="11" t="s">
        <v>19</v>
      </c>
      <c r="D40" s="10">
        <v>7.2</v>
      </c>
      <c r="E40" s="12">
        <f>SUM(15.5)/3.14</f>
        <v>4.936305732484076</v>
      </c>
      <c r="F40" s="12">
        <f>AVERAGE(0.7,0.87)</f>
        <v>0.78499999999999992</v>
      </c>
      <c r="G40" s="13">
        <f t="shared" si="1"/>
        <v>8.2354089023044832</v>
      </c>
      <c r="H40" s="15"/>
      <c r="I40" s="15"/>
    </row>
    <row r="41" spans="1:9" ht="15.75" customHeight="1">
      <c r="A41" s="9">
        <v>2</v>
      </c>
      <c r="B41" s="9" t="s">
        <v>118</v>
      </c>
      <c r="C41" s="11" t="s">
        <v>29</v>
      </c>
      <c r="D41" s="10">
        <v>2.7</v>
      </c>
      <c r="E41" s="12">
        <f>SUM(11+12+10.5)/3.14</f>
        <v>10.668789808917197</v>
      </c>
      <c r="F41" s="13">
        <v>0.8</v>
      </c>
      <c r="G41" s="13">
        <f t="shared" si="1"/>
        <v>14.49848807351537</v>
      </c>
      <c r="H41" s="15"/>
      <c r="I41" s="15"/>
    </row>
    <row r="42" spans="1:9" ht="15.75" customHeight="1">
      <c r="A42" s="9">
        <v>2</v>
      </c>
      <c r="B42" s="9" t="s">
        <v>118</v>
      </c>
      <c r="C42" s="11" t="s">
        <v>29</v>
      </c>
      <c r="D42" s="10">
        <v>1.9</v>
      </c>
      <c r="E42" s="12">
        <f>SUM(8+6+6)/3.14</f>
        <v>6.3694267515923562</v>
      </c>
      <c r="F42" s="13">
        <v>0.8</v>
      </c>
      <c r="G42" s="13">
        <f t="shared" si="1"/>
        <v>3.7592246913220548</v>
      </c>
      <c r="H42" s="15"/>
      <c r="I42" s="15"/>
    </row>
    <row r="43" spans="1:9" ht="15.75" customHeight="1">
      <c r="A43" s="9">
        <v>2</v>
      </c>
      <c r="B43" s="9" t="s">
        <v>280</v>
      </c>
      <c r="C43" s="29" t="s">
        <v>91</v>
      </c>
      <c r="D43" s="10">
        <v>8</v>
      </c>
      <c r="E43" s="12">
        <f>SUM(28+35+32)/3.14</f>
        <v>30.254777070063692</v>
      </c>
      <c r="F43" s="13">
        <f>AVERAGE(0.45,0.51)</f>
        <v>0.48</v>
      </c>
      <c r="G43" s="13">
        <f t="shared" si="1"/>
        <v>194.46083385567516</v>
      </c>
      <c r="H43" s="15"/>
      <c r="I43" s="15"/>
    </row>
    <row r="44" spans="1:9" ht="15.75" customHeight="1">
      <c r="A44" s="9">
        <v>2</v>
      </c>
      <c r="B44" s="9" t="s">
        <v>288</v>
      </c>
      <c r="C44" s="11" t="s">
        <v>289</v>
      </c>
      <c r="D44" s="10">
        <v>8</v>
      </c>
      <c r="E44" s="12">
        <f>SUM(38+30+30.5)/3.14</f>
        <v>31.369426751592357</v>
      </c>
      <c r="F44" s="12">
        <f>AVERAGE(0.33,0.44)</f>
        <v>0.38500000000000001</v>
      </c>
      <c r="G44" s="13">
        <f t="shared" si="1"/>
        <v>168.27570255446869</v>
      </c>
      <c r="H44" s="15"/>
      <c r="I44" s="15" t="s">
        <v>22</v>
      </c>
    </row>
    <row r="45" spans="1:9" ht="15.75" customHeight="1">
      <c r="A45" s="9">
        <v>3</v>
      </c>
      <c r="B45" s="9" t="s">
        <v>262</v>
      </c>
      <c r="C45" s="11" t="s">
        <v>135</v>
      </c>
      <c r="D45" s="10">
        <v>4.5</v>
      </c>
      <c r="E45" s="12">
        <f>SUM(8.5+8.5)/3.14</f>
        <v>5.4140127388535033</v>
      </c>
      <c r="F45" s="10"/>
      <c r="G45" s="13">
        <f t="shared" si="1"/>
        <v>0</v>
      </c>
      <c r="H45" s="15" t="s">
        <v>263</v>
      </c>
      <c r="I45" s="15"/>
    </row>
    <row r="46" spans="1:9" ht="15.75" customHeight="1">
      <c r="A46" s="9">
        <v>3</v>
      </c>
      <c r="B46" s="9" t="s">
        <v>215</v>
      </c>
      <c r="C46" s="11" t="s">
        <v>135</v>
      </c>
      <c r="D46" s="10">
        <v>8</v>
      </c>
      <c r="E46" s="12">
        <f>SUM(39+32)/3.14</f>
        <v>22.611464968152866</v>
      </c>
      <c r="F46" s="10"/>
      <c r="G46" s="13">
        <f t="shared" si="1"/>
        <v>0</v>
      </c>
      <c r="H46" s="15"/>
      <c r="I46" s="15"/>
    </row>
    <row r="47" spans="1:9" ht="15.75" customHeight="1">
      <c r="A47" s="9">
        <v>3</v>
      </c>
      <c r="B47" s="9" t="s">
        <v>215</v>
      </c>
      <c r="C47" s="11" t="s">
        <v>135</v>
      </c>
      <c r="D47" s="10">
        <v>7.6</v>
      </c>
      <c r="E47" s="12">
        <f>SUM(36)/3.14</f>
        <v>11.464968152866241</v>
      </c>
      <c r="F47" s="10"/>
      <c r="G47" s="13">
        <f t="shared" si="1"/>
        <v>0</v>
      </c>
      <c r="H47" s="15"/>
      <c r="I47" s="15"/>
    </row>
    <row r="48" spans="1:9" ht="15.75" customHeight="1">
      <c r="A48" s="9">
        <v>3</v>
      </c>
      <c r="B48" s="9" t="s">
        <v>251</v>
      </c>
      <c r="C48" s="187" t="s">
        <v>21</v>
      </c>
      <c r="D48" s="10">
        <v>7</v>
      </c>
      <c r="E48" s="12">
        <f>SUM(18+23.5)/3.14</f>
        <v>13.216560509554139</v>
      </c>
      <c r="F48" s="72">
        <f>AVERAGE(0.84,1.1)</f>
        <v>0.97</v>
      </c>
      <c r="G48" s="13">
        <f t="shared" si="1"/>
        <v>67.350864665518245</v>
      </c>
      <c r="H48" s="15"/>
      <c r="I48" s="15" t="s">
        <v>22</v>
      </c>
    </row>
    <row r="49" spans="1:9" ht="15.75" customHeight="1">
      <c r="A49" s="9">
        <v>3</v>
      </c>
      <c r="B49" s="9" t="s">
        <v>249</v>
      </c>
      <c r="C49" s="11" t="s">
        <v>109</v>
      </c>
      <c r="D49" s="10">
        <v>3</v>
      </c>
      <c r="E49" s="12">
        <f>SUM(7.5)/3.14</f>
        <v>2.3885350318471334</v>
      </c>
      <c r="F49" s="10"/>
      <c r="G49" s="13">
        <f t="shared" si="1"/>
        <v>0</v>
      </c>
      <c r="H49" s="15"/>
      <c r="I49" s="15"/>
    </row>
    <row r="50" spans="1:9" ht="15.75" customHeight="1">
      <c r="A50" s="9">
        <v>3</v>
      </c>
      <c r="B50" s="9" t="s">
        <v>286</v>
      </c>
      <c r="C50" s="11" t="s">
        <v>287</v>
      </c>
      <c r="D50" s="10">
        <v>8</v>
      </c>
      <c r="E50" s="12">
        <f>SUM(48.5)/3.14</f>
        <v>15.445859872611464</v>
      </c>
      <c r="F50" s="10">
        <f>AVERAGE(0.5,0.7)</f>
        <v>0.6</v>
      </c>
      <c r="G50" s="13">
        <f t="shared" si="1"/>
        <v>65.083022342623238</v>
      </c>
      <c r="H50" s="15"/>
      <c r="I50" s="15" t="s">
        <v>22</v>
      </c>
    </row>
    <row r="51" spans="1:9" ht="15.75" customHeight="1">
      <c r="A51" s="9">
        <v>3</v>
      </c>
      <c r="B51" s="9" t="s">
        <v>85</v>
      </c>
      <c r="C51" s="11" t="s">
        <v>86</v>
      </c>
      <c r="D51" s="10">
        <v>2.2999999999999998</v>
      </c>
      <c r="E51" s="12">
        <f>SUM(7+6+6.5)/3.14</f>
        <v>6.2101910828025479</v>
      </c>
      <c r="F51" s="9">
        <v>0.74</v>
      </c>
      <c r="G51" s="13">
        <f t="shared" si="1"/>
        <v>3.9955123645398563</v>
      </c>
      <c r="H51" s="15"/>
      <c r="I51" s="15"/>
    </row>
    <row r="52" spans="1:9" ht="15.75" customHeight="1">
      <c r="A52" s="9">
        <v>3</v>
      </c>
      <c r="B52" s="9" t="s">
        <v>277</v>
      </c>
      <c r="C52" s="11" t="s">
        <v>73</v>
      </c>
      <c r="D52" s="10">
        <v>3.5</v>
      </c>
      <c r="E52" s="12">
        <f>SUM(14+9+7)/3.14</f>
        <v>9.5541401273885338</v>
      </c>
      <c r="F52" s="10">
        <f>AVERAGE(0.58,0.66)</f>
        <v>0.62</v>
      </c>
      <c r="G52" s="13">
        <f t="shared" si="1"/>
        <v>11.741775719585924</v>
      </c>
      <c r="H52" s="15" t="s">
        <v>255</v>
      </c>
      <c r="I52" s="15" t="s">
        <v>22</v>
      </c>
    </row>
    <row r="53" spans="1:9" ht="15.75" customHeight="1">
      <c r="A53" s="9">
        <v>3</v>
      </c>
      <c r="B53" s="9" t="s">
        <v>277</v>
      </c>
      <c r="C53" s="11" t="s">
        <v>73</v>
      </c>
      <c r="D53" s="15">
        <v>2.7</v>
      </c>
      <c r="E53" s="12">
        <f>SUM(10.5+11)/3.14</f>
        <v>6.8471337579617835</v>
      </c>
      <c r="F53" s="10">
        <f>AVERAGE(0.58,0.66)</f>
        <v>0.62</v>
      </c>
      <c r="G53" s="13">
        <f t="shared" si="1"/>
        <v>4.7567857157372115</v>
      </c>
      <c r="H53" s="15"/>
      <c r="I53" s="15" t="s">
        <v>22</v>
      </c>
    </row>
    <row r="54" spans="1:9" ht="15.75" customHeight="1">
      <c r="A54" s="9">
        <v>3</v>
      </c>
      <c r="B54" s="9" t="s">
        <v>258</v>
      </c>
      <c r="C54" s="11" t="s">
        <v>259</v>
      </c>
      <c r="D54" s="10">
        <v>4.7</v>
      </c>
      <c r="E54" s="12">
        <f>SUM(14.5+7.5)/3.14</f>
        <v>7.0063694267515917</v>
      </c>
      <c r="F54" s="10"/>
      <c r="G54" s="13">
        <f t="shared" si="1"/>
        <v>0</v>
      </c>
      <c r="H54" s="15"/>
      <c r="I54" s="15"/>
    </row>
    <row r="55" spans="1:9" ht="15.75" customHeight="1">
      <c r="A55" s="9">
        <v>3</v>
      </c>
      <c r="B55" s="9" t="s">
        <v>258</v>
      </c>
      <c r="C55" s="11" t="s">
        <v>259</v>
      </c>
      <c r="D55" s="10">
        <v>4.5</v>
      </c>
      <c r="E55" s="12">
        <f>SUM(12.5+9+6.5)/3.14</f>
        <v>8.9171974522292992</v>
      </c>
      <c r="F55" s="10"/>
      <c r="G55" s="13">
        <f t="shared" si="1"/>
        <v>0</v>
      </c>
      <c r="H55" s="15"/>
      <c r="I55" s="15"/>
    </row>
    <row r="56" spans="1:9" ht="15.75" customHeight="1">
      <c r="A56" s="9">
        <v>3</v>
      </c>
      <c r="B56" s="9" t="s">
        <v>265</v>
      </c>
      <c r="C56" s="17" t="s">
        <v>54</v>
      </c>
      <c r="D56" s="15">
        <v>5.7</v>
      </c>
      <c r="E56" s="12">
        <f>SUM(21+18)/3.14</f>
        <v>12.420382165605096</v>
      </c>
      <c r="F56" s="13">
        <v>0.76</v>
      </c>
      <c r="G56" s="13">
        <f t="shared" si="1"/>
        <v>38.474627986405217</v>
      </c>
      <c r="H56" s="15"/>
      <c r="I56" s="15"/>
    </row>
    <row r="57" spans="1:9" ht="15.75" customHeight="1">
      <c r="A57" s="9">
        <v>3</v>
      </c>
      <c r="B57" s="9" t="s">
        <v>273</v>
      </c>
      <c r="C57" s="11" t="s">
        <v>274</v>
      </c>
      <c r="D57" s="10">
        <v>7</v>
      </c>
      <c r="E57" s="12">
        <f>SUM(86.5)/3.14</f>
        <v>27.547770700636942</v>
      </c>
      <c r="F57" s="10" t="s">
        <v>275</v>
      </c>
      <c r="G57" s="13"/>
      <c r="H57" s="15"/>
      <c r="I57" s="15"/>
    </row>
    <row r="58" spans="1:9" ht="15.75" customHeight="1">
      <c r="A58" s="9">
        <v>3</v>
      </c>
      <c r="B58" s="9" t="s">
        <v>281</v>
      </c>
      <c r="C58" s="11" t="s">
        <v>75</v>
      </c>
      <c r="D58" s="10">
        <v>3.7</v>
      </c>
      <c r="E58" s="12">
        <f>SUM(17)/3.14</f>
        <v>5.4140127388535033</v>
      </c>
      <c r="F58" s="13">
        <v>1.08</v>
      </c>
      <c r="G58" s="13">
        <f t="shared" ref="G58:G89" si="2">0.0673*(F58*E58^2*D58)^0.976</f>
        <v>7.0312275601168928</v>
      </c>
      <c r="H58" s="15"/>
      <c r="I58" s="15"/>
    </row>
    <row r="59" spans="1:9" ht="15.75" customHeight="1">
      <c r="A59" s="9">
        <v>3</v>
      </c>
      <c r="B59" s="9" t="s">
        <v>229</v>
      </c>
      <c r="C59" s="11" t="s">
        <v>230</v>
      </c>
      <c r="D59" s="10">
        <v>6</v>
      </c>
      <c r="E59" s="12">
        <f>SUM(15.5+14)/3.14</f>
        <v>9.3949044585987256</v>
      </c>
      <c r="F59" s="47">
        <f>AVERAGE(0.6,0.77)</f>
        <v>0.68500000000000005</v>
      </c>
      <c r="G59" s="13">
        <f t="shared" si="2"/>
        <v>21.193885538861846</v>
      </c>
      <c r="H59" s="15"/>
      <c r="I59" s="15"/>
    </row>
    <row r="60" spans="1:9" ht="15.75" customHeight="1">
      <c r="A60" s="9">
        <v>3</v>
      </c>
      <c r="B60" s="9" t="s">
        <v>229</v>
      </c>
      <c r="C60" s="11" t="s">
        <v>230</v>
      </c>
      <c r="D60" s="10">
        <v>3.5</v>
      </c>
      <c r="E60" s="12">
        <f>SUM(15)/3.14</f>
        <v>4.7770700636942669</v>
      </c>
      <c r="F60" s="47">
        <f>AVERAGE(0.6,0.77)</f>
        <v>0.68500000000000005</v>
      </c>
      <c r="G60" s="13">
        <f t="shared" si="2"/>
        <v>3.3448984550500849</v>
      </c>
      <c r="H60" s="15"/>
      <c r="I60" s="15"/>
    </row>
    <row r="61" spans="1:9" ht="15.75" customHeight="1">
      <c r="A61" s="9">
        <v>3</v>
      </c>
      <c r="B61" s="9" t="s">
        <v>79</v>
      </c>
      <c r="C61" s="11" t="s">
        <v>168</v>
      </c>
      <c r="D61" s="10">
        <v>10</v>
      </c>
      <c r="E61" s="12">
        <f>SUM(53+38.5+43)/3.14</f>
        <v>42.834394904458598</v>
      </c>
      <c r="F61" s="13">
        <f>AVERAGE(0.54,0.58)</f>
        <v>0.56000000000000005</v>
      </c>
      <c r="G61" s="13">
        <f t="shared" si="2"/>
        <v>553.99494831985021</v>
      </c>
      <c r="H61" s="15"/>
      <c r="I61" s="15"/>
    </row>
    <row r="62" spans="1:9" ht="15.75" customHeight="1">
      <c r="A62" s="9">
        <v>3</v>
      </c>
      <c r="B62" s="9" t="s">
        <v>260</v>
      </c>
      <c r="C62" s="11" t="s">
        <v>261</v>
      </c>
      <c r="D62" s="15">
        <v>7.5</v>
      </c>
      <c r="E62" s="12">
        <f>SUM(40+11.5)/3.14</f>
        <v>16.401273885350317</v>
      </c>
      <c r="F62" s="12">
        <f>AVERAGE(0.26,0.39)</f>
        <v>0.32500000000000001</v>
      </c>
      <c r="G62" s="13">
        <f t="shared" si="2"/>
        <v>37.767136303611245</v>
      </c>
      <c r="H62" s="15"/>
      <c r="I62" s="15" t="s">
        <v>87</v>
      </c>
    </row>
    <row r="63" spans="1:9" ht="15.75" customHeight="1">
      <c r="A63" s="9">
        <v>3</v>
      </c>
      <c r="B63" s="9" t="s">
        <v>47</v>
      </c>
      <c r="C63" s="11" t="s">
        <v>48</v>
      </c>
      <c r="D63" s="10">
        <v>9</v>
      </c>
      <c r="E63" s="12">
        <f>SUM(50.5)/3.14</f>
        <v>16.082802547770701</v>
      </c>
      <c r="F63" s="13">
        <f>AVERAGE(0.32,0.4)</f>
        <v>0.36</v>
      </c>
      <c r="G63" s="13">
        <f t="shared" si="2"/>
        <v>47.98716477045496</v>
      </c>
      <c r="H63" s="15"/>
      <c r="I63" s="15"/>
    </row>
    <row r="64" spans="1:9" ht="15.75" customHeight="1">
      <c r="A64" s="9">
        <v>3</v>
      </c>
      <c r="B64" s="9" t="s">
        <v>288</v>
      </c>
      <c r="C64" s="11" t="s">
        <v>289</v>
      </c>
      <c r="D64" s="10">
        <v>8.5</v>
      </c>
      <c r="E64" s="12">
        <f>SUM(27.5+32+27.5)/3.14</f>
        <v>27.70700636942675</v>
      </c>
      <c r="F64" s="12">
        <f>AVERAGE(0.33,0.44)</f>
        <v>0.38500000000000001</v>
      </c>
      <c r="G64" s="13">
        <f t="shared" si="2"/>
        <v>140.11109132183429</v>
      </c>
      <c r="H64" s="15"/>
      <c r="I64" s="15" t="s">
        <v>22</v>
      </c>
    </row>
    <row r="65" spans="1:9" ht="15.75" customHeight="1">
      <c r="A65" s="9">
        <v>4</v>
      </c>
      <c r="B65" s="9" t="s">
        <v>262</v>
      </c>
      <c r="C65" s="11" t="s">
        <v>135</v>
      </c>
      <c r="D65" s="15">
        <v>2.2999999999999998</v>
      </c>
      <c r="E65" s="12">
        <f>SUM(11+12+10)/3.14</f>
        <v>10.509554140127388</v>
      </c>
      <c r="F65" s="10"/>
      <c r="G65" s="13">
        <f t="shared" si="2"/>
        <v>0</v>
      </c>
      <c r="H65" s="15" t="s">
        <v>255</v>
      </c>
      <c r="I65" s="15"/>
    </row>
    <row r="66" spans="1:9" ht="15.75" customHeight="1">
      <c r="A66" s="9">
        <v>4</v>
      </c>
      <c r="B66" s="9" t="s">
        <v>251</v>
      </c>
      <c r="C66" s="187" t="s">
        <v>21</v>
      </c>
      <c r="D66" s="10">
        <v>4.5</v>
      </c>
      <c r="E66" s="12">
        <f>SUM(15+14.5+10.5)/3.14</f>
        <v>12.738853503184712</v>
      </c>
      <c r="F66" s="72">
        <f>AVERAGE(0.84,1.1)</f>
        <v>0.97</v>
      </c>
      <c r="G66" s="13">
        <f t="shared" si="2"/>
        <v>40.724346161922313</v>
      </c>
      <c r="H66" s="15"/>
      <c r="I66" s="15" t="s">
        <v>22</v>
      </c>
    </row>
    <row r="67" spans="1:9" ht="15.75" customHeight="1">
      <c r="A67" s="9">
        <v>4</v>
      </c>
      <c r="B67" s="9" t="s">
        <v>251</v>
      </c>
      <c r="C67" s="187" t="s">
        <v>21</v>
      </c>
      <c r="D67" s="15">
        <v>3.7</v>
      </c>
      <c r="E67" s="12">
        <f>SUM(11.5+7.5)/3.14</f>
        <v>6.0509554140127388</v>
      </c>
      <c r="F67" s="72">
        <f>AVERAGE(0.84,1.1)</f>
        <v>0.97</v>
      </c>
      <c r="G67" s="13">
        <f t="shared" si="2"/>
        <v>7.8666443384813052</v>
      </c>
      <c r="H67" s="15"/>
      <c r="I67" s="15" t="s">
        <v>22</v>
      </c>
    </row>
    <row r="68" spans="1:9" ht="15.75" customHeight="1">
      <c r="A68" s="9">
        <v>4</v>
      </c>
      <c r="B68" s="9" t="s">
        <v>164</v>
      </c>
      <c r="C68" s="11" t="s">
        <v>204</v>
      </c>
      <c r="D68" s="10">
        <v>5.7</v>
      </c>
      <c r="E68" s="12">
        <f>SUM(45+36+30+45)/3.14</f>
        <v>49.681528662420384</v>
      </c>
      <c r="F68" s="10">
        <f>AVERAGE(0.22,0.34)</f>
        <v>0.28000000000000003</v>
      </c>
      <c r="G68" s="13">
        <f t="shared" si="2"/>
        <v>217.34402469411958</v>
      </c>
      <c r="H68" s="15"/>
      <c r="I68" s="15"/>
    </row>
    <row r="69" spans="1:9" ht="15.75" customHeight="1">
      <c r="A69" s="9">
        <v>4</v>
      </c>
      <c r="B69" s="9" t="s">
        <v>286</v>
      </c>
      <c r="C69" s="11" t="s">
        <v>287</v>
      </c>
      <c r="D69" s="10">
        <v>7.5</v>
      </c>
      <c r="E69" s="12">
        <f>SUM(49.5)/3.14</f>
        <v>15.764331210191083</v>
      </c>
      <c r="F69" s="10">
        <f>AVERAGE(0.5,0.7)</f>
        <v>0.6</v>
      </c>
      <c r="G69" s="13">
        <f t="shared" si="2"/>
        <v>63.593562234055803</v>
      </c>
      <c r="H69" s="15"/>
      <c r="I69" s="15" t="s">
        <v>22</v>
      </c>
    </row>
    <row r="70" spans="1:9" ht="15.75" customHeight="1">
      <c r="A70" s="9">
        <v>4</v>
      </c>
      <c r="B70" s="9" t="s">
        <v>268</v>
      </c>
      <c r="C70" s="11" t="s">
        <v>147</v>
      </c>
      <c r="D70" s="15">
        <v>5.7</v>
      </c>
      <c r="E70" s="12">
        <f>SUM(22+10+24)/3.14</f>
        <v>17.834394904458598</v>
      </c>
      <c r="F70" s="10">
        <f>AVERAGE(0.8,1)</f>
        <v>0.9</v>
      </c>
      <c r="G70" s="13">
        <f t="shared" si="2"/>
        <v>91.948779358185021</v>
      </c>
      <c r="H70" s="15"/>
      <c r="I70" s="15"/>
    </row>
    <row r="71" spans="1:9" ht="15.75" customHeight="1">
      <c r="A71" s="9">
        <v>4</v>
      </c>
      <c r="B71" s="9" t="s">
        <v>85</v>
      </c>
      <c r="C71" s="11" t="s">
        <v>86</v>
      </c>
      <c r="D71" s="15">
        <v>1.7</v>
      </c>
      <c r="E71" s="12">
        <f>SUM(7)/3.14</f>
        <v>2.2292993630573248</v>
      </c>
      <c r="F71" s="9">
        <v>0.74</v>
      </c>
      <c r="G71" s="13">
        <f t="shared" si="2"/>
        <v>0.40265034080331125</v>
      </c>
      <c r="H71" s="15"/>
      <c r="I71" s="15"/>
    </row>
    <row r="72" spans="1:9" ht="15.75" customHeight="1">
      <c r="A72" s="9">
        <v>4</v>
      </c>
      <c r="B72" s="9" t="s">
        <v>85</v>
      </c>
      <c r="C72" s="11" t="s">
        <v>86</v>
      </c>
      <c r="D72" s="15">
        <v>1.7</v>
      </c>
      <c r="E72" s="12">
        <f>SUM(16)/3.14</f>
        <v>5.0955414012738851</v>
      </c>
      <c r="F72" s="9">
        <v>0.74</v>
      </c>
      <c r="G72" s="13">
        <f t="shared" si="2"/>
        <v>2.0218033092408572</v>
      </c>
      <c r="H72" s="15"/>
      <c r="I72" s="15"/>
    </row>
    <row r="73" spans="1:9" ht="15.75" customHeight="1">
      <c r="A73" s="9">
        <v>4</v>
      </c>
      <c r="B73" s="9" t="s">
        <v>85</v>
      </c>
      <c r="C73" s="11" t="s">
        <v>86</v>
      </c>
      <c r="D73" s="15">
        <v>1.6</v>
      </c>
      <c r="E73" s="12">
        <f>SUM(5)/3.14</f>
        <v>1.592356687898089</v>
      </c>
      <c r="F73" s="9">
        <v>0.74</v>
      </c>
      <c r="G73" s="13">
        <f t="shared" si="2"/>
        <v>0.19678369053075198</v>
      </c>
      <c r="H73" s="15" t="s">
        <v>255</v>
      </c>
      <c r="I73" s="15"/>
    </row>
    <row r="74" spans="1:9" ht="15.75" customHeight="1">
      <c r="A74" s="9">
        <v>4</v>
      </c>
      <c r="B74" s="9" t="s">
        <v>58</v>
      </c>
      <c r="C74" s="32" t="s">
        <v>59</v>
      </c>
      <c r="D74" s="15">
        <v>3</v>
      </c>
      <c r="E74" s="12">
        <f>SUM(12.5)/3.14</f>
        <v>3.9808917197452227</v>
      </c>
      <c r="F74" s="12">
        <f>AVERAGE(0.9,1.07)</f>
        <v>0.9850000000000001</v>
      </c>
      <c r="G74" s="13">
        <f t="shared" si="2"/>
        <v>2.8736961236018792</v>
      </c>
      <c r="H74" s="15"/>
      <c r="I74" s="15"/>
    </row>
    <row r="75" spans="1:9" ht="15.75" customHeight="1">
      <c r="A75" s="9">
        <v>4</v>
      </c>
      <c r="B75" s="9" t="s">
        <v>283</v>
      </c>
      <c r="C75" s="11" t="s">
        <v>284</v>
      </c>
      <c r="D75" s="15">
        <v>1.7</v>
      </c>
      <c r="E75" s="12">
        <f>SUM(6)/3.14</f>
        <v>1.910828025477707</v>
      </c>
      <c r="F75" s="12">
        <f>AVERAGE(0.85,1)</f>
        <v>0.92500000000000004</v>
      </c>
      <c r="G75" s="13">
        <f t="shared" si="2"/>
        <v>0.37053745164957924</v>
      </c>
      <c r="H75" s="15"/>
      <c r="I75" s="15"/>
    </row>
    <row r="76" spans="1:9" ht="15.75" customHeight="1">
      <c r="A76" s="9">
        <v>4</v>
      </c>
      <c r="B76" s="9" t="s">
        <v>229</v>
      </c>
      <c r="C76" s="11" t="s">
        <v>230</v>
      </c>
      <c r="D76" s="15">
        <v>6.8</v>
      </c>
      <c r="E76" s="12">
        <f>SUM(20.5+27.5+17)/3.14</f>
        <v>20.700636942675157</v>
      </c>
      <c r="F76" s="47">
        <f>AVERAGE(0.6,0.77)</f>
        <v>0.68500000000000005</v>
      </c>
      <c r="G76" s="13">
        <f t="shared" si="2"/>
        <v>111.93810744020793</v>
      </c>
      <c r="H76" s="15" t="s">
        <v>255</v>
      </c>
      <c r="I76" s="15"/>
    </row>
    <row r="77" spans="1:9" ht="15.75" customHeight="1">
      <c r="A77" s="9">
        <v>4</v>
      </c>
      <c r="B77" s="9" t="s">
        <v>229</v>
      </c>
      <c r="C77" s="11" t="s">
        <v>230</v>
      </c>
      <c r="D77" s="15">
        <v>2.2000000000000002</v>
      </c>
      <c r="E77" s="12">
        <f>SUM(9.5+8)/3.14</f>
        <v>5.5732484076433115</v>
      </c>
      <c r="F77" s="47">
        <f>AVERAGE(0.6,0.77)</f>
        <v>0.68500000000000005</v>
      </c>
      <c r="G77" s="13">
        <f t="shared" si="2"/>
        <v>2.8724812099785186</v>
      </c>
      <c r="H77" s="15"/>
      <c r="I77" s="15"/>
    </row>
    <row r="78" spans="1:9" ht="15.75" customHeight="1">
      <c r="A78" s="9">
        <v>4</v>
      </c>
      <c r="B78" s="9" t="s">
        <v>124</v>
      </c>
      <c r="C78" s="11" t="s">
        <v>257</v>
      </c>
      <c r="D78" s="15">
        <v>6</v>
      </c>
      <c r="E78" s="12">
        <f>SUM(26.5)/3.14</f>
        <v>8.4394904458598727</v>
      </c>
      <c r="F78" s="10"/>
      <c r="G78" s="13">
        <f t="shared" si="2"/>
        <v>0</v>
      </c>
      <c r="H78" s="15"/>
      <c r="I78" s="15"/>
    </row>
    <row r="79" spans="1:9" ht="15.75" customHeight="1">
      <c r="A79" s="9">
        <v>4</v>
      </c>
      <c r="B79" s="9" t="s">
        <v>213</v>
      </c>
      <c r="C79" s="32" t="s">
        <v>173</v>
      </c>
      <c r="D79" s="15">
        <v>5.5</v>
      </c>
      <c r="E79" s="12">
        <f>SUM(21+22+16)/3.14</f>
        <v>18.789808917197451</v>
      </c>
      <c r="F79" s="10">
        <f>AVERAGE(0.6,0.65)</f>
        <v>0.625</v>
      </c>
      <c r="G79" s="13">
        <f t="shared" si="2"/>
        <v>68.878614044317331</v>
      </c>
      <c r="H79" s="15"/>
      <c r="I79" s="15"/>
    </row>
    <row r="80" spans="1:9" ht="15.75" customHeight="1">
      <c r="A80" s="9">
        <v>4</v>
      </c>
      <c r="B80" s="9" t="s">
        <v>47</v>
      </c>
      <c r="C80" s="11" t="s">
        <v>48</v>
      </c>
      <c r="D80" s="10">
        <v>9.5</v>
      </c>
      <c r="E80" s="12">
        <f>SUM(48.5)/3.14</f>
        <v>15.445859872611464</v>
      </c>
      <c r="F80" s="13">
        <f>AVERAGE(0.32,0.4)</f>
        <v>0.36</v>
      </c>
      <c r="G80" s="13">
        <f t="shared" si="2"/>
        <v>46.750444497560537</v>
      </c>
      <c r="H80" s="15"/>
      <c r="I80" s="15"/>
    </row>
    <row r="81" spans="1:9" ht="15.75" customHeight="1">
      <c r="A81" s="9">
        <v>4</v>
      </c>
      <c r="B81" s="9" t="s">
        <v>266</v>
      </c>
      <c r="C81" s="11" t="s">
        <v>267</v>
      </c>
      <c r="D81" s="15">
        <v>5</v>
      </c>
      <c r="E81" s="12">
        <f>SUM(17.5)/3.14</f>
        <v>5.5732484076433115</v>
      </c>
      <c r="F81" s="12">
        <f>AVERAGE(0.75,0.8)</f>
        <v>0.77500000000000002</v>
      </c>
      <c r="G81" s="13">
        <f t="shared" si="2"/>
        <v>7.220576076398995</v>
      </c>
      <c r="H81" s="15"/>
      <c r="I81" s="15" t="s">
        <v>22</v>
      </c>
    </row>
    <row r="82" spans="1:9" ht="15.75" customHeight="1">
      <c r="A82" s="9">
        <v>5</v>
      </c>
      <c r="B82" s="9" t="s">
        <v>262</v>
      </c>
      <c r="C82" s="11" t="s">
        <v>135</v>
      </c>
      <c r="D82" s="15">
        <v>2.5</v>
      </c>
      <c r="E82" s="12">
        <f>SUM(5)/3.14</f>
        <v>1.592356687898089</v>
      </c>
      <c r="F82" s="10"/>
      <c r="G82" s="13">
        <f t="shared" si="2"/>
        <v>0</v>
      </c>
      <c r="H82" s="15" t="s">
        <v>110</v>
      </c>
      <c r="I82" s="15"/>
    </row>
    <row r="83" spans="1:9" ht="15.75" customHeight="1">
      <c r="A83" s="9">
        <v>5</v>
      </c>
      <c r="B83" s="9" t="s">
        <v>262</v>
      </c>
      <c r="C83" s="11" t="s">
        <v>135</v>
      </c>
      <c r="D83" s="15">
        <v>1.75</v>
      </c>
      <c r="E83" s="12">
        <f>SUM(6)/3.14</f>
        <v>1.910828025477707</v>
      </c>
      <c r="F83" s="10"/>
      <c r="G83" s="13">
        <f t="shared" si="2"/>
        <v>0</v>
      </c>
      <c r="H83" s="15"/>
      <c r="I83" s="15"/>
    </row>
    <row r="84" spans="1:9" ht="15.75" customHeight="1">
      <c r="A84" s="9">
        <v>5</v>
      </c>
      <c r="B84" s="9" t="s">
        <v>276</v>
      </c>
      <c r="C84" s="17" t="s">
        <v>204</v>
      </c>
      <c r="D84" s="15">
        <v>5</v>
      </c>
      <c r="E84" s="12">
        <f>SUM(56)/3.14</f>
        <v>17.834394904458598</v>
      </c>
      <c r="F84" s="10">
        <f>AVERAGE(0.22,0.34)</f>
        <v>0.28000000000000003</v>
      </c>
      <c r="G84" s="13">
        <f t="shared" si="2"/>
        <v>25.887635359878406</v>
      </c>
      <c r="H84" s="15"/>
      <c r="I84" s="15"/>
    </row>
    <row r="85" spans="1:9" ht="15.75" customHeight="1">
      <c r="A85" s="9">
        <v>5</v>
      </c>
      <c r="B85" s="9" t="s">
        <v>286</v>
      </c>
      <c r="C85" s="11" t="s">
        <v>287</v>
      </c>
      <c r="D85" s="15">
        <v>5.5</v>
      </c>
      <c r="E85" s="12">
        <f>SUM(20.5)/3.14</f>
        <v>6.5286624203821653</v>
      </c>
      <c r="F85" s="10">
        <f>AVERAGE(0.5,0.7)</f>
        <v>0.6</v>
      </c>
      <c r="G85" s="13">
        <f t="shared" si="2"/>
        <v>8.4066222572106035</v>
      </c>
      <c r="H85" s="15"/>
      <c r="I85" s="15" t="s">
        <v>22</v>
      </c>
    </row>
    <row r="86" spans="1:9" ht="15.75" customHeight="1">
      <c r="A86" s="9">
        <v>5</v>
      </c>
      <c r="B86" s="9" t="s">
        <v>286</v>
      </c>
      <c r="C86" s="11" t="s">
        <v>287</v>
      </c>
      <c r="D86" s="15">
        <v>5</v>
      </c>
      <c r="E86" s="12">
        <f>SUM(20+22)/3.14</f>
        <v>13.375796178343949</v>
      </c>
      <c r="F86" s="10">
        <f>AVERAGE(0.5,0.7)</f>
        <v>0.6</v>
      </c>
      <c r="G86" s="13">
        <f t="shared" si="2"/>
        <v>31.0642841879503</v>
      </c>
      <c r="H86" s="15"/>
      <c r="I86" s="15" t="s">
        <v>22</v>
      </c>
    </row>
    <row r="87" spans="1:9" ht="15.75" customHeight="1">
      <c r="A87" s="9">
        <v>5</v>
      </c>
      <c r="B87" s="9" t="s">
        <v>252</v>
      </c>
      <c r="C87" s="11" t="s">
        <v>34</v>
      </c>
      <c r="D87" s="15">
        <v>2.7</v>
      </c>
      <c r="E87" s="12">
        <f>SUM(11+12.5+12)/3.14</f>
        <v>11.305732484076433</v>
      </c>
      <c r="F87" s="10"/>
      <c r="G87" s="13">
        <f t="shared" si="2"/>
        <v>0</v>
      </c>
      <c r="H87" s="15"/>
      <c r="I87" s="15"/>
    </row>
    <row r="88" spans="1:9" ht="15.75" customHeight="1">
      <c r="A88" s="9">
        <v>5</v>
      </c>
      <c r="B88" s="9" t="s">
        <v>258</v>
      </c>
      <c r="C88" s="17" t="s">
        <v>259</v>
      </c>
      <c r="D88" s="15">
        <v>2.7</v>
      </c>
      <c r="E88" s="12">
        <f>SUM(8+7)/3.14</f>
        <v>4.7770700636942669</v>
      </c>
      <c r="F88" s="10"/>
      <c r="G88" s="13">
        <f t="shared" si="2"/>
        <v>0</v>
      </c>
      <c r="H88" s="15"/>
      <c r="I88" s="15"/>
    </row>
    <row r="89" spans="1:9" ht="15.75" customHeight="1">
      <c r="A89" s="9">
        <v>5</v>
      </c>
      <c r="B89" s="9" t="s">
        <v>229</v>
      </c>
      <c r="C89" s="11" t="s">
        <v>230</v>
      </c>
      <c r="D89" s="15">
        <v>6</v>
      </c>
      <c r="E89" s="12">
        <f>SUM(35+21.5)/3.14</f>
        <v>17.993630573248407</v>
      </c>
      <c r="F89" s="47">
        <f>AVERAGE(0.6,0.77)</f>
        <v>0.68500000000000005</v>
      </c>
      <c r="G89" s="13">
        <f t="shared" si="2"/>
        <v>75.355781725534499</v>
      </c>
      <c r="H89" s="15"/>
      <c r="I89" s="15"/>
    </row>
    <row r="90" spans="1:9" ht="15.75" customHeight="1">
      <c r="A90" s="9">
        <v>5</v>
      </c>
      <c r="B90" s="9" t="s">
        <v>229</v>
      </c>
      <c r="C90" s="11" t="s">
        <v>230</v>
      </c>
      <c r="D90" s="15">
        <v>5</v>
      </c>
      <c r="E90" s="12">
        <f>SUM(27+14+18.5)/3.14</f>
        <v>18.949044585987259</v>
      </c>
      <c r="F90" s="196">
        <f>AVERAGE(0.6,0.77)</f>
        <v>0.68500000000000005</v>
      </c>
      <c r="G90" s="13">
        <f t="shared" ref="G90:G109" si="3">0.0673*(F90*E90^2*D90)^0.976</f>
        <v>69.774097905491899</v>
      </c>
      <c r="H90" s="15"/>
      <c r="I90" s="15"/>
    </row>
    <row r="91" spans="1:9" ht="15.75" customHeight="1">
      <c r="A91" s="9">
        <v>5</v>
      </c>
      <c r="B91" s="9" t="s">
        <v>260</v>
      </c>
      <c r="C91" s="11" t="s">
        <v>261</v>
      </c>
      <c r="D91" s="15">
        <v>6</v>
      </c>
      <c r="E91" s="12">
        <f>SUM(32)/3.14</f>
        <v>10.19108280254777</v>
      </c>
      <c r="F91" s="198">
        <f>AVERAGE(0.26,0.39)</f>
        <v>0.32500000000000001</v>
      </c>
      <c r="G91" s="13">
        <f t="shared" si="3"/>
        <v>11.998720296263457</v>
      </c>
      <c r="H91" s="15"/>
      <c r="I91" s="15" t="s">
        <v>87</v>
      </c>
    </row>
    <row r="92" spans="1:9" ht="15.75" customHeight="1">
      <c r="A92" s="9">
        <v>5</v>
      </c>
      <c r="B92" s="9" t="s">
        <v>260</v>
      </c>
      <c r="C92" s="11" t="s">
        <v>261</v>
      </c>
      <c r="D92" s="15">
        <v>6</v>
      </c>
      <c r="E92" s="12">
        <f>SUM(38+18)/3.14</f>
        <v>17.834394904458598</v>
      </c>
      <c r="F92" s="198">
        <f>AVERAGE(0.26,0.39)</f>
        <v>0.32500000000000001</v>
      </c>
      <c r="G92" s="13">
        <f t="shared" si="3"/>
        <v>35.772162966489027</v>
      </c>
      <c r="H92" s="15"/>
      <c r="I92" s="15" t="s">
        <v>87</v>
      </c>
    </row>
    <row r="93" spans="1:9" ht="15.75" customHeight="1">
      <c r="A93" s="9">
        <v>5</v>
      </c>
      <c r="B93" s="9" t="s">
        <v>260</v>
      </c>
      <c r="C93" s="11" t="s">
        <v>261</v>
      </c>
      <c r="D93" s="15">
        <v>5.5</v>
      </c>
      <c r="E93" s="12">
        <f>SUM(25)/3.14</f>
        <v>7.9617834394904454</v>
      </c>
      <c r="F93" s="198">
        <f>AVERAGE(0.26,0.39)</f>
        <v>0.32500000000000001</v>
      </c>
      <c r="G93" s="13">
        <f t="shared" si="3"/>
        <v>6.8073712066764962</v>
      </c>
      <c r="H93" s="15"/>
      <c r="I93" s="15" t="s">
        <v>87</v>
      </c>
    </row>
    <row r="94" spans="1:9" ht="15.75" customHeight="1">
      <c r="A94" s="9">
        <v>5</v>
      </c>
      <c r="B94" s="9" t="s">
        <v>118</v>
      </c>
      <c r="C94" s="11" t="s">
        <v>29</v>
      </c>
      <c r="D94" s="15">
        <v>5</v>
      </c>
      <c r="E94" s="12">
        <f>SUM(13.5+12+9.5)/3.14</f>
        <v>11.146496815286623</v>
      </c>
      <c r="F94" s="191">
        <v>0.8</v>
      </c>
      <c r="G94" s="13">
        <f t="shared" si="3"/>
        <v>28.816402743043483</v>
      </c>
      <c r="H94" s="15"/>
      <c r="I94" s="15"/>
    </row>
    <row r="95" spans="1:9" ht="15.75" customHeight="1">
      <c r="A95" s="9">
        <v>5</v>
      </c>
      <c r="B95" s="9" t="s">
        <v>118</v>
      </c>
      <c r="C95" s="11" t="s">
        <v>29</v>
      </c>
      <c r="D95" s="15">
        <v>4</v>
      </c>
      <c r="E95" s="12">
        <f>SUM(11.5+9+10+5)/3.14</f>
        <v>11.305732484076433</v>
      </c>
      <c r="F95" s="191">
        <v>0.8</v>
      </c>
      <c r="G95" s="13">
        <f t="shared" si="3"/>
        <v>23.827611758307267</v>
      </c>
      <c r="H95" s="15"/>
      <c r="I95" s="15"/>
    </row>
    <row r="96" spans="1:9" ht="15.75" customHeight="1">
      <c r="A96" s="9">
        <v>5</v>
      </c>
      <c r="B96" s="9" t="s">
        <v>118</v>
      </c>
      <c r="C96" s="11" t="s">
        <v>29</v>
      </c>
      <c r="D96" s="15">
        <v>3.9</v>
      </c>
      <c r="E96" s="12">
        <f>SUM(12+12+11)/3.14</f>
        <v>11.146496815286623</v>
      </c>
      <c r="F96" s="191">
        <v>0.8</v>
      </c>
      <c r="G96" s="13">
        <f t="shared" si="3"/>
        <v>22.611225308431109</v>
      </c>
      <c r="H96" s="15"/>
      <c r="I96" s="15"/>
    </row>
    <row r="97" spans="1:9" ht="15.75" customHeight="1">
      <c r="A97" s="9">
        <v>5</v>
      </c>
      <c r="B97" s="9" t="s">
        <v>118</v>
      </c>
      <c r="C97" s="11" t="s">
        <v>29</v>
      </c>
      <c r="D97" s="15">
        <v>2.5</v>
      </c>
      <c r="E97" s="12">
        <f>SUM(13+12+12)/3.14</f>
        <v>11.783439490445859</v>
      </c>
      <c r="F97" s="13">
        <v>0.8</v>
      </c>
      <c r="G97" s="13">
        <f t="shared" si="3"/>
        <v>16.328392536775763</v>
      </c>
      <c r="H97" s="15"/>
      <c r="I97" s="15"/>
    </row>
    <row r="98" spans="1:9" ht="15.75" customHeight="1">
      <c r="A98" s="9">
        <v>5</v>
      </c>
      <c r="B98" s="9" t="s">
        <v>166</v>
      </c>
      <c r="C98" s="11" t="s">
        <v>91</v>
      </c>
      <c r="D98" s="15">
        <v>7</v>
      </c>
      <c r="E98" s="12">
        <f>SUM(15+18.5+12)/3.14</f>
        <v>14.490445859872612</v>
      </c>
      <c r="F98" s="13">
        <f>AVERAGE(0.45,0.51)</f>
        <v>0.48</v>
      </c>
      <c r="G98" s="13">
        <f t="shared" si="3"/>
        <v>40.565214072006206</v>
      </c>
      <c r="H98" s="15"/>
      <c r="I98" s="15"/>
    </row>
    <row r="99" spans="1:9" ht="15.75" customHeight="1">
      <c r="A99" s="9">
        <v>5</v>
      </c>
      <c r="B99" s="9" t="s">
        <v>266</v>
      </c>
      <c r="C99" s="11" t="s">
        <v>267</v>
      </c>
      <c r="D99" s="15">
        <v>2</v>
      </c>
      <c r="E99" s="12">
        <f>SUM(21+20)/3.14</f>
        <v>13.057324840764331</v>
      </c>
      <c r="F99" s="12">
        <f>AVERAGE(0.75,0.8)</f>
        <v>0.77500000000000002</v>
      </c>
      <c r="G99" s="13">
        <f t="shared" si="3"/>
        <v>15.55701308212047</v>
      </c>
      <c r="H99" s="15"/>
      <c r="I99" s="15" t="s">
        <v>22</v>
      </c>
    </row>
    <row r="100" spans="1:9" ht="15.75" customHeight="1">
      <c r="A100" s="9">
        <v>6</v>
      </c>
      <c r="B100" s="9" t="s">
        <v>128</v>
      </c>
      <c r="C100" s="11" t="s">
        <v>129</v>
      </c>
      <c r="D100" s="15">
        <v>6</v>
      </c>
      <c r="E100" s="12">
        <f>SUM(18)/3.14</f>
        <v>5.7324840764331206</v>
      </c>
      <c r="F100" s="10">
        <f>AVERAGE(0.25,0.41)</f>
        <v>0.32999999999999996</v>
      </c>
      <c r="G100" s="13">
        <f t="shared" si="3"/>
        <v>3.96137126383198</v>
      </c>
      <c r="H100" s="15"/>
      <c r="I100" s="15"/>
    </row>
    <row r="101" spans="1:9" ht="15.75" customHeight="1">
      <c r="A101" s="9">
        <v>6</v>
      </c>
      <c r="B101" s="9" t="s">
        <v>285</v>
      </c>
      <c r="C101" s="17" t="s">
        <v>71</v>
      </c>
      <c r="D101" s="15">
        <v>4.5</v>
      </c>
      <c r="E101" s="12">
        <f>SUM(24.5)/3.14</f>
        <v>7.8025477707006363</v>
      </c>
      <c r="F101" s="13">
        <f>AVERAGE(0.37,0.6)</f>
        <v>0.48499999999999999</v>
      </c>
      <c r="G101" s="13">
        <f t="shared" si="3"/>
        <v>7.9520653088601918</v>
      </c>
      <c r="H101" s="15"/>
      <c r="I101" s="15"/>
    </row>
    <row r="102" spans="1:9" ht="15.75" customHeight="1">
      <c r="A102" s="9">
        <v>6</v>
      </c>
      <c r="B102" s="9" t="s">
        <v>285</v>
      </c>
      <c r="C102" s="17" t="s">
        <v>71</v>
      </c>
      <c r="D102" s="15">
        <v>2.5</v>
      </c>
      <c r="E102" s="12">
        <f>SUM(10.5)/3.14</f>
        <v>3.3439490445859872</v>
      </c>
      <c r="F102" s="13">
        <f>AVERAGE(0.37,0.6)</f>
        <v>0.48499999999999999</v>
      </c>
      <c r="G102" s="13">
        <f t="shared" si="3"/>
        <v>0.85712327474856465</v>
      </c>
      <c r="H102" s="15"/>
      <c r="I102" s="15"/>
    </row>
    <row r="103" spans="1:9" ht="15.75" customHeight="1">
      <c r="A103" s="9">
        <v>6</v>
      </c>
      <c r="B103" s="9" t="s">
        <v>277</v>
      </c>
      <c r="C103" s="17" t="s">
        <v>73</v>
      </c>
      <c r="D103" s="15">
        <v>1.8</v>
      </c>
      <c r="E103" s="12">
        <f>SUM(6+6)/3.14</f>
        <v>3.8216560509554141</v>
      </c>
      <c r="F103" s="10">
        <f>AVERAGE(0.58,0.66)</f>
        <v>0.62</v>
      </c>
      <c r="G103" s="13">
        <f t="shared" si="3"/>
        <v>1.0258655300550681</v>
      </c>
      <c r="H103" s="15"/>
      <c r="I103" s="15" t="s">
        <v>22</v>
      </c>
    </row>
    <row r="104" spans="1:9" ht="15.75" customHeight="1">
      <c r="A104" s="9">
        <v>6</v>
      </c>
      <c r="B104" s="9" t="s">
        <v>58</v>
      </c>
      <c r="C104" s="32" t="s">
        <v>59</v>
      </c>
      <c r="D104" s="15">
        <v>2.2000000000000002</v>
      </c>
      <c r="E104" s="12">
        <f>SUM(7.5)/3.14</f>
        <v>2.3885350318471334</v>
      </c>
      <c r="F104" s="12">
        <f>AVERAGE(0.9,1.07)</f>
        <v>0.9850000000000001</v>
      </c>
      <c r="G104" s="13">
        <f t="shared" si="3"/>
        <v>0.78329666012930665</v>
      </c>
      <c r="H104" s="15"/>
      <c r="I104" s="15"/>
    </row>
    <row r="105" spans="1:9" ht="15.75" customHeight="1">
      <c r="A105" s="9">
        <v>6</v>
      </c>
      <c r="B105" s="9" t="s">
        <v>265</v>
      </c>
      <c r="C105" s="17" t="s">
        <v>54</v>
      </c>
      <c r="D105" s="15">
        <v>1.9</v>
      </c>
      <c r="E105" s="12">
        <f>SUM(6.5+6.5)/3.14</f>
        <v>4.1401273885350314</v>
      </c>
      <c r="F105" s="13">
        <v>0.76</v>
      </c>
      <c r="G105" s="13">
        <f t="shared" si="3"/>
        <v>1.5422805991312019</v>
      </c>
      <c r="H105" s="15"/>
      <c r="I105" s="15"/>
    </row>
    <row r="106" spans="1:9" ht="15.75" customHeight="1">
      <c r="A106" s="9">
        <v>6</v>
      </c>
      <c r="B106" s="9" t="s">
        <v>264</v>
      </c>
      <c r="C106" s="17" t="s">
        <v>232</v>
      </c>
      <c r="D106" s="15">
        <v>5.3</v>
      </c>
      <c r="E106" s="12">
        <f>SUM(21+22+21.5)/3.14</f>
        <v>20.541401273885349</v>
      </c>
      <c r="F106" s="72">
        <v>0.62</v>
      </c>
      <c r="G106" s="13">
        <f t="shared" si="3"/>
        <v>78.439802559044409</v>
      </c>
      <c r="H106" s="15"/>
      <c r="I106" s="15"/>
    </row>
    <row r="107" spans="1:9" ht="15.75" customHeight="1">
      <c r="A107" s="9">
        <v>6</v>
      </c>
      <c r="B107" s="9" t="s">
        <v>264</v>
      </c>
      <c r="C107" s="17" t="s">
        <v>232</v>
      </c>
      <c r="D107" s="15">
        <v>4.9000000000000004</v>
      </c>
      <c r="E107" s="12">
        <f>SUM(21+23+14)/3.14</f>
        <v>18.471337579617835</v>
      </c>
      <c r="F107" s="72">
        <v>0.62</v>
      </c>
      <c r="G107" s="13">
        <f t="shared" si="3"/>
        <v>59.05076084295515</v>
      </c>
      <c r="H107" s="15"/>
      <c r="I107" s="15"/>
    </row>
    <row r="108" spans="1:9" ht="15.75" customHeight="1">
      <c r="A108" s="9">
        <v>6</v>
      </c>
      <c r="B108" s="9" t="s">
        <v>264</v>
      </c>
      <c r="C108" s="17" t="s">
        <v>232</v>
      </c>
      <c r="D108" s="15">
        <v>4.7</v>
      </c>
      <c r="E108" s="12">
        <f>SUM(13.5+16+18)/3.14</f>
        <v>15.127388535031846</v>
      </c>
      <c r="F108" s="72">
        <v>0.62</v>
      </c>
      <c r="G108" s="13">
        <f t="shared" si="3"/>
        <v>38.3933595003829</v>
      </c>
      <c r="H108" s="15"/>
      <c r="I108" s="15"/>
    </row>
    <row r="109" spans="1:9" ht="15.75" customHeight="1">
      <c r="A109" s="9">
        <v>6</v>
      </c>
      <c r="B109" s="9" t="s">
        <v>264</v>
      </c>
      <c r="C109" s="17" t="s">
        <v>232</v>
      </c>
      <c r="D109" s="15">
        <v>3.9</v>
      </c>
      <c r="E109" s="12">
        <f>SUM(19+7)/3.14</f>
        <v>8.2802547770700627</v>
      </c>
      <c r="F109" s="72">
        <v>0.62</v>
      </c>
      <c r="G109" s="13">
        <f t="shared" si="3"/>
        <v>9.869376385103017</v>
      </c>
      <c r="H109" s="15"/>
      <c r="I109" s="15"/>
    </row>
    <row r="110" spans="1:9" ht="15.75" customHeight="1">
      <c r="A110" s="9">
        <v>6</v>
      </c>
      <c r="B110" s="9" t="s">
        <v>273</v>
      </c>
      <c r="C110" s="11" t="s">
        <v>274</v>
      </c>
      <c r="D110" s="15">
        <v>3.5</v>
      </c>
      <c r="E110" s="12">
        <f>SUM(27.5)/3.14</f>
        <v>8.7579617834394909</v>
      </c>
      <c r="F110" s="10" t="s">
        <v>275</v>
      </c>
      <c r="G110" s="13"/>
      <c r="H110" s="15"/>
      <c r="I110" s="15"/>
    </row>
    <row r="111" spans="1:9" ht="15.75" customHeight="1">
      <c r="A111" s="9">
        <v>6</v>
      </c>
      <c r="B111" s="9" t="s">
        <v>256</v>
      </c>
      <c r="C111" s="17" t="s">
        <v>120</v>
      </c>
      <c r="D111" s="15">
        <v>2.8</v>
      </c>
      <c r="E111" s="12">
        <f>SUM(10+11.5)/3.14</f>
        <v>6.8471337579617835</v>
      </c>
      <c r="F111" s="10"/>
      <c r="G111" s="13">
        <f t="shared" ref="G111:G156" si="4">0.0673*(F111*E111^2*D111)^0.976</f>
        <v>0</v>
      </c>
      <c r="H111" s="15"/>
      <c r="I111" s="15"/>
    </row>
    <row r="112" spans="1:9" ht="15.75" customHeight="1">
      <c r="A112" s="9">
        <v>6</v>
      </c>
      <c r="B112" s="9" t="s">
        <v>229</v>
      </c>
      <c r="C112" s="11" t="s">
        <v>230</v>
      </c>
      <c r="D112" s="15">
        <v>7</v>
      </c>
      <c r="E112" s="12">
        <f>SUM(25.5+8.5+12)/3.14</f>
        <v>14.64968152866242</v>
      </c>
      <c r="F112" s="47">
        <f>AVERAGE(0.6,0.77)</f>
        <v>0.68500000000000005</v>
      </c>
      <c r="G112" s="13">
        <f t="shared" si="4"/>
        <v>58.635598642566521</v>
      </c>
      <c r="H112" s="15"/>
      <c r="I112" s="15"/>
    </row>
    <row r="113" spans="1:9" ht="15.75" customHeight="1">
      <c r="A113" s="9">
        <v>6</v>
      </c>
      <c r="B113" s="9" t="s">
        <v>229</v>
      </c>
      <c r="C113" s="11" t="s">
        <v>230</v>
      </c>
      <c r="D113" s="15">
        <v>5.7</v>
      </c>
      <c r="E113" s="12">
        <f>SUM(33)/3.14</f>
        <v>10.509554140127388</v>
      </c>
      <c r="F113" s="47">
        <f>AVERAGE(0.6,0.77)</f>
        <v>0.68500000000000005</v>
      </c>
      <c r="G113" s="13">
        <f t="shared" si="4"/>
        <v>25.090854889331833</v>
      </c>
      <c r="H113" s="15"/>
      <c r="I113" s="15"/>
    </row>
    <row r="114" spans="1:9" ht="15.75" customHeight="1">
      <c r="A114" s="9">
        <v>6</v>
      </c>
      <c r="B114" s="9" t="s">
        <v>260</v>
      </c>
      <c r="C114" s="11" t="s">
        <v>261</v>
      </c>
      <c r="D114" s="15">
        <v>5</v>
      </c>
      <c r="E114" s="12">
        <f>SUM(36)/3.14</f>
        <v>11.464968152866241</v>
      </c>
      <c r="F114" s="12">
        <f>AVERAGE(0.26,0.39)</f>
        <v>0.32500000000000001</v>
      </c>
      <c r="G114" s="13">
        <f t="shared" si="4"/>
        <v>12.638739343897523</v>
      </c>
      <c r="H114" s="15"/>
      <c r="I114" s="15" t="s">
        <v>87</v>
      </c>
    </row>
    <row r="115" spans="1:9" ht="15.75" customHeight="1">
      <c r="A115" s="9">
        <v>6</v>
      </c>
      <c r="B115" s="9" t="s">
        <v>118</v>
      </c>
      <c r="C115" s="11" t="s">
        <v>29</v>
      </c>
      <c r="D115" s="15">
        <v>4</v>
      </c>
      <c r="E115" s="12">
        <f>SUM(11.5+13+15.5+12)/3.14</f>
        <v>16.560509554140125</v>
      </c>
      <c r="F115" s="13">
        <v>0.8</v>
      </c>
      <c r="G115" s="13">
        <f t="shared" si="4"/>
        <v>50.196483842460196</v>
      </c>
      <c r="H115" s="15"/>
      <c r="I115" s="15"/>
    </row>
    <row r="116" spans="1:9" ht="15.75" customHeight="1">
      <c r="A116" s="9">
        <v>6</v>
      </c>
      <c r="B116" s="9" t="s">
        <v>288</v>
      </c>
      <c r="C116" s="17" t="s">
        <v>289</v>
      </c>
      <c r="D116" s="15">
        <v>6.5</v>
      </c>
      <c r="E116" s="12">
        <f>SUM(25.5)/3.14</f>
        <v>8.1210191082802545</v>
      </c>
      <c r="F116" s="12">
        <f>AVERAGE(0.33,0.44)</f>
        <v>0.38500000000000001</v>
      </c>
      <c r="G116" s="13">
        <f t="shared" si="4"/>
        <v>9.8262527646914357</v>
      </c>
      <c r="H116" s="15"/>
      <c r="I116" s="15" t="s">
        <v>22</v>
      </c>
    </row>
    <row r="117" spans="1:9" ht="15.75" customHeight="1">
      <c r="A117" s="9">
        <v>6</v>
      </c>
      <c r="B117" s="9" t="s">
        <v>288</v>
      </c>
      <c r="C117" s="17" t="s">
        <v>289</v>
      </c>
      <c r="D117" s="15">
        <v>5</v>
      </c>
      <c r="E117" s="12">
        <f>SUM(14+17)/3.14</f>
        <v>9.872611464968152</v>
      </c>
      <c r="F117" s="12">
        <f>AVERAGE(0.33,0.44)</f>
        <v>0.38500000000000001</v>
      </c>
      <c r="G117" s="13">
        <f t="shared" si="4"/>
        <v>11.136553654494254</v>
      </c>
      <c r="H117" s="15"/>
      <c r="I117" s="15" t="s">
        <v>22</v>
      </c>
    </row>
    <row r="118" spans="1:9" ht="15.75" customHeight="1">
      <c r="A118" s="9">
        <v>6</v>
      </c>
      <c r="B118" s="9" t="s">
        <v>288</v>
      </c>
      <c r="C118" s="17" t="s">
        <v>289</v>
      </c>
      <c r="D118" s="15">
        <v>4.5</v>
      </c>
      <c r="E118" s="12">
        <f>SUM(22+16)/3.14</f>
        <v>12.101910828025478</v>
      </c>
      <c r="F118" s="12">
        <f>AVERAGE(0.33,0.44)</f>
        <v>0.38500000000000001</v>
      </c>
      <c r="G118" s="13">
        <f t="shared" si="4"/>
        <v>14.951716618759987</v>
      </c>
      <c r="H118" s="15"/>
      <c r="I118" s="15" t="s">
        <v>22</v>
      </c>
    </row>
    <row r="119" spans="1:9" ht="15.75" customHeight="1">
      <c r="A119" s="9">
        <v>7</v>
      </c>
      <c r="B119" s="9" t="s">
        <v>128</v>
      </c>
      <c r="C119" s="11" t="s">
        <v>129</v>
      </c>
      <c r="D119" s="15">
        <v>8</v>
      </c>
      <c r="E119" s="12">
        <f>SUM(30.5)/3.14</f>
        <v>9.7133757961783438</v>
      </c>
      <c r="F119" s="10">
        <f>AVERAGE(0.25,0.41)</f>
        <v>0.32999999999999996</v>
      </c>
      <c r="G119" s="13">
        <f t="shared" si="4"/>
        <v>14.684092452950575</v>
      </c>
      <c r="H119" s="15"/>
      <c r="I119" s="15"/>
    </row>
    <row r="120" spans="1:9" ht="15.75" customHeight="1">
      <c r="A120" s="9">
        <v>7</v>
      </c>
      <c r="B120" s="9" t="s">
        <v>128</v>
      </c>
      <c r="C120" s="11" t="s">
        <v>129</v>
      </c>
      <c r="D120" s="15">
        <v>7</v>
      </c>
      <c r="E120" s="12">
        <f>SUM(22)/3.14</f>
        <v>7.0063694267515917</v>
      </c>
      <c r="F120" s="10">
        <f>AVERAGE(0.25,0.41)</f>
        <v>0.32999999999999996</v>
      </c>
      <c r="G120" s="13">
        <f t="shared" si="4"/>
        <v>6.8124410389897303</v>
      </c>
      <c r="H120" s="15"/>
      <c r="I120" s="15"/>
    </row>
    <row r="121" spans="1:9" ht="15.75" customHeight="1">
      <c r="A121" s="9">
        <v>7</v>
      </c>
      <c r="B121" s="9" t="s">
        <v>128</v>
      </c>
      <c r="C121" s="11" t="s">
        <v>129</v>
      </c>
      <c r="D121" s="15">
        <v>7</v>
      </c>
      <c r="E121" s="12">
        <f>SUM(31.5)/3.14</f>
        <v>10.031847133757962</v>
      </c>
      <c r="F121" s="10">
        <f>AVERAGE(0.25,0.41)</f>
        <v>0.32999999999999996</v>
      </c>
      <c r="G121" s="13">
        <f t="shared" si="4"/>
        <v>13.727640096189676</v>
      </c>
      <c r="H121" s="15"/>
      <c r="I121" s="15"/>
    </row>
    <row r="122" spans="1:9" ht="15.75" customHeight="1">
      <c r="A122" s="9">
        <v>7</v>
      </c>
      <c r="B122" s="9" t="s">
        <v>258</v>
      </c>
      <c r="C122" s="17" t="s">
        <v>259</v>
      </c>
      <c r="D122" s="15">
        <v>5.5</v>
      </c>
      <c r="E122" s="12">
        <f>SUM(13)/3.14</f>
        <v>4.1401273885350314</v>
      </c>
      <c r="F122" s="10"/>
      <c r="G122" s="13">
        <f t="shared" si="4"/>
        <v>0</v>
      </c>
      <c r="H122" s="15"/>
      <c r="I122" s="15"/>
    </row>
    <row r="123" spans="1:9" ht="15.75" customHeight="1">
      <c r="A123" s="9">
        <v>7</v>
      </c>
      <c r="B123" s="9" t="s">
        <v>264</v>
      </c>
      <c r="C123" s="17" t="s">
        <v>232</v>
      </c>
      <c r="D123" s="15">
        <v>6</v>
      </c>
      <c r="E123" s="12">
        <f>SUM(19+22+22.5)/3.14</f>
        <v>20.222929936305732</v>
      </c>
      <c r="F123" s="72">
        <v>0.62</v>
      </c>
      <c r="G123" s="13">
        <f t="shared" si="4"/>
        <v>85.876159169376237</v>
      </c>
      <c r="H123" s="15"/>
      <c r="I123" s="15"/>
    </row>
    <row r="124" spans="1:9" ht="15.75" customHeight="1">
      <c r="A124" s="9">
        <v>7</v>
      </c>
      <c r="B124" s="9" t="s">
        <v>264</v>
      </c>
      <c r="C124" s="17" t="s">
        <v>232</v>
      </c>
      <c r="D124" s="15">
        <v>5</v>
      </c>
      <c r="E124" s="12">
        <f>SUM(20+21.5+10)/3.14</f>
        <v>16.401273885350317</v>
      </c>
      <c r="F124" s="72">
        <v>0.62</v>
      </c>
      <c r="G124" s="13">
        <f t="shared" si="4"/>
        <v>47.755689020043548</v>
      </c>
      <c r="H124" s="15"/>
      <c r="I124" s="15"/>
    </row>
    <row r="125" spans="1:9" ht="15.75" customHeight="1">
      <c r="A125" s="9">
        <v>7</v>
      </c>
      <c r="B125" s="9" t="s">
        <v>264</v>
      </c>
      <c r="C125" s="17" t="s">
        <v>232</v>
      </c>
      <c r="D125" s="15">
        <v>4.5</v>
      </c>
      <c r="E125" s="12">
        <f>SUM(15.5)/3.14</f>
        <v>4.936305732484076</v>
      </c>
      <c r="F125" s="72">
        <v>0.62</v>
      </c>
      <c r="G125" s="13">
        <f t="shared" si="4"/>
        <v>4.134714893243304</v>
      </c>
      <c r="H125" s="15"/>
      <c r="I125" s="15"/>
    </row>
    <row r="126" spans="1:9" ht="15.75" customHeight="1">
      <c r="A126" s="9">
        <v>7</v>
      </c>
      <c r="B126" s="9" t="s">
        <v>229</v>
      </c>
      <c r="C126" s="11" t="s">
        <v>230</v>
      </c>
      <c r="D126" s="15">
        <v>6.5</v>
      </c>
      <c r="E126" s="12">
        <f>SUM(30+19.5)/3.14</f>
        <v>15.764331210191083</v>
      </c>
      <c r="F126" s="47">
        <f t="shared" ref="F126:F133" si="5">AVERAGE(0.6,0.77)</f>
        <v>0.68500000000000005</v>
      </c>
      <c r="G126" s="13">
        <f t="shared" si="4"/>
        <v>62.938323937112806</v>
      </c>
      <c r="H126" s="15"/>
      <c r="I126" s="15"/>
    </row>
    <row r="127" spans="1:9" ht="15.75" customHeight="1">
      <c r="A127" s="9">
        <v>7</v>
      </c>
      <c r="B127" s="9" t="s">
        <v>229</v>
      </c>
      <c r="C127" s="11" t="s">
        <v>230</v>
      </c>
      <c r="D127" s="15">
        <v>6.5</v>
      </c>
      <c r="E127" s="12">
        <f>SUM(25)/3.14</f>
        <v>7.9617834394904454</v>
      </c>
      <c r="F127" s="47">
        <f t="shared" si="5"/>
        <v>0.68500000000000005</v>
      </c>
      <c r="G127" s="13">
        <f t="shared" si="4"/>
        <v>16.589172456329887</v>
      </c>
      <c r="H127" s="15"/>
      <c r="I127" s="15"/>
    </row>
    <row r="128" spans="1:9" ht="15.75" customHeight="1">
      <c r="A128" s="9">
        <v>7</v>
      </c>
      <c r="B128" s="9" t="s">
        <v>229</v>
      </c>
      <c r="C128" s="11" t="s">
        <v>230</v>
      </c>
      <c r="D128" s="15">
        <v>5.7</v>
      </c>
      <c r="E128" s="12">
        <f>SUM(29.5)/3.14</f>
        <v>9.3949044585987256</v>
      </c>
      <c r="F128" s="47">
        <f t="shared" si="5"/>
        <v>0.68500000000000005</v>
      </c>
      <c r="G128" s="13">
        <f t="shared" si="4"/>
        <v>20.158992500425061</v>
      </c>
      <c r="H128" s="15"/>
      <c r="I128" s="15"/>
    </row>
    <row r="129" spans="1:9" ht="15.75" customHeight="1">
      <c r="A129" s="9">
        <v>7</v>
      </c>
      <c r="B129" s="9" t="s">
        <v>229</v>
      </c>
      <c r="C129" s="11" t="s">
        <v>230</v>
      </c>
      <c r="D129" s="15">
        <v>5.6</v>
      </c>
      <c r="E129" s="12">
        <f>SUM(14+9+7)/3.14</f>
        <v>9.5541401273885338</v>
      </c>
      <c r="F129" s="47">
        <f t="shared" si="5"/>
        <v>0.68500000000000005</v>
      </c>
      <c r="G129" s="13">
        <f t="shared" si="4"/>
        <v>20.474560708314559</v>
      </c>
      <c r="H129" s="15"/>
      <c r="I129" s="15"/>
    </row>
    <row r="130" spans="1:9" ht="15.75" customHeight="1">
      <c r="A130" s="9">
        <v>7</v>
      </c>
      <c r="B130" s="9" t="s">
        <v>229</v>
      </c>
      <c r="C130" s="11" t="s">
        <v>230</v>
      </c>
      <c r="D130" s="15">
        <v>5.5</v>
      </c>
      <c r="E130" s="12">
        <f>SUM(22+8)/3.14</f>
        <v>9.5541401273885338</v>
      </c>
      <c r="F130" s="47">
        <f t="shared" si="5"/>
        <v>0.68500000000000005</v>
      </c>
      <c r="G130" s="13">
        <f t="shared" si="4"/>
        <v>20.11764142798738</v>
      </c>
      <c r="H130" s="15"/>
      <c r="I130" s="15"/>
    </row>
    <row r="131" spans="1:9" ht="15.75" customHeight="1">
      <c r="A131" s="9">
        <v>7</v>
      </c>
      <c r="B131" s="9" t="s">
        <v>229</v>
      </c>
      <c r="C131" s="11" t="s">
        <v>230</v>
      </c>
      <c r="D131" s="15">
        <v>5.5</v>
      </c>
      <c r="E131" s="12">
        <f>SUM(23)/3.14</f>
        <v>7.3248407643312099</v>
      </c>
      <c r="F131" s="47">
        <f t="shared" si="5"/>
        <v>0.68500000000000005</v>
      </c>
      <c r="G131" s="13">
        <f t="shared" si="4"/>
        <v>11.976477690045011</v>
      </c>
      <c r="H131" s="15"/>
      <c r="I131" s="15"/>
    </row>
    <row r="132" spans="1:9" ht="15.75" customHeight="1">
      <c r="A132" s="9">
        <v>7</v>
      </c>
      <c r="B132" s="9" t="s">
        <v>229</v>
      </c>
      <c r="C132" s="11" t="s">
        <v>230</v>
      </c>
      <c r="D132" s="15">
        <v>4.5</v>
      </c>
      <c r="E132" s="12">
        <f>SUM(24+24)/3.14</f>
        <v>15.286624203821656</v>
      </c>
      <c r="F132" s="47">
        <f t="shared" si="5"/>
        <v>0.68500000000000005</v>
      </c>
      <c r="G132" s="13">
        <f t="shared" si="4"/>
        <v>41.396221089244442</v>
      </c>
      <c r="H132" s="15"/>
      <c r="I132" s="15"/>
    </row>
    <row r="133" spans="1:9" ht="15.75" customHeight="1">
      <c r="A133" s="9">
        <v>7</v>
      </c>
      <c r="B133" s="9" t="s">
        <v>229</v>
      </c>
      <c r="C133" s="11" t="s">
        <v>230</v>
      </c>
      <c r="D133" s="15">
        <v>3</v>
      </c>
      <c r="E133" s="12">
        <f>SUM(15+12+11)/3.14</f>
        <v>12.101910828025478</v>
      </c>
      <c r="F133" s="47">
        <f t="shared" si="5"/>
        <v>0.68500000000000005</v>
      </c>
      <c r="G133" s="13">
        <f t="shared" si="4"/>
        <v>17.662424326895689</v>
      </c>
      <c r="H133" s="15"/>
      <c r="I133" s="15"/>
    </row>
    <row r="134" spans="1:9" ht="15.75" customHeight="1">
      <c r="A134" s="9">
        <v>7</v>
      </c>
      <c r="B134" s="9" t="s">
        <v>271</v>
      </c>
      <c r="C134" s="17" t="s">
        <v>272</v>
      </c>
      <c r="D134" s="15">
        <v>1.85</v>
      </c>
      <c r="E134" s="12">
        <f>SUM(7+6+6)/3.14</f>
        <v>6.0509554140127388</v>
      </c>
      <c r="F134" s="10"/>
      <c r="G134" s="13">
        <f t="shared" si="4"/>
        <v>0</v>
      </c>
      <c r="H134" s="15"/>
      <c r="I134" s="15"/>
    </row>
    <row r="135" spans="1:9" ht="15.75" customHeight="1">
      <c r="A135" s="9">
        <v>7</v>
      </c>
      <c r="B135" s="9" t="s">
        <v>260</v>
      </c>
      <c r="C135" s="11" t="s">
        <v>261</v>
      </c>
      <c r="D135" s="15">
        <v>6.5</v>
      </c>
      <c r="E135" s="12">
        <f>SUM(32.5)/3.14</f>
        <v>10.350318471337578</v>
      </c>
      <c r="F135" s="12">
        <f>AVERAGE(0.26,0.39)</f>
        <v>0.32500000000000001</v>
      </c>
      <c r="G135" s="13">
        <f t="shared" si="4"/>
        <v>13.37230606682667</v>
      </c>
      <c r="H135" s="15"/>
      <c r="I135" s="15" t="s">
        <v>87</v>
      </c>
    </row>
    <row r="136" spans="1:9" ht="15.75" customHeight="1">
      <c r="A136" s="9">
        <v>7</v>
      </c>
      <c r="B136" s="9" t="s">
        <v>26</v>
      </c>
      <c r="C136" s="11" t="s">
        <v>117</v>
      </c>
      <c r="D136" s="15">
        <v>1.8</v>
      </c>
      <c r="E136" s="12">
        <f>SUM(6.5+6)/3.14</f>
        <v>3.9808917197452227</v>
      </c>
      <c r="F136" s="10"/>
      <c r="G136" s="13">
        <f t="shared" si="4"/>
        <v>0</v>
      </c>
      <c r="H136" s="15"/>
      <c r="I136" s="15"/>
    </row>
    <row r="137" spans="1:9" ht="15.75" customHeight="1">
      <c r="A137" s="9">
        <v>7</v>
      </c>
      <c r="B137" s="9" t="s">
        <v>118</v>
      </c>
      <c r="C137" s="11" t="s">
        <v>29</v>
      </c>
      <c r="D137" s="15">
        <v>4</v>
      </c>
      <c r="E137" s="12">
        <f>SUM(11+17+15)/3.14</f>
        <v>13.694267515923567</v>
      </c>
      <c r="F137" s="13">
        <v>0.8</v>
      </c>
      <c r="G137" s="13">
        <f t="shared" si="4"/>
        <v>34.638987997980301</v>
      </c>
      <c r="H137" s="15"/>
      <c r="I137" s="15"/>
    </row>
    <row r="138" spans="1:9" ht="15.75" customHeight="1">
      <c r="A138" s="9">
        <v>7</v>
      </c>
      <c r="B138" s="9" t="s">
        <v>118</v>
      </c>
      <c r="C138" s="11" t="s">
        <v>29</v>
      </c>
      <c r="D138" s="15">
        <v>3.8</v>
      </c>
      <c r="E138" s="12">
        <f>SUM(12+13.5+13)/3.14</f>
        <v>12.261146496815286</v>
      </c>
      <c r="F138" s="13">
        <v>0.8</v>
      </c>
      <c r="G138" s="13">
        <f t="shared" si="4"/>
        <v>26.552924021965534</v>
      </c>
      <c r="H138" s="15"/>
      <c r="I138" s="15"/>
    </row>
    <row r="139" spans="1:9" ht="15.75" customHeight="1">
      <c r="A139" s="9">
        <v>7</v>
      </c>
      <c r="B139" s="9" t="s">
        <v>118</v>
      </c>
      <c r="C139" s="11" t="s">
        <v>29</v>
      </c>
      <c r="D139" s="15">
        <v>3</v>
      </c>
      <c r="E139" s="12">
        <f>SUM(15.5+14.5+15)/3.14</f>
        <v>14.331210191082802</v>
      </c>
      <c r="F139" s="13">
        <v>0.8</v>
      </c>
      <c r="G139" s="13">
        <f t="shared" si="4"/>
        <v>28.586789911458489</v>
      </c>
      <c r="H139" s="15"/>
      <c r="I139" s="15"/>
    </row>
    <row r="140" spans="1:9" ht="15.75" customHeight="1">
      <c r="A140" s="9">
        <v>7</v>
      </c>
      <c r="B140" s="9" t="s">
        <v>118</v>
      </c>
      <c r="C140" s="11" t="s">
        <v>29</v>
      </c>
      <c r="D140" s="15">
        <v>2.1</v>
      </c>
      <c r="E140" s="12">
        <f>SUM(6)/3.14</f>
        <v>1.910828025477707</v>
      </c>
      <c r="F140" s="13">
        <v>0.8</v>
      </c>
      <c r="G140" s="13">
        <f t="shared" si="4"/>
        <v>0.39524054629562383</v>
      </c>
      <c r="H140" s="15"/>
      <c r="I140" s="15"/>
    </row>
    <row r="141" spans="1:9" ht="15.75" customHeight="1">
      <c r="A141" s="9">
        <v>8</v>
      </c>
      <c r="B141" s="9" t="s">
        <v>128</v>
      </c>
      <c r="C141" s="11" t="s">
        <v>129</v>
      </c>
      <c r="D141" s="15">
        <v>7.5</v>
      </c>
      <c r="E141" s="12">
        <f>SUM(22.5)/3.14</f>
        <v>7.1656050955414008</v>
      </c>
      <c r="F141" s="10">
        <f>AVERAGE(0.25,0.41)</f>
        <v>0.32999999999999996</v>
      </c>
      <c r="G141" s="13">
        <f t="shared" si="4"/>
        <v>7.6137404002142377</v>
      </c>
      <c r="H141" s="15"/>
      <c r="I141" s="15"/>
    </row>
    <row r="142" spans="1:9" ht="15.75" customHeight="1">
      <c r="A142" s="9">
        <v>8</v>
      </c>
      <c r="B142" s="9" t="s">
        <v>286</v>
      </c>
      <c r="C142" s="17" t="s">
        <v>287</v>
      </c>
      <c r="D142" s="15">
        <v>5.5</v>
      </c>
      <c r="E142" s="12">
        <f>SUM(27)/3.14</f>
        <v>8.598726114649681</v>
      </c>
      <c r="F142" s="10">
        <f>AVERAGE(0.5,0.7)</f>
        <v>0.6</v>
      </c>
      <c r="G142" s="13">
        <f t="shared" si="4"/>
        <v>14.391301245723517</v>
      </c>
      <c r="H142" s="15"/>
      <c r="I142" s="15" t="s">
        <v>22</v>
      </c>
    </row>
    <row r="143" spans="1:9" ht="15.75" customHeight="1">
      <c r="A143" s="9">
        <v>8</v>
      </c>
      <c r="B143" s="9" t="s">
        <v>229</v>
      </c>
      <c r="C143" s="11" t="s">
        <v>230</v>
      </c>
      <c r="D143" s="15">
        <v>6</v>
      </c>
      <c r="E143" s="12">
        <f>SUM(23)/3.14</f>
        <v>7.3248407643312099</v>
      </c>
      <c r="F143" s="47">
        <f>AVERAGE(0.6,0.77)</f>
        <v>0.68500000000000005</v>
      </c>
      <c r="G143" s="13">
        <f t="shared" si="4"/>
        <v>13.037993051265316</v>
      </c>
      <c r="H143" s="15"/>
      <c r="I143" s="15"/>
    </row>
    <row r="144" spans="1:9" ht="15.75" customHeight="1">
      <c r="A144" s="9">
        <v>8</v>
      </c>
      <c r="B144" s="9" t="s">
        <v>229</v>
      </c>
      <c r="C144" s="11" t="s">
        <v>230</v>
      </c>
      <c r="D144" s="15">
        <v>6</v>
      </c>
      <c r="E144" s="12">
        <f>SUM(34.6+35)/3.14</f>
        <v>22.165605095541398</v>
      </c>
      <c r="F144" s="47">
        <f>AVERAGE(0.6,0.77)</f>
        <v>0.68500000000000005</v>
      </c>
      <c r="G144" s="13">
        <f t="shared" si="4"/>
        <v>113.21168258556931</v>
      </c>
      <c r="H144" s="15"/>
      <c r="I144" s="15"/>
    </row>
    <row r="145" spans="1:9" ht="15.75" customHeight="1">
      <c r="A145" s="9">
        <v>8</v>
      </c>
      <c r="B145" s="9" t="s">
        <v>229</v>
      </c>
      <c r="C145" s="11" t="s">
        <v>230</v>
      </c>
      <c r="D145" s="15">
        <v>6</v>
      </c>
      <c r="E145" s="12">
        <f>SUM(19+14)/3.14</f>
        <v>10.509554140127388</v>
      </c>
      <c r="F145" s="47">
        <f>AVERAGE(0.6,0.77)</f>
        <v>0.68500000000000005</v>
      </c>
      <c r="G145" s="13">
        <f t="shared" si="4"/>
        <v>26.378932706358114</v>
      </c>
      <c r="H145" s="15"/>
      <c r="I145" s="15"/>
    </row>
    <row r="146" spans="1:9" ht="15.75" customHeight="1">
      <c r="A146" s="9">
        <v>8</v>
      </c>
      <c r="B146" s="9" t="s">
        <v>229</v>
      </c>
      <c r="C146" s="11" t="s">
        <v>230</v>
      </c>
      <c r="D146" s="15">
        <v>5.5</v>
      </c>
      <c r="E146" s="12">
        <f>SUM(18+17.5+25+16)/3.14</f>
        <v>24.363057324840764</v>
      </c>
      <c r="F146" s="47">
        <f>AVERAGE(0.6,0.77)</f>
        <v>0.68500000000000005</v>
      </c>
      <c r="G146" s="13">
        <f t="shared" si="4"/>
        <v>125.06721968111232</v>
      </c>
      <c r="H146" s="15"/>
      <c r="I146" s="15"/>
    </row>
    <row r="147" spans="1:9" ht="15.75" customHeight="1">
      <c r="A147" s="9">
        <v>8</v>
      </c>
      <c r="B147" s="9" t="s">
        <v>229</v>
      </c>
      <c r="C147" s="11" t="s">
        <v>230</v>
      </c>
      <c r="D147" s="15">
        <v>4.5</v>
      </c>
      <c r="E147" s="12">
        <f>SUM(19+14+10)/3.14</f>
        <v>13.694267515923567</v>
      </c>
      <c r="F147" s="47">
        <f>AVERAGE(0.6,0.77)</f>
        <v>0.68500000000000005</v>
      </c>
      <c r="G147" s="13">
        <f t="shared" si="4"/>
        <v>33.397059299096171</v>
      </c>
      <c r="H147" s="15"/>
      <c r="I147" s="15"/>
    </row>
    <row r="148" spans="1:9" ht="15.75" customHeight="1">
      <c r="A148" s="9">
        <v>8</v>
      </c>
      <c r="B148" s="9" t="s">
        <v>124</v>
      </c>
      <c r="C148" s="17" t="s">
        <v>257</v>
      </c>
      <c r="D148" s="15">
        <v>6</v>
      </c>
      <c r="E148" s="12">
        <f>SUM(23.5)/3.14</f>
        <v>7.484076433121019</v>
      </c>
      <c r="F148" s="10"/>
      <c r="G148" s="13">
        <f t="shared" si="4"/>
        <v>0</v>
      </c>
      <c r="H148" s="15"/>
      <c r="I148" s="15"/>
    </row>
    <row r="149" spans="1:9" ht="15.75" customHeight="1">
      <c r="A149" s="9">
        <v>8</v>
      </c>
      <c r="B149" s="9" t="s">
        <v>26</v>
      </c>
      <c r="C149" s="11" t="s">
        <v>117</v>
      </c>
      <c r="D149" s="15">
        <v>5</v>
      </c>
      <c r="E149" s="12">
        <f>SUM(14+15+13)/3.14</f>
        <v>13.375796178343949</v>
      </c>
      <c r="F149" s="10"/>
      <c r="G149" s="13">
        <f t="shared" si="4"/>
        <v>0</v>
      </c>
      <c r="H149" s="15"/>
      <c r="I149" s="15"/>
    </row>
    <row r="150" spans="1:9" ht="15.75" customHeight="1">
      <c r="A150" s="9">
        <v>8</v>
      </c>
      <c r="B150" s="9" t="s">
        <v>26</v>
      </c>
      <c r="C150" s="11" t="s">
        <v>117</v>
      </c>
      <c r="D150" s="15">
        <v>2.5</v>
      </c>
      <c r="E150" s="12">
        <f>SUM(12+9)/3.14</f>
        <v>6.6878980891719744</v>
      </c>
      <c r="F150" s="10"/>
      <c r="G150" s="13">
        <f t="shared" si="4"/>
        <v>0</v>
      </c>
      <c r="H150" s="15"/>
      <c r="I150" s="15"/>
    </row>
    <row r="151" spans="1:9" ht="15.75" customHeight="1">
      <c r="A151" s="9">
        <v>8</v>
      </c>
      <c r="B151" s="9" t="s">
        <v>26</v>
      </c>
      <c r="C151" s="11" t="s">
        <v>117</v>
      </c>
      <c r="D151" s="15">
        <v>2.2999999999999998</v>
      </c>
      <c r="E151" s="12">
        <f>SUM(9)/3.14</f>
        <v>2.8662420382165603</v>
      </c>
      <c r="F151" s="10"/>
      <c r="G151" s="13">
        <f t="shared" si="4"/>
        <v>0</v>
      </c>
      <c r="H151" s="15"/>
      <c r="I151" s="15"/>
    </row>
    <row r="152" spans="1:9" ht="15.75" customHeight="1">
      <c r="A152" s="9">
        <v>8</v>
      </c>
      <c r="B152" s="9" t="s">
        <v>269</v>
      </c>
      <c r="C152" s="17" t="s">
        <v>270</v>
      </c>
      <c r="D152" s="15">
        <v>5.5</v>
      </c>
      <c r="E152" s="12">
        <f>SUM(18)/3.14</f>
        <v>5.7324840764331206</v>
      </c>
      <c r="F152" s="10"/>
      <c r="G152" s="13">
        <f t="shared" si="4"/>
        <v>0</v>
      </c>
      <c r="H152" s="15"/>
      <c r="I152" s="15"/>
    </row>
    <row r="153" spans="1:9" ht="15.75" customHeight="1">
      <c r="A153" s="9">
        <v>8</v>
      </c>
      <c r="B153" s="9" t="s">
        <v>269</v>
      </c>
      <c r="C153" s="17" t="s">
        <v>270</v>
      </c>
      <c r="D153" s="15">
        <v>5</v>
      </c>
      <c r="E153" s="12">
        <f>SUM(18.5)/3.14</f>
        <v>5.8917197452229297</v>
      </c>
      <c r="F153" s="10"/>
      <c r="G153" s="13">
        <f t="shared" si="4"/>
        <v>0</v>
      </c>
      <c r="H153" s="15"/>
      <c r="I153" s="15"/>
    </row>
    <row r="154" spans="1:9" ht="15.75" customHeight="1">
      <c r="A154" s="9">
        <v>8</v>
      </c>
      <c r="B154" s="9" t="s">
        <v>269</v>
      </c>
      <c r="C154" s="17" t="s">
        <v>270</v>
      </c>
      <c r="D154" s="15">
        <v>2.5</v>
      </c>
      <c r="E154" s="12">
        <f>SUM(11)/3.14</f>
        <v>3.5031847133757958</v>
      </c>
      <c r="F154" s="10"/>
      <c r="G154" s="13">
        <f t="shared" si="4"/>
        <v>0</v>
      </c>
      <c r="H154" s="15"/>
      <c r="I154" s="15"/>
    </row>
    <row r="155" spans="1:9" ht="15.75" customHeight="1">
      <c r="A155" s="9">
        <v>8</v>
      </c>
      <c r="B155" s="9" t="s">
        <v>253</v>
      </c>
      <c r="C155" s="17" t="s">
        <v>254</v>
      </c>
      <c r="D155" s="15">
        <v>4.5</v>
      </c>
      <c r="E155" s="12">
        <f>SUM(13.5)/3.14</f>
        <v>4.2993630573248405</v>
      </c>
      <c r="F155" s="10">
        <f>AVERAGE(0.41,0.51)</f>
        <v>0.45999999999999996</v>
      </c>
      <c r="G155" s="13">
        <f t="shared" si="4"/>
        <v>2.3594292791296465</v>
      </c>
      <c r="H155" s="15"/>
      <c r="I155" s="15" t="s">
        <v>87</v>
      </c>
    </row>
    <row r="156" spans="1:9" ht="15.75" customHeight="1">
      <c r="A156" s="9">
        <v>8</v>
      </c>
      <c r="B156" s="9" t="s">
        <v>253</v>
      </c>
      <c r="C156" s="17" t="s">
        <v>254</v>
      </c>
      <c r="D156" s="15">
        <v>4</v>
      </c>
      <c r="E156" s="12">
        <f>SUM(10.5)/3.14</f>
        <v>3.3439490445859872</v>
      </c>
      <c r="F156" s="10">
        <f>AVERAGE(0.41,0.51)</f>
        <v>0.45999999999999996</v>
      </c>
      <c r="G156" s="13">
        <f t="shared" si="4"/>
        <v>1.2877516002182934</v>
      </c>
      <c r="H156" s="15"/>
      <c r="I156" s="15" t="s">
        <v>87</v>
      </c>
    </row>
    <row r="157" spans="1:9" ht="15.75" customHeight="1">
      <c r="A157" s="57"/>
      <c r="B157" s="57"/>
      <c r="C157" s="41"/>
      <c r="D157" s="34"/>
      <c r="E157" s="35"/>
      <c r="F157" s="24"/>
      <c r="G157" s="23"/>
      <c r="H157" s="34"/>
      <c r="I157" s="34"/>
    </row>
    <row r="158" spans="1:9" ht="15.75" customHeight="1">
      <c r="A158" s="57"/>
      <c r="B158" s="57"/>
      <c r="C158" s="41"/>
      <c r="D158" s="34"/>
      <c r="E158" s="35"/>
      <c r="F158" s="24"/>
      <c r="G158" s="23"/>
      <c r="H158" s="34"/>
      <c r="I158" s="34"/>
    </row>
    <row r="159" spans="1:9" ht="15.75" customHeight="1">
      <c r="A159" s="57"/>
      <c r="B159" s="57"/>
      <c r="C159" s="41"/>
      <c r="D159" s="34"/>
      <c r="E159" s="35"/>
      <c r="F159" s="24"/>
      <c r="G159" s="23"/>
      <c r="H159" s="34"/>
      <c r="I159" s="34"/>
    </row>
    <row r="160" spans="1:9" ht="15.75" customHeight="1">
      <c r="A160" s="57"/>
      <c r="B160" s="57"/>
      <c r="C160" s="41"/>
      <c r="D160" s="34"/>
      <c r="E160" s="38"/>
      <c r="F160" s="24"/>
      <c r="G160" s="23"/>
      <c r="H160" s="34"/>
      <c r="I160" s="34"/>
    </row>
    <row r="161" spans="1:9" ht="15.75" customHeight="1">
      <c r="A161" s="57"/>
      <c r="B161" s="57"/>
      <c r="C161" s="41"/>
      <c r="D161" s="34"/>
      <c r="E161" s="38"/>
      <c r="F161" s="24"/>
      <c r="G161" s="23"/>
      <c r="H161" s="34"/>
      <c r="I161" s="34"/>
    </row>
    <row r="162" spans="1:9" ht="15.75" customHeight="1">
      <c r="A162" s="57"/>
      <c r="B162" s="57"/>
      <c r="C162" s="41"/>
      <c r="D162" s="34"/>
      <c r="E162" s="38"/>
      <c r="F162" s="24"/>
      <c r="G162" s="23"/>
      <c r="H162" s="34"/>
      <c r="I162" s="34"/>
    </row>
    <row r="163" spans="1:9" ht="15.75" customHeight="1">
      <c r="A163" s="57"/>
      <c r="B163" s="57"/>
      <c r="C163" s="41"/>
      <c r="D163" s="34"/>
      <c r="E163" s="38"/>
      <c r="F163" s="24"/>
      <c r="G163" s="23"/>
      <c r="H163" s="34"/>
      <c r="I163" s="34"/>
    </row>
    <row r="164" spans="1:9" ht="15.75" customHeight="1">
      <c r="A164" s="57"/>
      <c r="B164" s="57"/>
      <c r="C164" s="41"/>
      <c r="D164" s="34"/>
      <c r="E164" s="38"/>
      <c r="F164" s="24"/>
      <c r="G164" s="23"/>
      <c r="H164" s="34"/>
      <c r="I164" s="34"/>
    </row>
    <row r="165" spans="1:9" ht="15.75" customHeight="1">
      <c r="A165" s="57"/>
      <c r="B165" s="57"/>
      <c r="C165" s="41"/>
      <c r="D165" s="34"/>
      <c r="E165" s="38"/>
      <c r="F165" s="24"/>
      <c r="G165" s="23"/>
      <c r="H165" s="34"/>
      <c r="I165" s="34"/>
    </row>
    <row r="166" spans="1:9" ht="15.75" customHeight="1">
      <c r="A166" s="57"/>
      <c r="B166" s="57"/>
      <c r="C166" s="41"/>
      <c r="D166" s="34"/>
      <c r="E166" s="38"/>
      <c r="F166" s="24"/>
      <c r="G166" s="23"/>
      <c r="H166" s="34"/>
      <c r="I166" s="34"/>
    </row>
    <row r="167" spans="1:9" ht="15.75" customHeight="1">
      <c r="A167" s="57"/>
      <c r="B167" s="57"/>
      <c r="C167" s="41"/>
      <c r="D167" s="34"/>
      <c r="E167" s="38"/>
      <c r="F167" s="24"/>
      <c r="G167" s="23"/>
      <c r="H167" s="34"/>
      <c r="I167" s="34"/>
    </row>
    <row r="168" spans="1:9" ht="15.75" customHeight="1">
      <c r="A168" s="57"/>
      <c r="B168" s="57"/>
      <c r="C168" s="41"/>
      <c r="D168" s="34"/>
      <c r="E168" s="38"/>
      <c r="F168" s="24"/>
      <c r="G168" s="23"/>
      <c r="H168" s="34"/>
      <c r="I168" s="34"/>
    </row>
    <row r="169" spans="1:9" ht="15.75" customHeight="1">
      <c r="A169" s="57"/>
      <c r="B169" s="57"/>
      <c r="C169" s="41"/>
      <c r="D169" s="34"/>
      <c r="E169" s="38"/>
      <c r="F169" s="24"/>
      <c r="G169" s="23"/>
      <c r="H169" s="34"/>
      <c r="I169" s="34"/>
    </row>
    <row r="170" spans="1:9" ht="15.75" customHeight="1">
      <c r="A170" s="57"/>
      <c r="B170" s="57"/>
      <c r="C170" s="41"/>
      <c r="D170" s="34"/>
      <c r="E170" s="38"/>
      <c r="F170" s="24"/>
      <c r="G170" s="23"/>
      <c r="H170" s="34"/>
      <c r="I170" s="34"/>
    </row>
    <row r="171" spans="1:9" ht="15.75" customHeight="1">
      <c r="A171" s="57"/>
      <c r="B171" s="57"/>
      <c r="C171" s="41"/>
      <c r="D171" s="34"/>
      <c r="E171" s="38"/>
      <c r="F171" s="24"/>
      <c r="G171" s="23"/>
      <c r="H171" s="34"/>
      <c r="I171" s="34"/>
    </row>
    <row r="172" spans="1:9" ht="15.75" customHeight="1">
      <c r="A172" s="57"/>
      <c r="B172" s="57"/>
      <c r="C172" s="41"/>
      <c r="D172" s="34"/>
      <c r="E172" s="38"/>
      <c r="F172" s="24"/>
      <c r="G172" s="23"/>
      <c r="H172" s="34"/>
      <c r="I172" s="34"/>
    </row>
    <row r="173" spans="1:9" ht="15.75" customHeight="1">
      <c r="A173" s="57"/>
      <c r="B173" s="57"/>
      <c r="C173" s="41"/>
      <c r="D173" s="34"/>
      <c r="E173" s="38"/>
      <c r="F173" s="24"/>
      <c r="G173" s="23"/>
      <c r="H173" s="34"/>
      <c r="I173" s="34"/>
    </row>
    <row r="174" spans="1:9" ht="15.75" customHeight="1">
      <c r="A174" s="57"/>
      <c r="B174" s="57"/>
      <c r="C174" s="41"/>
      <c r="D174" s="34"/>
      <c r="E174" s="38"/>
      <c r="F174" s="24"/>
      <c r="G174" s="23"/>
      <c r="H174" s="34"/>
      <c r="I174" s="34"/>
    </row>
    <row r="175" spans="1:9" ht="15.75" customHeight="1">
      <c r="A175" s="57"/>
      <c r="B175" s="57"/>
      <c r="C175" s="41"/>
      <c r="D175" s="34"/>
      <c r="E175" s="38"/>
      <c r="F175" s="24"/>
      <c r="G175" s="23"/>
      <c r="H175" s="34"/>
      <c r="I175" s="34"/>
    </row>
    <row r="176" spans="1:9" ht="15.75" customHeight="1">
      <c r="A176" s="57"/>
      <c r="B176" s="57"/>
      <c r="C176" s="41"/>
      <c r="D176" s="34"/>
      <c r="E176" s="38"/>
      <c r="F176" s="24"/>
      <c r="G176" s="23"/>
      <c r="H176" s="34"/>
      <c r="I176" s="34"/>
    </row>
    <row r="177" spans="1:9" ht="15.75" customHeight="1">
      <c r="A177" s="57"/>
      <c r="B177" s="57"/>
      <c r="C177" s="41"/>
      <c r="D177" s="34"/>
      <c r="E177" s="38"/>
      <c r="F177" s="24"/>
      <c r="G177" s="23"/>
      <c r="H177" s="34"/>
      <c r="I177" s="34"/>
    </row>
    <row r="178" spans="1:9" ht="15.75" customHeight="1">
      <c r="A178" s="57"/>
      <c r="B178" s="57"/>
      <c r="C178" s="41"/>
      <c r="D178" s="34"/>
      <c r="E178" s="38"/>
      <c r="F178" s="24"/>
      <c r="G178" s="23"/>
      <c r="H178" s="34"/>
      <c r="I178" s="34"/>
    </row>
    <row r="179" spans="1:9" ht="15.75" customHeight="1">
      <c r="A179" s="57"/>
      <c r="B179" s="57"/>
      <c r="C179" s="41"/>
      <c r="D179" s="34"/>
      <c r="E179" s="38"/>
      <c r="F179" s="24"/>
      <c r="G179" s="23"/>
      <c r="H179" s="34"/>
      <c r="I179" s="34"/>
    </row>
    <row r="180" spans="1:9" ht="15.75" customHeight="1">
      <c r="A180" s="57"/>
      <c r="B180" s="57"/>
      <c r="C180" s="41"/>
      <c r="D180" s="34"/>
      <c r="E180" s="38"/>
      <c r="F180" s="24"/>
      <c r="G180" s="23"/>
      <c r="H180" s="34"/>
      <c r="I180" s="34"/>
    </row>
    <row r="181" spans="1:9" ht="15.75" customHeight="1">
      <c r="A181" s="57"/>
      <c r="B181" s="57"/>
      <c r="C181" s="41"/>
      <c r="D181" s="34"/>
      <c r="E181" s="38"/>
      <c r="F181" s="24"/>
      <c r="G181" s="23"/>
      <c r="H181" s="34"/>
      <c r="I181" s="34"/>
    </row>
    <row r="182" spans="1:9" ht="15.75" customHeight="1">
      <c r="A182" s="57"/>
      <c r="B182" s="57"/>
      <c r="C182" s="41"/>
      <c r="D182" s="34"/>
      <c r="E182" s="38"/>
      <c r="F182" s="24"/>
      <c r="G182" s="23"/>
      <c r="H182" s="34"/>
      <c r="I182" s="34"/>
    </row>
    <row r="183" spans="1:9" ht="15.75" customHeight="1">
      <c r="A183" s="57"/>
      <c r="B183" s="57"/>
      <c r="C183" s="41"/>
      <c r="D183" s="34"/>
      <c r="E183" s="38"/>
      <c r="F183" s="24"/>
      <c r="G183" s="23"/>
      <c r="H183" s="34"/>
      <c r="I183" s="34"/>
    </row>
    <row r="184" spans="1:9" ht="15.75" customHeight="1">
      <c r="A184" s="57"/>
      <c r="B184" s="57"/>
      <c r="C184" s="41"/>
      <c r="D184" s="34"/>
      <c r="E184" s="38"/>
      <c r="F184" s="24"/>
      <c r="G184" s="23"/>
      <c r="H184" s="34"/>
      <c r="I184" s="34"/>
    </row>
    <row r="185" spans="1:9" ht="15.75" customHeight="1">
      <c r="A185" s="57"/>
      <c r="B185" s="57"/>
      <c r="C185" s="41"/>
      <c r="D185" s="34"/>
      <c r="E185" s="38"/>
      <c r="F185" s="24"/>
      <c r="G185" s="23"/>
      <c r="H185" s="34"/>
      <c r="I185" s="34"/>
    </row>
    <row r="186" spans="1:9" ht="15.75" customHeight="1">
      <c r="A186" s="57"/>
      <c r="B186" s="57"/>
      <c r="C186" s="41"/>
      <c r="D186" s="34"/>
      <c r="E186" s="38"/>
      <c r="F186" s="24"/>
      <c r="G186" s="23"/>
      <c r="H186" s="34"/>
      <c r="I186" s="34"/>
    </row>
    <row r="187" spans="1:9" ht="15.75" customHeight="1">
      <c r="A187" s="57"/>
      <c r="B187" s="57"/>
      <c r="C187" s="41"/>
      <c r="D187" s="34"/>
      <c r="E187" s="38"/>
      <c r="F187" s="24"/>
      <c r="G187" s="23"/>
      <c r="H187" s="34"/>
      <c r="I187" s="34"/>
    </row>
    <row r="188" spans="1:9" ht="15.75" customHeight="1">
      <c r="A188" s="57"/>
      <c r="B188" s="57"/>
      <c r="C188" s="41"/>
      <c r="D188" s="34"/>
      <c r="E188" s="38"/>
      <c r="F188" s="24"/>
      <c r="G188" s="23"/>
      <c r="H188" s="34"/>
      <c r="I188" s="34"/>
    </row>
    <row r="189" spans="1:9" ht="15.75" customHeight="1">
      <c r="A189" s="57"/>
      <c r="B189" s="57"/>
      <c r="C189" s="41"/>
      <c r="D189" s="34"/>
      <c r="E189" s="38"/>
      <c r="F189" s="24"/>
      <c r="G189" s="23"/>
      <c r="H189" s="34"/>
      <c r="I189" s="34"/>
    </row>
    <row r="190" spans="1:9" ht="15.75" customHeight="1">
      <c r="A190" s="57"/>
      <c r="B190" s="57"/>
      <c r="C190" s="41"/>
      <c r="D190" s="34"/>
      <c r="E190" s="38"/>
      <c r="F190" s="24"/>
      <c r="G190" s="23"/>
      <c r="H190" s="34"/>
      <c r="I190" s="34"/>
    </row>
    <row r="191" spans="1:9" ht="15.75" customHeight="1">
      <c r="A191" s="20"/>
      <c r="B191" s="20"/>
      <c r="C191" s="21"/>
      <c r="D191" s="21"/>
      <c r="E191" s="21"/>
      <c r="F191" s="24"/>
      <c r="G191" s="23"/>
      <c r="H191" s="21"/>
      <c r="I191" s="81"/>
    </row>
    <row r="192" spans="1:9" ht="15.75" customHeight="1">
      <c r="A192" s="20"/>
      <c r="B192" s="20"/>
      <c r="C192" s="21"/>
      <c r="D192" s="21"/>
      <c r="E192" s="22"/>
      <c r="F192" s="24"/>
      <c r="G192" s="23"/>
      <c r="H192" s="21"/>
      <c r="I192" s="81"/>
    </row>
    <row r="193" spans="1:9" ht="15.75" customHeight="1">
      <c r="A193" s="20"/>
      <c r="B193" s="20"/>
      <c r="C193" s="21"/>
      <c r="D193" s="21"/>
      <c r="E193" s="22"/>
      <c r="F193" s="24"/>
      <c r="G193" s="23"/>
      <c r="H193" s="21"/>
      <c r="I193" s="81"/>
    </row>
    <row r="194" spans="1:9" ht="15.75" customHeight="1">
      <c r="A194" s="20"/>
      <c r="B194" s="20"/>
      <c r="C194" s="21"/>
      <c r="D194" s="21"/>
      <c r="E194" s="21"/>
      <c r="F194" s="24"/>
      <c r="G194" s="23"/>
      <c r="H194" s="21"/>
      <c r="I194" s="81"/>
    </row>
    <row r="195" spans="1:9" ht="15.75" customHeight="1">
      <c r="A195" s="20"/>
      <c r="B195" s="20"/>
      <c r="C195" s="21"/>
      <c r="D195" s="21"/>
      <c r="E195" s="22"/>
      <c r="F195" s="24"/>
      <c r="G195" s="23"/>
      <c r="H195" s="21"/>
      <c r="I195" s="81"/>
    </row>
    <row r="196" spans="1:9" ht="15.75" customHeight="1">
      <c r="A196" s="20"/>
      <c r="B196" s="20"/>
      <c r="C196" s="21"/>
      <c r="D196" s="21"/>
      <c r="E196" s="21"/>
      <c r="F196" s="24"/>
      <c r="G196" s="23"/>
      <c r="H196" s="21"/>
      <c r="I196" s="81"/>
    </row>
    <row r="197" spans="1:9" ht="15.75" customHeight="1">
      <c r="A197" s="20"/>
      <c r="B197" s="20"/>
      <c r="C197" s="21"/>
      <c r="D197" s="21"/>
      <c r="E197" s="22"/>
      <c r="F197" s="24"/>
      <c r="G197" s="23"/>
      <c r="H197" s="21"/>
      <c r="I197" s="81"/>
    </row>
    <row r="198" spans="1:9" ht="15.75" customHeight="1">
      <c r="A198" s="20"/>
      <c r="B198" s="20"/>
      <c r="C198" s="21"/>
      <c r="D198" s="21"/>
      <c r="E198" s="22"/>
      <c r="F198" s="24"/>
      <c r="G198" s="23"/>
      <c r="H198" s="21"/>
      <c r="I198" s="81"/>
    </row>
    <row r="199" spans="1:9" ht="15.75" customHeight="1">
      <c r="A199" s="20"/>
      <c r="B199" s="20"/>
      <c r="C199" s="21"/>
      <c r="D199" s="21"/>
      <c r="E199" s="22"/>
      <c r="F199" s="24"/>
      <c r="G199" s="23"/>
      <c r="H199" s="21"/>
      <c r="I199" s="81"/>
    </row>
    <row r="200" spans="1:9" ht="15.75" customHeight="1">
      <c r="A200" s="20"/>
      <c r="B200" s="20"/>
      <c r="C200" s="21"/>
      <c r="D200" s="21"/>
      <c r="E200" s="22"/>
      <c r="F200" s="24"/>
      <c r="G200" s="23"/>
      <c r="H200" s="21"/>
      <c r="I200" s="81"/>
    </row>
    <row r="201" spans="1:9" ht="15.75" customHeight="1">
      <c r="A201" s="20"/>
      <c r="B201" s="20"/>
      <c r="C201" s="21"/>
      <c r="D201" s="21"/>
      <c r="E201" s="22"/>
      <c r="F201" s="24"/>
      <c r="G201" s="23"/>
      <c r="H201" s="21"/>
      <c r="I201" s="81"/>
    </row>
    <row r="202" spans="1:9" ht="15.75" customHeight="1">
      <c r="A202" s="20"/>
      <c r="B202" s="20"/>
      <c r="C202" s="21"/>
      <c r="D202" s="21"/>
      <c r="E202" s="22"/>
      <c r="F202" s="24"/>
      <c r="G202" s="23"/>
      <c r="H202" s="21"/>
      <c r="I202" s="81"/>
    </row>
    <row r="203" spans="1:9" ht="15.75" customHeight="1">
      <c r="A203" s="20"/>
      <c r="B203" s="20"/>
      <c r="C203" s="21"/>
      <c r="D203" s="21"/>
      <c r="E203" s="22"/>
      <c r="F203" s="24"/>
      <c r="G203" s="23"/>
      <c r="H203" s="21"/>
      <c r="I203" s="81"/>
    </row>
    <row r="204" spans="1:9" ht="15.75" customHeight="1">
      <c r="A204" s="20"/>
      <c r="B204" s="20"/>
      <c r="C204" s="21"/>
      <c r="D204" s="21"/>
      <c r="E204" s="22"/>
      <c r="F204" s="24"/>
      <c r="G204" s="23"/>
      <c r="H204" s="21"/>
      <c r="I204" s="81"/>
    </row>
    <row r="205" spans="1:9" ht="15.75" customHeight="1">
      <c r="A205" s="20"/>
      <c r="B205" s="20"/>
      <c r="C205" s="21"/>
      <c r="D205" s="21"/>
      <c r="E205" s="22"/>
      <c r="F205" s="24"/>
      <c r="G205" s="23"/>
      <c r="H205" s="21"/>
      <c r="I205" s="81"/>
    </row>
    <row r="206" spans="1:9" ht="15.75" customHeight="1">
      <c r="A206" s="20"/>
      <c r="B206" s="20"/>
      <c r="C206" s="21"/>
      <c r="D206" s="21"/>
      <c r="E206" s="22"/>
      <c r="F206" s="24"/>
      <c r="G206" s="23"/>
      <c r="H206" s="21"/>
      <c r="I206" s="81"/>
    </row>
    <row r="207" spans="1:9" ht="15.75" customHeight="1">
      <c r="A207" s="20"/>
      <c r="B207" s="20"/>
      <c r="C207" s="21"/>
      <c r="D207" s="21"/>
      <c r="E207" s="22"/>
      <c r="F207" s="24"/>
      <c r="G207" s="23"/>
      <c r="H207" s="21"/>
      <c r="I207" s="81"/>
    </row>
    <row r="208" spans="1:9" ht="15.75" customHeight="1">
      <c r="A208" s="20"/>
      <c r="B208" s="20"/>
      <c r="C208" s="21"/>
      <c r="D208" s="21"/>
      <c r="E208" s="22"/>
      <c r="F208" s="24"/>
      <c r="G208" s="23"/>
      <c r="H208" s="21"/>
      <c r="I208" s="81"/>
    </row>
    <row r="209" spans="1:9" ht="15.75" customHeight="1">
      <c r="A209" s="20"/>
      <c r="B209" s="20"/>
      <c r="C209" s="21"/>
      <c r="D209" s="21"/>
      <c r="E209" s="22"/>
      <c r="F209" s="24"/>
      <c r="G209" s="23"/>
      <c r="H209" s="21"/>
      <c r="I209" s="81"/>
    </row>
    <row r="210" spans="1:9" ht="15.75" customHeight="1">
      <c r="A210" s="20"/>
      <c r="B210" s="20"/>
      <c r="C210" s="21"/>
      <c r="D210" s="21"/>
      <c r="E210" s="22"/>
      <c r="F210" s="24"/>
      <c r="G210" s="23"/>
      <c r="H210" s="21"/>
      <c r="I210" s="81"/>
    </row>
    <row r="211" spans="1:9" ht="15.75" customHeight="1">
      <c r="A211" s="20"/>
      <c r="B211" s="20"/>
      <c r="C211" s="21"/>
      <c r="D211" s="21"/>
      <c r="E211" s="22"/>
      <c r="F211" s="24"/>
      <c r="G211" s="23"/>
      <c r="H211" s="21"/>
      <c r="I211" s="81"/>
    </row>
    <row r="212" spans="1:9" ht="15.75" customHeight="1">
      <c r="A212" s="20"/>
      <c r="B212" s="20"/>
      <c r="C212" s="21"/>
      <c r="D212" s="21"/>
      <c r="E212" s="22"/>
      <c r="F212" s="24"/>
      <c r="G212" s="23"/>
      <c r="H212" s="21"/>
      <c r="I212" s="81"/>
    </row>
    <row r="213" spans="1:9" ht="15.75" customHeight="1">
      <c r="A213" s="20"/>
      <c r="B213" s="20"/>
      <c r="C213" s="21"/>
      <c r="D213" s="21"/>
      <c r="E213" s="22"/>
      <c r="F213" s="24"/>
      <c r="G213" s="23"/>
      <c r="H213" s="21"/>
      <c r="I213" s="81"/>
    </row>
    <row r="214" spans="1:9" ht="15.75" customHeight="1">
      <c r="A214" s="20"/>
      <c r="B214" s="20"/>
      <c r="C214" s="21"/>
      <c r="D214" s="21"/>
      <c r="E214" s="22"/>
      <c r="F214" s="24"/>
      <c r="G214" s="23"/>
      <c r="H214" s="21"/>
      <c r="I214" s="81"/>
    </row>
    <row r="215" spans="1:9" ht="15.75" customHeight="1">
      <c r="A215" s="20"/>
      <c r="B215" s="20"/>
      <c r="C215" s="21"/>
      <c r="D215" s="21"/>
      <c r="E215" s="22"/>
      <c r="F215" s="24"/>
      <c r="G215" s="23"/>
      <c r="H215" s="21"/>
      <c r="I215" s="81"/>
    </row>
    <row r="216" spans="1:9" ht="15.75" customHeight="1">
      <c r="A216" s="20"/>
      <c r="B216" s="20"/>
      <c r="C216" s="21"/>
      <c r="D216" s="21"/>
      <c r="E216" s="22"/>
      <c r="F216" s="24"/>
      <c r="G216" s="23"/>
      <c r="H216" s="21"/>
      <c r="I216" s="81"/>
    </row>
    <row r="217" spans="1:9" ht="15.75" customHeight="1">
      <c r="A217" s="20"/>
      <c r="B217" s="20"/>
      <c r="C217" s="21"/>
      <c r="D217" s="21"/>
      <c r="E217" s="22"/>
      <c r="F217" s="24"/>
      <c r="G217" s="23"/>
      <c r="H217" s="21"/>
      <c r="I217" s="81"/>
    </row>
    <row r="218" spans="1:9" ht="15.75" customHeight="1">
      <c r="A218" s="20"/>
      <c r="B218" s="20"/>
      <c r="C218" s="21"/>
      <c r="D218" s="21"/>
      <c r="E218" s="22"/>
      <c r="F218" s="24"/>
      <c r="G218" s="23"/>
      <c r="H218" s="21"/>
      <c r="I218" s="81"/>
    </row>
    <row r="219" spans="1:9" ht="15.75" customHeight="1">
      <c r="A219" s="20"/>
      <c r="B219" s="20"/>
      <c r="C219" s="21"/>
      <c r="D219" s="21"/>
      <c r="E219" s="22"/>
      <c r="F219" s="24"/>
      <c r="G219" s="23"/>
      <c r="H219" s="21"/>
      <c r="I219" s="81"/>
    </row>
    <row r="220" spans="1:9" ht="15.75" customHeight="1">
      <c r="C220" s="21"/>
      <c r="F220" s="24"/>
      <c r="G220" s="23"/>
      <c r="I220" s="81"/>
    </row>
    <row r="221" spans="1:9" ht="15.75" customHeight="1">
      <c r="C221" s="21"/>
      <c r="F221" s="24"/>
      <c r="G221" s="23"/>
      <c r="I221" s="81"/>
    </row>
    <row r="222" spans="1:9" ht="15.75" customHeight="1">
      <c r="C222" s="21"/>
      <c r="F222" s="24"/>
      <c r="G222" s="23"/>
      <c r="I222" s="81"/>
    </row>
    <row r="223" spans="1:9" ht="15.75" customHeight="1">
      <c r="C223" s="21"/>
      <c r="F223" s="24"/>
      <c r="G223" s="23"/>
      <c r="I223" s="81"/>
    </row>
    <row r="224" spans="1:9" ht="15.75" customHeight="1">
      <c r="C224" s="21"/>
      <c r="F224" s="24"/>
      <c r="G224" s="23"/>
      <c r="I224" s="81"/>
    </row>
    <row r="225" spans="3:9" ht="15.75" customHeight="1">
      <c r="C225" s="21"/>
      <c r="F225" s="24"/>
      <c r="G225" s="23"/>
      <c r="I225" s="81"/>
    </row>
    <row r="226" spans="3:9" ht="15.75" customHeight="1">
      <c r="C226" s="21"/>
      <c r="F226" s="24"/>
      <c r="G226" s="23"/>
      <c r="I226" s="81"/>
    </row>
    <row r="227" spans="3:9" ht="15.75" customHeight="1">
      <c r="C227" s="21"/>
      <c r="F227" s="24"/>
      <c r="G227" s="23"/>
      <c r="I227" s="81"/>
    </row>
    <row r="228" spans="3:9" ht="15.75" customHeight="1">
      <c r="C228" s="21"/>
      <c r="F228" s="24"/>
      <c r="G228" s="23"/>
      <c r="I228" s="81"/>
    </row>
    <row r="229" spans="3:9" ht="15.75" customHeight="1">
      <c r="C229" s="21"/>
      <c r="F229" s="24"/>
      <c r="G229" s="23"/>
      <c r="I229" s="81"/>
    </row>
    <row r="230" spans="3:9" ht="15.75" customHeight="1">
      <c r="C230" s="21"/>
      <c r="F230" s="24"/>
      <c r="G230" s="23"/>
      <c r="I230" s="81"/>
    </row>
    <row r="231" spans="3:9" ht="15.75" customHeight="1">
      <c r="C231" s="21"/>
      <c r="F231" s="24"/>
      <c r="G231" s="23"/>
      <c r="I231" s="81"/>
    </row>
    <row r="232" spans="3:9" ht="15.75" customHeight="1">
      <c r="C232" s="21"/>
      <c r="F232" s="24"/>
      <c r="G232" s="23"/>
      <c r="I232" s="81"/>
    </row>
    <row r="233" spans="3:9" ht="15.75" customHeight="1">
      <c r="C233" s="21"/>
      <c r="F233" s="24"/>
      <c r="G233" s="23"/>
      <c r="I233" s="81"/>
    </row>
    <row r="234" spans="3:9" ht="15.75" customHeight="1">
      <c r="C234" s="21"/>
      <c r="F234" s="24"/>
      <c r="G234" s="23"/>
      <c r="I234" s="81"/>
    </row>
    <row r="235" spans="3:9" ht="15.75" customHeight="1">
      <c r="C235" s="21"/>
      <c r="F235" s="24"/>
      <c r="G235" s="23"/>
      <c r="I235" s="81"/>
    </row>
    <row r="236" spans="3:9" ht="15.75" customHeight="1">
      <c r="C236" s="21"/>
      <c r="F236" s="24"/>
      <c r="G236" s="23"/>
      <c r="I236" s="81"/>
    </row>
    <row r="237" spans="3:9" ht="15.75" customHeight="1">
      <c r="C237" s="21"/>
      <c r="F237" s="24"/>
      <c r="G237" s="23"/>
      <c r="I237" s="81"/>
    </row>
    <row r="238" spans="3:9" ht="15.75" customHeight="1">
      <c r="C238" s="21"/>
      <c r="F238" s="24"/>
      <c r="G238" s="23"/>
      <c r="I238" s="81"/>
    </row>
    <row r="239" spans="3:9" ht="15.75" customHeight="1">
      <c r="C239" s="21"/>
      <c r="F239" s="24"/>
      <c r="G239" s="23"/>
      <c r="I239" s="81"/>
    </row>
    <row r="240" spans="3:9" ht="15.75" customHeight="1">
      <c r="C240" s="21"/>
      <c r="F240" s="24"/>
      <c r="G240" s="23"/>
      <c r="I240" s="81"/>
    </row>
    <row r="241" spans="3:9" ht="15.75" customHeight="1">
      <c r="C241" s="21"/>
      <c r="F241" s="24"/>
      <c r="G241" s="23"/>
      <c r="I241" s="81"/>
    </row>
    <row r="242" spans="3:9" ht="15.75" customHeight="1">
      <c r="C242" s="21"/>
      <c r="F242" s="24"/>
      <c r="G242" s="23"/>
      <c r="I242" s="81"/>
    </row>
    <row r="243" spans="3:9" ht="15.75" customHeight="1">
      <c r="C243" s="21"/>
      <c r="F243" s="24"/>
      <c r="G243" s="23"/>
      <c r="I243" s="81"/>
    </row>
    <row r="244" spans="3:9" ht="15.75" customHeight="1">
      <c r="C244" s="21"/>
      <c r="F244" s="24"/>
      <c r="G244" s="23"/>
      <c r="I244" s="81"/>
    </row>
    <row r="245" spans="3:9" ht="15.75" customHeight="1">
      <c r="C245" s="21"/>
      <c r="F245" s="24"/>
      <c r="G245" s="23"/>
      <c r="I245" s="81"/>
    </row>
    <row r="246" spans="3:9" ht="15.75" customHeight="1">
      <c r="C246" s="21"/>
      <c r="F246" s="24"/>
      <c r="G246" s="23"/>
      <c r="I246" s="81"/>
    </row>
    <row r="247" spans="3:9" ht="15.75" customHeight="1">
      <c r="C247" s="21"/>
      <c r="F247" s="24"/>
      <c r="G247" s="23"/>
      <c r="I247" s="81"/>
    </row>
    <row r="248" spans="3:9" ht="15.75" customHeight="1">
      <c r="C248" s="21"/>
      <c r="F248" s="24"/>
      <c r="G248" s="23"/>
      <c r="I248" s="81"/>
    </row>
    <row r="249" spans="3:9" ht="15.75" customHeight="1">
      <c r="C249" s="21"/>
      <c r="F249" s="24"/>
      <c r="G249" s="23"/>
      <c r="I249" s="81"/>
    </row>
    <row r="250" spans="3:9" ht="15.75" customHeight="1">
      <c r="C250" s="21"/>
      <c r="F250" s="24"/>
      <c r="G250" s="23"/>
      <c r="I250" s="81"/>
    </row>
    <row r="251" spans="3:9" ht="15.75" customHeight="1">
      <c r="C251" s="21"/>
      <c r="F251" s="24"/>
      <c r="G251" s="23"/>
      <c r="I251" s="81"/>
    </row>
    <row r="252" spans="3:9" ht="15.75" customHeight="1">
      <c r="C252" s="21"/>
      <c r="F252" s="24"/>
      <c r="G252" s="23"/>
      <c r="I252" s="81"/>
    </row>
    <row r="253" spans="3:9" ht="15.75" customHeight="1">
      <c r="C253" s="21"/>
      <c r="F253" s="24"/>
      <c r="G253" s="23"/>
      <c r="I253" s="81"/>
    </row>
    <row r="254" spans="3:9" ht="15.75" customHeight="1">
      <c r="C254" s="21"/>
      <c r="F254" s="24"/>
      <c r="G254" s="23"/>
      <c r="I254" s="81"/>
    </row>
    <row r="255" spans="3:9" ht="15.75" customHeight="1">
      <c r="C255" s="21"/>
      <c r="F255" s="24"/>
      <c r="G255" s="23"/>
      <c r="I255" s="81"/>
    </row>
    <row r="256" spans="3:9" ht="15.75" customHeight="1">
      <c r="C256" s="21"/>
      <c r="F256" s="24"/>
      <c r="G256" s="23"/>
      <c r="I256" s="81"/>
    </row>
    <row r="257" spans="3:9" ht="15.75" customHeight="1">
      <c r="C257" s="21"/>
      <c r="F257" s="24"/>
      <c r="G257" s="23"/>
      <c r="I257" s="81"/>
    </row>
    <row r="258" spans="3:9" ht="15.75" customHeight="1">
      <c r="C258" s="21"/>
      <c r="F258" s="24"/>
      <c r="G258" s="23"/>
      <c r="I258" s="81"/>
    </row>
    <row r="259" spans="3:9" ht="15.75" customHeight="1">
      <c r="C259" s="21"/>
      <c r="F259" s="24"/>
      <c r="G259" s="23"/>
      <c r="I259" s="81"/>
    </row>
    <row r="260" spans="3:9" ht="15.75" customHeight="1">
      <c r="C260" s="21"/>
      <c r="F260" s="24"/>
      <c r="G260" s="23"/>
      <c r="I260" s="81"/>
    </row>
    <row r="261" spans="3:9" ht="15.75" customHeight="1">
      <c r="C261" s="21"/>
      <c r="F261" s="24"/>
      <c r="G261" s="23"/>
      <c r="I261" s="81"/>
    </row>
    <row r="262" spans="3:9" ht="15.75" customHeight="1">
      <c r="C262" s="21"/>
      <c r="F262" s="24"/>
      <c r="G262" s="23"/>
      <c r="I262" s="81"/>
    </row>
    <row r="263" spans="3:9" ht="15.75" customHeight="1">
      <c r="C263" s="21"/>
      <c r="F263" s="24"/>
      <c r="G263" s="23"/>
      <c r="I263" s="81"/>
    </row>
    <row r="264" spans="3:9" ht="15.75" customHeight="1">
      <c r="C264" s="21"/>
      <c r="F264" s="24"/>
      <c r="G264" s="23"/>
      <c r="I264" s="81"/>
    </row>
    <row r="265" spans="3:9" ht="15.75" customHeight="1">
      <c r="C265" s="21"/>
      <c r="F265" s="24"/>
      <c r="G265" s="23"/>
      <c r="I265" s="81"/>
    </row>
    <row r="266" spans="3:9" ht="15.75" customHeight="1">
      <c r="C266" s="21"/>
      <c r="F266" s="24"/>
      <c r="G266" s="23"/>
      <c r="I266" s="81"/>
    </row>
    <row r="267" spans="3:9" ht="15.75" customHeight="1">
      <c r="C267" s="21"/>
      <c r="F267" s="24"/>
      <c r="G267" s="23"/>
      <c r="I267" s="81"/>
    </row>
    <row r="268" spans="3:9" ht="15.75" customHeight="1">
      <c r="C268" s="21"/>
      <c r="F268" s="24"/>
      <c r="G268" s="23"/>
      <c r="I268" s="81"/>
    </row>
    <row r="269" spans="3:9" ht="15.75" customHeight="1">
      <c r="C269" s="21"/>
      <c r="F269" s="24"/>
      <c r="G269" s="23"/>
      <c r="I269" s="81"/>
    </row>
    <row r="270" spans="3:9" ht="15.75" customHeight="1">
      <c r="C270" s="21"/>
      <c r="F270" s="24"/>
      <c r="G270" s="23"/>
      <c r="I270" s="81"/>
    </row>
    <row r="271" spans="3:9" ht="15.75" customHeight="1">
      <c r="C271" s="21"/>
      <c r="F271" s="24"/>
      <c r="G271" s="23"/>
      <c r="I271" s="81"/>
    </row>
    <row r="272" spans="3:9" ht="15.75" customHeight="1">
      <c r="C272" s="21"/>
      <c r="F272" s="24"/>
      <c r="G272" s="23"/>
      <c r="I272" s="81"/>
    </row>
    <row r="273" spans="3:9" ht="15.75" customHeight="1">
      <c r="C273" s="21"/>
      <c r="F273" s="24"/>
      <c r="G273" s="23"/>
      <c r="I273" s="81"/>
    </row>
    <row r="274" spans="3:9" ht="15.75" customHeight="1">
      <c r="C274" s="21"/>
      <c r="F274" s="24"/>
      <c r="G274" s="23"/>
      <c r="I274" s="81"/>
    </row>
    <row r="275" spans="3:9" ht="15.75" customHeight="1">
      <c r="C275" s="21"/>
      <c r="F275" s="24"/>
      <c r="G275" s="23"/>
      <c r="I275" s="81"/>
    </row>
    <row r="276" spans="3:9" ht="15.75" customHeight="1">
      <c r="C276" s="21"/>
      <c r="F276" s="24"/>
      <c r="G276" s="23"/>
      <c r="I276" s="81"/>
    </row>
    <row r="277" spans="3:9" ht="15.75" customHeight="1">
      <c r="C277" s="21"/>
      <c r="F277" s="24"/>
      <c r="G277" s="23"/>
      <c r="I277" s="81"/>
    </row>
    <row r="278" spans="3:9" ht="15.75" customHeight="1">
      <c r="C278" s="21"/>
      <c r="F278" s="24"/>
      <c r="G278" s="23"/>
      <c r="I278" s="81"/>
    </row>
    <row r="279" spans="3:9" ht="15.75" customHeight="1">
      <c r="C279" s="21"/>
      <c r="F279" s="24"/>
      <c r="G279" s="23"/>
      <c r="I279" s="81"/>
    </row>
    <row r="280" spans="3:9" ht="15.75" customHeight="1">
      <c r="C280" s="21"/>
      <c r="F280" s="24"/>
      <c r="G280" s="23"/>
      <c r="I280" s="81"/>
    </row>
    <row r="281" spans="3:9" ht="15.75" customHeight="1">
      <c r="C281" s="21"/>
      <c r="F281" s="24"/>
      <c r="G281" s="23"/>
      <c r="I281" s="81"/>
    </row>
    <row r="282" spans="3:9" ht="15.75" customHeight="1">
      <c r="C282" s="21"/>
      <c r="F282" s="24"/>
      <c r="G282" s="23"/>
      <c r="I282" s="81"/>
    </row>
    <row r="283" spans="3:9" ht="15.75" customHeight="1">
      <c r="C283" s="21"/>
      <c r="F283" s="24"/>
      <c r="G283" s="23"/>
      <c r="I283" s="81"/>
    </row>
    <row r="284" spans="3:9" ht="15.75" customHeight="1">
      <c r="C284" s="21"/>
      <c r="F284" s="24"/>
      <c r="G284" s="23"/>
      <c r="I284" s="81"/>
    </row>
    <row r="285" spans="3:9" ht="15.75" customHeight="1">
      <c r="C285" s="21"/>
      <c r="F285" s="24"/>
      <c r="G285" s="23"/>
      <c r="I285" s="81"/>
    </row>
    <row r="286" spans="3:9" ht="15.75" customHeight="1">
      <c r="C286" s="21"/>
      <c r="F286" s="24"/>
      <c r="G286" s="23"/>
      <c r="I286" s="81"/>
    </row>
    <row r="287" spans="3:9" ht="15.75" customHeight="1">
      <c r="C287" s="21"/>
      <c r="F287" s="24"/>
      <c r="G287" s="23"/>
      <c r="I287" s="81"/>
    </row>
    <row r="288" spans="3:9" ht="15.75" customHeight="1">
      <c r="C288" s="21"/>
      <c r="F288" s="24"/>
      <c r="G288" s="23"/>
      <c r="I288" s="81"/>
    </row>
    <row r="289" spans="3:9" ht="15.75" customHeight="1">
      <c r="C289" s="21"/>
      <c r="F289" s="24"/>
      <c r="G289" s="23"/>
      <c r="I289" s="81"/>
    </row>
    <row r="290" spans="3:9" ht="15.75" customHeight="1">
      <c r="C290" s="21"/>
      <c r="F290" s="24"/>
      <c r="G290" s="23"/>
      <c r="I290" s="81"/>
    </row>
    <row r="291" spans="3:9" ht="15.75" customHeight="1">
      <c r="C291" s="21"/>
      <c r="F291" s="24"/>
      <c r="G291" s="23"/>
      <c r="I291" s="81"/>
    </row>
    <row r="292" spans="3:9" ht="15.75" customHeight="1">
      <c r="C292" s="21"/>
      <c r="F292" s="24"/>
      <c r="G292" s="23"/>
      <c r="I292" s="81"/>
    </row>
    <row r="293" spans="3:9" ht="15.75" customHeight="1">
      <c r="C293" s="21"/>
      <c r="F293" s="24"/>
      <c r="G293" s="23"/>
      <c r="I293" s="81"/>
    </row>
    <row r="294" spans="3:9" ht="15.75" customHeight="1">
      <c r="C294" s="21"/>
      <c r="F294" s="24"/>
      <c r="G294" s="23"/>
      <c r="I294" s="81"/>
    </row>
    <row r="295" spans="3:9" ht="15.75" customHeight="1">
      <c r="C295" s="21"/>
      <c r="F295" s="24"/>
      <c r="G295" s="23"/>
      <c r="I295" s="81"/>
    </row>
    <row r="296" spans="3:9" ht="15.75" customHeight="1">
      <c r="C296" s="21"/>
      <c r="F296" s="24"/>
      <c r="G296" s="23"/>
      <c r="I296" s="81"/>
    </row>
    <row r="297" spans="3:9" ht="15.75" customHeight="1">
      <c r="C297" s="21"/>
      <c r="F297" s="24"/>
      <c r="G297" s="23"/>
      <c r="I297" s="81"/>
    </row>
    <row r="298" spans="3:9" ht="15.75" customHeight="1">
      <c r="C298" s="21"/>
      <c r="F298" s="24"/>
      <c r="G298" s="23"/>
      <c r="I298" s="81"/>
    </row>
    <row r="299" spans="3:9" ht="15.75" customHeight="1">
      <c r="C299" s="21"/>
      <c r="F299" s="24"/>
      <c r="G299" s="23"/>
      <c r="I299" s="81"/>
    </row>
    <row r="300" spans="3:9" ht="15.75" customHeight="1">
      <c r="C300" s="21"/>
      <c r="F300" s="24"/>
      <c r="G300" s="23"/>
      <c r="I300" s="81"/>
    </row>
    <row r="301" spans="3:9" ht="15.75" customHeight="1">
      <c r="C301" s="21"/>
      <c r="F301" s="24"/>
      <c r="G301" s="23"/>
      <c r="I301" s="81"/>
    </row>
    <row r="302" spans="3:9" ht="15.75" customHeight="1">
      <c r="C302" s="21"/>
      <c r="F302" s="24"/>
      <c r="G302" s="23"/>
      <c r="I302" s="81"/>
    </row>
    <row r="303" spans="3:9" ht="15.75" customHeight="1">
      <c r="C303" s="21"/>
      <c r="F303" s="24"/>
      <c r="G303" s="23"/>
      <c r="I303" s="81"/>
    </row>
    <row r="304" spans="3:9" ht="15.75" customHeight="1">
      <c r="C304" s="21"/>
      <c r="F304" s="24"/>
      <c r="G304" s="23"/>
      <c r="I304" s="81"/>
    </row>
    <row r="305" spans="3:9" ht="15.75" customHeight="1">
      <c r="C305" s="21"/>
      <c r="F305" s="24"/>
      <c r="G305" s="23"/>
      <c r="I305" s="81"/>
    </row>
    <row r="306" spans="3:9" ht="15.75" customHeight="1">
      <c r="C306" s="21"/>
      <c r="F306" s="24"/>
      <c r="G306" s="23"/>
      <c r="I306" s="81"/>
    </row>
    <row r="307" spans="3:9" ht="15.75" customHeight="1">
      <c r="C307" s="21"/>
      <c r="F307" s="24"/>
      <c r="G307" s="23"/>
      <c r="I307" s="81"/>
    </row>
    <row r="308" spans="3:9" ht="15.75" customHeight="1">
      <c r="C308" s="21"/>
      <c r="F308" s="24"/>
      <c r="G308" s="23"/>
      <c r="I308" s="81"/>
    </row>
    <row r="309" spans="3:9" ht="15.75" customHeight="1">
      <c r="C309" s="21"/>
      <c r="F309" s="24"/>
      <c r="G309" s="23"/>
      <c r="I309" s="81"/>
    </row>
    <row r="310" spans="3:9" ht="15.75" customHeight="1">
      <c r="C310" s="21"/>
      <c r="F310" s="24"/>
      <c r="G310" s="23"/>
      <c r="I310" s="81"/>
    </row>
    <row r="311" spans="3:9" ht="15.75" customHeight="1">
      <c r="C311" s="21"/>
      <c r="F311" s="24"/>
      <c r="G311" s="23"/>
      <c r="I311" s="81"/>
    </row>
    <row r="312" spans="3:9" ht="15.75" customHeight="1">
      <c r="C312" s="21"/>
      <c r="F312" s="24"/>
      <c r="G312" s="23"/>
      <c r="I312" s="81"/>
    </row>
    <row r="313" spans="3:9" ht="15.75" customHeight="1">
      <c r="C313" s="21"/>
      <c r="F313" s="24"/>
      <c r="G313" s="23"/>
      <c r="I313" s="81"/>
    </row>
    <row r="314" spans="3:9" ht="15.75" customHeight="1">
      <c r="C314" s="21"/>
      <c r="F314" s="24"/>
      <c r="G314" s="23"/>
      <c r="I314" s="81"/>
    </row>
    <row r="315" spans="3:9" ht="15.75" customHeight="1">
      <c r="C315" s="21"/>
      <c r="F315" s="24"/>
      <c r="G315" s="23"/>
      <c r="I315" s="81"/>
    </row>
    <row r="316" spans="3:9" ht="15.75" customHeight="1">
      <c r="C316" s="21"/>
      <c r="F316" s="24"/>
      <c r="G316" s="23"/>
      <c r="I316" s="81"/>
    </row>
    <row r="317" spans="3:9" ht="15.75" customHeight="1">
      <c r="C317" s="21"/>
      <c r="F317" s="24"/>
      <c r="G317" s="23"/>
      <c r="I317" s="81"/>
    </row>
    <row r="318" spans="3:9" ht="15.75" customHeight="1">
      <c r="C318" s="21"/>
      <c r="F318" s="24"/>
      <c r="G318" s="23"/>
      <c r="I318" s="81"/>
    </row>
    <row r="319" spans="3:9" ht="15.75" customHeight="1">
      <c r="C319" s="21"/>
      <c r="F319" s="24"/>
      <c r="G319" s="23"/>
      <c r="I319" s="81"/>
    </row>
    <row r="320" spans="3:9" ht="15.75" customHeight="1">
      <c r="C320" s="21"/>
      <c r="F320" s="24"/>
      <c r="G320" s="23"/>
      <c r="I320" s="81"/>
    </row>
    <row r="321" spans="3:9" ht="15.75" customHeight="1">
      <c r="C321" s="21"/>
      <c r="F321" s="24"/>
      <c r="G321" s="23"/>
      <c r="I321" s="81"/>
    </row>
    <row r="322" spans="3:9" ht="15.75" customHeight="1">
      <c r="C322" s="21"/>
      <c r="F322" s="24"/>
      <c r="G322" s="23"/>
      <c r="I322" s="81"/>
    </row>
    <row r="323" spans="3:9" ht="15.75" customHeight="1">
      <c r="C323" s="21"/>
      <c r="F323" s="24"/>
      <c r="G323" s="23"/>
      <c r="I323" s="81"/>
    </row>
    <row r="324" spans="3:9" ht="15.75" customHeight="1">
      <c r="C324" s="21"/>
      <c r="F324" s="24"/>
      <c r="G324" s="23"/>
      <c r="I324" s="81"/>
    </row>
    <row r="325" spans="3:9" ht="15.75" customHeight="1">
      <c r="C325" s="21"/>
      <c r="F325" s="24"/>
      <c r="G325" s="23"/>
      <c r="I325" s="81"/>
    </row>
    <row r="326" spans="3:9" ht="15.75" customHeight="1">
      <c r="C326" s="21"/>
      <c r="F326" s="24"/>
      <c r="G326" s="23"/>
      <c r="I326" s="81"/>
    </row>
    <row r="327" spans="3:9" ht="15.75" customHeight="1">
      <c r="C327" s="21"/>
      <c r="F327" s="24"/>
      <c r="G327" s="23"/>
      <c r="I327" s="81"/>
    </row>
    <row r="328" spans="3:9" ht="15.75" customHeight="1">
      <c r="C328" s="21"/>
      <c r="F328" s="24"/>
      <c r="G328" s="23"/>
      <c r="I328" s="81"/>
    </row>
    <row r="329" spans="3:9" ht="15.75" customHeight="1">
      <c r="C329" s="21"/>
      <c r="F329" s="24"/>
      <c r="G329" s="23"/>
      <c r="I329" s="81"/>
    </row>
    <row r="330" spans="3:9" ht="15.75" customHeight="1">
      <c r="C330" s="21"/>
      <c r="F330" s="24"/>
      <c r="G330" s="23"/>
      <c r="I330" s="81"/>
    </row>
    <row r="331" spans="3:9" ht="15.75" customHeight="1">
      <c r="C331" s="21"/>
      <c r="F331" s="24"/>
      <c r="G331" s="23"/>
      <c r="I331" s="81"/>
    </row>
    <row r="332" spans="3:9" ht="15.75" customHeight="1">
      <c r="C332" s="21"/>
      <c r="F332" s="24"/>
      <c r="G332" s="23"/>
      <c r="I332" s="81"/>
    </row>
    <row r="333" spans="3:9" ht="15.75" customHeight="1">
      <c r="C333" s="21"/>
      <c r="F333" s="24"/>
      <c r="G333" s="23"/>
      <c r="I333" s="81"/>
    </row>
    <row r="334" spans="3:9" ht="15.75" customHeight="1">
      <c r="C334" s="21"/>
      <c r="F334" s="24"/>
      <c r="G334" s="23"/>
      <c r="I334" s="81"/>
    </row>
    <row r="335" spans="3:9" ht="15.75" customHeight="1">
      <c r="C335" s="21"/>
      <c r="F335" s="24"/>
      <c r="G335" s="23"/>
      <c r="I335" s="81"/>
    </row>
    <row r="336" spans="3:9" ht="15.75" customHeight="1">
      <c r="C336" s="21"/>
      <c r="F336" s="24"/>
      <c r="G336" s="23"/>
      <c r="I336" s="81"/>
    </row>
    <row r="337" spans="3:9" ht="15.75" customHeight="1">
      <c r="C337" s="21"/>
      <c r="F337" s="24"/>
      <c r="G337" s="23"/>
      <c r="I337" s="81"/>
    </row>
    <row r="338" spans="3:9" ht="15.75" customHeight="1">
      <c r="C338" s="21"/>
      <c r="F338" s="24"/>
      <c r="G338" s="23"/>
      <c r="I338" s="81"/>
    </row>
    <row r="339" spans="3:9" ht="15.75" customHeight="1">
      <c r="C339" s="21"/>
      <c r="F339" s="24"/>
      <c r="G339" s="23"/>
      <c r="I339" s="81"/>
    </row>
    <row r="340" spans="3:9" ht="15.75" customHeight="1">
      <c r="C340" s="21"/>
      <c r="F340" s="24"/>
      <c r="G340" s="23"/>
      <c r="I340" s="81"/>
    </row>
    <row r="341" spans="3:9" ht="15.75" customHeight="1">
      <c r="C341" s="21"/>
      <c r="F341" s="24"/>
      <c r="G341" s="23"/>
      <c r="I341" s="81"/>
    </row>
    <row r="342" spans="3:9" ht="15.75" customHeight="1">
      <c r="C342" s="21"/>
      <c r="F342" s="24"/>
      <c r="G342" s="23"/>
      <c r="I342" s="81"/>
    </row>
    <row r="343" spans="3:9" ht="15.75" customHeight="1">
      <c r="C343" s="21"/>
      <c r="F343" s="24"/>
      <c r="G343" s="23"/>
      <c r="I343" s="81"/>
    </row>
    <row r="344" spans="3:9" ht="15.75" customHeight="1">
      <c r="C344" s="21"/>
      <c r="F344" s="24"/>
      <c r="G344" s="23"/>
      <c r="I344" s="81"/>
    </row>
    <row r="345" spans="3:9" ht="15.75" customHeight="1">
      <c r="C345" s="21"/>
      <c r="F345" s="24"/>
      <c r="G345" s="23"/>
      <c r="I345" s="81"/>
    </row>
    <row r="346" spans="3:9" ht="15.75" customHeight="1">
      <c r="C346" s="21"/>
      <c r="F346" s="24"/>
      <c r="G346" s="23"/>
      <c r="I346" s="81"/>
    </row>
    <row r="347" spans="3:9" ht="15.75" customHeight="1">
      <c r="C347" s="21"/>
      <c r="F347" s="24"/>
      <c r="G347" s="23"/>
      <c r="I347" s="81"/>
    </row>
    <row r="348" spans="3:9" ht="15.75" customHeight="1">
      <c r="C348" s="21"/>
      <c r="F348" s="24"/>
      <c r="G348" s="23"/>
      <c r="I348" s="81"/>
    </row>
    <row r="349" spans="3:9" ht="15.75" customHeight="1">
      <c r="C349" s="21"/>
      <c r="F349" s="24"/>
      <c r="G349" s="23"/>
      <c r="I349" s="81"/>
    </row>
    <row r="350" spans="3:9" ht="15.75" customHeight="1">
      <c r="C350" s="21"/>
      <c r="F350" s="24"/>
      <c r="G350" s="23"/>
      <c r="I350" s="81"/>
    </row>
    <row r="351" spans="3:9" ht="15.75" customHeight="1">
      <c r="C351" s="21"/>
      <c r="F351" s="24"/>
      <c r="G351" s="23"/>
      <c r="I351" s="81"/>
    </row>
    <row r="352" spans="3:9" ht="15.75" customHeight="1">
      <c r="C352" s="21"/>
      <c r="F352" s="24"/>
      <c r="G352" s="23"/>
      <c r="I352" s="81"/>
    </row>
    <row r="353" spans="3:9" ht="15.75" customHeight="1">
      <c r="C353" s="21"/>
      <c r="F353" s="24"/>
      <c r="G353" s="23"/>
      <c r="I353" s="81"/>
    </row>
    <row r="354" spans="3:9" ht="15.75" customHeight="1">
      <c r="C354" s="21"/>
      <c r="F354" s="24"/>
      <c r="G354" s="23"/>
      <c r="I354" s="81"/>
    </row>
    <row r="355" spans="3:9" ht="15.75" customHeight="1">
      <c r="C355" s="21"/>
      <c r="F355" s="24"/>
      <c r="G355" s="23"/>
      <c r="I355" s="81"/>
    </row>
    <row r="356" spans="3:9" ht="15.75" customHeight="1">
      <c r="C356" s="21"/>
      <c r="F356" s="24"/>
      <c r="G356" s="23"/>
      <c r="I356" s="81"/>
    </row>
    <row r="357" spans="3:9" ht="15.75" customHeight="1">
      <c r="C357" s="21"/>
      <c r="F357" s="24"/>
      <c r="G357" s="23"/>
      <c r="I357" s="81"/>
    </row>
    <row r="358" spans="3:9" ht="15.75" customHeight="1">
      <c r="C358" s="21"/>
      <c r="F358" s="24"/>
      <c r="G358" s="23"/>
      <c r="I358" s="81"/>
    </row>
    <row r="359" spans="3:9" ht="15.75" customHeight="1">
      <c r="C359" s="21"/>
      <c r="F359" s="24"/>
      <c r="G359" s="23"/>
      <c r="I359" s="81"/>
    </row>
    <row r="360" spans="3:9" ht="15.75" customHeight="1">
      <c r="C360" s="21"/>
      <c r="F360" s="24"/>
      <c r="G360" s="23"/>
      <c r="I360" s="81"/>
    </row>
    <row r="361" spans="3:9" ht="15.75" customHeight="1">
      <c r="C361" s="21"/>
      <c r="F361" s="24"/>
      <c r="G361" s="23"/>
      <c r="I361" s="81"/>
    </row>
    <row r="362" spans="3:9" ht="15.75" customHeight="1">
      <c r="C362" s="21"/>
      <c r="F362" s="24"/>
      <c r="G362" s="23"/>
      <c r="I362" s="81"/>
    </row>
    <row r="363" spans="3:9" ht="15.75" customHeight="1">
      <c r="C363" s="21"/>
      <c r="F363" s="24"/>
      <c r="G363" s="23"/>
      <c r="I363" s="81"/>
    </row>
    <row r="364" spans="3:9" ht="15.75" customHeight="1">
      <c r="C364" s="21"/>
      <c r="F364" s="24"/>
      <c r="G364" s="23"/>
      <c r="I364" s="81"/>
    </row>
    <row r="365" spans="3:9" ht="15.75" customHeight="1">
      <c r="C365" s="21"/>
      <c r="F365" s="24"/>
      <c r="G365" s="23"/>
      <c r="I365" s="81"/>
    </row>
    <row r="366" spans="3:9" ht="15.75" customHeight="1">
      <c r="C366" s="21"/>
      <c r="F366" s="24"/>
      <c r="G366" s="23"/>
      <c r="I366" s="81"/>
    </row>
    <row r="367" spans="3:9" ht="15.75" customHeight="1">
      <c r="C367" s="21"/>
      <c r="F367" s="24"/>
      <c r="G367" s="23"/>
      <c r="I367" s="81"/>
    </row>
    <row r="368" spans="3:9" ht="15.75" customHeight="1">
      <c r="C368" s="21"/>
      <c r="F368" s="24"/>
      <c r="G368" s="23"/>
      <c r="I368" s="81"/>
    </row>
    <row r="369" spans="3:9" ht="15.75" customHeight="1">
      <c r="C369" s="21"/>
      <c r="F369" s="24"/>
      <c r="G369" s="23"/>
      <c r="I369" s="81"/>
    </row>
    <row r="370" spans="3:9" ht="15.75" customHeight="1">
      <c r="C370" s="21"/>
      <c r="F370" s="24"/>
      <c r="G370" s="23"/>
      <c r="I370" s="81"/>
    </row>
    <row r="371" spans="3:9" ht="15.75" customHeight="1">
      <c r="C371" s="21"/>
      <c r="F371" s="24"/>
      <c r="G371" s="23"/>
      <c r="I371" s="81"/>
    </row>
    <row r="372" spans="3:9" ht="15.75" customHeight="1">
      <c r="C372" s="21"/>
      <c r="F372" s="24"/>
      <c r="G372" s="23"/>
      <c r="I372" s="81"/>
    </row>
    <row r="373" spans="3:9" ht="15.75" customHeight="1">
      <c r="C373" s="21"/>
      <c r="F373" s="24"/>
      <c r="G373" s="23"/>
      <c r="I373" s="81"/>
    </row>
    <row r="374" spans="3:9" ht="15.75" customHeight="1">
      <c r="C374" s="21"/>
      <c r="F374" s="24"/>
      <c r="G374" s="23"/>
      <c r="I374" s="81"/>
    </row>
    <row r="375" spans="3:9" ht="15.75" customHeight="1">
      <c r="C375" s="21"/>
      <c r="F375" s="24"/>
      <c r="G375" s="23"/>
      <c r="I375" s="81"/>
    </row>
    <row r="376" spans="3:9" ht="15.75" customHeight="1">
      <c r="C376" s="21"/>
      <c r="F376" s="24"/>
      <c r="G376" s="23"/>
      <c r="I376" s="81"/>
    </row>
    <row r="377" spans="3:9" ht="15.75" customHeight="1">
      <c r="C377" s="21"/>
      <c r="F377" s="24"/>
      <c r="G377" s="23"/>
      <c r="I377" s="81"/>
    </row>
    <row r="378" spans="3:9" ht="15.75" customHeight="1">
      <c r="C378" s="21"/>
      <c r="F378" s="24"/>
      <c r="G378" s="23"/>
      <c r="I378" s="81"/>
    </row>
    <row r="379" spans="3:9" ht="15.75" customHeight="1">
      <c r="C379" s="21"/>
      <c r="F379" s="24"/>
      <c r="G379" s="23"/>
      <c r="I379" s="81"/>
    </row>
    <row r="380" spans="3:9" ht="15.75" customHeight="1">
      <c r="C380" s="21"/>
      <c r="F380" s="24"/>
      <c r="G380" s="23"/>
      <c r="I380" s="81"/>
    </row>
    <row r="381" spans="3:9" ht="15.75" customHeight="1">
      <c r="C381" s="21"/>
      <c r="F381" s="24"/>
      <c r="G381" s="23"/>
      <c r="I381" s="81"/>
    </row>
    <row r="382" spans="3:9" ht="15.75" customHeight="1">
      <c r="C382" s="21"/>
      <c r="F382" s="24"/>
      <c r="G382" s="23"/>
      <c r="I382" s="81"/>
    </row>
    <row r="383" spans="3:9" ht="15.75" customHeight="1">
      <c r="C383" s="21"/>
      <c r="F383" s="24"/>
      <c r="G383" s="23"/>
      <c r="I383" s="81"/>
    </row>
    <row r="384" spans="3:9" ht="15.75" customHeight="1">
      <c r="C384" s="21"/>
      <c r="F384" s="24"/>
      <c r="G384" s="23"/>
      <c r="I384" s="81"/>
    </row>
    <row r="385" spans="3:9" ht="15.75" customHeight="1">
      <c r="C385" s="21"/>
      <c r="F385" s="24"/>
      <c r="G385" s="23"/>
      <c r="I385" s="81"/>
    </row>
    <row r="386" spans="3:9" ht="15.75" customHeight="1">
      <c r="C386" s="21"/>
      <c r="F386" s="24"/>
      <c r="G386" s="23"/>
      <c r="I386" s="81"/>
    </row>
    <row r="387" spans="3:9" ht="15.75" customHeight="1">
      <c r="C387" s="21"/>
      <c r="F387" s="24"/>
      <c r="G387" s="23"/>
      <c r="I387" s="81"/>
    </row>
    <row r="388" spans="3:9" ht="15.75" customHeight="1">
      <c r="C388" s="21"/>
      <c r="F388" s="24"/>
      <c r="G388" s="23"/>
      <c r="I388" s="81"/>
    </row>
    <row r="389" spans="3:9" ht="15.75" customHeight="1">
      <c r="C389" s="21"/>
      <c r="F389" s="24"/>
      <c r="G389" s="23"/>
      <c r="I389" s="81"/>
    </row>
    <row r="390" spans="3:9" ht="15.75" customHeight="1">
      <c r="C390" s="21"/>
      <c r="F390" s="24"/>
      <c r="G390" s="23"/>
      <c r="I390" s="81"/>
    </row>
    <row r="391" spans="3:9" ht="15.75" customHeight="1">
      <c r="C391" s="21"/>
      <c r="F391" s="24"/>
      <c r="G391" s="23"/>
      <c r="I391" s="81"/>
    </row>
    <row r="392" spans="3:9" ht="15.75" customHeight="1">
      <c r="C392" s="21"/>
      <c r="F392" s="24"/>
      <c r="G392" s="23"/>
      <c r="I392" s="81"/>
    </row>
    <row r="393" spans="3:9" ht="15.75" customHeight="1">
      <c r="C393" s="21"/>
      <c r="F393" s="24"/>
      <c r="G393" s="23"/>
      <c r="I393" s="81"/>
    </row>
    <row r="394" spans="3:9" ht="15.75" customHeight="1">
      <c r="C394" s="21"/>
      <c r="F394" s="24"/>
      <c r="G394" s="23"/>
      <c r="I394" s="81"/>
    </row>
    <row r="395" spans="3:9" ht="15.75" customHeight="1">
      <c r="C395" s="21"/>
      <c r="F395" s="24"/>
      <c r="G395" s="23"/>
      <c r="I395" s="81"/>
    </row>
    <row r="396" spans="3:9" ht="15.75" customHeight="1">
      <c r="C396" s="21"/>
      <c r="F396" s="24"/>
      <c r="G396" s="23"/>
      <c r="I396" s="81"/>
    </row>
    <row r="397" spans="3:9" ht="15.75" customHeight="1">
      <c r="C397" s="21"/>
      <c r="F397" s="24"/>
      <c r="G397" s="23"/>
      <c r="I397" s="81"/>
    </row>
    <row r="398" spans="3:9" ht="15.75" customHeight="1">
      <c r="C398" s="21"/>
      <c r="F398" s="24"/>
      <c r="G398" s="23"/>
      <c r="I398" s="81"/>
    </row>
    <row r="399" spans="3:9" ht="15.75" customHeight="1">
      <c r="C399" s="21"/>
      <c r="F399" s="24"/>
      <c r="G399" s="23"/>
      <c r="I399" s="81"/>
    </row>
    <row r="400" spans="3:9" ht="15.75" customHeight="1">
      <c r="C400" s="21"/>
      <c r="F400" s="24"/>
      <c r="G400" s="23"/>
      <c r="I400" s="81"/>
    </row>
    <row r="401" spans="3:9" ht="15.75" customHeight="1">
      <c r="C401" s="21"/>
      <c r="F401" s="24"/>
      <c r="G401" s="23"/>
      <c r="I401" s="81"/>
    </row>
    <row r="402" spans="3:9" ht="15.75" customHeight="1">
      <c r="C402" s="21"/>
      <c r="F402" s="24"/>
      <c r="G402" s="23"/>
      <c r="I402" s="81"/>
    </row>
    <row r="403" spans="3:9" ht="15.75" customHeight="1">
      <c r="C403" s="21"/>
      <c r="F403" s="24"/>
      <c r="G403" s="23"/>
      <c r="I403" s="81"/>
    </row>
    <row r="404" spans="3:9" ht="15.75" customHeight="1">
      <c r="C404" s="21"/>
      <c r="F404" s="24"/>
      <c r="G404" s="23"/>
      <c r="I404" s="81"/>
    </row>
    <row r="405" spans="3:9" ht="15.75" customHeight="1">
      <c r="C405" s="21"/>
      <c r="F405" s="24"/>
      <c r="G405" s="23"/>
      <c r="I405" s="81"/>
    </row>
    <row r="406" spans="3:9" ht="15.75" customHeight="1">
      <c r="C406" s="21"/>
      <c r="F406" s="24"/>
      <c r="G406" s="23"/>
      <c r="I406" s="81"/>
    </row>
    <row r="407" spans="3:9" ht="15.75" customHeight="1">
      <c r="C407" s="21"/>
      <c r="F407" s="24"/>
      <c r="G407" s="23"/>
      <c r="I407" s="81"/>
    </row>
    <row r="408" spans="3:9" ht="15.75" customHeight="1">
      <c r="C408" s="21"/>
      <c r="F408" s="24"/>
      <c r="G408" s="23"/>
      <c r="I408" s="81"/>
    </row>
    <row r="409" spans="3:9" ht="15.75" customHeight="1">
      <c r="C409" s="21"/>
      <c r="F409" s="24"/>
      <c r="G409" s="23"/>
      <c r="I409" s="81"/>
    </row>
    <row r="410" spans="3:9" ht="15.75" customHeight="1">
      <c r="C410" s="21"/>
      <c r="F410" s="24"/>
      <c r="G410" s="23"/>
      <c r="I410" s="81"/>
    </row>
    <row r="411" spans="3:9" ht="15.75" customHeight="1">
      <c r="C411" s="21"/>
      <c r="F411" s="24"/>
      <c r="G411" s="23"/>
      <c r="I411" s="81"/>
    </row>
    <row r="412" spans="3:9" ht="15.75" customHeight="1">
      <c r="C412" s="21"/>
      <c r="F412" s="24"/>
      <c r="G412" s="23"/>
      <c r="I412" s="81"/>
    </row>
    <row r="413" spans="3:9" ht="15.75" customHeight="1">
      <c r="C413" s="21"/>
      <c r="F413" s="24"/>
      <c r="G413" s="23"/>
      <c r="I413" s="81"/>
    </row>
    <row r="414" spans="3:9" ht="15.75" customHeight="1">
      <c r="C414" s="21"/>
      <c r="F414" s="24"/>
      <c r="G414" s="23"/>
      <c r="I414" s="81"/>
    </row>
    <row r="415" spans="3:9" ht="15.75" customHeight="1">
      <c r="C415" s="21"/>
      <c r="F415" s="24"/>
      <c r="G415" s="23"/>
      <c r="I415" s="81"/>
    </row>
    <row r="416" spans="3:9" ht="15.75" customHeight="1">
      <c r="C416" s="21"/>
      <c r="F416" s="24"/>
      <c r="G416" s="23"/>
      <c r="I416" s="81"/>
    </row>
    <row r="417" spans="3:9" ht="15.75" customHeight="1">
      <c r="C417" s="21"/>
      <c r="F417" s="24"/>
      <c r="G417" s="23"/>
      <c r="I417" s="81"/>
    </row>
    <row r="418" spans="3:9" ht="15.75" customHeight="1">
      <c r="C418" s="21"/>
      <c r="F418" s="24"/>
      <c r="G418" s="23"/>
      <c r="I418" s="81"/>
    </row>
    <row r="419" spans="3:9" ht="15.75" customHeight="1">
      <c r="C419" s="21"/>
      <c r="F419" s="24"/>
      <c r="G419" s="23"/>
      <c r="I419" s="81"/>
    </row>
    <row r="420" spans="3:9" ht="15.75" customHeight="1">
      <c r="C420" s="21"/>
      <c r="F420" s="24"/>
      <c r="G420" s="23"/>
      <c r="I420" s="81"/>
    </row>
    <row r="421" spans="3:9" ht="15.75" customHeight="1">
      <c r="C421" s="21"/>
      <c r="F421" s="24"/>
      <c r="G421" s="23"/>
      <c r="I421" s="81"/>
    </row>
    <row r="422" spans="3:9" ht="15.75" customHeight="1">
      <c r="C422" s="21"/>
      <c r="F422" s="24"/>
      <c r="G422" s="23"/>
      <c r="I422" s="81"/>
    </row>
    <row r="423" spans="3:9" ht="15.75" customHeight="1">
      <c r="C423" s="21"/>
      <c r="F423" s="24"/>
      <c r="G423" s="23"/>
      <c r="I423" s="81"/>
    </row>
    <row r="424" spans="3:9" ht="15.75" customHeight="1">
      <c r="C424" s="21"/>
      <c r="F424" s="24"/>
      <c r="G424" s="23"/>
      <c r="I424" s="81"/>
    </row>
    <row r="425" spans="3:9" ht="15.75" customHeight="1">
      <c r="C425" s="21"/>
      <c r="F425" s="24"/>
      <c r="G425" s="23"/>
      <c r="I425" s="81"/>
    </row>
    <row r="426" spans="3:9" ht="15.75" customHeight="1">
      <c r="C426" s="21"/>
      <c r="F426" s="24"/>
      <c r="G426" s="23"/>
      <c r="I426" s="81"/>
    </row>
    <row r="427" spans="3:9" ht="15.75" customHeight="1">
      <c r="C427" s="21"/>
      <c r="F427" s="24"/>
      <c r="G427" s="23"/>
      <c r="I427" s="81"/>
    </row>
    <row r="428" spans="3:9" ht="15.75" customHeight="1">
      <c r="C428" s="21"/>
      <c r="F428" s="24"/>
      <c r="G428" s="23"/>
      <c r="I428" s="81"/>
    </row>
    <row r="429" spans="3:9" ht="15.75" customHeight="1">
      <c r="C429" s="21"/>
      <c r="F429" s="24"/>
      <c r="G429" s="23"/>
      <c r="I429" s="81"/>
    </row>
    <row r="430" spans="3:9" ht="15.75" customHeight="1">
      <c r="C430" s="21"/>
      <c r="F430" s="24"/>
      <c r="G430" s="23"/>
      <c r="I430" s="81"/>
    </row>
    <row r="431" spans="3:9" ht="15.75" customHeight="1">
      <c r="C431" s="21"/>
      <c r="F431" s="24"/>
      <c r="G431" s="23"/>
      <c r="I431" s="81"/>
    </row>
    <row r="432" spans="3:9" ht="15.75" customHeight="1">
      <c r="C432" s="21"/>
      <c r="F432" s="24"/>
      <c r="G432" s="23"/>
      <c r="I432" s="81"/>
    </row>
    <row r="433" spans="3:9" ht="15.75" customHeight="1">
      <c r="C433" s="21"/>
      <c r="F433" s="24"/>
      <c r="G433" s="23"/>
      <c r="I433" s="81"/>
    </row>
    <row r="434" spans="3:9" ht="15.75" customHeight="1">
      <c r="C434" s="21"/>
      <c r="F434" s="24"/>
      <c r="G434" s="23"/>
      <c r="I434" s="81"/>
    </row>
    <row r="435" spans="3:9" ht="15.75" customHeight="1">
      <c r="C435" s="21"/>
      <c r="F435" s="24"/>
      <c r="G435" s="23"/>
      <c r="I435" s="81"/>
    </row>
    <row r="436" spans="3:9" ht="15.75" customHeight="1">
      <c r="C436" s="21"/>
      <c r="F436" s="24"/>
      <c r="G436" s="23"/>
      <c r="I436" s="81"/>
    </row>
    <row r="437" spans="3:9" ht="15.75" customHeight="1">
      <c r="C437" s="21"/>
      <c r="F437" s="24"/>
      <c r="G437" s="23"/>
      <c r="I437" s="81"/>
    </row>
    <row r="438" spans="3:9" ht="15.75" customHeight="1">
      <c r="C438" s="21"/>
      <c r="F438" s="24"/>
      <c r="G438" s="23"/>
      <c r="I438" s="81"/>
    </row>
    <row r="439" spans="3:9" ht="15.75" customHeight="1">
      <c r="C439" s="21"/>
      <c r="F439" s="24"/>
      <c r="G439" s="23"/>
      <c r="I439" s="81"/>
    </row>
    <row r="440" spans="3:9" ht="15.75" customHeight="1">
      <c r="C440" s="21"/>
      <c r="F440" s="24"/>
      <c r="G440" s="23"/>
      <c r="I440" s="81"/>
    </row>
    <row r="441" spans="3:9" ht="15.75" customHeight="1">
      <c r="C441" s="21"/>
      <c r="F441" s="24"/>
      <c r="G441" s="23"/>
      <c r="I441" s="81"/>
    </row>
    <row r="442" spans="3:9" ht="15.75" customHeight="1">
      <c r="C442" s="21"/>
      <c r="F442" s="24"/>
      <c r="G442" s="23"/>
      <c r="I442" s="81"/>
    </row>
    <row r="443" spans="3:9" ht="15.75" customHeight="1">
      <c r="C443" s="21"/>
      <c r="F443" s="24"/>
      <c r="G443" s="23"/>
      <c r="I443" s="81"/>
    </row>
    <row r="444" spans="3:9" ht="15.75" customHeight="1">
      <c r="C444" s="21"/>
      <c r="F444" s="24"/>
      <c r="G444" s="23"/>
      <c r="I444" s="81"/>
    </row>
    <row r="445" spans="3:9" ht="15.75" customHeight="1">
      <c r="C445" s="21"/>
      <c r="F445" s="24"/>
      <c r="G445" s="23"/>
      <c r="I445" s="81"/>
    </row>
    <row r="446" spans="3:9" ht="15.75" customHeight="1">
      <c r="C446" s="21"/>
      <c r="F446" s="24"/>
      <c r="G446" s="23"/>
      <c r="I446" s="81"/>
    </row>
    <row r="447" spans="3:9" ht="15.75" customHeight="1">
      <c r="C447" s="21"/>
      <c r="F447" s="24"/>
      <c r="G447" s="23"/>
      <c r="I447" s="81"/>
    </row>
    <row r="448" spans="3:9" ht="15.75" customHeight="1">
      <c r="C448" s="21"/>
      <c r="F448" s="24"/>
      <c r="G448" s="23"/>
      <c r="I448" s="81"/>
    </row>
    <row r="449" spans="3:9" ht="15.75" customHeight="1">
      <c r="C449" s="21"/>
      <c r="F449" s="24"/>
      <c r="G449" s="23"/>
      <c r="I449" s="81"/>
    </row>
    <row r="450" spans="3:9" ht="15.75" customHeight="1">
      <c r="C450" s="21"/>
      <c r="F450" s="24"/>
      <c r="G450" s="23"/>
      <c r="I450" s="81"/>
    </row>
    <row r="451" spans="3:9" ht="15.75" customHeight="1">
      <c r="C451" s="21"/>
      <c r="F451" s="24"/>
      <c r="G451" s="23"/>
      <c r="I451" s="81"/>
    </row>
    <row r="452" spans="3:9" ht="15.75" customHeight="1">
      <c r="C452" s="21"/>
      <c r="F452" s="24"/>
      <c r="G452" s="23"/>
      <c r="I452" s="81"/>
    </row>
    <row r="453" spans="3:9" ht="15.75" customHeight="1">
      <c r="C453" s="21"/>
      <c r="F453" s="24"/>
      <c r="G453" s="23"/>
      <c r="I453" s="81"/>
    </row>
    <row r="454" spans="3:9" ht="15.75" customHeight="1">
      <c r="C454" s="21"/>
      <c r="F454" s="24"/>
      <c r="G454" s="23"/>
      <c r="I454" s="81"/>
    </row>
    <row r="455" spans="3:9" ht="15.75" customHeight="1">
      <c r="C455" s="21"/>
      <c r="F455" s="24"/>
      <c r="G455" s="23"/>
      <c r="I455" s="81"/>
    </row>
    <row r="456" spans="3:9" ht="15.75" customHeight="1">
      <c r="C456" s="21"/>
      <c r="F456" s="24"/>
      <c r="G456" s="23"/>
      <c r="I456" s="81"/>
    </row>
    <row r="457" spans="3:9" ht="15.75" customHeight="1">
      <c r="C457" s="21"/>
      <c r="F457" s="24"/>
      <c r="G457" s="23"/>
      <c r="I457" s="81"/>
    </row>
    <row r="458" spans="3:9" ht="15.75" customHeight="1">
      <c r="C458" s="21"/>
      <c r="F458" s="24"/>
      <c r="G458" s="23"/>
      <c r="I458" s="81"/>
    </row>
    <row r="459" spans="3:9" ht="15.75" customHeight="1">
      <c r="C459" s="21"/>
      <c r="F459" s="24"/>
      <c r="G459" s="23"/>
      <c r="I459" s="81"/>
    </row>
    <row r="460" spans="3:9" ht="15.75" customHeight="1">
      <c r="C460" s="21"/>
      <c r="F460" s="24"/>
      <c r="G460" s="23"/>
      <c r="I460" s="81"/>
    </row>
    <row r="461" spans="3:9" ht="15.75" customHeight="1">
      <c r="C461" s="21"/>
      <c r="F461" s="24"/>
      <c r="G461" s="23"/>
      <c r="I461" s="81"/>
    </row>
    <row r="462" spans="3:9" ht="15.75" customHeight="1">
      <c r="C462" s="21"/>
      <c r="F462" s="24"/>
      <c r="G462" s="23"/>
      <c r="I462" s="81"/>
    </row>
    <row r="463" spans="3:9" ht="15.75" customHeight="1">
      <c r="C463" s="21"/>
      <c r="F463" s="24"/>
      <c r="G463" s="23"/>
      <c r="I463" s="81"/>
    </row>
    <row r="464" spans="3:9" ht="15.75" customHeight="1">
      <c r="C464" s="21"/>
      <c r="F464" s="24"/>
      <c r="G464" s="23"/>
      <c r="I464" s="81"/>
    </row>
    <row r="465" spans="3:9" ht="15.75" customHeight="1">
      <c r="C465" s="21"/>
      <c r="F465" s="24"/>
      <c r="G465" s="23"/>
      <c r="I465" s="81"/>
    </row>
    <row r="466" spans="3:9" ht="15.75" customHeight="1">
      <c r="C466" s="21"/>
      <c r="F466" s="24"/>
      <c r="G466" s="23"/>
      <c r="I466" s="81"/>
    </row>
    <row r="467" spans="3:9" ht="15.75" customHeight="1">
      <c r="C467" s="21"/>
      <c r="F467" s="24"/>
      <c r="G467" s="23"/>
      <c r="I467" s="81"/>
    </row>
    <row r="468" spans="3:9" ht="15.75" customHeight="1">
      <c r="C468" s="21"/>
      <c r="F468" s="24"/>
      <c r="G468" s="23"/>
      <c r="I468" s="81"/>
    </row>
    <row r="469" spans="3:9" ht="15.75" customHeight="1">
      <c r="C469" s="21"/>
      <c r="F469" s="24"/>
      <c r="G469" s="23"/>
      <c r="I469" s="81"/>
    </row>
    <row r="470" spans="3:9" ht="15.75" customHeight="1">
      <c r="C470" s="21"/>
      <c r="F470" s="24"/>
      <c r="G470" s="23"/>
      <c r="I470" s="81"/>
    </row>
    <row r="471" spans="3:9" ht="15.75" customHeight="1">
      <c r="C471" s="21"/>
      <c r="F471" s="24"/>
      <c r="G471" s="23"/>
      <c r="I471" s="81"/>
    </row>
    <row r="472" spans="3:9" ht="15.75" customHeight="1">
      <c r="C472" s="21"/>
      <c r="F472" s="24"/>
      <c r="G472" s="23"/>
      <c r="I472" s="81"/>
    </row>
    <row r="473" spans="3:9" ht="15.75" customHeight="1">
      <c r="C473" s="21"/>
      <c r="F473" s="24"/>
      <c r="G473" s="23"/>
      <c r="I473" s="81"/>
    </row>
    <row r="474" spans="3:9" ht="15.75" customHeight="1">
      <c r="C474" s="21"/>
      <c r="F474" s="24"/>
      <c r="G474" s="23"/>
      <c r="I474" s="81"/>
    </row>
    <row r="475" spans="3:9" ht="15.75" customHeight="1">
      <c r="C475" s="21"/>
      <c r="F475" s="24"/>
      <c r="G475" s="23"/>
      <c r="I475" s="81"/>
    </row>
    <row r="476" spans="3:9" ht="15.75" customHeight="1">
      <c r="C476" s="21"/>
      <c r="F476" s="24"/>
      <c r="G476" s="23"/>
      <c r="I476" s="81"/>
    </row>
    <row r="477" spans="3:9" ht="15.75" customHeight="1">
      <c r="C477" s="21"/>
      <c r="F477" s="24"/>
      <c r="G477" s="23"/>
      <c r="I477" s="81"/>
    </row>
    <row r="478" spans="3:9" ht="15.75" customHeight="1">
      <c r="C478" s="21"/>
      <c r="F478" s="24"/>
      <c r="G478" s="23"/>
      <c r="I478" s="81"/>
    </row>
    <row r="479" spans="3:9" ht="15.75" customHeight="1">
      <c r="C479" s="21"/>
      <c r="F479" s="24"/>
      <c r="G479" s="23"/>
      <c r="I479" s="81"/>
    </row>
    <row r="480" spans="3:9" ht="15.75" customHeight="1">
      <c r="C480" s="21"/>
      <c r="F480" s="24"/>
      <c r="G480" s="23"/>
      <c r="I480" s="81"/>
    </row>
    <row r="481" spans="3:9" ht="15.75" customHeight="1">
      <c r="C481" s="21"/>
      <c r="F481" s="24"/>
      <c r="G481" s="23"/>
      <c r="I481" s="81"/>
    </row>
    <row r="482" spans="3:9" ht="15.75" customHeight="1">
      <c r="C482" s="21"/>
      <c r="F482" s="24"/>
      <c r="G482" s="23"/>
      <c r="I482" s="81"/>
    </row>
    <row r="483" spans="3:9" ht="15.75" customHeight="1">
      <c r="C483" s="21"/>
      <c r="F483" s="24"/>
      <c r="G483" s="23"/>
      <c r="I483" s="81"/>
    </row>
    <row r="484" spans="3:9" ht="15.75" customHeight="1">
      <c r="C484" s="21"/>
      <c r="F484" s="24"/>
      <c r="G484" s="23"/>
      <c r="I484" s="81"/>
    </row>
    <row r="485" spans="3:9" ht="15.75" customHeight="1">
      <c r="C485" s="21"/>
      <c r="F485" s="24"/>
      <c r="G485" s="23"/>
      <c r="I485" s="81"/>
    </row>
    <row r="486" spans="3:9" ht="15.75" customHeight="1">
      <c r="C486" s="21"/>
      <c r="F486" s="24"/>
      <c r="G486" s="23"/>
      <c r="I486" s="81"/>
    </row>
    <row r="487" spans="3:9" ht="15.75" customHeight="1">
      <c r="C487" s="21"/>
      <c r="F487" s="24"/>
      <c r="G487" s="23"/>
      <c r="I487" s="81"/>
    </row>
    <row r="488" spans="3:9" ht="15.75" customHeight="1">
      <c r="C488" s="21"/>
      <c r="F488" s="24"/>
      <c r="G488" s="23"/>
      <c r="I488" s="81"/>
    </row>
    <row r="489" spans="3:9" ht="15.75" customHeight="1">
      <c r="C489" s="21"/>
      <c r="F489" s="24"/>
      <c r="G489" s="23"/>
      <c r="I489" s="81"/>
    </row>
    <row r="490" spans="3:9" ht="15.75" customHeight="1">
      <c r="C490" s="21"/>
      <c r="F490" s="24"/>
      <c r="G490" s="23"/>
      <c r="I490" s="81"/>
    </row>
    <row r="491" spans="3:9" ht="15.75" customHeight="1">
      <c r="C491" s="21"/>
      <c r="F491" s="24"/>
      <c r="G491" s="23"/>
      <c r="I491" s="81"/>
    </row>
    <row r="492" spans="3:9" ht="15.75" customHeight="1">
      <c r="C492" s="21"/>
      <c r="F492" s="24"/>
      <c r="G492" s="23"/>
      <c r="I492" s="81"/>
    </row>
    <row r="493" spans="3:9" ht="15.75" customHeight="1">
      <c r="C493" s="21"/>
      <c r="F493" s="24"/>
      <c r="G493" s="23"/>
      <c r="I493" s="81"/>
    </row>
    <row r="494" spans="3:9" ht="15.75" customHeight="1">
      <c r="C494" s="21"/>
      <c r="F494" s="24"/>
      <c r="G494" s="23"/>
      <c r="I494" s="81"/>
    </row>
    <row r="495" spans="3:9" ht="15.75" customHeight="1">
      <c r="C495" s="21"/>
      <c r="F495" s="24"/>
      <c r="G495" s="23"/>
      <c r="I495" s="81"/>
    </row>
    <row r="496" spans="3:9" ht="15.75" customHeight="1">
      <c r="C496" s="21"/>
      <c r="F496" s="24"/>
      <c r="G496" s="23"/>
      <c r="I496" s="81"/>
    </row>
    <row r="497" spans="3:9" ht="15.75" customHeight="1">
      <c r="C497" s="21"/>
      <c r="F497" s="24"/>
      <c r="G497" s="23"/>
      <c r="I497" s="81"/>
    </row>
    <row r="498" spans="3:9" ht="15.75" customHeight="1">
      <c r="C498" s="21"/>
      <c r="F498" s="24"/>
      <c r="G498" s="23"/>
      <c r="I498" s="81"/>
    </row>
    <row r="499" spans="3:9" ht="15.75" customHeight="1">
      <c r="C499" s="21"/>
      <c r="F499" s="24"/>
      <c r="G499" s="23"/>
      <c r="I499" s="81"/>
    </row>
    <row r="500" spans="3:9" ht="15.75" customHeight="1">
      <c r="C500" s="21"/>
      <c r="F500" s="24"/>
      <c r="G500" s="23"/>
      <c r="I500" s="81"/>
    </row>
    <row r="501" spans="3:9" ht="15.75" customHeight="1">
      <c r="C501" s="21"/>
      <c r="F501" s="24"/>
      <c r="G501" s="23"/>
      <c r="I501" s="81"/>
    </row>
    <row r="502" spans="3:9" ht="15.75" customHeight="1">
      <c r="C502" s="21"/>
      <c r="F502" s="24"/>
      <c r="G502" s="23"/>
      <c r="I502" s="81"/>
    </row>
    <row r="503" spans="3:9" ht="15.75" customHeight="1">
      <c r="C503" s="21"/>
      <c r="F503" s="24"/>
      <c r="G503" s="23"/>
      <c r="I503" s="81"/>
    </row>
    <row r="504" spans="3:9" ht="15.75" customHeight="1">
      <c r="C504" s="21"/>
      <c r="F504" s="24"/>
      <c r="G504" s="23"/>
      <c r="I504" s="81"/>
    </row>
    <row r="505" spans="3:9" ht="15.75" customHeight="1">
      <c r="C505" s="21"/>
      <c r="F505" s="24"/>
      <c r="G505" s="23"/>
      <c r="I505" s="81"/>
    </row>
    <row r="506" spans="3:9" ht="15.75" customHeight="1">
      <c r="C506" s="21"/>
      <c r="F506" s="24"/>
      <c r="G506" s="23"/>
      <c r="I506" s="81"/>
    </row>
    <row r="507" spans="3:9" ht="15.75" customHeight="1">
      <c r="C507" s="21"/>
      <c r="F507" s="24"/>
      <c r="G507" s="23"/>
      <c r="I507" s="81"/>
    </row>
    <row r="508" spans="3:9" ht="15.75" customHeight="1">
      <c r="C508" s="21"/>
      <c r="F508" s="24"/>
      <c r="G508" s="23"/>
      <c r="I508" s="81"/>
    </row>
    <row r="509" spans="3:9" ht="15.75" customHeight="1">
      <c r="C509" s="21"/>
      <c r="F509" s="24"/>
      <c r="G509" s="23"/>
      <c r="I509" s="81"/>
    </row>
    <row r="510" spans="3:9" ht="15.75" customHeight="1">
      <c r="C510" s="21"/>
      <c r="F510" s="24"/>
      <c r="G510" s="23"/>
      <c r="I510" s="81"/>
    </row>
    <row r="511" spans="3:9" ht="15.75" customHeight="1">
      <c r="C511" s="21"/>
      <c r="F511" s="24"/>
      <c r="G511" s="23"/>
      <c r="I511" s="81"/>
    </row>
    <row r="512" spans="3:9" ht="15.75" customHeight="1">
      <c r="C512" s="21"/>
      <c r="F512" s="24"/>
      <c r="G512" s="23"/>
      <c r="I512" s="81"/>
    </row>
    <row r="513" spans="3:9" ht="15.75" customHeight="1">
      <c r="C513" s="21"/>
      <c r="F513" s="24"/>
      <c r="G513" s="23"/>
      <c r="I513" s="81"/>
    </row>
    <row r="514" spans="3:9" ht="15.75" customHeight="1">
      <c r="C514" s="21"/>
      <c r="F514" s="24"/>
      <c r="G514" s="23"/>
      <c r="I514" s="81"/>
    </row>
    <row r="515" spans="3:9" ht="15.75" customHeight="1">
      <c r="C515" s="21"/>
      <c r="F515" s="24"/>
      <c r="G515" s="23"/>
      <c r="I515" s="81"/>
    </row>
    <row r="516" spans="3:9" ht="15.75" customHeight="1">
      <c r="C516" s="21"/>
      <c r="F516" s="24"/>
      <c r="G516" s="23"/>
      <c r="I516" s="81"/>
    </row>
    <row r="517" spans="3:9" ht="15.75" customHeight="1">
      <c r="C517" s="21"/>
      <c r="F517" s="24"/>
      <c r="G517" s="23"/>
      <c r="I517" s="81"/>
    </row>
    <row r="518" spans="3:9" ht="15.75" customHeight="1">
      <c r="C518" s="21"/>
      <c r="F518" s="24"/>
      <c r="G518" s="23"/>
      <c r="I518" s="81"/>
    </row>
    <row r="519" spans="3:9" ht="15.75" customHeight="1">
      <c r="C519" s="21"/>
      <c r="F519" s="24"/>
      <c r="G519" s="23"/>
      <c r="I519" s="81"/>
    </row>
    <row r="520" spans="3:9" ht="15.75" customHeight="1">
      <c r="C520" s="21"/>
      <c r="F520" s="24"/>
      <c r="G520" s="23"/>
      <c r="I520" s="81"/>
    </row>
    <row r="521" spans="3:9" ht="15.75" customHeight="1">
      <c r="C521" s="21"/>
      <c r="F521" s="24"/>
      <c r="G521" s="23"/>
      <c r="I521" s="81"/>
    </row>
    <row r="522" spans="3:9" ht="15.75" customHeight="1">
      <c r="C522" s="21"/>
      <c r="F522" s="24"/>
      <c r="G522" s="23"/>
      <c r="I522" s="81"/>
    </row>
    <row r="523" spans="3:9" ht="15.75" customHeight="1">
      <c r="C523" s="21"/>
      <c r="F523" s="24"/>
      <c r="G523" s="23"/>
      <c r="I523" s="81"/>
    </row>
    <row r="524" spans="3:9" ht="15.75" customHeight="1">
      <c r="C524" s="21"/>
      <c r="F524" s="24"/>
      <c r="G524" s="23"/>
      <c r="I524" s="81"/>
    </row>
    <row r="525" spans="3:9" ht="15.75" customHeight="1">
      <c r="C525" s="21"/>
      <c r="F525" s="24"/>
      <c r="G525" s="23"/>
      <c r="I525" s="81"/>
    </row>
    <row r="526" spans="3:9" ht="15.75" customHeight="1">
      <c r="C526" s="21"/>
      <c r="F526" s="24"/>
      <c r="G526" s="23"/>
      <c r="I526" s="81"/>
    </row>
    <row r="527" spans="3:9" ht="15.75" customHeight="1">
      <c r="C527" s="21"/>
      <c r="F527" s="24"/>
      <c r="G527" s="23"/>
      <c r="I527" s="81"/>
    </row>
    <row r="528" spans="3:9" ht="15.75" customHeight="1">
      <c r="C528" s="21"/>
      <c r="F528" s="24"/>
      <c r="G528" s="23"/>
      <c r="I528" s="81"/>
    </row>
    <row r="529" spans="3:9" ht="15.75" customHeight="1">
      <c r="C529" s="21"/>
      <c r="F529" s="24"/>
      <c r="G529" s="23"/>
      <c r="I529" s="81"/>
    </row>
    <row r="530" spans="3:9" ht="15.75" customHeight="1">
      <c r="C530" s="21"/>
      <c r="F530" s="24"/>
      <c r="G530" s="23"/>
      <c r="I530" s="81"/>
    </row>
    <row r="531" spans="3:9" ht="15.75" customHeight="1">
      <c r="C531" s="21"/>
      <c r="F531" s="24"/>
      <c r="G531" s="23"/>
      <c r="I531" s="81"/>
    </row>
    <row r="532" spans="3:9" ht="15.75" customHeight="1">
      <c r="C532" s="21"/>
      <c r="F532" s="24"/>
      <c r="G532" s="23"/>
      <c r="I532" s="81"/>
    </row>
    <row r="533" spans="3:9" ht="15.75" customHeight="1">
      <c r="C533" s="21"/>
      <c r="F533" s="24"/>
      <c r="G533" s="23"/>
      <c r="I533" s="81"/>
    </row>
    <row r="534" spans="3:9" ht="15.75" customHeight="1">
      <c r="C534" s="21"/>
      <c r="F534" s="24"/>
      <c r="G534" s="23"/>
      <c r="I534" s="81"/>
    </row>
    <row r="535" spans="3:9" ht="15.75" customHeight="1">
      <c r="C535" s="21"/>
      <c r="F535" s="24"/>
      <c r="G535" s="23"/>
      <c r="I535" s="81"/>
    </row>
    <row r="536" spans="3:9" ht="15.75" customHeight="1">
      <c r="C536" s="21"/>
      <c r="F536" s="24"/>
      <c r="G536" s="23"/>
      <c r="I536" s="81"/>
    </row>
    <row r="537" spans="3:9" ht="15.75" customHeight="1">
      <c r="C537" s="21"/>
      <c r="F537" s="24"/>
      <c r="G537" s="23"/>
      <c r="I537" s="81"/>
    </row>
    <row r="538" spans="3:9" ht="15.75" customHeight="1">
      <c r="C538" s="21"/>
      <c r="F538" s="24"/>
      <c r="G538" s="23"/>
      <c r="I538" s="81"/>
    </row>
    <row r="539" spans="3:9" ht="15.75" customHeight="1">
      <c r="C539" s="21"/>
      <c r="F539" s="24"/>
      <c r="G539" s="23"/>
      <c r="I539" s="81"/>
    </row>
    <row r="540" spans="3:9" ht="15.75" customHeight="1">
      <c r="C540" s="21"/>
      <c r="F540" s="24"/>
      <c r="G540" s="23"/>
      <c r="I540" s="81"/>
    </row>
    <row r="541" spans="3:9" ht="15.75" customHeight="1">
      <c r="C541" s="21"/>
      <c r="F541" s="24"/>
      <c r="G541" s="23"/>
      <c r="I541" s="81"/>
    </row>
    <row r="542" spans="3:9" ht="15.75" customHeight="1">
      <c r="C542" s="21"/>
      <c r="F542" s="24"/>
      <c r="G542" s="23"/>
      <c r="I542" s="81"/>
    </row>
    <row r="543" spans="3:9" ht="15.75" customHeight="1">
      <c r="C543" s="21"/>
      <c r="F543" s="24"/>
      <c r="G543" s="23"/>
      <c r="I543" s="81"/>
    </row>
    <row r="544" spans="3:9" ht="15.75" customHeight="1">
      <c r="C544" s="21"/>
      <c r="F544" s="24"/>
      <c r="G544" s="23"/>
      <c r="I544" s="81"/>
    </row>
    <row r="545" spans="3:9" ht="15.75" customHeight="1">
      <c r="C545" s="21"/>
      <c r="F545" s="24"/>
      <c r="G545" s="23"/>
      <c r="I545" s="81"/>
    </row>
    <row r="546" spans="3:9" ht="15.75" customHeight="1">
      <c r="C546" s="21"/>
      <c r="F546" s="24"/>
      <c r="G546" s="23"/>
      <c r="I546" s="81"/>
    </row>
    <row r="547" spans="3:9" ht="15.75" customHeight="1">
      <c r="C547" s="21"/>
      <c r="F547" s="24"/>
      <c r="G547" s="23"/>
      <c r="I547" s="81"/>
    </row>
    <row r="548" spans="3:9" ht="15.75" customHeight="1">
      <c r="C548" s="21"/>
      <c r="F548" s="24"/>
      <c r="G548" s="23"/>
      <c r="I548" s="81"/>
    </row>
    <row r="549" spans="3:9" ht="15.75" customHeight="1">
      <c r="C549" s="21"/>
      <c r="F549" s="24"/>
      <c r="G549" s="23"/>
      <c r="I549" s="81"/>
    </row>
    <row r="550" spans="3:9" ht="15.75" customHeight="1">
      <c r="C550" s="21"/>
      <c r="F550" s="24"/>
      <c r="G550" s="23"/>
      <c r="I550" s="81"/>
    </row>
    <row r="551" spans="3:9" ht="15.75" customHeight="1">
      <c r="C551" s="21"/>
      <c r="F551" s="24"/>
      <c r="G551" s="23"/>
      <c r="I551" s="81"/>
    </row>
    <row r="552" spans="3:9" ht="15.75" customHeight="1">
      <c r="C552" s="21"/>
      <c r="F552" s="24"/>
      <c r="G552" s="23"/>
      <c r="I552" s="81"/>
    </row>
    <row r="553" spans="3:9" ht="15.75" customHeight="1">
      <c r="C553" s="21"/>
      <c r="F553" s="24"/>
      <c r="G553" s="23"/>
      <c r="I553" s="81"/>
    </row>
    <row r="554" spans="3:9" ht="15.75" customHeight="1">
      <c r="C554" s="21"/>
      <c r="F554" s="24"/>
      <c r="G554" s="23"/>
      <c r="I554" s="81"/>
    </row>
    <row r="555" spans="3:9" ht="15.75" customHeight="1">
      <c r="C555" s="21"/>
      <c r="F555" s="24"/>
      <c r="G555" s="23"/>
      <c r="I555" s="81"/>
    </row>
    <row r="556" spans="3:9" ht="15.75" customHeight="1">
      <c r="C556" s="21"/>
      <c r="F556" s="24"/>
      <c r="G556" s="23"/>
      <c r="I556" s="81"/>
    </row>
    <row r="557" spans="3:9" ht="15.75" customHeight="1">
      <c r="C557" s="21"/>
      <c r="F557" s="24"/>
      <c r="G557" s="23"/>
      <c r="I557" s="81"/>
    </row>
    <row r="558" spans="3:9" ht="15.75" customHeight="1">
      <c r="C558" s="21"/>
      <c r="F558" s="24"/>
      <c r="G558" s="23"/>
      <c r="I558" s="81"/>
    </row>
    <row r="559" spans="3:9" ht="15.75" customHeight="1">
      <c r="C559" s="21"/>
      <c r="F559" s="24"/>
      <c r="G559" s="23"/>
      <c r="I559" s="81"/>
    </row>
    <row r="560" spans="3:9" ht="15.75" customHeight="1">
      <c r="C560" s="21"/>
      <c r="F560" s="24"/>
      <c r="G560" s="23"/>
      <c r="I560" s="81"/>
    </row>
    <row r="561" spans="3:9" ht="15.75" customHeight="1">
      <c r="C561" s="21"/>
      <c r="F561" s="24"/>
      <c r="G561" s="23"/>
      <c r="I561" s="81"/>
    </row>
    <row r="562" spans="3:9" ht="15.75" customHeight="1">
      <c r="C562" s="21"/>
      <c r="F562" s="24"/>
      <c r="G562" s="23"/>
      <c r="I562" s="81"/>
    </row>
    <row r="563" spans="3:9" ht="15.75" customHeight="1">
      <c r="C563" s="21"/>
      <c r="F563" s="24"/>
      <c r="G563" s="23"/>
      <c r="I563" s="81"/>
    </row>
    <row r="564" spans="3:9" ht="15.75" customHeight="1">
      <c r="C564" s="21"/>
      <c r="F564" s="24"/>
      <c r="G564" s="23"/>
      <c r="I564" s="81"/>
    </row>
    <row r="565" spans="3:9" ht="15.75" customHeight="1">
      <c r="C565" s="21"/>
      <c r="F565" s="24"/>
      <c r="G565" s="23"/>
      <c r="I565" s="81"/>
    </row>
    <row r="566" spans="3:9" ht="15.75" customHeight="1">
      <c r="C566" s="21"/>
      <c r="F566" s="24"/>
      <c r="G566" s="23"/>
      <c r="I566" s="81"/>
    </row>
    <row r="567" spans="3:9" ht="15.75" customHeight="1">
      <c r="C567" s="21"/>
      <c r="F567" s="24"/>
      <c r="G567" s="23"/>
      <c r="I567" s="81"/>
    </row>
    <row r="568" spans="3:9" ht="15.75" customHeight="1">
      <c r="C568" s="21"/>
      <c r="F568" s="24"/>
      <c r="G568" s="23"/>
      <c r="I568" s="81"/>
    </row>
    <row r="569" spans="3:9" ht="15.75" customHeight="1">
      <c r="C569" s="21"/>
      <c r="F569" s="24"/>
      <c r="G569" s="23"/>
      <c r="I569" s="81"/>
    </row>
    <row r="570" spans="3:9" ht="15.75" customHeight="1">
      <c r="C570" s="21"/>
      <c r="F570" s="24"/>
      <c r="G570" s="23"/>
      <c r="I570" s="81"/>
    </row>
    <row r="571" spans="3:9" ht="15.75" customHeight="1">
      <c r="C571" s="21"/>
      <c r="F571" s="24"/>
      <c r="G571" s="23"/>
      <c r="I571" s="81"/>
    </row>
    <row r="572" spans="3:9" ht="15.75" customHeight="1">
      <c r="C572" s="21"/>
      <c r="F572" s="24"/>
      <c r="G572" s="23"/>
      <c r="I572" s="81"/>
    </row>
    <row r="573" spans="3:9" ht="15.75" customHeight="1">
      <c r="C573" s="21"/>
      <c r="F573" s="24"/>
      <c r="G573" s="23"/>
      <c r="I573" s="81"/>
    </row>
    <row r="574" spans="3:9" ht="15.75" customHeight="1">
      <c r="C574" s="21"/>
      <c r="F574" s="24"/>
      <c r="G574" s="23"/>
      <c r="I574" s="81"/>
    </row>
    <row r="575" spans="3:9" ht="15.75" customHeight="1">
      <c r="C575" s="21"/>
      <c r="F575" s="24"/>
      <c r="G575" s="23"/>
      <c r="I575" s="81"/>
    </row>
    <row r="576" spans="3:9" ht="15.75" customHeight="1">
      <c r="C576" s="21"/>
      <c r="F576" s="24"/>
      <c r="G576" s="23"/>
      <c r="I576" s="81"/>
    </row>
    <row r="577" spans="3:9" ht="15.75" customHeight="1">
      <c r="C577" s="21"/>
      <c r="F577" s="24"/>
      <c r="G577" s="23"/>
      <c r="I577" s="81"/>
    </row>
    <row r="578" spans="3:9" ht="15.75" customHeight="1">
      <c r="C578" s="21"/>
      <c r="F578" s="24"/>
      <c r="G578" s="23"/>
      <c r="I578" s="81"/>
    </row>
    <row r="579" spans="3:9" ht="15.75" customHeight="1">
      <c r="C579" s="21"/>
      <c r="F579" s="24"/>
      <c r="G579" s="23"/>
      <c r="I579" s="81"/>
    </row>
    <row r="580" spans="3:9" ht="15.75" customHeight="1">
      <c r="C580" s="21"/>
      <c r="F580" s="24"/>
      <c r="G580" s="23"/>
      <c r="I580" s="81"/>
    </row>
    <row r="581" spans="3:9" ht="15.75" customHeight="1">
      <c r="C581" s="21"/>
      <c r="F581" s="24"/>
      <c r="G581" s="23"/>
      <c r="I581" s="81"/>
    </row>
    <row r="582" spans="3:9" ht="15.75" customHeight="1">
      <c r="C582" s="21"/>
      <c r="F582" s="24"/>
      <c r="G582" s="23"/>
      <c r="I582" s="81"/>
    </row>
    <row r="583" spans="3:9" ht="15.75" customHeight="1">
      <c r="C583" s="21"/>
      <c r="F583" s="24"/>
      <c r="G583" s="23"/>
      <c r="I583" s="81"/>
    </row>
    <row r="584" spans="3:9" ht="15.75" customHeight="1">
      <c r="C584" s="21"/>
      <c r="F584" s="24"/>
      <c r="G584" s="23"/>
      <c r="I584" s="81"/>
    </row>
    <row r="585" spans="3:9" ht="15.75" customHeight="1">
      <c r="C585" s="21"/>
      <c r="F585" s="24"/>
      <c r="G585" s="23"/>
      <c r="I585" s="81"/>
    </row>
    <row r="586" spans="3:9" ht="15.75" customHeight="1">
      <c r="C586" s="21"/>
      <c r="F586" s="24"/>
      <c r="G586" s="23"/>
      <c r="I586" s="81"/>
    </row>
    <row r="587" spans="3:9" ht="15.75" customHeight="1">
      <c r="C587" s="21"/>
      <c r="F587" s="24"/>
      <c r="G587" s="23"/>
      <c r="I587" s="81"/>
    </row>
    <row r="588" spans="3:9" ht="15.75" customHeight="1">
      <c r="C588" s="21"/>
      <c r="F588" s="24"/>
      <c r="G588" s="23"/>
      <c r="I588" s="81"/>
    </row>
    <row r="589" spans="3:9" ht="15.75" customHeight="1">
      <c r="C589" s="21"/>
      <c r="F589" s="24"/>
      <c r="G589" s="23"/>
      <c r="I589" s="81"/>
    </row>
    <row r="590" spans="3:9" ht="15.75" customHeight="1">
      <c r="C590" s="21"/>
      <c r="F590" s="24"/>
      <c r="G590" s="23"/>
      <c r="I590" s="81"/>
    </row>
    <row r="591" spans="3:9" ht="15.75" customHeight="1">
      <c r="C591" s="21"/>
      <c r="F591" s="24"/>
      <c r="G591" s="23"/>
      <c r="I591" s="81"/>
    </row>
    <row r="592" spans="3:9" ht="15.75" customHeight="1">
      <c r="C592" s="21"/>
      <c r="F592" s="24"/>
      <c r="G592" s="23"/>
      <c r="I592" s="81"/>
    </row>
    <row r="593" spans="3:9" ht="15.75" customHeight="1">
      <c r="C593" s="21"/>
      <c r="F593" s="24"/>
      <c r="G593" s="23"/>
      <c r="I593" s="81"/>
    </row>
    <row r="594" spans="3:9" ht="15.75" customHeight="1">
      <c r="C594" s="21"/>
      <c r="F594" s="24"/>
      <c r="G594" s="23"/>
      <c r="I594" s="81"/>
    </row>
    <row r="595" spans="3:9" ht="15.75" customHeight="1">
      <c r="C595" s="21"/>
      <c r="F595" s="24"/>
      <c r="G595" s="23"/>
      <c r="I595" s="81"/>
    </row>
    <row r="596" spans="3:9" ht="15.75" customHeight="1">
      <c r="C596" s="21"/>
      <c r="F596" s="24"/>
      <c r="G596" s="23"/>
      <c r="I596" s="81"/>
    </row>
    <row r="597" spans="3:9" ht="15.75" customHeight="1">
      <c r="C597" s="21"/>
      <c r="F597" s="24"/>
      <c r="G597" s="23"/>
      <c r="I597" s="81"/>
    </row>
    <row r="598" spans="3:9" ht="15.75" customHeight="1">
      <c r="C598" s="21"/>
      <c r="F598" s="24"/>
      <c r="G598" s="23"/>
      <c r="I598" s="81"/>
    </row>
    <row r="599" spans="3:9" ht="15.75" customHeight="1">
      <c r="C599" s="21"/>
      <c r="F599" s="24"/>
      <c r="G599" s="23"/>
      <c r="I599" s="81"/>
    </row>
    <row r="600" spans="3:9" ht="15.75" customHeight="1">
      <c r="C600" s="21"/>
      <c r="F600" s="24"/>
      <c r="G600" s="23"/>
      <c r="I600" s="81"/>
    </row>
    <row r="601" spans="3:9" ht="15.75" customHeight="1">
      <c r="C601" s="21"/>
      <c r="F601" s="24"/>
      <c r="G601" s="23"/>
      <c r="I601" s="81"/>
    </row>
    <row r="602" spans="3:9" ht="15.75" customHeight="1">
      <c r="C602" s="21"/>
      <c r="F602" s="24"/>
      <c r="G602" s="23"/>
      <c r="I602" s="81"/>
    </row>
    <row r="603" spans="3:9" ht="15.75" customHeight="1">
      <c r="C603" s="21"/>
      <c r="F603" s="24"/>
      <c r="G603" s="23"/>
      <c r="I603" s="81"/>
    </row>
    <row r="604" spans="3:9" ht="15.75" customHeight="1">
      <c r="C604" s="21"/>
      <c r="F604" s="24"/>
      <c r="G604" s="23"/>
      <c r="I604" s="81"/>
    </row>
    <row r="605" spans="3:9" ht="15.75" customHeight="1">
      <c r="C605" s="21"/>
      <c r="F605" s="24"/>
      <c r="G605" s="23"/>
      <c r="I605" s="81"/>
    </row>
    <row r="606" spans="3:9" ht="15.75" customHeight="1">
      <c r="C606" s="21"/>
      <c r="F606" s="24"/>
      <c r="G606" s="23"/>
      <c r="I606" s="81"/>
    </row>
    <row r="607" spans="3:9" ht="15.75" customHeight="1">
      <c r="C607" s="21"/>
      <c r="F607" s="24"/>
      <c r="G607" s="23"/>
      <c r="I607" s="81"/>
    </row>
    <row r="608" spans="3:9" ht="15.75" customHeight="1">
      <c r="C608" s="21"/>
      <c r="F608" s="24"/>
      <c r="G608" s="23"/>
      <c r="I608" s="81"/>
    </row>
    <row r="609" spans="3:9" ht="15.75" customHeight="1">
      <c r="C609" s="21"/>
      <c r="F609" s="24"/>
      <c r="G609" s="23"/>
      <c r="I609" s="81"/>
    </row>
    <row r="610" spans="3:9" ht="15.75" customHeight="1">
      <c r="C610" s="21"/>
      <c r="F610" s="24"/>
      <c r="G610" s="23"/>
      <c r="I610" s="81"/>
    </row>
    <row r="611" spans="3:9" ht="15.75" customHeight="1">
      <c r="C611" s="21"/>
      <c r="F611" s="24"/>
      <c r="G611" s="23"/>
      <c r="I611" s="81"/>
    </row>
    <row r="612" spans="3:9" ht="15.75" customHeight="1">
      <c r="C612" s="21"/>
      <c r="F612" s="24"/>
      <c r="G612" s="23"/>
      <c r="I612" s="81"/>
    </row>
    <row r="613" spans="3:9" ht="15.75" customHeight="1">
      <c r="C613" s="21"/>
      <c r="F613" s="24"/>
      <c r="G613" s="23"/>
      <c r="I613" s="81"/>
    </row>
    <row r="614" spans="3:9" ht="15.75" customHeight="1">
      <c r="C614" s="21"/>
      <c r="F614" s="24"/>
      <c r="G614" s="23"/>
      <c r="I614" s="81"/>
    </row>
    <row r="615" spans="3:9" ht="15.75" customHeight="1">
      <c r="C615" s="21"/>
      <c r="F615" s="24"/>
      <c r="G615" s="23"/>
      <c r="I615" s="81"/>
    </row>
    <row r="616" spans="3:9" ht="15.75" customHeight="1">
      <c r="C616" s="21"/>
      <c r="F616" s="24"/>
      <c r="G616" s="23"/>
      <c r="I616" s="81"/>
    </row>
    <row r="617" spans="3:9" ht="15.75" customHeight="1">
      <c r="C617" s="21"/>
      <c r="F617" s="24"/>
      <c r="G617" s="23"/>
      <c r="I617" s="81"/>
    </row>
    <row r="618" spans="3:9" ht="15.75" customHeight="1">
      <c r="C618" s="21"/>
      <c r="F618" s="24"/>
      <c r="G618" s="23"/>
      <c r="I618" s="81"/>
    </row>
    <row r="619" spans="3:9" ht="15.75" customHeight="1">
      <c r="C619" s="21"/>
      <c r="F619" s="24"/>
      <c r="G619" s="23"/>
      <c r="I619" s="81"/>
    </row>
    <row r="620" spans="3:9" ht="15.75" customHeight="1">
      <c r="C620" s="21"/>
      <c r="F620" s="24"/>
      <c r="G620" s="23"/>
      <c r="I620" s="81"/>
    </row>
    <row r="621" spans="3:9" ht="15.75" customHeight="1">
      <c r="C621" s="21"/>
      <c r="F621" s="24"/>
      <c r="G621" s="23"/>
      <c r="I621" s="81"/>
    </row>
    <row r="622" spans="3:9" ht="15.75" customHeight="1">
      <c r="C622" s="21"/>
      <c r="F622" s="24"/>
      <c r="G622" s="23"/>
      <c r="I622" s="81"/>
    </row>
    <row r="623" spans="3:9" ht="15.75" customHeight="1">
      <c r="C623" s="21"/>
      <c r="F623" s="24"/>
      <c r="G623" s="23"/>
      <c r="I623" s="81"/>
    </row>
    <row r="624" spans="3:9" ht="15.75" customHeight="1">
      <c r="C624" s="21"/>
      <c r="F624" s="24"/>
      <c r="G624" s="23"/>
      <c r="I624" s="81"/>
    </row>
    <row r="625" spans="3:9" ht="15.75" customHeight="1">
      <c r="C625" s="21"/>
      <c r="F625" s="24"/>
      <c r="G625" s="23"/>
      <c r="I625" s="81"/>
    </row>
    <row r="626" spans="3:9" ht="15.75" customHeight="1">
      <c r="C626" s="21"/>
      <c r="F626" s="24"/>
      <c r="G626" s="23"/>
      <c r="I626" s="81"/>
    </row>
    <row r="627" spans="3:9" ht="15.75" customHeight="1">
      <c r="C627" s="21"/>
      <c r="F627" s="24"/>
      <c r="G627" s="23"/>
      <c r="I627" s="81"/>
    </row>
    <row r="628" spans="3:9" ht="15.75" customHeight="1">
      <c r="C628" s="21"/>
      <c r="F628" s="24"/>
      <c r="G628" s="23"/>
      <c r="I628" s="81"/>
    </row>
    <row r="629" spans="3:9" ht="15.75" customHeight="1">
      <c r="C629" s="21"/>
      <c r="F629" s="24"/>
      <c r="G629" s="23"/>
      <c r="I629" s="81"/>
    </row>
    <row r="630" spans="3:9" ht="15.75" customHeight="1">
      <c r="C630" s="21"/>
      <c r="F630" s="24"/>
      <c r="G630" s="23"/>
      <c r="I630" s="81"/>
    </row>
    <row r="631" spans="3:9" ht="15.75" customHeight="1">
      <c r="C631" s="21"/>
      <c r="F631" s="24"/>
      <c r="G631" s="23"/>
      <c r="I631" s="81"/>
    </row>
    <row r="632" spans="3:9" ht="15.75" customHeight="1">
      <c r="C632" s="21"/>
      <c r="F632" s="24"/>
      <c r="G632" s="23"/>
      <c r="I632" s="81"/>
    </row>
    <row r="633" spans="3:9" ht="15.75" customHeight="1">
      <c r="C633" s="21"/>
      <c r="F633" s="24"/>
      <c r="G633" s="23"/>
      <c r="I633" s="81"/>
    </row>
    <row r="634" spans="3:9" ht="15.75" customHeight="1">
      <c r="C634" s="21"/>
      <c r="F634" s="24"/>
      <c r="G634" s="23"/>
      <c r="I634" s="81"/>
    </row>
    <row r="635" spans="3:9" ht="15.75" customHeight="1">
      <c r="C635" s="21"/>
      <c r="F635" s="24"/>
      <c r="G635" s="23"/>
      <c r="I635" s="81"/>
    </row>
    <row r="636" spans="3:9" ht="15.75" customHeight="1">
      <c r="C636" s="21"/>
      <c r="F636" s="24"/>
      <c r="G636" s="23"/>
      <c r="I636" s="81"/>
    </row>
    <row r="637" spans="3:9" ht="15.75" customHeight="1">
      <c r="C637" s="21"/>
      <c r="F637" s="24"/>
      <c r="G637" s="23"/>
      <c r="I637" s="81"/>
    </row>
    <row r="638" spans="3:9" ht="15.75" customHeight="1">
      <c r="C638" s="21"/>
      <c r="F638" s="24"/>
      <c r="G638" s="23"/>
      <c r="I638" s="81"/>
    </row>
    <row r="639" spans="3:9" ht="15.75" customHeight="1">
      <c r="C639" s="21"/>
      <c r="F639" s="24"/>
      <c r="G639" s="23"/>
      <c r="I639" s="81"/>
    </row>
    <row r="640" spans="3:9" ht="15.75" customHeight="1">
      <c r="C640" s="21"/>
      <c r="F640" s="24"/>
      <c r="G640" s="23"/>
      <c r="I640" s="81"/>
    </row>
    <row r="641" spans="3:9" ht="15.75" customHeight="1">
      <c r="C641" s="21"/>
      <c r="F641" s="24"/>
      <c r="G641" s="23"/>
      <c r="I641" s="81"/>
    </row>
    <row r="642" spans="3:9" ht="15.75" customHeight="1">
      <c r="C642" s="21"/>
      <c r="F642" s="24"/>
      <c r="G642" s="23"/>
      <c r="I642" s="81"/>
    </row>
    <row r="643" spans="3:9" ht="15.75" customHeight="1">
      <c r="C643" s="21"/>
      <c r="F643" s="24"/>
      <c r="G643" s="23"/>
      <c r="I643" s="81"/>
    </row>
    <row r="644" spans="3:9" ht="15.75" customHeight="1">
      <c r="C644" s="21"/>
      <c r="F644" s="24"/>
      <c r="G644" s="23"/>
      <c r="I644" s="81"/>
    </row>
    <row r="645" spans="3:9" ht="15.75" customHeight="1">
      <c r="C645" s="21"/>
      <c r="F645" s="24"/>
      <c r="G645" s="23"/>
      <c r="I645" s="81"/>
    </row>
    <row r="646" spans="3:9" ht="15.75" customHeight="1">
      <c r="C646" s="21"/>
      <c r="F646" s="24"/>
      <c r="G646" s="23"/>
      <c r="I646" s="81"/>
    </row>
    <row r="647" spans="3:9" ht="15.75" customHeight="1">
      <c r="C647" s="21"/>
      <c r="F647" s="24"/>
      <c r="G647" s="23"/>
      <c r="I647" s="81"/>
    </row>
    <row r="648" spans="3:9" ht="15.75" customHeight="1">
      <c r="C648" s="21"/>
      <c r="F648" s="24"/>
      <c r="G648" s="23"/>
      <c r="I648" s="81"/>
    </row>
    <row r="649" spans="3:9" ht="15.75" customHeight="1">
      <c r="C649" s="21"/>
      <c r="F649" s="24"/>
      <c r="G649" s="23"/>
      <c r="I649" s="81"/>
    </row>
    <row r="650" spans="3:9" ht="15.75" customHeight="1">
      <c r="C650" s="21"/>
      <c r="F650" s="24"/>
      <c r="G650" s="23"/>
      <c r="I650" s="81"/>
    </row>
    <row r="651" spans="3:9" ht="15.75" customHeight="1">
      <c r="C651" s="21"/>
      <c r="F651" s="24"/>
      <c r="G651" s="23"/>
      <c r="I651" s="81"/>
    </row>
    <row r="652" spans="3:9" ht="15.75" customHeight="1">
      <c r="C652" s="21"/>
      <c r="F652" s="24"/>
      <c r="G652" s="23"/>
      <c r="I652" s="81"/>
    </row>
    <row r="653" spans="3:9" ht="15.75" customHeight="1">
      <c r="C653" s="21"/>
      <c r="F653" s="24"/>
      <c r="G653" s="23"/>
      <c r="I653" s="81"/>
    </row>
    <row r="654" spans="3:9" ht="15.75" customHeight="1">
      <c r="C654" s="21"/>
      <c r="F654" s="24"/>
      <c r="G654" s="23"/>
      <c r="I654" s="81"/>
    </row>
    <row r="655" spans="3:9" ht="15.75" customHeight="1">
      <c r="C655" s="21"/>
      <c r="F655" s="24"/>
      <c r="G655" s="23"/>
      <c r="I655" s="81"/>
    </row>
    <row r="656" spans="3:9" ht="15.75" customHeight="1">
      <c r="C656" s="21"/>
      <c r="F656" s="24"/>
      <c r="G656" s="23"/>
      <c r="I656" s="81"/>
    </row>
    <row r="657" spans="3:9" ht="15.75" customHeight="1">
      <c r="C657" s="21"/>
      <c r="F657" s="24"/>
      <c r="G657" s="23"/>
      <c r="I657" s="81"/>
    </row>
    <row r="658" spans="3:9" ht="15.75" customHeight="1">
      <c r="C658" s="21"/>
      <c r="F658" s="24"/>
      <c r="G658" s="23"/>
      <c r="I658" s="81"/>
    </row>
    <row r="659" spans="3:9" ht="15.75" customHeight="1">
      <c r="C659" s="21"/>
      <c r="F659" s="24"/>
      <c r="G659" s="23"/>
      <c r="I659" s="81"/>
    </row>
    <row r="660" spans="3:9" ht="15.75" customHeight="1">
      <c r="C660" s="21"/>
      <c r="F660" s="24"/>
      <c r="G660" s="23"/>
      <c r="I660" s="81"/>
    </row>
    <row r="661" spans="3:9" ht="15.75" customHeight="1">
      <c r="C661" s="21"/>
      <c r="F661" s="24"/>
      <c r="G661" s="23"/>
      <c r="I661" s="81"/>
    </row>
    <row r="662" spans="3:9" ht="15.75" customHeight="1">
      <c r="C662" s="21"/>
      <c r="F662" s="24"/>
      <c r="G662" s="23"/>
      <c r="I662" s="81"/>
    </row>
    <row r="663" spans="3:9" ht="15.75" customHeight="1">
      <c r="C663" s="21"/>
      <c r="F663" s="24"/>
      <c r="G663" s="23"/>
      <c r="I663" s="81"/>
    </row>
    <row r="664" spans="3:9" ht="15.75" customHeight="1">
      <c r="C664" s="21"/>
      <c r="F664" s="24"/>
      <c r="G664" s="23"/>
      <c r="I664" s="81"/>
    </row>
    <row r="665" spans="3:9" ht="15.75" customHeight="1">
      <c r="C665" s="21"/>
      <c r="F665" s="24"/>
      <c r="G665" s="23"/>
      <c r="I665" s="81"/>
    </row>
    <row r="666" spans="3:9" ht="15.75" customHeight="1">
      <c r="C666" s="21"/>
      <c r="F666" s="24"/>
      <c r="G666" s="23"/>
      <c r="I666" s="81"/>
    </row>
    <row r="667" spans="3:9" ht="15.75" customHeight="1">
      <c r="C667" s="21"/>
      <c r="F667" s="24"/>
      <c r="G667" s="23"/>
      <c r="I667" s="81"/>
    </row>
    <row r="668" spans="3:9" ht="15.75" customHeight="1">
      <c r="C668" s="21"/>
      <c r="F668" s="24"/>
      <c r="G668" s="23"/>
      <c r="I668" s="81"/>
    </row>
    <row r="669" spans="3:9" ht="15.75" customHeight="1">
      <c r="C669" s="21"/>
      <c r="F669" s="24"/>
      <c r="G669" s="23"/>
      <c r="I669" s="81"/>
    </row>
    <row r="670" spans="3:9" ht="15.75" customHeight="1">
      <c r="C670" s="21"/>
      <c r="F670" s="24"/>
      <c r="G670" s="23"/>
      <c r="I670" s="81"/>
    </row>
    <row r="671" spans="3:9" ht="15.75" customHeight="1">
      <c r="C671" s="21"/>
      <c r="F671" s="24"/>
      <c r="G671" s="23"/>
      <c r="I671" s="81"/>
    </row>
    <row r="672" spans="3:9" ht="15.75" customHeight="1">
      <c r="C672" s="21"/>
      <c r="F672" s="24"/>
      <c r="G672" s="23"/>
      <c r="I672" s="81"/>
    </row>
    <row r="673" spans="3:9" ht="15.75" customHeight="1">
      <c r="C673" s="21"/>
      <c r="F673" s="24"/>
      <c r="G673" s="23"/>
      <c r="I673" s="81"/>
    </row>
    <row r="674" spans="3:9" ht="15.75" customHeight="1">
      <c r="C674" s="21"/>
      <c r="F674" s="24"/>
      <c r="G674" s="23"/>
      <c r="I674" s="81"/>
    </row>
    <row r="675" spans="3:9" ht="15.75" customHeight="1">
      <c r="C675" s="21"/>
      <c r="F675" s="24"/>
      <c r="G675" s="23"/>
      <c r="I675" s="81"/>
    </row>
    <row r="676" spans="3:9" ht="15.75" customHeight="1">
      <c r="C676" s="21"/>
      <c r="F676" s="24"/>
      <c r="G676" s="23"/>
      <c r="I676" s="81"/>
    </row>
    <row r="677" spans="3:9" ht="15.75" customHeight="1">
      <c r="C677" s="21"/>
      <c r="F677" s="24"/>
      <c r="G677" s="23"/>
      <c r="I677" s="81"/>
    </row>
    <row r="678" spans="3:9" ht="15.75" customHeight="1">
      <c r="C678" s="21"/>
      <c r="F678" s="24"/>
      <c r="G678" s="23"/>
      <c r="I678" s="81"/>
    </row>
    <row r="679" spans="3:9" ht="15.75" customHeight="1">
      <c r="C679" s="21"/>
      <c r="F679" s="24"/>
      <c r="G679" s="23"/>
      <c r="I679" s="81"/>
    </row>
    <row r="680" spans="3:9" ht="15.75" customHeight="1">
      <c r="C680" s="21"/>
      <c r="F680" s="24"/>
      <c r="G680" s="23"/>
      <c r="I680" s="81"/>
    </row>
    <row r="681" spans="3:9" ht="15.75" customHeight="1">
      <c r="C681" s="21"/>
      <c r="F681" s="24"/>
      <c r="G681" s="23"/>
      <c r="I681" s="81"/>
    </row>
    <row r="682" spans="3:9" ht="15.75" customHeight="1">
      <c r="C682" s="21"/>
      <c r="F682" s="24"/>
      <c r="G682" s="23"/>
      <c r="I682" s="81"/>
    </row>
    <row r="683" spans="3:9" ht="15.75" customHeight="1">
      <c r="C683" s="21"/>
      <c r="F683" s="24"/>
      <c r="G683" s="23"/>
      <c r="I683" s="81"/>
    </row>
    <row r="684" spans="3:9" ht="15.75" customHeight="1">
      <c r="C684" s="21"/>
      <c r="F684" s="24"/>
      <c r="G684" s="23"/>
      <c r="I684" s="81"/>
    </row>
    <row r="685" spans="3:9" ht="15.75" customHeight="1">
      <c r="C685" s="21"/>
      <c r="F685" s="24"/>
      <c r="G685" s="23"/>
      <c r="I685" s="81"/>
    </row>
    <row r="686" spans="3:9" ht="15.75" customHeight="1">
      <c r="C686" s="21"/>
      <c r="F686" s="24"/>
      <c r="G686" s="23"/>
      <c r="I686" s="81"/>
    </row>
    <row r="687" spans="3:9" ht="15.75" customHeight="1">
      <c r="C687" s="21"/>
      <c r="F687" s="24"/>
      <c r="G687" s="23"/>
      <c r="I687" s="81"/>
    </row>
    <row r="688" spans="3:9" ht="15.75" customHeight="1">
      <c r="C688" s="21"/>
      <c r="F688" s="24"/>
      <c r="G688" s="23"/>
      <c r="I688" s="81"/>
    </row>
    <row r="689" spans="3:9" ht="15.75" customHeight="1">
      <c r="C689" s="21"/>
      <c r="F689" s="24"/>
      <c r="G689" s="23"/>
      <c r="I689" s="81"/>
    </row>
    <row r="690" spans="3:9" ht="15.75" customHeight="1">
      <c r="C690" s="21"/>
      <c r="F690" s="24"/>
      <c r="G690" s="23"/>
      <c r="I690" s="81"/>
    </row>
    <row r="691" spans="3:9" ht="15.75" customHeight="1">
      <c r="C691" s="21"/>
      <c r="F691" s="24"/>
      <c r="G691" s="23"/>
      <c r="I691" s="81"/>
    </row>
    <row r="692" spans="3:9" ht="15.75" customHeight="1">
      <c r="C692" s="21"/>
      <c r="F692" s="24"/>
      <c r="G692" s="23"/>
      <c r="I692" s="81"/>
    </row>
    <row r="693" spans="3:9" ht="15.75" customHeight="1">
      <c r="C693" s="21"/>
      <c r="F693" s="24"/>
      <c r="G693" s="23"/>
      <c r="I693" s="81"/>
    </row>
    <row r="694" spans="3:9" ht="15.75" customHeight="1">
      <c r="C694" s="21"/>
      <c r="F694" s="24"/>
      <c r="G694" s="23"/>
      <c r="I694" s="81"/>
    </row>
    <row r="695" spans="3:9" ht="15.75" customHeight="1">
      <c r="C695" s="21"/>
      <c r="F695" s="24"/>
      <c r="G695" s="23"/>
      <c r="I695" s="81"/>
    </row>
    <row r="696" spans="3:9" ht="15.75" customHeight="1">
      <c r="C696" s="21"/>
      <c r="F696" s="24"/>
      <c r="G696" s="23"/>
      <c r="I696" s="81"/>
    </row>
    <row r="697" spans="3:9" ht="15.75" customHeight="1">
      <c r="C697" s="21"/>
      <c r="F697" s="24"/>
      <c r="G697" s="23"/>
      <c r="I697" s="81"/>
    </row>
    <row r="698" spans="3:9" ht="15.75" customHeight="1">
      <c r="C698" s="21"/>
      <c r="F698" s="24"/>
      <c r="G698" s="23"/>
      <c r="I698" s="81"/>
    </row>
    <row r="699" spans="3:9" ht="15.75" customHeight="1">
      <c r="C699" s="21"/>
      <c r="F699" s="24"/>
      <c r="G699" s="23"/>
      <c r="I699" s="81"/>
    </row>
    <row r="700" spans="3:9" ht="15.75" customHeight="1">
      <c r="C700" s="21"/>
      <c r="F700" s="24"/>
      <c r="G700" s="23"/>
      <c r="I700" s="81"/>
    </row>
    <row r="701" spans="3:9" ht="15.75" customHeight="1">
      <c r="C701" s="21"/>
      <c r="F701" s="24"/>
      <c r="G701" s="23"/>
      <c r="I701" s="81"/>
    </row>
    <row r="702" spans="3:9" ht="15.75" customHeight="1">
      <c r="C702" s="21"/>
      <c r="F702" s="24"/>
      <c r="G702" s="23"/>
      <c r="I702" s="81"/>
    </row>
    <row r="703" spans="3:9" ht="15.75" customHeight="1">
      <c r="C703" s="21"/>
      <c r="F703" s="24"/>
      <c r="G703" s="23"/>
      <c r="I703" s="81"/>
    </row>
    <row r="704" spans="3:9" ht="15.75" customHeight="1">
      <c r="C704" s="21"/>
      <c r="F704" s="24"/>
      <c r="G704" s="23"/>
      <c r="I704" s="81"/>
    </row>
    <row r="705" spans="3:9" ht="15.75" customHeight="1">
      <c r="C705" s="21"/>
      <c r="F705" s="24"/>
      <c r="G705" s="23"/>
      <c r="I705" s="81"/>
    </row>
    <row r="706" spans="3:9" ht="15.75" customHeight="1">
      <c r="C706" s="21"/>
      <c r="F706" s="24"/>
      <c r="G706" s="23"/>
      <c r="I706" s="81"/>
    </row>
    <row r="707" spans="3:9" ht="15.75" customHeight="1">
      <c r="C707" s="21"/>
      <c r="F707" s="24"/>
      <c r="G707" s="23"/>
      <c r="I707" s="81"/>
    </row>
    <row r="708" spans="3:9" ht="15.75" customHeight="1">
      <c r="C708" s="21"/>
      <c r="F708" s="24"/>
      <c r="G708" s="23"/>
      <c r="I708" s="81"/>
    </row>
    <row r="709" spans="3:9" ht="15.75" customHeight="1">
      <c r="C709" s="21"/>
      <c r="F709" s="24"/>
      <c r="G709" s="23"/>
      <c r="I709" s="81"/>
    </row>
    <row r="710" spans="3:9" ht="15.75" customHeight="1">
      <c r="C710" s="21"/>
      <c r="F710" s="24"/>
      <c r="G710" s="23"/>
      <c r="I710" s="81"/>
    </row>
    <row r="711" spans="3:9" ht="15.75" customHeight="1">
      <c r="C711" s="21"/>
      <c r="F711" s="24"/>
      <c r="G711" s="23"/>
      <c r="I711" s="81"/>
    </row>
    <row r="712" spans="3:9" ht="15.75" customHeight="1">
      <c r="C712" s="21"/>
      <c r="F712" s="24"/>
      <c r="G712" s="23"/>
      <c r="I712" s="81"/>
    </row>
    <row r="713" spans="3:9" ht="15.75" customHeight="1">
      <c r="C713" s="21"/>
      <c r="F713" s="24"/>
      <c r="G713" s="23"/>
      <c r="I713" s="81"/>
    </row>
    <row r="714" spans="3:9" ht="15.75" customHeight="1">
      <c r="C714" s="21"/>
      <c r="F714" s="24"/>
      <c r="G714" s="23"/>
      <c r="I714" s="81"/>
    </row>
    <row r="715" spans="3:9" ht="15.75" customHeight="1">
      <c r="C715" s="21"/>
      <c r="F715" s="24"/>
      <c r="G715" s="23"/>
      <c r="I715" s="81"/>
    </row>
    <row r="716" spans="3:9" ht="15.75" customHeight="1">
      <c r="C716" s="21"/>
      <c r="F716" s="24"/>
      <c r="G716" s="23"/>
      <c r="I716" s="81"/>
    </row>
    <row r="717" spans="3:9" ht="15.75" customHeight="1">
      <c r="C717" s="21"/>
      <c r="F717" s="24"/>
      <c r="G717" s="23"/>
      <c r="I717" s="81"/>
    </row>
    <row r="718" spans="3:9" ht="15.75" customHeight="1">
      <c r="C718" s="21"/>
      <c r="F718" s="24"/>
      <c r="G718" s="23"/>
      <c r="I718" s="81"/>
    </row>
    <row r="719" spans="3:9" ht="15.75" customHeight="1">
      <c r="C719" s="21"/>
      <c r="F719" s="24"/>
      <c r="G719" s="23"/>
      <c r="I719" s="81"/>
    </row>
    <row r="720" spans="3:9" ht="15.75" customHeight="1">
      <c r="C720" s="21"/>
      <c r="F720" s="24"/>
      <c r="G720" s="23"/>
      <c r="I720" s="81"/>
    </row>
    <row r="721" spans="3:9" ht="15.75" customHeight="1">
      <c r="C721" s="21"/>
      <c r="F721" s="24"/>
      <c r="G721" s="23"/>
      <c r="I721" s="81"/>
    </row>
    <row r="722" spans="3:9" ht="15.75" customHeight="1">
      <c r="C722" s="21"/>
      <c r="F722" s="24"/>
      <c r="G722" s="23"/>
      <c r="I722" s="81"/>
    </row>
    <row r="723" spans="3:9" ht="15.75" customHeight="1">
      <c r="C723" s="21"/>
      <c r="F723" s="24"/>
      <c r="G723" s="23"/>
      <c r="I723" s="81"/>
    </row>
    <row r="724" spans="3:9" ht="15.75" customHeight="1">
      <c r="C724" s="21"/>
      <c r="F724" s="24"/>
      <c r="G724" s="23"/>
      <c r="I724" s="81"/>
    </row>
    <row r="725" spans="3:9" ht="15.75" customHeight="1">
      <c r="C725" s="21"/>
      <c r="F725" s="24"/>
      <c r="G725" s="23"/>
      <c r="I725" s="81"/>
    </row>
    <row r="726" spans="3:9" ht="15.75" customHeight="1">
      <c r="C726" s="21"/>
      <c r="F726" s="24"/>
      <c r="G726" s="23"/>
      <c r="I726" s="81"/>
    </row>
    <row r="727" spans="3:9" ht="15.75" customHeight="1">
      <c r="C727" s="21"/>
      <c r="F727" s="24"/>
      <c r="G727" s="23"/>
      <c r="I727" s="81"/>
    </row>
    <row r="728" spans="3:9" ht="15.75" customHeight="1">
      <c r="C728" s="21"/>
      <c r="F728" s="24"/>
      <c r="G728" s="23"/>
      <c r="I728" s="81"/>
    </row>
    <row r="729" spans="3:9" ht="15.75" customHeight="1">
      <c r="C729" s="21"/>
      <c r="F729" s="24"/>
      <c r="G729" s="23"/>
      <c r="I729" s="81"/>
    </row>
    <row r="730" spans="3:9" ht="15.75" customHeight="1">
      <c r="C730" s="21"/>
      <c r="F730" s="24"/>
      <c r="G730" s="23"/>
      <c r="I730" s="81"/>
    </row>
    <row r="731" spans="3:9" ht="15.75" customHeight="1">
      <c r="C731" s="21"/>
      <c r="F731" s="24"/>
      <c r="G731" s="23"/>
      <c r="I731" s="81"/>
    </row>
    <row r="732" spans="3:9" ht="15.75" customHeight="1">
      <c r="C732" s="21"/>
      <c r="F732" s="24"/>
      <c r="G732" s="23"/>
      <c r="I732" s="81"/>
    </row>
    <row r="733" spans="3:9" ht="15.75" customHeight="1">
      <c r="C733" s="21"/>
      <c r="F733" s="24"/>
      <c r="G733" s="23"/>
      <c r="I733" s="81"/>
    </row>
    <row r="734" spans="3:9" ht="15.75" customHeight="1">
      <c r="C734" s="21"/>
      <c r="F734" s="24"/>
      <c r="G734" s="23"/>
      <c r="I734" s="81"/>
    </row>
    <row r="735" spans="3:9" ht="15.75" customHeight="1">
      <c r="C735" s="21"/>
      <c r="F735" s="24"/>
      <c r="G735" s="23"/>
      <c r="I735" s="81"/>
    </row>
    <row r="736" spans="3:9" ht="15.75" customHeight="1">
      <c r="C736" s="21"/>
      <c r="F736" s="24"/>
      <c r="G736" s="23"/>
      <c r="I736" s="81"/>
    </row>
    <row r="737" spans="3:9" ht="15.75" customHeight="1">
      <c r="C737" s="21"/>
      <c r="F737" s="24"/>
      <c r="G737" s="23"/>
      <c r="I737" s="81"/>
    </row>
    <row r="738" spans="3:9" ht="15.75" customHeight="1">
      <c r="C738" s="21"/>
      <c r="F738" s="24"/>
      <c r="G738" s="23"/>
      <c r="I738" s="81"/>
    </row>
    <row r="739" spans="3:9" ht="15.75" customHeight="1">
      <c r="C739" s="21"/>
      <c r="F739" s="24"/>
      <c r="G739" s="23"/>
      <c r="I739" s="81"/>
    </row>
    <row r="740" spans="3:9" ht="15.75" customHeight="1">
      <c r="C740" s="21"/>
      <c r="F740" s="24"/>
      <c r="G740" s="23"/>
      <c r="I740" s="81"/>
    </row>
    <row r="741" spans="3:9" ht="15.75" customHeight="1">
      <c r="C741" s="21"/>
      <c r="F741" s="24"/>
      <c r="G741" s="23"/>
      <c r="I741" s="81"/>
    </row>
    <row r="742" spans="3:9" ht="15.75" customHeight="1">
      <c r="C742" s="21"/>
      <c r="F742" s="24"/>
      <c r="G742" s="23"/>
      <c r="I742" s="81"/>
    </row>
    <row r="743" spans="3:9" ht="15.75" customHeight="1">
      <c r="C743" s="21"/>
      <c r="F743" s="24"/>
      <c r="G743" s="23"/>
      <c r="I743" s="81"/>
    </row>
    <row r="744" spans="3:9" ht="15.75" customHeight="1">
      <c r="C744" s="21"/>
      <c r="F744" s="24"/>
      <c r="G744" s="23"/>
      <c r="I744" s="81"/>
    </row>
    <row r="745" spans="3:9" ht="15.75" customHeight="1">
      <c r="C745" s="21"/>
      <c r="F745" s="24"/>
      <c r="G745" s="23"/>
      <c r="I745" s="81"/>
    </row>
    <row r="746" spans="3:9" ht="15.75" customHeight="1">
      <c r="C746" s="21"/>
      <c r="F746" s="24"/>
      <c r="G746" s="23"/>
      <c r="I746" s="81"/>
    </row>
    <row r="747" spans="3:9" ht="15.75" customHeight="1">
      <c r="C747" s="21"/>
      <c r="F747" s="24"/>
      <c r="G747" s="23"/>
      <c r="I747" s="81"/>
    </row>
    <row r="748" spans="3:9" ht="15.75" customHeight="1">
      <c r="C748" s="21"/>
      <c r="F748" s="24"/>
      <c r="G748" s="23"/>
      <c r="I748" s="81"/>
    </row>
    <row r="749" spans="3:9" ht="15.75" customHeight="1">
      <c r="C749" s="21"/>
      <c r="F749" s="24"/>
      <c r="G749" s="23"/>
      <c r="I749" s="81"/>
    </row>
    <row r="750" spans="3:9" ht="15.75" customHeight="1">
      <c r="C750" s="21"/>
      <c r="F750" s="24"/>
      <c r="G750" s="23"/>
      <c r="I750" s="81"/>
    </row>
    <row r="751" spans="3:9" ht="15.75" customHeight="1">
      <c r="C751" s="21"/>
      <c r="F751" s="24"/>
      <c r="G751" s="23"/>
      <c r="I751" s="81"/>
    </row>
    <row r="752" spans="3:9" ht="15.75" customHeight="1">
      <c r="C752" s="21"/>
      <c r="F752" s="24"/>
      <c r="G752" s="23"/>
      <c r="I752" s="81"/>
    </row>
    <row r="753" spans="3:9" ht="15.75" customHeight="1">
      <c r="C753" s="21"/>
      <c r="F753" s="24"/>
      <c r="G753" s="23"/>
      <c r="I753" s="81"/>
    </row>
    <row r="754" spans="3:9" ht="15.75" customHeight="1">
      <c r="C754" s="21"/>
      <c r="F754" s="24"/>
      <c r="G754" s="23"/>
      <c r="I754" s="81"/>
    </row>
    <row r="755" spans="3:9" ht="15.75" customHeight="1">
      <c r="C755" s="21"/>
      <c r="F755" s="24"/>
      <c r="G755" s="23"/>
      <c r="I755" s="81"/>
    </row>
    <row r="756" spans="3:9" ht="15.75" customHeight="1">
      <c r="C756" s="21"/>
      <c r="F756" s="24"/>
      <c r="G756" s="23"/>
      <c r="I756" s="81"/>
    </row>
    <row r="757" spans="3:9" ht="15.75" customHeight="1">
      <c r="C757" s="21"/>
      <c r="F757" s="24"/>
      <c r="G757" s="23"/>
      <c r="I757" s="81"/>
    </row>
    <row r="758" spans="3:9" ht="15.75" customHeight="1">
      <c r="C758" s="21"/>
      <c r="F758" s="24"/>
      <c r="G758" s="23"/>
      <c r="I758" s="81"/>
    </row>
    <row r="759" spans="3:9" ht="15.75" customHeight="1">
      <c r="C759" s="21"/>
      <c r="F759" s="24"/>
      <c r="G759" s="23"/>
      <c r="I759" s="81"/>
    </row>
    <row r="760" spans="3:9" ht="15.75" customHeight="1">
      <c r="C760" s="21"/>
      <c r="F760" s="24"/>
      <c r="G760" s="23"/>
      <c r="I760" s="81"/>
    </row>
    <row r="761" spans="3:9" ht="15.75" customHeight="1">
      <c r="C761" s="21"/>
      <c r="F761" s="24"/>
      <c r="G761" s="23"/>
      <c r="I761" s="81"/>
    </row>
    <row r="762" spans="3:9" ht="15.75" customHeight="1">
      <c r="C762" s="21"/>
      <c r="F762" s="24"/>
      <c r="G762" s="23"/>
      <c r="I762" s="81"/>
    </row>
    <row r="763" spans="3:9" ht="15.75" customHeight="1">
      <c r="C763" s="21"/>
      <c r="F763" s="24"/>
      <c r="G763" s="23"/>
      <c r="I763" s="81"/>
    </row>
    <row r="764" spans="3:9" ht="15.75" customHeight="1">
      <c r="C764" s="21"/>
      <c r="F764" s="24"/>
      <c r="G764" s="23"/>
      <c r="I764" s="81"/>
    </row>
    <row r="765" spans="3:9" ht="15.75" customHeight="1">
      <c r="C765" s="21"/>
      <c r="F765" s="24"/>
      <c r="G765" s="23"/>
      <c r="I765" s="81"/>
    </row>
    <row r="766" spans="3:9" ht="15.75" customHeight="1">
      <c r="C766" s="21"/>
      <c r="F766" s="24"/>
      <c r="G766" s="23"/>
      <c r="I766" s="81"/>
    </row>
    <row r="767" spans="3:9" ht="15.75" customHeight="1">
      <c r="C767" s="21"/>
      <c r="F767" s="24"/>
      <c r="G767" s="23"/>
      <c r="I767" s="81"/>
    </row>
    <row r="768" spans="3:9" ht="15.75" customHeight="1">
      <c r="C768" s="21"/>
      <c r="F768" s="24"/>
      <c r="G768" s="23"/>
      <c r="I768" s="81"/>
    </row>
    <row r="769" spans="3:9" ht="15.75" customHeight="1">
      <c r="C769" s="21"/>
      <c r="F769" s="24"/>
      <c r="G769" s="23"/>
      <c r="I769" s="81"/>
    </row>
    <row r="770" spans="3:9" ht="15.75" customHeight="1">
      <c r="C770" s="21"/>
      <c r="F770" s="24"/>
      <c r="G770" s="23"/>
      <c r="I770" s="81"/>
    </row>
    <row r="771" spans="3:9" ht="15.75" customHeight="1">
      <c r="C771" s="21"/>
      <c r="F771" s="24"/>
      <c r="G771" s="23"/>
      <c r="I771" s="81"/>
    </row>
    <row r="772" spans="3:9" ht="15.75" customHeight="1">
      <c r="C772" s="21"/>
      <c r="F772" s="24"/>
      <c r="G772" s="23"/>
      <c r="I772" s="81"/>
    </row>
    <row r="773" spans="3:9" ht="15.75" customHeight="1">
      <c r="C773" s="21"/>
      <c r="F773" s="24"/>
      <c r="G773" s="23"/>
      <c r="I773" s="81"/>
    </row>
    <row r="774" spans="3:9" ht="15.75" customHeight="1">
      <c r="C774" s="21"/>
      <c r="F774" s="24"/>
      <c r="G774" s="23"/>
      <c r="I774" s="81"/>
    </row>
    <row r="775" spans="3:9" ht="15.75" customHeight="1">
      <c r="C775" s="21"/>
      <c r="F775" s="24"/>
      <c r="G775" s="23"/>
      <c r="I775" s="81"/>
    </row>
    <row r="776" spans="3:9" ht="15.75" customHeight="1">
      <c r="C776" s="21"/>
      <c r="F776" s="24"/>
      <c r="G776" s="23"/>
      <c r="I776" s="81"/>
    </row>
    <row r="777" spans="3:9" ht="15.75" customHeight="1">
      <c r="C777" s="21"/>
      <c r="F777" s="24"/>
      <c r="G777" s="23"/>
      <c r="I777" s="81"/>
    </row>
    <row r="778" spans="3:9" ht="15.75" customHeight="1">
      <c r="C778" s="21"/>
      <c r="F778" s="24"/>
      <c r="G778" s="23"/>
      <c r="I778" s="81"/>
    </row>
    <row r="779" spans="3:9" ht="15.75" customHeight="1">
      <c r="C779" s="21"/>
      <c r="F779" s="24"/>
      <c r="G779" s="23"/>
      <c r="I779" s="81"/>
    </row>
    <row r="780" spans="3:9" ht="15.75" customHeight="1">
      <c r="C780" s="21"/>
      <c r="F780" s="24"/>
      <c r="G780" s="23"/>
      <c r="I780" s="81"/>
    </row>
    <row r="781" spans="3:9" ht="15.75" customHeight="1">
      <c r="C781" s="21"/>
      <c r="F781" s="24"/>
      <c r="G781" s="23"/>
      <c r="I781" s="81"/>
    </row>
    <row r="782" spans="3:9" ht="15.75" customHeight="1">
      <c r="C782" s="21"/>
      <c r="F782" s="24"/>
      <c r="G782" s="23"/>
      <c r="I782" s="81"/>
    </row>
    <row r="783" spans="3:9" ht="15.75" customHeight="1">
      <c r="C783" s="21"/>
      <c r="F783" s="24"/>
      <c r="G783" s="23"/>
      <c r="I783" s="81"/>
    </row>
    <row r="784" spans="3:9" ht="15.75" customHeight="1">
      <c r="C784" s="21"/>
      <c r="F784" s="24"/>
      <c r="G784" s="23"/>
      <c r="I784" s="81"/>
    </row>
    <row r="785" spans="3:9" ht="15.75" customHeight="1">
      <c r="C785" s="21"/>
      <c r="F785" s="24"/>
      <c r="G785" s="23"/>
      <c r="I785" s="81"/>
    </row>
    <row r="786" spans="3:9" ht="15.75" customHeight="1">
      <c r="C786" s="21"/>
      <c r="F786" s="24"/>
      <c r="G786" s="23"/>
      <c r="I786" s="81"/>
    </row>
    <row r="787" spans="3:9" ht="15.75" customHeight="1">
      <c r="C787" s="21"/>
      <c r="F787" s="24"/>
      <c r="G787" s="23"/>
      <c r="I787" s="81"/>
    </row>
    <row r="788" spans="3:9" ht="15.75" customHeight="1">
      <c r="C788" s="21"/>
      <c r="F788" s="24"/>
      <c r="G788" s="23"/>
      <c r="I788" s="81"/>
    </row>
    <row r="789" spans="3:9" ht="15.75" customHeight="1">
      <c r="C789" s="21"/>
      <c r="F789" s="24"/>
      <c r="G789" s="23"/>
      <c r="I789" s="81"/>
    </row>
    <row r="790" spans="3:9" ht="15.75" customHeight="1">
      <c r="C790" s="21"/>
      <c r="F790" s="24"/>
      <c r="G790" s="23"/>
      <c r="I790" s="81"/>
    </row>
    <row r="791" spans="3:9" ht="15.75" customHeight="1">
      <c r="C791" s="21"/>
      <c r="F791" s="24"/>
      <c r="G791" s="23"/>
      <c r="I791" s="81"/>
    </row>
    <row r="792" spans="3:9" ht="15.75" customHeight="1">
      <c r="C792" s="21"/>
      <c r="F792" s="24"/>
      <c r="G792" s="23"/>
      <c r="I792" s="81"/>
    </row>
    <row r="793" spans="3:9" ht="15.75" customHeight="1">
      <c r="C793" s="21"/>
      <c r="F793" s="24"/>
      <c r="G793" s="23"/>
      <c r="I793" s="81"/>
    </row>
    <row r="794" spans="3:9" ht="15.75" customHeight="1">
      <c r="C794" s="21"/>
      <c r="F794" s="24"/>
      <c r="G794" s="23"/>
      <c r="I794" s="81"/>
    </row>
    <row r="795" spans="3:9" ht="15.75" customHeight="1">
      <c r="C795" s="21"/>
      <c r="F795" s="24"/>
      <c r="G795" s="23"/>
      <c r="I795" s="81"/>
    </row>
    <row r="796" spans="3:9" ht="15.75" customHeight="1">
      <c r="C796" s="21"/>
      <c r="F796" s="24"/>
      <c r="G796" s="23"/>
      <c r="I796" s="81"/>
    </row>
    <row r="797" spans="3:9" ht="15.75" customHeight="1">
      <c r="C797" s="21"/>
      <c r="F797" s="24"/>
      <c r="G797" s="23"/>
      <c r="I797" s="81"/>
    </row>
    <row r="798" spans="3:9" ht="15.75" customHeight="1">
      <c r="C798" s="21"/>
      <c r="F798" s="24"/>
      <c r="G798" s="23"/>
      <c r="I798" s="81"/>
    </row>
    <row r="799" spans="3:9" ht="15.75" customHeight="1">
      <c r="C799" s="21"/>
      <c r="F799" s="24"/>
      <c r="G799" s="23"/>
      <c r="I799" s="81"/>
    </row>
    <row r="800" spans="3:9" ht="15.75" customHeight="1">
      <c r="C800" s="21"/>
      <c r="F800" s="24"/>
      <c r="G800" s="23"/>
      <c r="I800" s="81"/>
    </row>
    <row r="801" spans="3:9" ht="15.75" customHeight="1">
      <c r="C801" s="21"/>
      <c r="F801" s="24"/>
      <c r="G801" s="23"/>
      <c r="I801" s="81"/>
    </row>
    <row r="802" spans="3:9" ht="15.75" customHeight="1">
      <c r="C802" s="21"/>
      <c r="F802" s="24"/>
      <c r="G802" s="23"/>
      <c r="I802" s="81"/>
    </row>
    <row r="803" spans="3:9" ht="15.75" customHeight="1">
      <c r="C803" s="21"/>
      <c r="F803" s="24"/>
      <c r="G803" s="23"/>
      <c r="I803" s="81"/>
    </row>
    <row r="804" spans="3:9" ht="15.75" customHeight="1">
      <c r="C804" s="21"/>
      <c r="F804" s="24"/>
      <c r="G804" s="23"/>
      <c r="I804" s="81"/>
    </row>
    <row r="805" spans="3:9" ht="15.75" customHeight="1">
      <c r="C805" s="21"/>
      <c r="F805" s="24"/>
      <c r="G805" s="23"/>
      <c r="I805" s="81"/>
    </row>
    <row r="806" spans="3:9" ht="15.75" customHeight="1">
      <c r="C806" s="21"/>
      <c r="F806" s="24"/>
      <c r="G806" s="23"/>
      <c r="I806" s="81"/>
    </row>
    <row r="807" spans="3:9" ht="15.75" customHeight="1">
      <c r="C807" s="21"/>
      <c r="F807" s="24"/>
      <c r="G807" s="23"/>
      <c r="I807" s="81"/>
    </row>
    <row r="808" spans="3:9" ht="15.75" customHeight="1">
      <c r="C808" s="21"/>
      <c r="F808" s="24"/>
      <c r="G808" s="23"/>
      <c r="I808" s="81"/>
    </row>
    <row r="809" spans="3:9" ht="15.75" customHeight="1">
      <c r="C809" s="21"/>
      <c r="F809" s="24"/>
      <c r="G809" s="23"/>
      <c r="I809" s="81"/>
    </row>
    <row r="810" spans="3:9" ht="15.75" customHeight="1">
      <c r="C810" s="21"/>
      <c r="F810" s="24"/>
      <c r="G810" s="23"/>
      <c r="I810" s="81"/>
    </row>
    <row r="811" spans="3:9" ht="15.75" customHeight="1">
      <c r="C811" s="21"/>
      <c r="F811" s="24"/>
      <c r="G811" s="23"/>
      <c r="I811" s="81"/>
    </row>
    <row r="812" spans="3:9" ht="15.75" customHeight="1">
      <c r="C812" s="21"/>
      <c r="F812" s="24"/>
      <c r="G812" s="23"/>
      <c r="I812" s="81"/>
    </row>
    <row r="813" spans="3:9" ht="15.75" customHeight="1">
      <c r="C813" s="21"/>
      <c r="F813" s="24"/>
      <c r="G813" s="23"/>
      <c r="I813" s="81"/>
    </row>
    <row r="814" spans="3:9" ht="15.75" customHeight="1">
      <c r="C814" s="21"/>
      <c r="F814" s="24"/>
      <c r="G814" s="23"/>
      <c r="I814" s="81"/>
    </row>
    <row r="815" spans="3:9" ht="15.75" customHeight="1">
      <c r="C815" s="21"/>
      <c r="F815" s="24"/>
      <c r="G815" s="23"/>
      <c r="I815" s="81"/>
    </row>
    <row r="816" spans="3:9" ht="15.75" customHeight="1">
      <c r="C816" s="21"/>
      <c r="F816" s="24"/>
      <c r="G816" s="23"/>
      <c r="I816" s="81"/>
    </row>
    <row r="817" spans="3:9" ht="15.75" customHeight="1">
      <c r="C817" s="21"/>
      <c r="F817" s="24"/>
      <c r="G817" s="23"/>
      <c r="I817" s="81"/>
    </row>
    <row r="818" spans="3:9" ht="15.75" customHeight="1">
      <c r="C818" s="21"/>
      <c r="F818" s="24"/>
      <c r="G818" s="23"/>
      <c r="I818" s="81"/>
    </row>
    <row r="819" spans="3:9" ht="15.75" customHeight="1">
      <c r="C819" s="21"/>
      <c r="F819" s="24"/>
      <c r="G819" s="23"/>
      <c r="I819" s="81"/>
    </row>
    <row r="820" spans="3:9" ht="15.75" customHeight="1">
      <c r="C820" s="21"/>
      <c r="F820" s="24"/>
      <c r="G820" s="23"/>
      <c r="I820" s="81"/>
    </row>
    <row r="821" spans="3:9" ht="15.75" customHeight="1">
      <c r="C821" s="21"/>
      <c r="F821" s="24"/>
      <c r="G821" s="23"/>
      <c r="I821" s="81"/>
    </row>
    <row r="822" spans="3:9" ht="15.75" customHeight="1">
      <c r="C822" s="21"/>
      <c r="F822" s="24"/>
      <c r="G822" s="23"/>
      <c r="I822" s="81"/>
    </row>
    <row r="823" spans="3:9" ht="15.75" customHeight="1">
      <c r="C823" s="21"/>
      <c r="F823" s="24"/>
      <c r="G823" s="23"/>
      <c r="I823" s="81"/>
    </row>
    <row r="824" spans="3:9" ht="15.75" customHeight="1">
      <c r="C824" s="21"/>
      <c r="F824" s="24"/>
      <c r="G824" s="23"/>
      <c r="I824" s="81"/>
    </row>
    <row r="825" spans="3:9" ht="15.75" customHeight="1">
      <c r="C825" s="21"/>
      <c r="F825" s="24"/>
      <c r="G825" s="23"/>
      <c r="I825" s="81"/>
    </row>
    <row r="826" spans="3:9" ht="15.75" customHeight="1">
      <c r="C826" s="21"/>
      <c r="F826" s="24"/>
      <c r="G826" s="23"/>
      <c r="I826" s="81"/>
    </row>
    <row r="827" spans="3:9" ht="15.75" customHeight="1">
      <c r="C827" s="21"/>
      <c r="F827" s="24"/>
      <c r="G827" s="23"/>
      <c r="I827" s="81"/>
    </row>
    <row r="828" spans="3:9" ht="15.75" customHeight="1">
      <c r="C828" s="21"/>
      <c r="F828" s="24"/>
      <c r="G828" s="23"/>
      <c r="I828" s="81"/>
    </row>
    <row r="829" spans="3:9" ht="15.75" customHeight="1">
      <c r="C829" s="21"/>
      <c r="F829" s="24"/>
      <c r="G829" s="23"/>
      <c r="I829" s="81"/>
    </row>
    <row r="830" spans="3:9" ht="15.75" customHeight="1">
      <c r="C830" s="21"/>
      <c r="F830" s="24"/>
      <c r="G830" s="23"/>
      <c r="I830" s="81"/>
    </row>
    <row r="831" spans="3:9" ht="15.75" customHeight="1">
      <c r="C831" s="21"/>
      <c r="F831" s="24"/>
      <c r="G831" s="23"/>
      <c r="I831" s="81"/>
    </row>
    <row r="832" spans="3:9" ht="15.75" customHeight="1">
      <c r="C832" s="21"/>
      <c r="F832" s="24"/>
      <c r="G832" s="23"/>
      <c r="I832" s="81"/>
    </row>
    <row r="833" spans="3:9" ht="15.75" customHeight="1">
      <c r="C833" s="21"/>
      <c r="F833" s="24"/>
      <c r="G833" s="23"/>
      <c r="I833" s="81"/>
    </row>
    <row r="834" spans="3:9" ht="15.75" customHeight="1">
      <c r="C834" s="21"/>
      <c r="F834" s="24"/>
      <c r="G834" s="23"/>
      <c r="I834" s="81"/>
    </row>
    <row r="835" spans="3:9" ht="15.75" customHeight="1">
      <c r="C835" s="21"/>
      <c r="F835" s="24"/>
      <c r="G835" s="23"/>
      <c r="I835" s="81"/>
    </row>
    <row r="836" spans="3:9" ht="15.75" customHeight="1">
      <c r="C836" s="21"/>
      <c r="F836" s="24"/>
      <c r="G836" s="23"/>
      <c r="I836" s="81"/>
    </row>
    <row r="837" spans="3:9" ht="15.75" customHeight="1">
      <c r="C837" s="21"/>
      <c r="F837" s="24"/>
      <c r="G837" s="23"/>
      <c r="I837" s="81"/>
    </row>
    <row r="838" spans="3:9" ht="15.75" customHeight="1">
      <c r="C838" s="21"/>
      <c r="F838" s="24"/>
      <c r="G838" s="23"/>
      <c r="I838" s="81"/>
    </row>
    <row r="839" spans="3:9" ht="15.75" customHeight="1">
      <c r="C839" s="21"/>
      <c r="F839" s="24"/>
      <c r="G839" s="23"/>
      <c r="I839" s="81"/>
    </row>
    <row r="840" spans="3:9" ht="15.75" customHeight="1">
      <c r="C840" s="21"/>
      <c r="F840" s="24"/>
      <c r="G840" s="23"/>
      <c r="I840" s="81"/>
    </row>
    <row r="841" spans="3:9" ht="15.75" customHeight="1">
      <c r="C841" s="21"/>
      <c r="F841" s="24"/>
      <c r="G841" s="23"/>
      <c r="I841" s="81"/>
    </row>
    <row r="842" spans="3:9" ht="15.75" customHeight="1">
      <c r="C842" s="21"/>
      <c r="F842" s="24"/>
      <c r="G842" s="23"/>
      <c r="I842" s="81"/>
    </row>
    <row r="843" spans="3:9" ht="15.75" customHeight="1">
      <c r="C843" s="21"/>
      <c r="F843" s="24"/>
      <c r="G843" s="23"/>
      <c r="I843" s="81"/>
    </row>
    <row r="844" spans="3:9" ht="15.75" customHeight="1">
      <c r="C844" s="21"/>
      <c r="F844" s="24"/>
      <c r="G844" s="23"/>
      <c r="I844" s="81"/>
    </row>
    <row r="845" spans="3:9" ht="15.75" customHeight="1">
      <c r="C845" s="21"/>
      <c r="F845" s="24"/>
      <c r="G845" s="23"/>
      <c r="I845" s="81"/>
    </row>
    <row r="846" spans="3:9" ht="15.75" customHeight="1">
      <c r="C846" s="21"/>
      <c r="F846" s="24"/>
      <c r="G846" s="23"/>
      <c r="I846" s="81"/>
    </row>
    <row r="847" spans="3:9" ht="15.75" customHeight="1">
      <c r="C847" s="21"/>
      <c r="F847" s="24"/>
      <c r="G847" s="23"/>
      <c r="I847" s="81"/>
    </row>
    <row r="848" spans="3:9" ht="15.75" customHeight="1">
      <c r="C848" s="21"/>
      <c r="F848" s="24"/>
      <c r="G848" s="23"/>
      <c r="I848" s="81"/>
    </row>
    <row r="849" spans="3:9" ht="15.75" customHeight="1">
      <c r="C849" s="21"/>
      <c r="F849" s="24"/>
      <c r="G849" s="23"/>
      <c r="I849" s="81"/>
    </row>
    <row r="850" spans="3:9" ht="15.75" customHeight="1">
      <c r="C850" s="21"/>
      <c r="F850" s="24"/>
      <c r="G850" s="23"/>
      <c r="I850" s="81"/>
    </row>
    <row r="851" spans="3:9" ht="15.75" customHeight="1">
      <c r="C851" s="21"/>
      <c r="F851" s="24"/>
      <c r="G851" s="23"/>
      <c r="I851" s="81"/>
    </row>
    <row r="852" spans="3:9" ht="15.75" customHeight="1">
      <c r="C852" s="21"/>
      <c r="F852" s="24"/>
      <c r="G852" s="23"/>
      <c r="I852" s="81"/>
    </row>
    <row r="853" spans="3:9" ht="15.75" customHeight="1">
      <c r="C853" s="21"/>
      <c r="F853" s="24"/>
      <c r="G853" s="23"/>
      <c r="I853" s="81"/>
    </row>
    <row r="854" spans="3:9" ht="15.75" customHeight="1">
      <c r="C854" s="21"/>
      <c r="F854" s="24"/>
      <c r="G854" s="23"/>
      <c r="I854" s="81"/>
    </row>
    <row r="855" spans="3:9" ht="15.75" customHeight="1">
      <c r="C855" s="21"/>
      <c r="F855" s="24"/>
      <c r="G855" s="23"/>
      <c r="I855" s="81"/>
    </row>
    <row r="856" spans="3:9" ht="15.75" customHeight="1">
      <c r="C856" s="21"/>
      <c r="F856" s="24"/>
      <c r="G856" s="23"/>
      <c r="I856" s="81"/>
    </row>
    <row r="857" spans="3:9" ht="15.75" customHeight="1">
      <c r="C857" s="21"/>
      <c r="F857" s="24"/>
      <c r="G857" s="23"/>
      <c r="I857" s="81"/>
    </row>
    <row r="858" spans="3:9" ht="15.75" customHeight="1">
      <c r="C858" s="21"/>
      <c r="F858" s="24"/>
      <c r="G858" s="23"/>
      <c r="I858" s="81"/>
    </row>
    <row r="859" spans="3:9" ht="15.75" customHeight="1">
      <c r="C859" s="21"/>
      <c r="F859" s="24"/>
      <c r="G859" s="23"/>
      <c r="I859" s="81"/>
    </row>
    <row r="860" spans="3:9" ht="15.75" customHeight="1">
      <c r="C860" s="21"/>
      <c r="F860" s="24"/>
      <c r="G860" s="23"/>
      <c r="I860" s="81"/>
    </row>
    <row r="861" spans="3:9" ht="15.75" customHeight="1">
      <c r="C861" s="21"/>
      <c r="F861" s="24"/>
      <c r="G861" s="23"/>
      <c r="I861" s="81"/>
    </row>
    <row r="862" spans="3:9" ht="15.75" customHeight="1">
      <c r="C862" s="21"/>
      <c r="F862" s="24"/>
      <c r="G862" s="23"/>
      <c r="I862" s="81"/>
    </row>
    <row r="863" spans="3:9" ht="15.75" customHeight="1">
      <c r="C863" s="21"/>
      <c r="F863" s="24"/>
      <c r="G863" s="23"/>
      <c r="I863" s="81"/>
    </row>
    <row r="864" spans="3:9" ht="15.75" customHeight="1">
      <c r="C864" s="21"/>
      <c r="F864" s="24"/>
      <c r="G864" s="23"/>
      <c r="I864" s="81"/>
    </row>
    <row r="865" spans="3:9" ht="15.75" customHeight="1">
      <c r="C865" s="21"/>
      <c r="F865" s="24"/>
      <c r="G865" s="23"/>
      <c r="I865" s="81"/>
    </row>
    <row r="866" spans="3:9" ht="15.75" customHeight="1">
      <c r="C866" s="21"/>
      <c r="F866" s="24"/>
      <c r="G866" s="23"/>
      <c r="I866" s="81"/>
    </row>
    <row r="867" spans="3:9" ht="15.75" customHeight="1">
      <c r="C867" s="21"/>
      <c r="F867" s="24"/>
      <c r="G867" s="23"/>
      <c r="I867" s="81"/>
    </row>
    <row r="868" spans="3:9" ht="15.75" customHeight="1">
      <c r="C868" s="21"/>
      <c r="F868" s="24"/>
      <c r="G868" s="23"/>
      <c r="I868" s="81"/>
    </row>
    <row r="869" spans="3:9" ht="15.75" customHeight="1">
      <c r="C869" s="21"/>
      <c r="F869" s="24"/>
      <c r="G869" s="23"/>
      <c r="I869" s="81"/>
    </row>
    <row r="870" spans="3:9" ht="15.75" customHeight="1">
      <c r="C870" s="21"/>
      <c r="F870" s="24"/>
      <c r="G870" s="23"/>
      <c r="I870" s="81"/>
    </row>
    <row r="871" spans="3:9" ht="15.75" customHeight="1">
      <c r="C871" s="21"/>
      <c r="F871" s="24"/>
      <c r="G871" s="23"/>
      <c r="I871" s="81"/>
    </row>
    <row r="872" spans="3:9" ht="15.75" customHeight="1">
      <c r="C872" s="21"/>
      <c r="F872" s="24"/>
      <c r="G872" s="23"/>
      <c r="I872" s="81"/>
    </row>
    <row r="873" spans="3:9" ht="15.75" customHeight="1">
      <c r="C873" s="21"/>
      <c r="F873" s="24"/>
      <c r="G873" s="23"/>
      <c r="I873" s="81"/>
    </row>
    <row r="874" spans="3:9" ht="15.75" customHeight="1">
      <c r="C874" s="21"/>
      <c r="F874" s="24"/>
      <c r="G874" s="23"/>
      <c r="I874" s="81"/>
    </row>
    <row r="875" spans="3:9" ht="15.75" customHeight="1">
      <c r="C875" s="21"/>
      <c r="F875" s="24"/>
      <c r="G875" s="23"/>
      <c r="I875" s="81"/>
    </row>
    <row r="876" spans="3:9" ht="15.75" customHeight="1">
      <c r="C876" s="21"/>
      <c r="F876" s="24"/>
      <c r="G876" s="23"/>
      <c r="I876" s="81"/>
    </row>
    <row r="877" spans="3:9" ht="15.75" customHeight="1">
      <c r="C877" s="21"/>
      <c r="F877" s="24"/>
      <c r="G877" s="23"/>
      <c r="I877" s="81"/>
    </row>
    <row r="878" spans="3:9" ht="15.75" customHeight="1">
      <c r="C878" s="21"/>
      <c r="F878" s="24"/>
      <c r="G878" s="23"/>
      <c r="I878" s="81"/>
    </row>
    <row r="879" spans="3:9" ht="15.75" customHeight="1">
      <c r="C879" s="21"/>
      <c r="F879" s="24"/>
      <c r="G879" s="23"/>
      <c r="I879" s="81"/>
    </row>
    <row r="880" spans="3:9" ht="15.75" customHeight="1">
      <c r="C880" s="21"/>
      <c r="F880" s="24"/>
      <c r="G880" s="23"/>
      <c r="I880" s="81"/>
    </row>
    <row r="881" spans="3:9" ht="15.75" customHeight="1">
      <c r="C881" s="21"/>
      <c r="F881" s="24"/>
      <c r="G881" s="23"/>
      <c r="I881" s="81"/>
    </row>
    <row r="882" spans="3:9" ht="15.75" customHeight="1">
      <c r="C882" s="21"/>
      <c r="F882" s="24"/>
      <c r="G882" s="23"/>
      <c r="I882" s="81"/>
    </row>
    <row r="883" spans="3:9" ht="15.75" customHeight="1">
      <c r="C883" s="21"/>
      <c r="F883" s="24"/>
      <c r="G883" s="23"/>
      <c r="I883" s="81"/>
    </row>
    <row r="884" spans="3:9" ht="15.75" customHeight="1">
      <c r="C884" s="21"/>
      <c r="F884" s="24"/>
      <c r="G884" s="23"/>
      <c r="I884" s="81"/>
    </row>
    <row r="885" spans="3:9" ht="15.75" customHeight="1">
      <c r="C885" s="21"/>
      <c r="F885" s="24"/>
      <c r="G885" s="23"/>
      <c r="I885" s="81"/>
    </row>
    <row r="886" spans="3:9" ht="15.75" customHeight="1">
      <c r="C886" s="21"/>
      <c r="F886" s="24"/>
      <c r="G886" s="23"/>
      <c r="I886" s="81"/>
    </row>
    <row r="887" spans="3:9" ht="15.75" customHeight="1">
      <c r="C887" s="21"/>
      <c r="F887" s="24"/>
      <c r="G887" s="23"/>
      <c r="I887" s="81"/>
    </row>
    <row r="888" spans="3:9" ht="15.75" customHeight="1">
      <c r="C888" s="21"/>
      <c r="F888" s="24"/>
      <c r="G888" s="23"/>
      <c r="I888" s="81"/>
    </row>
    <row r="889" spans="3:9" ht="15.75" customHeight="1">
      <c r="C889" s="21"/>
      <c r="F889" s="24"/>
      <c r="G889" s="23"/>
      <c r="I889" s="81"/>
    </row>
    <row r="890" spans="3:9" ht="15.75" customHeight="1">
      <c r="C890" s="21"/>
      <c r="F890" s="24"/>
      <c r="G890" s="23"/>
      <c r="I890" s="81"/>
    </row>
    <row r="891" spans="3:9" ht="15.75" customHeight="1">
      <c r="C891" s="21"/>
      <c r="F891" s="24"/>
      <c r="G891" s="23"/>
      <c r="I891" s="81"/>
    </row>
    <row r="892" spans="3:9" ht="15.75" customHeight="1">
      <c r="C892" s="21"/>
      <c r="F892" s="24"/>
      <c r="G892" s="23"/>
      <c r="I892" s="81"/>
    </row>
    <row r="893" spans="3:9" ht="15.75" customHeight="1">
      <c r="C893" s="21"/>
      <c r="F893" s="24"/>
      <c r="G893" s="23"/>
      <c r="I893" s="81"/>
    </row>
    <row r="894" spans="3:9" ht="15.75" customHeight="1">
      <c r="C894" s="21"/>
      <c r="F894" s="24"/>
      <c r="G894" s="23"/>
      <c r="I894" s="81"/>
    </row>
    <row r="895" spans="3:9" ht="15.75" customHeight="1">
      <c r="C895" s="21"/>
      <c r="F895" s="24"/>
      <c r="G895" s="23"/>
      <c r="I895" s="81"/>
    </row>
    <row r="896" spans="3:9" ht="15.75" customHeight="1">
      <c r="C896" s="21"/>
      <c r="F896" s="24"/>
      <c r="G896" s="23"/>
      <c r="I896" s="81"/>
    </row>
    <row r="897" spans="3:9" ht="15.75" customHeight="1">
      <c r="C897" s="21"/>
      <c r="F897" s="24"/>
      <c r="G897" s="23"/>
      <c r="I897" s="81"/>
    </row>
    <row r="898" spans="3:9" ht="15.75" customHeight="1">
      <c r="C898" s="21"/>
      <c r="F898" s="24"/>
      <c r="G898" s="23"/>
      <c r="I898" s="81"/>
    </row>
    <row r="899" spans="3:9" ht="15.75" customHeight="1">
      <c r="C899" s="21"/>
      <c r="F899" s="24"/>
      <c r="G899" s="23"/>
      <c r="I899" s="81"/>
    </row>
    <row r="900" spans="3:9" ht="15.75" customHeight="1">
      <c r="C900" s="21"/>
      <c r="F900" s="24"/>
      <c r="G900" s="23"/>
      <c r="I900" s="81"/>
    </row>
    <row r="901" spans="3:9" ht="15.75" customHeight="1">
      <c r="C901" s="21"/>
      <c r="F901" s="24"/>
      <c r="G901" s="23"/>
      <c r="I901" s="81"/>
    </row>
    <row r="902" spans="3:9" ht="15.75" customHeight="1">
      <c r="C902" s="21"/>
      <c r="F902" s="24"/>
      <c r="G902" s="23"/>
      <c r="I902" s="81"/>
    </row>
    <row r="903" spans="3:9" ht="15.75" customHeight="1">
      <c r="C903" s="21"/>
      <c r="F903" s="24"/>
      <c r="G903" s="23"/>
      <c r="I903" s="81"/>
    </row>
    <row r="904" spans="3:9" ht="15.75" customHeight="1">
      <c r="C904" s="21"/>
      <c r="F904" s="24"/>
      <c r="G904" s="23"/>
      <c r="I904" s="81"/>
    </row>
    <row r="905" spans="3:9" ht="15.75" customHeight="1">
      <c r="C905" s="21"/>
      <c r="F905" s="24"/>
      <c r="G905" s="23"/>
      <c r="I905" s="81"/>
    </row>
    <row r="906" spans="3:9" ht="15.75" customHeight="1">
      <c r="C906" s="21"/>
      <c r="F906" s="24"/>
      <c r="G906" s="23"/>
      <c r="I906" s="81"/>
    </row>
    <row r="907" spans="3:9" ht="15.75" customHeight="1">
      <c r="C907" s="21"/>
      <c r="F907" s="24"/>
      <c r="G907" s="23"/>
      <c r="I907" s="81"/>
    </row>
    <row r="908" spans="3:9" ht="15.75" customHeight="1">
      <c r="C908" s="21"/>
      <c r="F908" s="24"/>
      <c r="G908" s="23"/>
      <c r="I908" s="81"/>
    </row>
    <row r="909" spans="3:9" ht="15.75" customHeight="1">
      <c r="C909" s="21"/>
      <c r="F909" s="24"/>
      <c r="G909" s="23"/>
      <c r="I909" s="81"/>
    </row>
    <row r="910" spans="3:9" ht="15.75" customHeight="1">
      <c r="C910" s="21"/>
      <c r="F910" s="24"/>
      <c r="G910" s="23"/>
      <c r="I910" s="81"/>
    </row>
    <row r="911" spans="3:9" ht="15.75" customHeight="1">
      <c r="C911" s="21"/>
      <c r="F911" s="24"/>
      <c r="G911" s="23"/>
      <c r="I911" s="81"/>
    </row>
    <row r="912" spans="3:9" ht="15.75" customHeight="1">
      <c r="C912" s="21"/>
      <c r="F912" s="24"/>
      <c r="G912" s="23"/>
      <c r="I912" s="81"/>
    </row>
    <row r="913" spans="3:9" ht="15.75" customHeight="1">
      <c r="C913" s="21"/>
      <c r="F913" s="24"/>
      <c r="G913" s="23"/>
      <c r="I913" s="81"/>
    </row>
    <row r="914" spans="3:9" ht="15.75" customHeight="1">
      <c r="C914" s="21"/>
      <c r="F914" s="24"/>
      <c r="G914" s="23"/>
      <c r="I914" s="81"/>
    </row>
    <row r="915" spans="3:9" ht="15.75" customHeight="1">
      <c r="C915" s="21"/>
      <c r="F915" s="24"/>
      <c r="G915" s="23"/>
      <c r="I915" s="81"/>
    </row>
    <row r="916" spans="3:9" ht="15.75" customHeight="1">
      <c r="C916" s="21"/>
      <c r="F916" s="24"/>
      <c r="G916" s="23"/>
      <c r="I916" s="81"/>
    </row>
    <row r="917" spans="3:9" ht="15.75" customHeight="1">
      <c r="C917" s="21"/>
      <c r="F917" s="24"/>
      <c r="G917" s="23"/>
      <c r="I917" s="81"/>
    </row>
    <row r="918" spans="3:9" ht="15.75" customHeight="1">
      <c r="C918" s="21"/>
      <c r="F918" s="24"/>
      <c r="G918" s="23"/>
      <c r="I918" s="81"/>
    </row>
    <row r="919" spans="3:9" ht="15.75" customHeight="1">
      <c r="C919" s="21"/>
      <c r="F919" s="24"/>
      <c r="G919" s="23"/>
      <c r="I919" s="81"/>
    </row>
    <row r="920" spans="3:9" ht="15.75" customHeight="1">
      <c r="C920" s="21"/>
      <c r="F920" s="24"/>
      <c r="G920" s="23"/>
      <c r="I920" s="81"/>
    </row>
    <row r="921" spans="3:9" ht="15.75" customHeight="1">
      <c r="C921" s="21"/>
      <c r="F921" s="24"/>
      <c r="G921" s="23"/>
      <c r="I921" s="81"/>
    </row>
    <row r="922" spans="3:9" ht="15.75" customHeight="1">
      <c r="C922" s="21"/>
      <c r="F922" s="24"/>
      <c r="G922" s="23"/>
      <c r="I922" s="81"/>
    </row>
    <row r="923" spans="3:9" ht="15.75" customHeight="1">
      <c r="C923" s="21"/>
      <c r="F923" s="24"/>
      <c r="G923" s="23"/>
      <c r="I923" s="81"/>
    </row>
    <row r="924" spans="3:9" ht="15.75" customHeight="1">
      <c r="C924" s="21"/>
      <c r="F924" s="24"/>
      <c r="G924" s="23"/>
      <c r="I924" s="81"/>
    </row>
    <row r="925" spans="3:9" ht="15.75" customHeight="1">
      <c r="C925" s="21"/>
      <c r="F925" s="24"/>
      <c r="G925" s="23"/>
      <c r="I925" s="81"/>
    </row>
    <row r="926" spans="3:9" ht="15.75" customHeight="1">
      <c r="C926" s="21"/>
      <c r="F926" s="24"/>
      <c r="G926" s="23"/>
      <c r="I926" s="81"/>
    </row>
    <row r="927" spans="3:9" ht="15.75" customHeight="1">
      <c r="C927" s="21"/>
      <c r="F927" s="24"/>
      <c r="G927" s="23"/>
      <c r="I927" s="81"/>
    </row>
    <row r="928" spans="3:9" ht="15.75" customHeight="1">
      <c r="C928" s="21"/>
      <c r="F928" s="24"/>
      <c r="G928" s="23"/>
      <c r="I928" s="81"/>
    </row>
    <row r="929" spans="3:9" ht="15.75" customHeight="1">
      <c r="C929" s="21"/>
      <c r="F929" s="24"/>
      <c r="G929" s="23"/>
      <c r="I929" s="81"/>
    </row>
    <row r="930" spans="3:9" ht="15.75" customHeight="1">
      <c r="C930" s="21"/>
      <c r="F930" s="24"/>
      <c r="G930" s="23"/>
      <c r="I930" s="81"/>
    </row>
    <row r="931" spans="3:9" ht="15.75" customHeight="1">
      <c r="C931" s="21"/>
      <c r="F931" s="24"/>
      <c r="G931" s="23"/>
      <c r="I931" s="81"/>
    </row>
    <row r="932" spans="3:9" ht="15.75" customHeight="1">
      <c r="C932" s="21"/>
      <c r="F932" s="24"/>
      <c r="G932" s="23"/>
      <c r="I932" s="81"/>
    </row>
    <row r="933" spans="3:9" ht="15.75" customHeight="1">
      <c r="C933" s="21"/>
      <c r="F933" s="24"/>
      <c r="G933" s="23"/>
      <c r="I933" s="81"/>
    </row>
    <row r="934" spans="3:9" ht="15.75" customHeight="1">
      <c r="C934" s="21"/>
      <c r="F934" s="24"/>
      <c r="G934" s="23"/>
      <c r="I934" s="81"/>
    </row>
    <row r="935" spans="3:9" ht="15.75" customHeight="1">
      <c r="C935" s="21"/>
      <c r="F935" s="24"/>
      <c r="G935" s="23"/>
      <c r="I935" s="81"/>
    </row>
    <row r="936" spans="3:9" ht="15.75" customHeight="1">
      <c r="C936" s="21"/>
      <c r="F936" s="24"/>
      <c r="G936" s="23"/>
      <c r="I936" s="81"/>
    </row>
    <row r="937" spans="3:9" ht="15.75" customHeight="1">
      <c r="C937" s="21"/>
      <c r="F937" s="24"/>
      <c r="G937" s="23"/>
      <c r="I937" s="81"/>
    </row>
    <row r="938" spans="3:9" ht="15.75" customHeight="1">
      <c r="C938" s="21"/>
      <c r="F938" s="24"/>
      <c r="G938" s="23"/>
      <c r="I938" s="81"/>
    </row>
    <row r="939" spans="3:9" ht="15.75" customHeight="1">
      <c r="C939" s="21"/>
      <c r="F939" s="24"/>
      <c r="G939" s="23"/>
      <c r="I939" s="81"/>
    </row>
    <row r="940" spans="3:9" ht="15.75" customHeight="1">
      <c r="C940" s="21"/>
      <c r="F940" s="24"/>
      <c r="G940" s="23"/>
      <c r="I940" s="81"/>
    </row>
    <row r="941" spans="3:9" ht="15.75" customHeight="1">
      <c r="C941" s="21"/>
      <c r="F941" s="24"/>
      <c r="G941" s="23"/>
      <c r="I941" s="81"/>
    </row>
    <row r="942" spans="3:9" ht="15.75" customHeight="1">
      <c r="C942" s="21"/>
      <c r="F942" s="24"/>
      <c r="G942" s="23"/>
      <c r="I942" s="81"/>
    </row>
    <row r="943" spans="3:9" ht="15.75" customHeight="1">
      <c r="C943" s="21"/>
      <c r="F943" s="24"/>
      <c r="G943" s="23"/>
      <c r="I943" s="81"/>
    </row>
    <row r="944" spans="3:9" ht="15.75" customHeight="1">
      <c r="C944" s="21"/>
      <c r="F944" s="24"/>
      <c r="G944" s="23"/>
      <c r="I944" s="81"/>
    </row>
    <row r="945" spans="3:9" ht="15.75" customHeight="1">
      <c r="C945" s="21"/>
      <c r="F945" s="24"/>
      <c r="G945" s="23"/>
      <c r="I945" s="81"/>
    </row>
    <row r="946" spans="3:9" ht="15.75" customHeight="1">
      <c r="C946" s="21"/>
      <c r="F946" s="24"/>
      <c r="G946" s="23"/>
      <c r="I946" s="81"/>
    </row>
    <row r="947" spans="3:9" ht="15.75" customHeight="1">
      <c r="C947" s="21"/>
      <c r="F947" s="24"/>
      <c r="G947" s="23"/>
      <c r="I947" s="81"/>
    </row>
    <row r="948" spans="3:9" ht="15.75" customHeight="1">
      <c r="C948" s="21"/>
      <c r="F948" s="24"/>
      <c r="G948" s="23"/>
      <c r="I948" s="81"/>
    </row>
    <row r="949" spans="3:9" ht="15.75" customHeight="1">
      <c r="C949" s="21"/>
      <c r="F949" s="24"/>
      <c r="G949" s="23"/>
      <c r="I949" s="81"/>
    </row>
    <row r="950" spans="3:9" ht="15.75" customHeight="1">
      <c r="C950" s="21"/>
      <c r="F950" s="24"/>
      <c r="G950" s="23"/>
      <c r="I950" s="81"/>
    </row>
    <row r="951" spans="3:9" ht="15.75" customHeight="1">
      <c r="C951" s="21"/>
      <c r="F951" s="24"/>
      <c r="G951" s="23"/>
      <c r="I951" s="81"/>
    </row>
    <row r="952" spans="3:9" ht="15.75" customHeight="1">
      <c r="C952" s="21"/>
      <c r="F952" s="24"/>
      <c r="G952" s="23"/>
      <c r="I952" s="81"/>
    </row>
    <row r="953" spans="3:9" ht="15.75" customHeight="1">
      <c r="C953" s="21"/>
      <c r="F953" s="24"/>
      <c r="G953" s="23"/>
      <c r="I953" s="81"/>
    </row>
    <row r="954" spans="3:9" ht="15.75" customHeight="1">
      <c r="C954" s="21"/>
      <c r="F954" s="24"/>
      <c r="G954" s="23"/>
      <c r="I954" s="81"/>
    </row>
    <row r="955" spans="3:9" ht="15.75" customHeight="1">
      <c r="C955" s="21"/>
      <c r="F955" s="24"/>
      <c r="G955" s="23"/>
      <c r="I955" s="81"/>
    </row>
    <row r="956" spans="3:9" ht="15.75" customHeight="1">
      <c r="C956" s="21"/>
      <c r="F956" s="24"/>
      <c r="G956" s="23"/>
      <c r="I956" s="81"/>
    </row>
    <row r="957" spans="3:9" ht="15.75" customHeight="1">
      <c r="C957" s="21"/>
      <c r="F957" s="24"/>
      <c r="G957" s="23"/>
      <c r="I957" s="81"/>
    </row>
    <row r="958" spans="3:9" ht="15.75" customHeight="1">
      <c r="C958" s="21"/>
      <c r="F958" s="24"/>
      <c r="G958" s="23"/>
      <c r="I958" s="81"/>
    </row>
    <row r="959" spans="3:9" ht="15.75" customHeight="1">
      <c r="C959" s="21"/>
      <c r="F959" s="24"/>
      <c r="G959" s="23"/>
      <c r="I959" s="81"/>
    </row>
    <row r="960" spans="3:9" ht="15.75" customHeight="1">
      <c r="C960" s="21"/>
      <c r="F960" s="24"/>
      <c r="G960" s="23"/>
      <c r="I960" s="81"/>
    </row>
    <row r="961" spans="3:9" ht="15.75" customHeight="1">
      <c r="C961" s="21"/>
      <c r="F961" s="24"/>
      <c r="G961" s="23"/>
      <c r="I961" s="81"/>
    </row>
    <row r="962" spans="3:9" ht="15.75" customHeight="1">
      <c r="C962" s="21"/>
      <c r="F962" s="24"/>
      <c r="G962" s="23"/>
      <c r="I962" s="81"/>
    </row>
    <row r="963" spans="3:9" ht="15.75" customHeight="1">
      <c r="C963" s="21"/>
      <c r="F963" s="24"/>
      <c r="G963" s="23"/>
      <c r="I963" s="81"/>
    </row>
    <row r="964" spans="3:9" ht="15.75" customHeight="1">
      <c r="C964" s="21"/>
      <c r="F964" s="24"/>
      <c r="G964" s="23"/>
      <c r="I964" s="81"/>
    </row>
    <row r="965" spans="3:9" ht="15.75" customHeight="1">
      <c r="C965" s="21"/>
      <c r="F965" s="24"/>
      <c r="G965" s="23"/>
      <c r="I965" s="81"/>
    </row>
    <row r="966" spans="3:9" ht="15.75" customHeight="1">
      <c r="C966" s="21"/>
      <c r="F966" s="24"/>
      <c r="G966" s="23"/>
      <c r="I966" s="81"/>
    </row>
    <row r="967" spans="3:9" ht="15.75" customHeight="1">
      <c r="C967" s="21"/>
      <c r="F967" s="24"/>
      <c r="G967" s="23"/>
      <c r="I967" s="81"/>
    </row>
    <row r="968" spans="3:9" ht="15.75" customHeight="1">
      <c r="C968" s="21"/>
      <c r="F968" s="24"/>
      <c r="G968" s="23"/>
      <c r="I968" s="81"/>
    </row>
    <row r="969" spans="3:9" ht="15.75" customHeight="1">
      <c r="C969" s="21"/>
      <c r="F969" s="24"/>
      <c r="G969" s="23"/>
      <c r="I969" s="81"/>
    </row>
    <row r="970" spans="3:9" ht="15.75" customHeight="1">
      <c r="C970" s="21"/>
      <c r="F970" s="24"/>
      <c r="G970" s="23"/>
      <c r="I970" s="81"/>
    </row>
    <row r="971" spans="3:9" ht="15.75" customHeight="1">
      <c r="C971" s="21"/>
      <c r="F971" s="24"/>
      <c r="G971" s="23"/>
      <c r="I971" s="81"/>
    </row>
    <row r="972" spans="3:9" ht="15.75" customHeight="1">
      <c r="C972" s="21"/>
      <c r="F972" s="24"/>
      <c r="G972" s="23"/>
      <c r="I972" s="81"/>
    </row>
    <row r="973" spans="3:9" ht="15.75" customHeight="1">
      <c r="C973" s="21"/>
      <c r="F973" s="24"/>
      <c r="G973" s="23"/>
      <c r="I973" s="81"/>
    </row>
    <row r="974" spans="3:9" ht="15.75" customHeight="1">
      <c r="C974" s="21"/>
      <c r="F974" s="24"/>
      <c r="G974" s="23"/>
      <c r="I974" s="81"/>
    </row>
    <row r="975" spans="3:9" ht="15.75" customHeight="1">
      <c r="C975" s="21"/>
      <c r="F975" s="24"/>
      <c r="G975" s="23"/>
      <c r="I975" s="81"/>
    </row>
    <row r="976" spans="3:9" ht="15.75" customHeight="1">
      <c r="C976" s="21"/>
      <c r="F976" s="24"/>
      <c r="G976" s="23"/>
      <c r="I976" s="81"/>
    </row>
    <row r="977" spans="3:9" ht="15.75" customHeight="1">
      <c r="C977" s="21"/>
      <c r="F977" s="24"/>
      <c r="G977" s="23"/>
      <c r="I977" s="81"/>
    </row>
    <row r="978" spans="3:9" ht="15.75" customHeight="1">
      <c r="C978" s="21"/>
      <c r="F978" s="24"/>
      <c r="G978" s="23"/>
      <c r="I978" s="81"/>
    </row>
    <row r="979" spans="3:9" ht="15.75" customHeight="1">
      <c r="C979" s="21"/>
      <c r="F979" s="24"/>
      <c r="G979" s="23"/>
      <c r="I979" s="81"/>
    </row>
    <row r="980" spans="3:9" ht="15.75" customHeight="1">
      <c r="C980" s="21"/>
      <c r="F980" s="24"/>
      <c r="G980" s="23"/>
      <c r="I980" s="81"/>
    </row>
    <row r="981" spans="3:9" ht="15.75" customHeight="1">
      <c r="C981" s="21"/>
      <c r="F981" s="24"/>
      <c r="G981" s="23"/>
      <c r="I981" s="81"/>
    </row>
    <row r="982" spans="3:9" ht="15.75" customHeight="1">
      <c r="C982" s="21"/>
      <c r="F982" s="24"/>
      <c r="G982" s="23"/>
      <c r="I982" s="81"/>
    </row>
    <row r="983" spans="3:9" ht="15.75" customHeight="1">
      <c r="C983" s="21"/>
      <c r="F983" s="24"/>
      <c r="G983" s="23"/>
      <c r="I983" s="81"/>
    </row>
    <row r="984" spans="3:9" ht="15.75" customHeight="1">
      <c r="C984" s="21"/>
      <c r="F984" s="24"/>
      <c r="G984" s="23"/>
      <c r="I984" s="81"/>
    </row>
    <row r="985" spans="3:9" ht="15.75" customHeight="1">
      <c r="C985" s="21"/>
      <c r="F985" s="24"/>
      <c r="G985" s="23"/>
      <c r="I985" s="81"/>
    </row>
    <row r="986" spans="3:9" ht="15.75" customHeight="1">
      <c r="C986" s="21"/>
      <c r="F986" s="24"/>
      <c r="G986" s="23"/>
      <c r="I986" s="81"/>
    </row>
    <row r="987" spans="3:9" ht="15.75" customHeight="1">
      <c r="C987" s="21"/>
      <c r="F987" s="24"/>
      <c r="G987" s="23"/>
      <c r="I987" s="81"/>
    </row>
    <row r="988" spans="3:9" ht="15.75" customHeight="1">
      <c r="C988" s="21"/>
      <c r="F988" s="24"/>
      <c r="G988" s="23"/>
      <c r="I988" s="81"/>
    </row>
    <row r="989" spans="3:9" ht="15.75" customHeight="1">
      <c r="C989" s="21"/>
      <c r="F989" s="24"/>
      <c r="G989" s="23"/>
      <c r="I989" s="81"/>
    </row>
    <row r="990" spans="3:9" ht="15.75" customHeight="1">
      <c r="C990" s="21"/>
      <c r="F990" s="24"/>
      <c r="G990" s="23"/>
      <c r="I990" s="81"/>
    </row>
    <row r="991" spans="3:9" ht="15.75" customHeight="1">
      <c r="C991" s="21"/>
      <c r="F991" s="24"/>
      <c r="G991" s="23"/>
      <c r="I991" s="81"/>
    </row>
    <row r="992" spans="3:9" ht="15.75" customHeight="1">
      <c r="C992" s="21"/>
      <c r="F992" s="24"/>
      <c r="G992" s="23"/>
      <c r="I992" s="81"/>
    </row>
    <row r="993" spans="3:9" ht="15.75" customHeight="1">
      <c r="C993" s="21"/>
      <c r="F993" s="24"/>
      <c r="G993" s="23"/>
      <c r="I993" s="81"/>
    </row>
    <row r="994" spans="3:9" ht="15.75" customHeight="1">
      <c r="C994" s="21"/>
      <c r="F994" s="24"/>
      <c r="G994" s="23"/>
      <c r="I994" s="81"/>
    </row>
    <row r="995" spans="3:9" ht="15.75" customHeight="1">
      <c r="C995" s="21"/>
      <c r="F995" s="24"/>
      <c r="G995" s="23"/>
      <c r="I995" s="81"/>
    </row>
    <row r="996" spans="3:9" ht="15.75" customHeight="1">
      <c r="C996" s="21"/>
      <c r="F996" s="24"/>
      <c r="G996" s="23"/>
      <c r="I996" s="81"/>
    </row>
    <row r="997" spans="3:9" ht="15.75" customHeight="1">
      <c r="C997" s="21"/>
      <c r="F997" s="24"/>
      <c r="G997" s="23"/>
      <c r="I997" s="81"/>
    </row>
    <row r="998" spans="3:9" ht="15.75" customHeight="1">
      <c r="C998" s="21"/>
      <c r="F998" s="24"/>
      <c r="G998" s="23"/>
      <c r="I998" s="81"/>
    </row>
    <row r="999" spans="3:9" ht="15.75" customHeight="1">
      <c r="C999" s="21"/>
      <c r="F999" s="24"/>
      <c r="G999" s="23"/>
      <c r="I999" s="81"/>
    </row>
    <row r="1000" spans="3:9" ht="15.75" customHeight="1">
      <c r="C1000" s="21"/>
      <c r="F1000" s="24"/>
      <c r="G1000" s="23"/>
      <c r="I1000" s="81"/>
    </row>
  </sheetData>
  <autoFilter ref="A3:I156" xr:uid="{00000000-0009-0000-0000-000004000000}">
    <sortState xmlns:xlrd2="http://schemas.microsoft.com/office/spreadsheetml/2017/richdata2" ref="A4:I156">
      <sortCondition ref="A3:A156"/>
    </sortState>
  </autoFilter>
  <pageMargins left="0.51180555555555596" right="0.51180555555555596" top="0.78749999999999998" bottom="0.78749999999999998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1041"/>
  <sheetViews>
    <sheetView topLeftCell="C69" workbookViewId="0">
      <selection activeCell="F83" sqref="F83:F94"/>
    </sheetView>
  </sheetViews>
  <sheetFormatPr defaultColWidth="14.453125" defaultRowHeight="15" customHeight="1"/>
  <cols>
    <col min="2" max="2" width="24" customWidth="1"/>
    <col min="3" max="3" width="37.54296875" customWidth="1"/>
    <col min="4" max="4" width="17.453125" customWidth="1"/>
    <col min="8" max="8" width="13.36328125" customWidth="1"/>
    <col min="9" max="9" width="23" customWidth="1"/>
    <col min="10" max="10" width="21.453125" customWidth="1"/>
  </cols>
  <sheetData>
    <row r="1" spans="1:10">
      <c r="A1" s="2" t="s">
        <v>0</v>
      </c>
      <c r="B1" s="2" t="s">
        <v>290</v>
      </c>
      <c r="C1" s="21"/>
      <c r="D1" s="2"/>
      <c r="E1" s="2"/>
      <c r="F1" s="58"/>
      <c r="G1" s="24"/>
      <c r="H1" s="23"/>
      <c r="I1" s="2"/>
      <c r="J1" s="81"/>
    </row>
    <row r="2" spans="1:10">
      <c r="A2" s="82" t="s">
        <v>2</v>
      </c>
      <c r="B2" s="42" t="s">
        <v>291</v>
      </c>
      <c r="C2" s="83"/>
      <c r="D2" s="2" t="s">
        <v>292</v>
      </c>
      <c r="E2" s="2"/>
      <c r="F2" s="58"/>
      <c r="G2" s="24"/>
      <c r="H2" s="23"/>
      <c r="I2" s="2"/>
      <c r="J2" s="81"/>
    </row>
    <row r="3" spans="1:10">
      <c r="A3" s="85" t="s">
        <v>6</v>
      </c>
      <c r="B3" s="86" t="s">
        <v>102</v>
      </c>
      <c r="C3" s="86" t="s">
        <v>103</v>
      </c>
      <c r="D3" s="86" t="s">
        <v>9</v>
      </c>
      <c r="E3" s="86" t="s">
        <v>10</v>
      </c>
      <c r="F3" s="87" t="s">
        <v>293</v>
      </c>
      <c r="G3" s="88" t="s">
        <v>294</v>
      </c>
      <c r="H3" s="89" t="s">
        <v>12</v>
      </c>
      <c r="I3" s="90" t="s">
        <v>13</v>
      </c>
      <c r="J3" s="91" t="s">
        <v>14</v>
      </c>
    </row>
    <row r="4" spans="1:10">
      <c r="A4" s="92">
        <v>1</v>
      </c>
      <c r="B4" s="93" t="s">
        <v>297</v>
      </c>
      <c r="C4" s="197" t="s">
        <v>298</v>
      </c>
      <c r="D4" s="98">
        <v>3</v>
      </c>
      <c r="E4" s="99">
        <f>13</f>
        <v>13</v>
      </c>
      <c r="F4" s="95">
        <f t="shared" ref="F4:F35" si="0">E4/3.14</f>
        <v>4.1401273885350314</v>
      </c>
      <c r="G4" s="72">
        <f>AVERAGE(0.75,1)</f>
        <v>0.875</v>
      </c>
      <c r="H4" s="14">
        <f t="shared" ref="H4:H35" si="1">0.0673*(G4*F4^2*D4)^0.976</f>
        <v>2.7637325866011686</v>
      </c>
      <c r="I4" s="96"/>
      <c r="J4" s="97"/>
    </row>
    <row r="5" spans="1:10">
      <c r="A5" s="92">
        <v>1</v>
      </c>
      <c r="B5" s="93" t="s">
        <v>295</v>
      </c>
      <c r="C5" s="32" t="s">
        <v>296</v>
      </c>
      <c r="D5" s="98">
        <v>4.5</v>
      </c>
      <c r="E5" s="99">
        <v>15</v>
      </c>
      <c r="F5" s="95">
        <f t="shared" si="0"/>
        <v>4.7770700636942669</v>
      </c>
      <c r="G5" s="51">
        <f>AVERAGE(0.7,0.85)</f>
        <v>0.77499999999999991</v>
      </c>
      <c r="H5" s="14">
        <f t="shared" si="1"/>
        <v>4.8220577130930611</v>
      </c>
      <c r="I5" s="96"/>
      <c r="J5" s="97"/>
    </row>
    <row r="6" spans="1:10">
      <c r="A6" s="92">
        <v>1</v>
      </c>
      <c r="B6" s="93" t="s">
        <v>316</v>
      </c>
      <c r="C6" s="103" t="s">
        <v>317</v>
      </c>
      <c r="D6" s="98">
        <v>3</v>
      </c>
      <c r="E6" s="99">
        <f>11+10+10</f>
        <v>31</v>
      </c>
      <c r="F6" s="95">
        <f t="shared" si="0"/>
        <v>9.872611464968152</v>
      </c>
      <c r="G6" s="10">
        <f>AVERAGE(0.5,0.7)</f>
        <v>0.6</v>
      </c>
      <c r="H6" s="14">
        <f t="shared" si="1"/>
        <v>10.430193909178124</v>
      </c>
      <c r="I6" s="96"/>
      <c r="J6" s="97"/>
    </row>
    <row r="7" spans="1:10">
      <c r="A7" s="92">
        <v>1</v>
      </c>
      <c r="B7" s="93" t="s">
        <v>316</v>
      </c>
      <c r="C7" s="103" t="s">
        <v>317</v>
      </c>
      <c r="D7" s="98">
        <v>7</v>
      </c>
      <c r="E7" s="99">
        <v>43</v>
      </c>
      <c r="F7" s="95">
        <f t="shared" si="0"/>
        <v>13.694267515923567</v>
      </c>
      <c r="G7" s="10">
        <f>AVERAGE(0.5,0.7)</f>
        <v>0.6</v>
      </c>
      <c r="H7" s="14">
        <f t="shared" si="1"/>
        <v>45.167923360333603</v>
      </c>
      <c r="I7" s="96"/>
      <c r="J7" s="97"/>
    </row>
    <row r="8" spans="1:10">
      <c r="A8" s="92">
        <v>1</v>
      </c>
      <c r="B8" s="93" t="s">
        <v>268</v>
      </c>
      <c r="C8" s="32" t="s">
        <v>147</v>
      </c>
      <c r="D8" s="98">
        <v>5.5</v>
      </c>
      <c r="E8" s="99">
        <f>26+16</f>
        <v>42</v>
      </c>
      <c r="F8" s="95">
        <f t="shared" si="0"/>
        <v>13.375796178343949</v>
      </c>
      <c r="G8" s="10">
        <f>AVERAGE(0.8,1)</f>
        <v>0.9</v>
      </c>
      <c r="H8" s="14">
        <f t="shared" si="1"/>
        <v>50.643729470511239</v>
      </c>
      <c r="I8" s="96"/>
      <c r="J8" s="97"/>
    </row>
    <row r="9" spans="1:10">
      <c r="A9" s="92">
        <v>1</v>
      </c>
      <c r="B9" s="93" t="s">
        <v>268</v>
      </c>
      <c r="C9" s="32" t="s">
        <v>147</v>
      </c>
      <c r="D9" s="94">
        <v>5.5</v>
      </c>
      <c r="E9" s="99">
        <f>21+14</f>
        <v>35</v>
      </c>
      <c r="F9" s="95">
        <f t="shared" si="0"/>
        <v>11.146496815286623</v>
      </c>
      <c r="G9" s="10">
        <f>AVERAGE(0.8,1)</f>
        <v>0.9</v>
      </c>
      <c r="H9" s="14">
        <f t="shared" si="1"/>
        <v>35.478388732008483</v>
      </c>
      <c r="I9" s="96"/>
      <c r="J9" s="97"/>
    </row>
    <row r="10" spans="1:10">
      <c r="A10" s="92">
        <v>1</v>
      </c>
      <c r="B10" s="93" t="s">
        <v>285</v>
      </c>
      <c r="C10" s="17" t="s">
        <v>71</v>
      </c>
      <c r="D10" s="98">
        <v>8</v>
      </c>
      <c r="E10" s="99">
        <f>22+19+28</f>
        <v>69</v>
      </c>
      <c r="F10" s="95">
        <f t="shared" si="0"/>
        <v>21.97452229299363</v>
      </c>
      <c r="G10" s="13">
        <f>AVERAGE(0.37,0.6)</f>
        <v>0.48499999999999999</v>
      </c>
      <c r="H10" s="14">
        <f t="shared" si="1"/>
        <v>105.23048704697047</v>
      </c>
      <c r="I10" s="100"/>
      <c r="J10" s="97"/>
    </row>
    <row r="11" spans="1:10">
      <c r="A11" s="92">
        <v>1</v>
      </c>
      <c r="B11" s="93" t="s">
        <v>303</v>
      </c>
      <c r="C11" s="32" t="s">
        <v>237</v>
      </c>
      <c r="D11" s="94">
        <v>3</v>
      </c>
      <c r="E11" s="99">
        <v>10</v>
      </c>
      <c r="F11" s="95">
        <f t="shared" si="0"/>
        <v>3.1847133757961781</v>
      </c>
      <c r="G11" s="72">
        <f>AVERAGE(0.8,1)</f>
        <v>0.9</v>
      </c>
      <c r="H11" s="14">
        <f t="shared" si="1"/>
        <v>1.702234643775592</v>
      </c>
      <c r="I11" s="102"/>
      <c r="J11" s="96"/>
    </row>
    <row r="12" spans="1:10">
      <c r="A12" s="92">
        <v>1</v>
      </c>
      <c r="B12" s="93" t="s">
        <v>304</v>
      </c>
      <c r="C12" s="32" t="s">
        <v>305</v>
      </c>
      <c r="D12" s="94">
        <v>5.5</v>
      </c>
      <c r="E12" s="99">
        <v>28</v>
      </c>
      <c r="F12" s="95">
        <f t="shared" si="0"/>
        <v>8.9171974522292992</v>
      </c>
      <c r="G12" s="13">
        <f>AVERAGE(0.92, 1.08)</f>
        <v>1</v>
      </c>
      <c r="H12" s="14">
        <f t="shared" si="1"/>
        <v>25.436353580813513</v>
      </c>
      <c r="I12" s="102"/>
      <c r="J12" s="96"/>
    </row>
    <row r="13" spans="1:10">
      <c r="A13" s="92">
        <v>1</v>
      </c>
      <c r="B13" s="93" t="s">
        <v>304</v>
      </c>
      <c r="C13" s="32" t="s">
        <v>305</v>
      </c>
      <c r="D13" s="94">
        <v>4.5</v>
      </c>
      <c r="E13" s="99">
        <f>12+19</f>
        <v>31</v>
      </c>
      <c r="F13" s="95">
        <f t="shared" si="0"/>
        <v>9.872611464968152</v>
      </c>
      <c r="G13" s="13">
        <f>AVERAGE(0.92, 1.08)</f>
        <v>1</v>
      </c>
      <c r="H13" s="14">
        <f t="shared" si="1"/>
        <v>25.508318499468189</v>
      </c>
      <c r="I13" s="102"/>
      <c r="J13" s="96"/>
    </row>
    <row r="14" spans="1:10">
      <c r="A14" s="92">
        <v>1</v>
      </c>
      <c r="B14" s="93" t="s">
        <v>304</v>
      </c>
      <c r="C14" s="32" t="s">
        <v>305</v>
      </c>
      <c r="D14" s="94">
        <v>5</v>
      </c>
      <c r="E14" s="99">
        <v>21</v>
      </c>
      <c r="F14" s="95">
        <f t="shared" si="0"/>
        <v>6.6878980891719744</v>
      </c>
      <c r="G14" s="13">
        <f>AVERAGE(0.92, 1.08)</f>
        <v>1</v>
      </c>
      <c r="H14" s="14">
        <f t="shared" si="1"/>
        <v>13.218287047160118</v>
      </c>
      <c r="I14" s="102"/>
      <c r="J14" s="96"/>
    </row>
    <row r="15" spans="1:10">
      <c r="A15" s="92">
        <v>1</v>
      </c>
      <c r="B15" s="93" t="s">
        <v>304</v>
      </c>
      <c r="C15" s="32" t="s">
        <v>305</v>
      </c>
      <c r="D15" s="94">
        <v>4.5</v>
      </c>
      <c r="E15" s="99">
        <v>23</v>
      </c>
      <c r="F15" s="95">
        <f t="shared" si="0"/>
        <v>7.3248407643312099</v>
      </c>
      <c r="G15" s="13">
        <f>AVERAGE(0.92, 1.08)</f>
        <v>1</v>
      </c>
      <c r="H15" s="14">
        <f t="shared" si="1"/>
        <v>14.244150069253065</v>
      </c>
      <c r="I15" s="104"/>
      <c r="J15" s="97"/>
    </row>
    <row r="16" spans="1:10">
      <c r="A16" s="92">
        <v>1</v>
      </c>
      <c r="B16" s="93" t="s">
        <v>301</v>
      </c>
      <c r="C16" s="32" t="s">
        <v>54</v>
      </c>
      <c r="D16" s="98">
        <v>5.5</v>
      </c>
      <c r="E16" s="99">
        <f>27+18</f>
        <v>45</v>
      </c>
      <c r="F16" s="95">
        <f t="shared" si="0"/>
        <v>14.331210191082802</v>
      </c>
      <c r="G16" s="13">
        <v>0.76</v>
      </c>
      <c r="H16" s="14">
        <f t="shared" si="1"/>
        <v>49.130057123252371</v>
      </c>
      <c r="I16" s="96"/>
      <c r="J16" s="97"/>
    </row>
    <row r="17" spans="1:10">
      <c r="A17" s="92">
        <v>1</v>
      </c>
      <c r="B17" s="93" t="s">
        <v>302</v>
      </c>
      <c r="C17" s="32" t="s">
        <v>232</v>
      </c>
      <c r="D17" s="98">
        <v>6.5</v>
      </c>
      <c r="E17" s="99">
        <f>22+17</f>
        <v>39</v>
      </c>
      <c r="F17" s="95">
        <f t="shared" si="0"/>
        <v>12.420382165605096</v>
      </c>
      <c r="G17" s="72">
        <v>0.62</v>
      </c>
      <c r="H17" s="14">
        <f t="shared" si="1"/>
        <v>35.854546116955824</v>
      </c>
      <c r="I17" s="96"/>
      <c r="J17" s="97"/>
    </row>
    <row r="18" spans="1:10">
      <c r="A18" s="92">
        <v>1</v>
      </c>
      <c r="B18" s="93" t="s">
        <v>313</v>
      </c>
      <c r="C18" s="32" t="s">
        <v>168</v>
      </c>
      <c r="D18" s="94">
        <v>9</v>
      </c>
      <c r="E18" s="99">
        <v>48</v>
      </c>
      <c r="F18" s="95">
        <f t="shared" si="0"/>
        <v>15.286624203821656</v>
      </c>
      <c r="G18" s="72">
        <f>AVERAGE(0.22,0.34)</f>
        <v>0.28000000000000003</v>
      </c>
      <c r="H18" s="14">
        <f t="shared" si="1"/>
        <v>34.006208585556699</v>
      </c>
      <c r="I18" s="96"/>
      <c r="J18" s="97"/>
    </row>
    <row r="19" spans="1:10">
      <c r="A19" s="92">
        <v>1</v>
      </c>
      <c r="B19" s="93" t="s">
        <v>213</v>
      </c>
      <c r="C19" s="32" t="s">
        <v>173</v>
      </c>
      <c r="D19" s="94">
        <v>6.5</v>
      </c>
      <c r="E19" s="99">
        <f>24+22+20</f>
        <v>66</v>
      </c>
      <c r="F19" s="95">
        <f t="shared" si="0"/>
        <v>21.019108280254777</v>
      </c>
      <c r="G19" s="10">
        <f>AVERAGE(0.6,0.65)</f>
        <v>0.625</v>
      </c>
      <c r="H19" s="14">
        <f t="shared" si="1"/>
        <v>100.91145923934879</v>
      </c>
      <c r="I19" s="96"/>
      <c r="J19" s="97"/>
    </row>
    <row r="20" spans="1:10">
      <c r="A20" s="92">
        <v>1</v>
      </c>
      <c r="B20" s="93" t="s">
        <v>118</v>
      </c>
      <c r="C20" s="32" t="s">
        <v>29</v>
      </c>
      <c r="D20" s="98">
        <v>5.5</v>
      </c>
      <c r="E20" s="99">
        <f>22+21+15</f>
        <v>58</v>
      </c>
      <c r="F20" s="95">
        <f t="shared" si="0"/>
        <v>18.471337579617835</v>
      </c>
      <c r="G20" s="72">
        <v>0.8</v>
      </c>
      <c r="H20" s="14">
        <f t="shared" si="1"/>
        <v>84.767553075747102</v>
      </c>
      <c r="I20" s="96"/>
      <c r="J20" s="97"/>
    </row>
    <row r="21" spans="1:10">
      <c r="A21" s="92">
        <v>1</v>
      </c>
      <c r="B21" s="93" t="s">
        <v>118</v>
      </c>
      <c r="C21" s="32" t="s">
        <v>29</v>
      </c>
      <c r="D21" s="98">
        <v>5</v>
      </c>
      <c r="E21" s="99">
        <f>27+24+18</f>
        <v>69</v>
      </c>
      <c r="F21" s="95">
        <f t="shared" si="0"/>
        <v>21.97452229299363</v>
      </c>
      <c r="G21" s="72">
        <v>0.8</v>
      </c>
      <c r="H21" s="14">
        <f t="shared" si="1"/>
        <v>108.40576233354638</v>
      </c>
      <c r="I21" s="96"/>
      <c r="J21" s="97"/>
    </row>
    <row r="22" spans="1:10">
      <c r="A22" s="92">
        <v>1</v>
      </c>
      <c r="B22" s="93" t="s">
        <v>307</v>
      </c>
      <c r="C22" s="32"/>
      <c r="D22" s="94">
        <v>4</v>
      </c>
      <c r="E22" s="99">
        <f>11+10</f>
        <v>21</v>
      </c>
      <c r="F22" s="95">
        <f t="shared" si="0"/>
        <v>6.6878980891719744</v>
      </c>
      <c r="G22" s="107"/>
      <c r="H22" s="14">
        <f t="shared" si="1"/>
        <v>0</v>
      </c>
      <c r="I22" s="96" t="s">
        <v>308</v>
      </c>
      <c r="J22" s="97"/>
    </row>
    <row r="23" spans="1:10">
      <c r="A23" s="92">
        <v>2</v>
      </c>
      <c r="B23" s="93" t="s">
        <v>251</v>
      </c>
      <c r="C23" s="187" t="s">
        <v>21</v>
      </c>
      <c r="D23" s="94">
        <v>15</v>
      </c>
      <c r="E23" s="99">
        <f>55+53</f>
        <v>108</v>
      </c>
      <c r="F23" s="95">
        <f t="shared" si="0"/>
        <v>34.394904458598724</v>
      </c>
      <c r="G23" s="72">
        <f>AVERAGE(0.84,1.1)</f>
        <v>0.97</v>
      </c>
      <c r="H23" s="14">
        <f t="shared" si="1"/>
        <v>916.65485581270934</v>
      </c>
      <c r="I23" s="96"/>
      <c r="J23" s="97"/>
    </row>
    <row r="24" spans="1:10">
      <c r="A24" s="92">
        <v>2</v>
      </c>
      <c r="B24" s="93" t="s">
        <v>92</v>
      </c>
      <c r="C24" s="32" t="s">
        <v>93</v>
      </c>
      <c r="D24" s="98">
        <v>11</v>
      </c>
      <c r="E24" s="99">
        <f>36.5+20.5+20.5</f>
        <v>77.5</v>
      </c>
      <c r="F24" s="95">
        <f t="shared" si="0"/>
        <v>24.68152866242038</v>
      </c>
      <c r="G24" s="13">
        <v>0.97799999999999998</v>
      </c>
      <c r="H24" s="14">
        <f t="shared" si="1"/>
        <v>357.18671487674925</v>
      </c>
      <c r="I24" s="96"/>
      <c r="J24" s="97"/>
    </row>
    <row r="25" spans="1:10">
      <c r="A25" s="92">
        <v>2</v>
      </c>
      <c r="B25" s="93" t="s">
        <v>128</v>
      </c>
      <c r="C25" s="32" t="s">
        <v>129</v>
      </c>
      <c r="D25" s="98">
        <v>6</v>
      </c>
      <c r="E25" s="99">
        <v>21</v>
      </c>
      <c r="F25" s="95">
        <f t="shared" si="0"/>
        <v>6.6878980891719744</v>
      </c>
      <c r="G25" s="72">
        <f>AVERAGE(0.25,0.41)</f>
        <v>0.32999999999999996</v>
      </c>
      <c r="H25" s="14">
        <f t="shared" si="1"/>
        <v>5.3521180036316069</v>
      </c>
      <c r="I25" s="96"/>
      <c r="J25" s="97"/>
    </row>
    <row r="26" spans="1:10">
      <c r="A26" s="92">
        <v>2</v>
      </c>
      <c r="B26" s="93" t="s">
        <v>164</v>
      </c>
      <c r="C26" s="32" t="s">
        <v>204</v>
      </c>
      <c r="D26" s="94">
        <v>15</v>
      </c>
      <c r="E26" s="99">
        <v>80</v>
      </c>
      <c r="F26" s="95">
        <f t="shared" si="0"/>
        <v>25.477707006369425</v>
      </c>
      <c r="G26" s="72">
        <f>AVERAGE(0.22,0.34)</f>
        <v>0.28000000000000003</v>
      </c>
      <c r="H26" s="14">
        <f t="shared" si="1"/>
        <v>151.75092717265741</v>
      </c>
      <c r="I26" s="96"/>
      <c r="J26" s="97"/>
    </row>
    <row r="27" spans="1:10">
      <c r="A27" s="92">
        <v>2</v>
      </c>
      <c r="B27" s="93" t="s">
        <v>316</v>
      </c>
      <c r="C27" s="103" t="s">
        <v>317</v>
      </c>
      <c r="D27" s="98">
        <v>5.5</v>
      </c>
      <c r="E27" s="99">
        <v>26.5</v>
      </c>
      <c r="F27" s="95">
        <f t="shared" si="0"/>
        <v>8.4394904458598727</v>
      </c>
      <c r="G27" s="10">
        <f>AVERAGE(0.5,0.7)</f>
        <v>0.6</v>
      </c>
      <c r="H27" s="14">
        <f t="shared" si="1"/>
        <v>13.875669354771215</v>
      </c>
      <c r="I27" s="96"/>
      <c r="J27" s="97"/>
    </row>
    <row r="28" spans="1:10">
      <c r="A28" s="92">
        <v>2</v>
      </c>
      <c r="B28" s="93" t="s">
        <v>316</v>
      </c>
      <c r="C28" s="103" t="s">
        <v>317</v>
      </c>
      <c r="D28" s="94">
        <v>3.5</v>
      </c>
      <c r="E28" s="99">
        <f>15+12</f>
        <v>27</v>
      </c>
      <c r="F28" s="95">
        <f t="shared" si="0"/>
        <v>8.598726114649681</v>
      </c>
      <c r="G28" s="10">
        <f>AVERAGE(0.5,0.7)</f>
        <v>0.6</v>
      </c>
      <c r="H28" s="14">
        <f t="shared" si="1"/>
        <v>9.2579853771082448</v>
      </c>
      <c r="I28" s="96"/>
      <c r="J28" s="97"/>
    </row>
    <row r="29" spans="1:10">
      <c r="A29" s="92">
        <v>2</v>
      </c>
      <c r="B29" s="93" t="s">
        <v>316</v>
      </c>
      <c r="C29" s="103" t="s">
        <v>317</v>
      </c>
      <c r="D29" s="94">
        <v>2.5</v>
      </c>
      <c r="E29" s="99">
        <v>15.5</v>
      </c>
      <c r="F29" s="95">
        <f t="shared" si="0"/>
        <v>4.936305732484076</v>
      </c>
      <c r="G29" s="10">
        <f>AVERAGE(0.5,0.7)</f>
        <v>0.6</v>
      </c>
      <c r="H29" s="14">
        <f t="shared" si="1"/>
        <v>2.256321256525577</v>
      </c>
      <c r="I29" s="96"/>
      <c r="J29" s="97"/>
    </row>
    <row r="30" spans="1:10">
      <c r="A30" s="92">
        <v>2</v>
      </c>
      <c r="B30" s="93" t="s">
        <v>299</v>
      </c>
      <c r="C30" s="32" t="s">
        <v>300</v>
      </c>
      <c r="D30" s="94">
        <v>2.5</v>
      </c>
      <c r="E30" s="99">
        <v>9</v>
      </c>
      <c r="F30" s="95">
        <f t="shared" si="0"/>
        <v>2.8662420382165603</v>
      </c>
      <c r="G30" s="72">
        <f>AVERAGE(0.62,0.71)</f>
        <v>0.66500000000000004</v>
      </c>
      <c r="H30" s="14">
        <f t="shared" si="1"/>
        <v>0.86328291082455866</v>
      </c>
      <c r="I30" s="96"/>
      <c r="J30" s="97"/>
    </row>
    <row r="31" spans="1:10">
      <c r="A31" s="92">
        <v>2</v>
      </c>
      <c r="B31" s="93" t="s">
        <v>299</v>
      </c>
      <c r="C31" s="32" t="s">
        <v>300</v>
      </c>
      <c r="D31" s="94">
        <v>4.5</v>
      </c>
      <c r="E31" s="99">
        <v>21.5</v>
      </c>
      <c r="F31" s="95">
        <f t="shared" si="0"/>
        <v>6.8471337579617835</v>
      </c>
      <c r="G31" s="72">
        <f>AVERAGE(0.62,0.71)</f>
        <v>0.66500000000000004</v>
      </c>
      <c r="H31" s="14">
        <f t="shared" si="1"/>
        <v>8.3856668434490675</v>
      </c>
      <c r="I31" s="96"/>
      <c r="J31" s="97"/>
    </row>
    <row r="32" spans="1:10">
      <c r="A32" s="92">
        <v>2</v>
      </c>
      <c r="B32" s="93" t="s">
        <v>299</v>
      </c>
      <c r="C32" s="32" t="s">
        <v>300</v>
      </c>
      <c r="D32" s="94">
        <v>2.5</v>
      </c>
      <c r="E32" s="99">
        <v>13</v>
      </c>
      <c r="F32" s="95">
        <f t="shared" si="0"/>
        <v>4.1401273885350314</v>
      </c>
      <c r="G32" s="72">
        <f>AVERAGE(0.62,0.71)</f>
        <v>0.66500000000000004</v>
      </c>
      <c r="H32" s="14">
        <f t="shared" si="1"/>
        <v>1.7696573702048997</v>
      </c>
      <c r="I32" s="96"/>
      <c r="J32" s="97"/>
    </row>
    <row r="33" spans="1:10">
      <c r="A33" s="92">
        <v>2</v>
      </c>
      <c r="B33" s="93" t="s">
        <v>304</v>
      </c>
      <c r="C33" s="32" t="s">
        <v>305</v>
      </c>
      <c r="D33" s="98">
        <v>7</v>
      </c>
      <c r="E33" s="99">
        <f>31.5+17.5</f>
        <v>49</v>
      </c>
      <c r="F33" s="95">
        <f t="shared" si="0"/>
        <v>15.605095541401273</v>
      </c>
      <c r="G33" s="13">
        <f>AVERAGE(0.92, 1.08)</f>
        <v>1</v>
      </c>
      <c r="H33" s="14">
        <f t="shared" si="1"/>
        <v>95.959245915008268</v>
      </c>
      <c r="I33" s="96"/>
      <c r="J33" s="97"/>
    </row>
    <row r="34" spans="1:10">
      <c r="A34" s="92">
        <v>2</v>
      </c>
      <c r="B34" s="93" t="s">
        <v>304</v>
      </c>
      <c r="C34" s="32" t="s">
        <v>305</v>
      </c>
      <c r="D34" s="94">
        <v>4.5</v>
      </c>
      <c r="E34" s="99">
        <v>20.5</v>
      </c>
      <c r="F34" s="95">
        <f t="shared" si="0"/>
        <v>6.5286624203821653</v>
      </c>
      <c r="G34" s="13">
        <f>AVERAGE(0.92, 1.08)</f>
        <v>1</v>
      </c>
      <c r="H34" s="14">
        <f t="shared" si="1"/>
        <v>11.378560982263474</v>
      </c>
      <c r="I34" s="96"/>
      <c r="J34" s="97"/>
    </row>
    <row r="35" spans="1:10">
      <c r="A35" s="92">
        <v>2</v>
      </c>
      <c r="B35" s="93" t="s">
        <v>64</v>
      </c>
      <c r="C35" s="32" t="s">
        <v>148</v>
      </c>
      <c r="D35" s="98">
        <v>4</v>
      </c>
      <c r="E35" s="99">
        <f>14.5+11.5</f>
        <v>26</v>
      </c>
      <c r="F35" s="95">
        <f t="shared" si="0"/>
        <v>8.2802547770700627</v>
      </c>
      <c r="G35" s="13">
        <v>0.94</v>
      </c>
      <c r="H35" s="14">
        <f t="shared" si="1"/>
        <v>15.185171566698964</v>
      </c>
      <c r="I35" s="96"/>
      <c r="J35" s="97"/>
    </row>
    <row r="36" spans="1:10">
      <c r="A36" s="92">
        <v>2</v>
      </c>
      <c r="B36" s="93" t="s">
        <v>64</v>
      </c>
      <c r="C36" s="32" t="s">
        <v>148</v>
      </c>
      <c r="D36" s="98">
        <v>4</v>
      </c>
      <c r="E36" s="99">
        <v>15</v>
      </c>
      <c r="F36" s="95">
        <f t="shared" ref="F36:F67" si="2">E36/3.14</f>
        <v>4.7770700636942669</v>
      </c>
      <c r="G36" s="13">
        <v>0.94</v>
      </c>
      <c r="H36" s="14">
        <f t="shared" ref="H36:H67" si="3">0.0673*(G36*F36^2*D36)^0.976</f>
        <v>5.1894563760883479</v>
      </c>
      <c r="I36" s="96"/>
      <c r="J36" s="97"/>
    </row>
    <row r="37" spans="1:10">
      <c r="A37" s="92">
        <v>2</v>
      </c>
      <c r="B37" s="93" t="s">
        <v>302</v>
      </c>
      <c r="C37" s="32" t="s">
        <v>232</v>
      </c>
      <c r="D37" s="98">
        <v>10</v>
      </c>
      <c r="E37" s="99">
        <f>25+22.5</f>
        <v>47.5</v>
      </c>
      <c r="F37" s="95">
        <f t="shared" si="2"/>
        <v>15.127388535031846</v>
      </c>
      <c r="G37" s="72">
        <v>0.62</v>
      </c>
      <c r="H37" s="14">
        <f t="shared" si="3"/>
        <v>80.221098770881056</v>
      </c>
      <c r="I37" s="96"/>
      <c r="J37" s="97"/>
    </row>
    <row r="38" spans="1:10">
      <c r="A38" s="92">
        <v>2</v>
      </c>
      <c r="B38" s="93" t="s">
        <v>302</v>
      </c>
      <c r="C38" s="32" t="s">
        <v>232</v>
      </c>
      <c r="D38" s="94">
        <v>3</v>
      </c>
      <c r="E38" s="99">
        <f>10+11+10</f>
        <v>31</v>
      </c>
      <c r="F38" s="95">
        <f t="shared" si="2"/>
        <v>9.872611464968152</v>
      </c>
      <c r="G38" s="72">
        <v>0.62</v>
      </c>
      <c r="H38" s="14">
        <f t="shared" si="3"/>
        <v>10.769388671556579</v>
      </c>
      <c r="I38" s="96"/>
      <c r="J38" s="97"/>
    </row>
    <row r="39" spans="1:10">
      <c r="A39" s="92">
        <v>2</v>
      </c>
      <c r="B39" s="93" t="s">
        <v>306</v>
      </c>
      <c r="C39" s="32" t="s">
        <v>63</v>
      </c>
      <c r="D39" s="94">
        <v>9</v>
      </c>
      <c r="E39" s="99">
        <v>35</v>
      </c>
      <c r="F39" s="95">
        <f t="shared" si="2"/>
        <v>11.146496815286623</v>
      </c>
      <c r="G39" s="13">
        <v>0.63400000000000001</v>
      </c>
      <c r="H39" s="14">
        <f t="shared" si="3"/>
        <v>40.757639029953722</v>
      </c>
      <c r="I39" s="96"/>
      <c r="J39" s="97"/>
    </row>
    <row r="40" spans="1:10">
      <c r="A40" s="92">
        <v>2</v>
      </c>
      <c r="B40" s="93" t="s">
        <v>260</v>
      </c>
      <c r="C40" s="106" t="s">
        <v>261</v>
      </c>
      <c r="D40" s="94">
        <v>12</v>
      </c>
      <c r="E40" s="99">
        <v>50</v>
      </c>
      <c r="F40" s="95">
        <f t="shared" si="2"/>
        <v>15.923566878980891</v>
      </c>
      <c r="G40" s="72">
        <f>AVERAGE(0.26,0.39)</f>
        <v>0.32500000000000001</v>
      </c>
      <c r="H40" s="14">
        <f t="shared" si="3"/>
        <v>56.399713273081339</v>
      </c>
      <c r="I40" s="96"/>
      <c r="J40" s="97"/>
    </row>
    <row r="41" spans="1:10">
      <c r="A41" s="92">
        <v>2</v>
      </c>
      <c r="B41" s="93" t="s">
        <v>314</v>
      </c>
      <c r="C41" s="32" t="s">
        <v>315</v>
      </c>
      <c r="D41" s="94">
        <v>6</v>
      </c>
      <c r="E41" s="105">
        <f>19.5+12</f>
        <v>31.5</v>
      </c>
      <c r="F41" s="95">
        <f t="shared" si="2"/>
        <v>10.031847133757962</v>
      </c>
      <c r="G41" s="13">
        <f>AVERAGE(0.54,0.58)</f>
        <v>0.56000000000000005</v>
      </c>
      <c r="H41" s="14">
        <f t="shared" si="3"/>
        <v>19.788721066523834</v>
      </c>
      <c r="I41" s="102"/>
      <c r="J41" s="102"/>
    </row>
    <row r="42" spans="1:10">
      <c r="A42" s="92">
        <v>2</v>
      </c>
      <c r="B42" s="93" t="s">
        <v>47</v>
      </c>
      <c r="C42" s="32" t="s">
        <v>48</v>
      </c>
      <c r="D42" s="98">
        <v>10</v>
      </c>
      <c r="E42" s="105">
        <v>48.5</v>
      </c>
      <c r="F42" s="95">
        <f t="shared" si="2"/>
        <v>15.445859872611464</v>
      </c>
      <c r="G42" s="72">
        <f>AVERAGE(0.54,0.58)</f>
        <v>0.56000000000000005</v>
      </c>
      <c r="H42" s="14">
        <f t="shared" si="3"/>
        <v>75.649799147317552</v>
      </c>
      <c r="I42" s="102"/>
      <c r="J42" s="102"/>
    </row>
    <row r="43" spans="1:10">
      <c r="A43" s="92">
        <v>2</v>
      </c>
      <c r="B43" s="93" t="s">
        <v>47</v>
      </c>
      <c r="C43" s="32" t="s">
        <v>48</v>
      </c>
      <c r="D43" s="94">
        <v>11</v>
      </c>
      <c r="E43" s="105">
        <v>39.5</v>
      </c>
      <c r="F43" s="95">
        <f t="shared" si="2"/>
        <v>12.579617834394904</v>
      </c>
      <c r="G43" s="72">
        <f>AVERAGE(0.54,0.58)</f>
        <v>0.56000000000000005</v>
      </c>
      <c r="H43" s="14">
        <f t="shared" si="3"/>
        <v>55.615608966858829</v>
      </c>
      <c r="I43" s="102"/>
      <c r="J43" s="102"/>
    </row>
    <row r="44" spans="1:10">
      <c r="A44" s="92">
        <v>2</v>
      </c>
      <c r="B44" s="93" t="s">
        <v>309</v>
      </c>
      <c r="C44" s="106"/>
      <c r="D44" s="94">
        <v>5</v>
      </c>
      <c r="E44" s="105">
        <v>21</v>
      </c>
      <c r="F44" s="95">
        <f t="shared" si="2"/>
        <v>6.6878980891719744</v>
      </c>
      <c r="G44" s="107"/>
      <c r="H44" s="14">
        <f t="shared" si="3"/>
        <v>0</v>
      </c>
      <c r="I44" s="102" t="s">
        <v>310</v>
      </c>
      <c r="J44" s="102"/>
    </row>
    <row r="45" spans="1:10">
      <c r="A45" s="92">
        <v>3</v>
      </c>
      <c r="B45" s="93" t="s">
        <v>92</v>
      </c>
      <c r="C45" s="32" t="s">
        <v>93</v>
      </c>
      <c r="D45" s="94">
        <v>6</v>
      </c>
      <c r="E45" s="105">
        <f>13+22</f>
        <v>35</v>
      </c>
      <c r="F45" s="95">
        <f t="shared" si="2"/>
        <v>11.146496815286623</v>
      </c>
      <c r="G45" s="13">
        <v>0.97799999999999998</v>
      </c>
      <c r="H45" s="14">
        <f t="shared" si="3"/>
        <v>41.886643108733594</v>
      </c>
      <c r="I45" s="102"/>
      <c r="J45" s="102"/>
    </row>
    <row r="46" spans="1:10">
      <c r="A46" s="92">
        <v>3</v>
      </c>
      <c r="B46" s="93" t="s">
        <v>92</v>
      </c>
      <c r="C46" s="32" t="s">
        <v>93</v>
      </c>
      <c r="D46" s="94">
        <v>7</v>
      </c>
      <c r="E46" s="105">
        <f>11+13</f>
        <v>24</v>
      </c>
      <c r="F46" s="95">
        <f t="shared" si="2"/>
        <v>7.6433121019108281</v>
      </c>
      <c r="G46" s="13">
        <v>0.97799999999999998</v>
      </c>
      <c r="H46" s="14">
        <f t="shared" si="3"/>
        <v>23.311334935753859</v>
      </c>
      <c r="I46" s="102"/>
      <c r="J46" s="102"/>
    </row>
    <row r="47" spans="1:10">
      <c r="A47" s="92">
        <v>3</v>
      </c>
      <c r="B47" s="93" t="s">
        <v>164</v>
      </c>
      <c r="C47" s="32" t="s">
        <v>204</v>
      </c>
      <c r="D47" s="94">
        <v>11</v>
      </c>
      <c r="E47" s="105">
        <v>80</v>
      </c>
      <c r="F47" s="95">
        <f t="shared" si="2"/>
        <v>25.477707006369425</v>
      </c>
      <c r="G47" s="72">
        <f>AVERAGE(0.22,0.34)</f>
        <v>0.28000000000000003</v>
      </c>
      <c r="H47" s="14">
        <f t="shared" si="3"/>
        <v>112.11547083243173</v>
      </c>
      <c r="I47" s="102"/>
      <c r="J47" s="102"/>
    </row>
    <row r="48" spans="1:10">
      <c r="A48" s="92">
        <v>3</v>
      </c>
      <c r="B48" s="93" t="s">
        <v>316</v>
      </c>
      <c r="C48" s="103" t="s">
        <v>317</v>
      </c>
      <c r="D48" s="94">
        <v>3.5</v>
      </c>
      <c r="E48" s="105">
        <v>16</v>
      </c>
      <c r="F48" s="95">
        <f t="shared" si="2"/>
        <v>5.0955414012738851</v>
      </c>
      <c r="G48" s="10">
        <f>AVERAGE(0.5,0.7)</f>
        <v>0.6</v>
      </c>
      <c r="H48" s="14">
        <f t="shared" si="3"/>
        <v>3.3337776368294674</v>
      </c>
      <c r="I48" s="102"/>
      <c r="J48" s="102"/>
    </row>
    <row r="49" spans="1:10">
      <c r="A49" s="92">
        <v>3</v>
      </c>
      <c r="B49" s="93" t="s">
        <v>316</v>
      </c>
      <c r="C49" s="103" t="s">
        <v>317</v>
      </c>
      <c r="D49" s="94">
        <v>8</v>
      </c>
      <c r="E49" s="105">
        <f>28+13</f>
        <v>41</v>
      </c>
      <c r="F49" s="95">
        <f t="shared" si="2"/>
        <v>13.057324840764331</v>
      </c>
      <c r="G49" s="10">
        <f>AVERAGE(0.5,0.7)</f>
        <v>0.6</v>
      </c>
      <c r="H49" s="14">
        <f t="shared" si="3"/>
        <v>46.887159921840173</v>
      </c>
      <c r="I49" s="102"/>
      <c r="J49" s="102"/>
    </row>
    <row r="50" spans="1:10">
      <c r="A50" s="92">
        <v>3</v>
      </c>
      <c r="B50" s="93" t="s">
        <v>316</v>
      </c>
      <c r="C50" s="103" t="s">
        <v>317</v>
      </c>
      <c r="D50" s="94">
        <v>3</v>
      </c>
      <c r="E50" s="105">
        <v>17</v>
      </c>
      <c r="F50" s="95">
        <f t="shared" si="2"/>
        <v>5.4140127388535033</v>
      </c>
      <c r="G50" s="10">
        <f>AVERAGE(0.5,0.7)</f>
        <v>0.6</v>
      </c>
      <c r="H50" s="14">
        <f t="shared" si="3"/>
        <v>3.2284246208359928</v>
      </c>
      <c r="I50" s="102"/>
      <c r="J50" s="102"/>
    </row>
    <row r="51" spans="1:10">
      <c r="A51" s="92">
        <v>3</v>
      </c>
      <c r="B51" s="93" t="s">
        <v>304</v>
      </c>
      <c r="C51" s="32" t="s">
        <v>305</v>
      </c>
      <c r="D51" s="94">
        <v>6.5</v>
      </c>
      <c r="E51" s="105">
        <v>22</v>
      </c>
      <c r="F51" s="95">
        <f t="shared" si="2"/>
        <v>7.0063694267515917</v>
      </c>
      <c r="G51" s="13">
        <f>AVERAGE(0.92, 1.08)</f>
        <v>1</v>
      </c>
      <c r="H51" s="14">
        <f t="shared" si="3"/>
        <v>18.699108442190891</v>
      </c>
      <c r="I51" s="102"/>
      <c r="J51" s="102"/>
    </row>
    <row r="52" spans="1:10">
      <c r="A52" s="92">
        <v>3</v>
      </c>
      <c r="B52" s="93" t="s">
        <v>64</v>
      </c>
      <c r="C52" s="32" t="s">
        <v>148</v>
      </c>
      <c r="D52" s="94">
        <v>6.5</v>
      </c>
      <c r="E52" s="105">
        <v>19</v>
      </c>
      <c r="F52" s="95">
        <f t="shared" si="2"/>
        <v>6.0509554140127388</v>
      </c>
      <c r="G52" s="13">
        <v>0.94</v>
      </c>
      <c r="H52" s="14">
        <f t="shared" si="3"/>
        <v>13.222441110109488</v>
      </c>
      <c r="I52" s="102"/>
      <c r="J52" s="102"/>
    </row>
    <row r="53" spans="1:10">
      <c r="A53" s="92">
        <v>3</v>
      </c>
      <c r="B53" s="93" t="s">
        <v>302</v>
      </c>
      <c r="C53" s="32" t="s">
        <v>232</v>
      </c>
      <c r="D53" s="94">
        <v>8</v>
      </c>
      <c r="E53" s="105">
        <f>23+20+22</f>
        <v>65</v>
      </c>
      <c r="F53" s="95">
        <f t="shared" si="2"/>
        <v>20.700636942675157</v>
      </c>
      <c r="G53" s="72">
        <v>0.62</v>
      </c>
      <c r="H53" s="14">
        <f t="shared" si="3"/>
        <v>119.01600811271184</v>
      </c>
      <c r="I53" s="102"/>
      <c r="J53" s="102"/>
    </row>
    <row r="54" spans="1:10">
      <c r="A54" s="92">
        <v>3</v>
      </c>
      <c r="B54" s="93" t="s">
        <v>37</v>
      </c>
      <c r="C54" s="32" t="s">
        <v>38</v>
      </c>
      <c r="D54" s="94">
        <v>12</v>
      </c>
      <c r="E54" s="105">
        <v>44</v>
      </c>
      <c r="F54" s="95">
        <f t="shared" si="2"/>
        <v>14.012738853503183</v>
      </c>
      <c r="G54" s="13">
        <v>0.97799999999999998</v>
      </c>
      <c r="H54" s="14">
        <f t="shared" si="3"/>
        <v>128.78925592935576</v>
      </c>
      <c r="I54" s="102"/>
      <c r="J54" s="102"/>
    </row>
    <row r="55" spans="1:10">
      <c r="A55" s="92">
        <v>3</v>
      </c>
      <c r="B55" s="93" t="s">
        <v>213</v>
      </c>
      <c r="C55" s="32" t="s">
        <v>173</v>
      </c>
      <c r="D55" s="94">
        <v>5</v>
      </c>
      <c r="E55" s="105">
        <f>19+21+19.5</f>
        <v>59.5</v>
      </c>
      <c r="F55" s="95">
        <f t="shared" si="2"/>
        <v>18.949044585987259</v>
      </c>
      <c r="G55" s="10">
        <f>AVERAGE(0.6,0.65)</f>
        <v>0.625</v>
      </c>
      <c r="H55" s="14">
        <f t="shared" si="3"/>
        <v>63.802710560140106</v>
      </c>
      <c r="I55" s="102"/>
      <c r="J55" s="102"/>
    </row>
    <row r="56" spans="1:10">
      <c r="A56" s="92">
        <v>3</v>
      </c>
      <c r="B56" s="93" t="s">
        <v>314</v>
      </c>
      <c r="C56" s="32" t="s">
        <v>315</v>
      </c>
      <c r="D56" s="94">
        <v>5.5</v>
      </c>
      <c r="E56" s="105">
        <v>18</v>
      </c>
      <c r="F56" s="95">
        <f t="shared" si="2"/>
        <v>5.7324840764331206</v>
      </c>
      <c r="G56" s="101"/>
      <c r="H56" s="14">
        <f t="shared" si="3"/>
        <v>0</v>
      </c>
      <c r="I56" s="102"/>
      <c r="J56" s="102"/>
    </row>
    <row r="57" spans="1:10">
      <c r="A57" s="92">
        <v>3</v>
      </c>
      <c r="B57" s="93" t="s">
        <v>118</v>
      </c>
      <c r="C57" s="32" t="s">
        <v>29</v>
      </c>
      <c r="D57" s="94">
        <v>3.5</v>
      </c>
      <c r="E57" s="105">
        <v>16</v>
      </c>
      <c r="F57" s="95">
        <f t="shared" si="2"/>
        <v>5.0955414012738851</v>
      </c>
      <c r="G57" s="72">
        <v>0.8</v>
      </c>
      <c r="H57" s="14">
        <f t="shared" si="3"/>
        <v>4.4144523759499608</v>
      </c>
      <c r="I57" s="102"/>
      <c r="J57" s="102"/>
    </row>
    <row r="58" spans="1:10">
      <c r="A58" s="92">
        <v>4</v>
      </c>
      <c r="B58" s="93" t="s">
        <v>318</v>
      </c>
      <c r="C58" s="32" t="s">
        <v>180</v>
      </c>
      <c r="D58" s="94">
        <v>9</v>
      </c>
      <c r="E58" s="105">
        <v>21</v>
      </c>
      <c r="F58" s="95">
        <f t="shared" si="2"/>
        <v>6.6878980891719744</v>
      </c>
      <c r="G58" s="13">
        <f>AVERAGE(0.75,0.9)</f>
        <v>0.82499999999999996</v>
      </c>
      <c r="H58" s="14">
        <f t="shared" si="3"/>
        <v>19.443757568538185</v>
      </c>
      <c r="I58" s="102"/>
      <c r="J58" s="102"/>
    </row>
    <row r="59" spans="1:10">
      <c r="A59" s="92">
        <v>4</v>
      </c>
      <c r="B59" s="93" t="s">
        <v>318</v>
      </c>
      <c r="C59" s="32" t="s">
        <v>180</v>
      </c>
      <c r="D59" s="94">
        <v>11</v>
      </c>
      <c r="E59" s="105">
        <f>39.5+40+28</f>
        <v>107.5</v>
      </c>
      <c r="F59" s="95">
        <f t="shared" si="2"/>
        <v>34.235668789808919</v>
      </c>
      <c r="G59" s="10">
        <v>0.42</v>
      </c>
      <c r="H59" s="14">
        <f t="shared" si="3"/>
        <v>296.4887926334406</v>
      </c>
      <c r="I59" s="102"/>
      <c r="J59" s="102"/>
    </row>
    <row r="60" spans="1:10">
      <c r="A60" s="92">
        <v>4</v>
      </c>
      <c r="B60" s="93" t="s">
        <v>318</v>
      </c>
      <c r="C60" s="32" t="s">
        <v>180</v>
      </c>
      <c r="D60" s="94">
        <v>7</v>
      </c>
      <c r="E60" s="105">
        <v>18</v>
      </c>
      <c r="F60" s="95">
        <f t="shared" si="2"/>
        <v>5.7324840764331206</v>
      </c>
      <c r="G60" s="10">
        <v>0.42</v>
      </c>
      <c r="H60" s="14">
        <f t="shared" si="3"/>
        <v>5.8264941618772914</v>
      </c>
      <c r="I60" s="102"/>
      <c r="J60" s="102"/>
    </row>
    <row r="61" spans="1:10">
      <c r="A61" s="92">
        <v>4</v>
      </c>
      <c r="B61" s="93" t="s">
        <v>318</v>
      </c>
      <c r="C61" s="32" t="s">
        <v>180</v>
      </c>
      <c r="D61" s="94">
        <v>11</v>
      </c>
      <c r="E61" s="105">
        <v>23</v>
      </c>
      <c r="F61" s="95">
        <f t="shared" si="2"/>
        <v>7.3248407643312099</v>
      </c>
      <c r="G61" s="10">
        <v>0.42</v>
      </c>
      <c r="H61" s="14">
        <f t="shared" si="3"/>
        <v>14.614760247660115</v>
      </c>
      <c r="I61" s="102"/>
      <c r="J61" s="102"/>
    </row>
    <row r="62" spans="1:10">
      <c r="A62" s="92">
        <v>4</v>
      </c>
      <c r="B62" s="93" t="s">
        <v>318</v>
      </c>
      <c r="C62" s="32" t="s">
        <v>180</v>
      </c>
      <c r="D62" s="94">
        <v>10</v>
      </c>
      <c r="E62" s="105">
        <v>18</v>
      </c>
      <c r="F62" s="95">
        <f t="shared" si="2"/>
        <v>5.7324840764331206</v>
      </c>
      <c r="G62" s="10">
        <v>0.42</v>
      </c>
      <c r="H62" s="14">
        <f t="shared" si="3"/>
        <v>8.2526158293944789</v>
      </c>
      <c r="I62" s="102"/>
      <c r="J62" s="102"/>
    </row>
    <row r="63" spans="1:10">
      <c r="A63" s="92">
        <v>4</v>
      </c>
      <c r="B63" s="93" t="s">
        <v>92</v>
      </c>
      <c r="C63" s="32" t="s">
        <v>93</v>
      </c>
      <c r="D63" s="94">
        <v>12</v>
      </c>
      <c r="E63" s="105">
        <f>22+15+16</f>
        <v>53</v>
      </c>
      <c r="F63" s="95">
        <f t="shared" si="2"/>
        <v>16.878980891719745</v>
      </c>
      <c r="G63" s="13">
        <v>0.97799999999999998</v>
      </c>
      <c r="H63" s="14">
        <f t="shared" si="3"/>
        <v>185.20235596762316</v>
      </c>
      <c r="I63" s="102"/>
      <c r="J63" s="102"/>
    </row>
    <row r="64" spans="1:10">
      <c r="A64" s="92">
        <v>4</v>
      </c>
      <c r="B64" s="93" t="s">
        <v>164</v>
      </c>
      <c r="C64" s="32" t="s">
        <v>204</v>
      </c>
      <c r="D64" s="94">
        <v>13</v>
      </c>
      <c r="E64" s="105">
        <v>78</v>
      </c>
      <c r="F64" s="95">
        <f t="shared" si="2"/>
        <v>24.840764331210192</v>
      </c>
      <c r="G64" s="72">
        <f>AVERAGE(0.22,0.34)</f>
        <v>0.28000000000000003</v>
      </c>
      <c r="H64" s="14">
        <f t="shared" si="3"/>
        <v>125.60646871446009</v>
      </c>
      <c r="I64" s="102"/>
      <c r="J64" s="102"/>
    </row>
    <row r="65" spans="1:10">
      <c r="A65" s="92">
        <v>4</v>
      </c>
      <c r="B65" s="93" t="s">
        <v>164</v>
      </c>
      <c r="C65" s="32" t="s">
        <v>204</v>
      </c>
      <c r="D65" s="94">
        <v>15</v>
      </c>
      <c r="E65" s="105">
        <v>85</v>
      </c>
      <c r="F65" s="95">
        <f t="shared" si="2"/>
        <v>27.070063694267514</v>
      </c>
      <c r="G65" s="72">
        <f>AVERAGE(0.22,0.34)</f>
        <v>0.28000000000000003</v>
      </c>
      <c r="H65" s="14">
        <f t="shared" si="3"/>
        <v>170.81477829311586</v>
      </c>
      <c r="I65" s="102"/>
      <c r="J65" s="102"/>
    </row>
    <row r="66" spans="1:10">
      <c r="A66" s="92">
        <v>4</v>
      </c>
      <c r="B66" s="93" t="s">
        <v>164</v>
      </c>
      <c r="C66" s="32" t="s">
        <v>204</v>
      </c>
      <c r="D66" s="94">
        <v>15.5</v>
      </c>
      <c r="E66" s="105">
        <v>100</v>
      </c>
      <c r="F66" s="95">
        <f t="shared" si="2"/>
        <v>31.847133757961782</v>
      </c>
      <c r="G66" s="72">
        <f>AVERAGE(0.22,0.34)</f>
        <v>0.28000000000000003</v>
      </c>
      <c r="H66" s="14">
        <f t="shared" si="3"/>
        <v>242.21351220913564</v>
      </c>
      <c r="I66" s="102"/>
      <c r="J66" s="102"/>
    </row>
    <row r="67" spans="1:10">
      <c r="A67" s="92">
        <v>4</v>
      </c>
      <c r="B67" s="93" t="s">
        <v>164</v>
      </c>
      <c r="C67" s="32" t="s">
        <v>204</v>
      </c>
      <c r="D67" s="94">
        <v>15.5</v>
      </c>
      <c r="E67" s="105">
        <v>101</v>
      </c>
      <c r="F67" s="95">
        <f t="shared" si="2"/>
        <v>32.165605095541402</v>
      </c>
      <c r="G67" s="72">
        <f>AVERAGE(0.22,0.34)</f>
        <v>0.28000000000000003</v>
      </c>
      <c r="H67" s="14">
        <f t="shared" si="3"/>
        <v>246.96402169293307</v>
      </c>
      <c r="I67" s="102"/>
      <c r="J67" s="102"/>
    </row>
    <row r="68" spans="1:10">
      <c r="A68" s="92">
        <v>4</v>
      </c>
      <c r="B68" s="93" t="s">
        <v>316</v>
      </c>
      <c r="C68" s="103" t="s">
        <v>317</v>
      </c>
      <c r="D68" s="94">
        <v>10</v>
      </c>
      <c r="E68" s="105">
        <v>28</v>
      </c>
      <c r="F68" s="95">
        <f t="shared" ref="F68:F95" si="4">E68/3.14</f>
        <v>8.9171974522292992</v>
      </c>
      <c r="G68" s="10">
        <f>AVERAGE(0.5,0.7)</f>
        <v>0.6</v>
      </c>
      <c r="H68" s="14">
        <f t="shared" ref="H68:H95" si="5">0.0673*(G68*F68^2*D68)^0.976</f>
        <v>27.690862857936644</v>
      </c>
      <c r="I68" s="102"/>
      <c r="J68" s="102"/>
    </row>
    <row r="69" spans="1:10">
      <c r="A69" s="92">
        <v>4</v>
      </c>
      <c r="B69" s="93" t="s">
        <v>268</v>
      </c>
      <c r="C69" s="32" t="s">
        <v>147</v>
      </c>
      <c r="D69" s="94">
        <v>8</v>
      </c>
      <c r="E69" s="105">
        <f>14+10</f>
        <v>24</v>
      </c>
      <c r="F69" s="95">
        <f t="shared" si="4"/>
        <v>7.6433121019108281</v>
      </c>
      <c r="G69" s="10">
        <f>AVERAGE(0.8,1)</f>
        <v>0.9</v>
      </c>
      <c r="H69" s="14">
        <f t="shared" si="5"/>
        <v>24.487094176687755</v>
      </c>
      <c r="I69" s="102"/>
      <c r="J69" s="102"/>
    </row>
    <row r="70" spans="1:10">
      <c r="A70" s="92">
        <v>4</v>
      </c>
      <c r="B70" s="93" t="s">
        <v>58</v>
      </c>
      <c r="C70" s="32" t="s">
        <v>59</v>
      </c>
      <c r="D70" s="94">
        <v>3</v>
      </c>
      <c r="E70" s="105">
        <v>10</v>
      </c>
      <c r="F70" s="95">
        <f t="shared" si="4"/>
        <v>3.1847133757961781</v>
      </c>
      <c r="G70" s="13">
        <f>AVERAGE(0.92, 1.08)</f>
        <v>1</v>
      </c>
      <c r="H70" s="14">
        <f t="shared" si="5"/>
        <v>1.8865952462554969</v>
      </c>
      <c r="I70" s="102"/>
      <c r="J70" s="102"/>
    </row>
    <row r="71" spans="1:10">
      <c r="A71" s="92">
        <v>4</v>
      </c>
      <c r="B71" s="93" t="s">
        <v>302</v>
      </c>
      <c r="C71" s="32" t="s">
        <v>232</v>
      </c>
      <c r="D71" s="94">
        <v>11</v>
      </c>
      <c r="E71" s="105">
        <f>15+18+17</f>
        <v>50</v>
      </c>
      <c r="F71" s="95">
        <f t="shared" si="4"/>
        <v>15.923566878980891</v>
      </c>
      <c r="G71" s="72">
        <v>0.62</v>
      </c>
      <c r="H71" s="14">
        <f t="shared" si="5"/>
        <v>97.313118301918493</v>
      </c>
      <c r="I71" s="102"/>
      <c r="J71" s="102"/>
    </row>
    <row r="72" spans="1:10">
      <c r="A72" s="92">
        <v>4</v>
      </c>
      <c r="B72" s="93" t="s">
        <v>302</v>
      </c>
      <c r="C72" s="32" t="s">
        <v>232</v>
      </c>
      <c r="D72" s="94">
        <v>4</v>
      </c>
      <c r="E72" s="105">
        <v>18</v>
      </c>
      <c r="F72" s="95">
        <f t="shared" si="4"/>
        <v>5.7324840764331206</v>
      </c>
      <c r="G72" s="72">
        <v>0.62</v>
      </c>
      <c r="H72" s="14">
        <f t="shared" si="5"/>
        <v>4.9349773261200811</v>
      </c>
      <c r="I72" s="102"/>
      <c r="J72" s="102"/>
    </row>
    <row r="73" spans="1:10">
      <c r="A73" s="92">
        <v>4</v>
      </c>
      <c r="B73" s="93" t="s">
        <v>124</v>
      </c>
      <c r="C73" s="32" t="s">
        <v>257</v>
      </c>
      <c r="D73" s="94">
        <v>11</v>
      </c>
      <c r="E73" s="105">
        <v>28.5</v>
      </c>
      <c r="F73" s="95">
        <f t="shared" si="4"/>
        <v>9.0764331210191074</v>
      </c>
      <c r="G73" s="101"/>
      <c r="H73" s="14">
        <f t="shared" si="5"/>
        <v>0</v>
      </c>
      <c r="I73" s="102"/>
      <c r="J73" s="102"/>
    </row>
    <row r="74" spans="1:10">
      <c r="A74" s="92">
        <v>4</v>
      </c>
      <c r="B74" s="93" t="s">
        <v>213</v>
      </c>
      <c r="C74" s="32" t="s">
        <v>173</v>
      </c>
      <c r="D74" s="94">
        <v>10</v>
      </c>
      <c r="E74" s="105">
        <f>17+23+27</f>
        <v>67</v>
      </c>
      <c r="F74" s="95">
        <f t="shared" si="4"/>
        <v>21.337579617834393</v>
      </c>
      <c r="G74" s="10">
        <f>AVERAGE(0.6,0.65)</f>
        <v>0.625</v>
      </c>
      <c r="H74" s="14">
        <f t="shared" si="5"/>
        <v>158.22871567809594</v>
      </c>
      <c r="I74" s="102"/>
      <c r="J74" s="102"/>
    </row>
    <row r="75" spans="1:10">
      <c r="A75" s="92">
        <v>4</v>
      </c>
      <c r="B75" s="93" t="s">
        <v>118</v>
      </c>
      <c r="C75" s="32" t="s">
        <v>29</v>
      </c>
      <c r="D75" s="94">
        <v>4</v>
      </c>
      <c r="E75" s="105">
        <f>15+14</f>
        <v>29</v>
      </c>
      <c r="F75" s="95">
        <f t="shared" si="4"/>
        <v>9.2356687898089174</v>
      </c>
      <c r="G75" s="72">
        <v>0.8</v>
      </c>
      <c r="H75" s="14">
        <f t="shared" si="5"/>
        <v>16.055937240980473</v>
      </c>
      <c r="I75" s="102"/>
      <c r="J75" s="102"/>
    </row>
    <row r="76" spans="1:10">
      <c r="A76" s="92">
        <v>4</v>
      </c>
      <c r="B76" s="93" t="s">
        <v>311</v>
      </c>
      <c r="C76" s="32"/>
      <c r="D76" s="94">
        <v>4</v>
      </c>
      <c r="E76" s="105">
        <v>15</v>
      </c>
      <c r="F76" s="95">
        <f t="shared" si="4"/>
        <v>4.7770700636942669</v>
      </c>
      <c r="G76" s="101"/>
      <c r="H76" s="14">
        <f t="shared" si="5"/>
        <v>0</v>
      </c>
      <c r="I76" s="102"/>
      <c r="J76" s="102"/>
    </row>
    <row r="77" spans="1:10">
      <c r="A77" s="92">
        <v>5</v>
      </c>
      <c r="B77" s="93" t="s">
        <v>92</v>
      </c>
      <c r="C77" s="32" t="s">
        <v>93</v>
      </c>
      <c r="D77" s="94">
        <v>9</v>
      </c>
      <c r="E77" s="105">
        <f>25+26+17</f>
        <v>68</v>
      </c>
      <c r="F77" s="95">
        <f t="shared" si="4"/>
        <v>21.656050955414013</v>
      </c>
      <c r="G77" s="13">
        <v>0.97799999999999998</v>
      </c>
      <c r="H77" s="14">
        <f t="shared" si="5"/>
        <v>227.49779951341336</v>
      </c>
      <c r="I77" s="102"/>
      <c r="J77" s="102"/>
    </row>
    <row r="78" spans="1:10">
      <c r="A78" s="92">
        <v>5</v>
      </c>
      <c r="B78" s="93" t="s">
        <v>92</v>
      </c>
      <c r="C78" s="32" t="s">
        <v>93</v>
      </c>
      <c r="D78" s="94">
        <v>11</v>
      </c>
      <c r="E78" s="105">
        <f>19+30</f>
        <v>49</v>
      </c>
      <c r="F78" s="95">
        <f t="shared" si="4"/>
        <v>15.605095541401273</v>
      </c>
      <c r="G78" s="13">
        <v>0.97799999999999998</v>
      </c>
      <c r="H78" s="14">
        <f t="shared" si="5"/>
        <v>145.96244258611796</v>
      </c>
      <c r="I78" s="102"/>
      <c r="J78" s="102"/>
    </row>
    <row r="79" spans="1:10">
      <c r="A79" s="92">
        <v>5</v>
      </c>
      <c r="B79" s="93" t="s">
        <v>92</v>
      </c>
      <c r="C79" s="32" t="s">
        <v>93</v>
      </c>
      <c r="D79" s="94">
        <v>6.5</v>
      </c>
      <c r="E79" s="105">
        <f>15+16</f>
        <v>31</v>
      </c>
      <c r="F79" s="95">
        <f t="shared" si="4"/>
        <v>9.872611464968152</v>
      </c>
      <c r="G79" s="13">
        <v>0.97799999999999998</v>
      </c>
      <c r="H79" s="14">
        <f t="shared" si="5"/>
        <v>35.7372043825644</v>
      </c>
      <c r="I79" s="102"/>
      <c r="J79" s="102"/>
    </row>
    <row r="80" spans="1:10">
      <c r="A80" s="92">
        <v>5</v>
      </c>
      <c r="B80" s="93" t="s">
        <v>164</v>
      </c>
      <c r="C80" s="32" t="s">
        <v>204</v>
      </c>
      <c r="D80" s="94">
        <v>14</v>
      </c>
      <c r="E80" s="105">
        <v>80</v>
      </c>
      <c r="F80" s="95">
        <f t="shared" si="4"/>
        <v>25.477707006369425</v>
      </c>
      <c r="G80" s="72">
        <f>AVERAGE(0.22,0.34)</f>
        <v>0.28000000000000003</v>
      </c>
      <c r="H80" s="14">
        <f t="shared" si="5"/>
        <v>141.86891496749655</v>
      </c>
      <c r="I80" s="102"/>
      <c r="J80" s="102"/>
    </row>
    <row r="81" spans="1:10">
      <c r="A81" s="92">
        <v>5</v>
      </c>
      <c r="B81" s="93" t="s">
        <v>164</v>
      </c>
      <c r="C81" s="32" t="s">
        <v>204</v>
      </c>
      <c r="D81" s="94">
        <v>13</v>
      </c>
      <c r="E81" s="105">
        <v>69</v>
      </c>
      <c r="F81" s="95">
        <f t="shared" si="4"/>
        <v>21.97452229299363</v>
      </c>
      <c r="G81" s="72">
        <f>AVERAGE(0.22,0.34)</f>
        <v>0.28000000000000003</v>
      </c>
      <c r="H81" s="14">
        <f t="shared" si="5"/>
        <v>98.872784868814463</v>
      </c>
      <c r="I81" s="102"/>
      <c r="J81" s="102"/>
    </row>
    <row r="82" spans="1:10">
      <c r="A82" s="92">
        <v>5</v>
      </c>
      <c r="B82" s="93" t="s">
        <v>164</v>
      </c>
      <c r="C82" s="32" t="s">
        <v>204</v>
      </c>
      <c r="D82" s="94">
        <v>13</v>
      </c>
      <c r="E82" s="105">
        <v>90</v>
      </c>
      <c r="F82" s="95">
        <f t="shared" si="4"/>
        <v>28.662420382165603</v>
      </c>
      <c r="G82" s="72">
        <f>AVERAGE(0.22,0.34)</f>
        <v>0.28000000000000003</v>
      </c>
      <c r="H82" s="14">
        <f t="shared" si="5"/>
        <v>166.08282371958978</v>
      </c>
      <c r="I82" s="102"/>
      <c r="J82" s="102"/>
    </row>
    <row r="83" spans="1:10">
      <c r="A83" s="92">
        <v>5</v>
      </c>
      <c r="B83" s="93" t="s">
        <v>285</v>
      </c>
      <c r="C83" s="17" t="s">
        <v>71</v>
      </c>
      <c r="D83" s="94">
        <v>13</v>
      </c>
      <c r="E83" s="105">
        <v>28.5</v>
      </c>
      <c r="F83" s="95">
        <f t="shared" si="4"/>
        <v>9.0764331210191074</v>
      </c>
      <c r="G83" s="13">
        <f>AVERAGE(0.37,0.6)</f>
        <v>0.48499999999999999</v>
      </c>
      <c r="H83" s="14">
        <f t="shared" si="5"/>
        <v>30.085567410345412</v>
      </c>
      <c r="I83" s="102"/>
      <c r="J83" s="102"/>
    </row>
    <row r="84" spans="1:10">
      <c r="A84" s="92">
        <v>5</v>
      </c>
      <c r="B84" s="93" t="s">
        <v>302</v>
      </c>
      <c r="C84" s="32" t="s">
        <v>232</v>
      </c>
      <c r="D84" s="94">
        <v>13</v>
      </c>
      <c r="E84" s="105">
        <f>31+19</f>
        <v>50</v>
      </c>
      <c r="F84" s="95">
        <f t="shared" si="4"/>
        <v>15.923566878980891</v>
      </c>
      <c r="G84" s="72">
        <v>0.62</v>
      </c>
      <c r="H84" s="14">
        <f t="shared" si="5"/>
        <v>114.54624065471437</v>
      </c>
      <c r="I84" s="102"/>
      <c r="J84" s="102"/>
    </row>
    <row r="85" spans="1:10">
      <c r="A85" s="92">
        <v>5</v>
      </c>
      <c r="B85" s="93" t="s">
        <v>302</v>
      </c>
      <c r="C85" s="32" t="s">
        <v>232</v>
      </c>
      <c r="D85" s="94">
        <v>5</v>
      </c>
      <c r="E85" s="105">
        <v>18</v>
      </c>
      <c r="F85" s="95">
        <f t="shared" si="4"/>
        <v>5.7324840764331206</v>
      </c>
      <c r="G85" s="72">
        <v>0.62</v>
      </c>
      <c r="H85" s="14">
        <f t="shared" si="5"/>
        <v>6.1357737108738997</v>
      </c>
      <c r="I85" s="102"/>
      <c r="J85" s="102"/>
    </row>
    <row r="86" spans="1:10">
      <c r="A86" s="92">
        <v>5</v>
      </c>
      <c r="B86" s="93" t="s">
        <v>302</v>
      </c>
      <c r="C86" s="32" t="s">
        <v>232</v>
      </c>
      <c r="D86" s="94">
        <v>12</v>
      </c>
      <c r="E86" s="105">
        <f>22+18+22</f>
        <v>62</v>
      </c>
      <c r="F86" s="95">
        <f t="shared" si="4"/>
        <v>19.745222929936304</v>
      </c>
      <c r="G86" s="72">
        <v>0.62</v>
      </c>
      <c r="H86" s="14">
        <f t="shared" si="5"/>
        <v>161.21748957420189</v>
      </c>
      <c r="I86" s="102"/>
      <c r="J86" s="102"/>
    </row>
    <row r="87" spans="1:10">
      <c r="A87" s="92">
        <v>5</v>
      </c>
      <c r="B87" s="93" t="s">
        <v>302</v>
      </c>
      <c r="C87" s="32" t="s">
        <v>232</v>
      </c>
      <c r="D87" s="94">
        <v>6</v>
      </c>
      <c r="E87" s="105">
        <f>15+16+12</f>
        <v>43</v>
      </c>
      <c r="F87" s="95">
        <f t="shared" si="4"/>
        <v>13.694267515923567</v>
      </c>
      <c r="G87" s="72">
        <v>0.62</v>
      </c>
      <c r="H87" s="14">
        <f t="shared" si="5"/>
        <v>40.122568372459909</v>
      </c>
      <c r="I87" s="102"/>
      <c r="J87" s="102"/>
    </row>
    <row r="88" spans="1:10">
      <c r="A88" s="92">
        <v>5</v>
      </c>
      <c r="B88" s="93" t="s">
        <v>302</v>
      </c>
      <c r="C88" s="32" t="s">
        <v>232</v>
      </c>
      <c r="D88" s="94">
        <v>4.5</v>
      </c>
      <c r="E88" s="105">
        <f>18+13+12</f>
        <v>43</v>
      </c>
      <c r="F88" s="95">
        <f t="shared" si="4"/>
        <v>13.694267515923567</v>
      </c>
      <c r="G88" s="72">
        <v>0.62</v>
      </c>
      <c r="H88" s="14">
        <f t="shared" si="5"/>
        <v>30.300410963995049</v>
      </c>
      <c r="I88" s="102"/>
      <c r="J88" s="102"/>
    </row>
    <row r="89" spans="1:10">
      <c r="A89" s="92">
        <v>5</v>
      </c>
      <c r="B89" s="93" t="s">
        <v>306</v>
      </c>
      <c r="C89" s="32" t="s">
        <v>63</v>
      </c>
      <c r="D89" s="94">
        <v>10</v>
      </c>
      <c r="E89" s="105">
        <f>21.5+15+10</f>
        <v>46.5</v>
      </c>
      <c r="F89" s="95">
        <f t="shared" si="4"/>
        <v>14.808917197452228</v>
      </c>
      <c r="G89" s="13">
        <v>0.63400000000000001</v>
      </c>
      <c r="H89" s="14">
        <f t="shared" si="5"/>
        <v>78.65306858242117</v>
      </c>
      <c r="I89" s="102"/>
      <c r="J89" s="102"/>
    </row>
    <row r="90" spans="1:10">
      <c r="A90" s="92">
        <v>5</v>
      </c>
      <c r="B90" s="93" t="s">
        <v>213</v>
      </c>
      <c r="C90" s="32" t="s">
        <v>173</v>
      </c>
      <c r="D90" s="94">
        <v>13</v>
      </c>
      <c r="E90" s="105">
        <f>34+28+30</f>
        <v>92</v>
      </c>
      <c r="F90" s="95">
        <f t="shared" si="4"/>
        <v>29.29936305732484</v>
      </c>
      <c r="G90" s="10">
        <f>AVERAGE(0.6,0.65)</f>
        <v>0.625</v>
      </c>
      <c r="H90" s="14">
        <f t="shared" si="5"/>
        <v>379.58569642028687</v>
      </c>
      <c r="I90" s="102"/>
      <c r="J90" s="102"/>
    </row>
    <row r="91" spans="1:10">
      <c r="A91" s="92">
        <v>5</v>
      </c>
      <c r="B91" s="93" t="s">
        <v>213</v>
      </c>
      <c r="C91" s="32" t="s">
        <v>173</v>
      </c>
      <c r="D91" s="94">
        <v>12</v>
      </c>
      <c r="E91" s="105">
        <f>28+30+28</f>
        <v>86</v>
      </c>
      <c r="F91" s="95">
        <f t="shared" si="4"/>
        <v>27.388535031847134</v>
      </c>
      <c r="G91" s="10">
        <f>AVERAGE(0.6,0.65)</f>
        <v>0.625</v>
      </c>
      <c r="H91" s="14">
        <f t="shared" si="5"/>
        <v>307.7578654198802</v>
      </c>
      <c r="I91" s="102"/>
      <c r="J91" s="102"/>
    </row>
    <row r="92" spans="1:10">
      <c r="A92" s="92">
        <v>5</v>
      </c>
      <c r="B92" s="93" t="s">
        <v>213</v>
      </c>
      <c r="C92" s="32" t="s">
        <v>173</v>
      </c>
      <c r="D92" s="94">
        <v>11</v>
      </c>
      <c r="E92" s="105">
        <f>25+24+17</f>
        <v>66</v>
      </c>
      <c r="F92" s="95">
        <f t="shared" si="4"/>
        <v>21.019108280254777</v>
      </c>
      <c r="G92" s="10">
        <f>AVERAGE(0.6,0.65)</f>
        <v>0.625</v>
      </c>
      <c r="H92" s="14">
        <f t="shared" si="5"/>
        <v>168.63057116515293</v>
      </c>
      <c r="I92" s="102"/>
      <c r="J92" s="102"/>
    </row>
    <row r="93" spans="1:10">
      <c r="A93" s="92">
        <v>5</v>
      </c>
      <c r="B93" s="93" t="s">
        <v>213</v>
      </c>
      <c r="C93" s="32" t="s">
        <v>173</v>
      </c>
      <c r="D93" s="94">
        <v>8</v>
      </c>
      <c r="E93" s="105">
        <f>18+20+14</f>
        <v>52</v>
      </c>
      <c r="F93" s="95">
        <f t="shared" si="4"/>
        <v>16.560509554140125</v>
      </c>
      <c r="G93" s="10">
        <f>AVERAGE(0.6,0.65)</f>
        <v>0.625</v>
      </c>
      <c r="H93" s="14">
        <f t="shared" si="5"/>
        <v>77.596412343303143</v>
      </c>
      <c r="I93" s="102"/>
      <c r="J93" s="102"/>
    </row>
    <row r="94" spans="1:10">
      <c r="A94" s="92">
        <v>5</v>
      </c>
      <c r="B94" s="93" t="s">
        <v>118</v>
      </c>
      <c r="C94" s="32" t="s">
        <v>29</v>
      </c>
      <c r="D94" s="94">
        <v>6</v>
      </c>
      <c r="E94" s="105">
        <f>12+14+13</f>
        <v>39</v>
      </c>
      <c r="F94" s="95">
        <f t="shared" si="4"/>
        <v>12.420382165605096</v>
      </c>
      <c r="G94" s="72">
        <v>0.8</v>
      </c>
      <c r="H94" s="14">
        <f t="shared" si="5"/>
        <v>42.52633458605483</v>
      </c>
      <c r="I94" s="102"/>
      <c r="J94" s="102"/>
    </row>
    <row r="95" spans="1:10">
      <c r="A95" s="92">
        <v>5</v>
      </c>
      <c r="B95" s="93" t="s">
        <v>312</v>
      </c>
      <c r="C95" s="32"/>
      <c r="D95" s="94">
        <v>4</v>
      </c>
      <c r="E95" s="105">
        <v>13</v>
      </c>
      <c r="F95" s="95">
        <f t="shared" si="4"/>
        <v>4.1401273885350314</v>
      </c>
      <c r="G95" s="101"/>
      <c r="H95" s="14">
        <f t="shared" si="5"/>
        <v>0</v>
      </c>
      <c r="I95" s="102"/>
      <c r="J95" s="102"/>
    </row>
    <row r="96" spans="1:10">
      <c r="F96" s="108"/>
    </row>
    <row r="97" spans="6:6">
      <c r="F97" s="108"/>
    </row>
    <row r="98" spans="6:6">
      <c r="F98" s="108"/>
    </row>
    <row r="99" spans="6:6">
      <c r="F99" s="108"/>
    </row>
    <row r="100" spans="6:6">
      <c r="F100" s="108"/>
    </row>
    <row r="101" spans="6:6">
      <c r="F101" s="108"/>
    </row>
    <row r="102" spans="6:6">
      <c r="F102" s="108"/>
    </row>
    <row r="103" spans="6:6">
      <c r="F103" s="108"/>
    </row>
    <row r="104" spans="6:6">
      <c r="F104" s="108"/>
    </row>
    <row r="105" spans="6:6">
      <c r="F105" s="108"/>
    </row>
    <row r="106" spans="6:6">
      <c r="F106" s="108"/>
    </row>
    <row r="107" spans="6:6">
      <c r="F107" s="108"/>
    </row>
    <row r="108" spans="6:6">
      <c r="F108" s="108"/>
    </row>
    <row r="109" spans="6:6">
      <c r="F109" s="108"/>
    </row>
    <row r="110" spans="6:6">
      <c r="F110" s="108"/>
    </row>
    <row r="111" spans="6:6">
      <c r="F111" s="108"/>
    </row>
    <row r="112" spans="6:6">
      <c r="F112" s="108"/>
    </row>
    <row r="113" spans="6:6">
      <c r="F113" s="108"/>
    </row>
    <row r="114" spans="6:6">
      <c r="F114" s="108"/>
    </row>
    <row r="115" spans="6:6">
      <c r="F115" s="108"/>
    </row>
    <row r="116" spans="6:6">
      <c r="F116" s="108"/>
    </row>
    <row r="117" spans="6:6">
      <c r="F117" s="108"/>
    </row>
    <row r="118" spans="6:6">
      <c r="F118" s="108"/>
    </row>
    <row r="119" spans="6:6">
      <c r="F119" s="108"/>
    </row>
    <row r="120" spans="6:6">
      <c r="F120" s="108"/>
    </row>
    <row r="121" spans="6:6">
      <c r="F121" s="108"/>
    </row>
    <row r="122" spans="6:6">
      <c r="F122" s="108"/>
    </row>
    <row r="123" spans="6:6">
      <c r="F123" s="108"/>
    </row>
    <row r="124" spans="6:6">
      <c r="F124" s="108"/>
    </row>
    <row r="125" spans="6:6">
      <c r="F125" s="108"/>
    </row>
    <row r="126" spans="6:6">
      <c r="F126" s="108"/>
    </row>
    <row r="127" spans="6:6">
      <c r="F127" s="108"/>
    </row>
    <row r="128" spans="6:6">
      <c r="F128" s="108"/>
    </row>
    <row r="129" spans="6:6">
      <c r="F129" s="108"/>
    </row>
    <row r="130" spans="6:6">
      <c r="F130" s="108"/>
    </row>
    <row r="131" spans="6:6">
      <c r="F131" s="108"/>
    </row>
    <row r="132" spans="6:6">
      <c r="F132" s="108"/>
    </row>
    <row r="133" spans="6:6">
      <c r="F133" s="108"/>
    </row>
    <row r="134" spans="6:6">
      <c r="F134" s="108"/>
    </row>
    <row r="135" spans="6:6">
      <c r="F135" s="108"/>
    </row>
    <row r="136" spans="6:6">
      <c r="F136" s="108"/>
    </row>
    <row r="137" spans="6:6">
      <c r="F137" s="108"/>
    </row>
    <row r="138" spans="6:6">
      <c r="F138" s="108"/>
    </row>
    <row r="139" spans="6:6">
      <c r="F139" s="108"/>
    </row>
    <row r="140" spans="6:6">
      <c r="F140" s="108"/>
    </row>
    <row r="141" spans="6:6">
      <c r="F141" s="108"/>
    </row>
    <row r="142" spans="6:6">
      <c r="F142" s="108"/>
    </row>
    <row r="143" spans="6:6">
      <c r="F143" s="108"/>
    </row>
    <row r="144" spans="6:6">
      <c r="F144" s="108"/>
    </row>
    <row r="145" spans="6:6">
      <c r="F145" s="108"/>
    </row>
    <row r="146" spans="6:6">
      <c r="F146" s="108"/>
    </row>
    <row r="147" spans="6:6">
      <c r="F147" s="108"/>
    </row>
    <row r="148" spans="6:6">
      <c r="F148" s="108"/>
    </row>
    <row r="149" spans="6:6">
      <c r="F149" s="108"/>
    </row>
    <row r="150" spans="6:6">
      <c r="F150" s="108"/>
    </row>
    <row r="151" spans="6:6">
      <c r="F151" s="108"/>
    </row>
    <row r="152" spans="6:6">
      <c r="F152" s="108"/>
    </row>
    <row r="153" spans="6:6">
      <c r="F153" s="108"/>
    </row>
    <row r="154" spans="6:6">
      <c r="F154" s="108"/>
    </row>
    <row r="155" spans="6:6">
      <c r="F155" s="108"/>
    </row>
    <row r="156" spans="6:6">
      <c r="F156" s="108"/>
    </row>
    <row r="157" spans="6:6">
      <c r="F157" s="108"/>
    </row>
    <row r="158" spans="6:6">
      <c r="F158" s="108"/>
    </row>
    <row r="159" spans="6:6">
      <c r="F159" s="108"/>
    </row>
    <row r="160" spans="6:6">
      <c r="F160" s="108"/>
    </row>
    <row r="161" spans="6:6">
      <c r="F161" s="108"/>
    </row>
    <row r="162" spans="6:6">
      <c r="F162" s="108"/>
    </row>
    <row r="163" spans="6:6">
      <c r="F163" s="108"/>
    </row>
    <row r="164" spans="6:6">
      <c r="F164" s="108"/>
    </row>
    <row r="165" spans="6:6">
      <c r="F165" s="108"/>
    </row>
    <row r="166" spans="6:6">
      <c r="F166" s="108"/>
    </row>
    <row r="167" spans="6:6">
      <c r="F167" s="108"/>
    </row>
    <row r="168" spans="6:6">
      <c r="F168" s="108"/>
    </row>
    <row r="169" spans="6:6">
      <c r="F169" s="108"/>
    </row>
    <row r="170" spans="6:6">
      <c r="F170" s="108"/>
    </row>
    <row r="171" spans="6:6">
      <c r="F171" s="108"/>
    </row>
    <row r="172" spans="6:6">
      <c r="F172" s="108"/>
    </row>
    <row r="173" spans="6:6">
      <c r="F173" s="108"/>
    </row>
    <row r="174" spans="6:6">
      <c r="F174" s="108"/>
    </row>
    <row r="175" spans="6:6">
      <c r="F175" s="108"/>
    </row>
    <row r="176" spans="6:6">
      <c r="F176" s="108"/>
    </row>
    <row r="177" spans="6:6">
      <c r="F177" s="108"/>
    </row>
    <row r="178" spans="6:6">
      <c r="F178" s="108"/>
    </row>
    <row r="179" spans="6:6">
      <c r="F179" s="108"/>
    </row>
    <row r="180" spans="6:6">
      <c r="F180" s="108"/>
    </row>
    <row r="181" spans="6:6">
      <c r="F181" s="108"/>
    </row>
    <row r="182" spans="6:6">
      <c r="F182" s="108"/>
    </row>
    <row r="183" spans="6:6">
      <c r="F183" s="108"/>
    </row>
    <row r="184" spans="6:6">
      <c r="F184" s="108"/>
    </row>
    <row r="185" spans="6:6">
      <c r="F185" s="108"/>
    </row>
    <row r="186" spans="6:6">
      <c r="F186" s="108"/>
    </row>
    <row r="187" spans="6:6">
      <c r="F187" s="108"/>
    </row>
    <row r="188" spans="6:6">
      <c r="F188" s="108"/>
    </row>
    <row r="189" spans="6:6">
      <c r="F189" s="108"/>
    </row>
    <row r="190" spans="6:6">
      <c r="F190" s="108"/>
    </row>
    <row r="191" spans="6:6">
      <c r="F191" s="108"/>
    </row>
    <row r="192" spans="6:6">
      <c r="F192" s="108"/>
    </row>
    <row r="193" spans="6:6">
      <c r="F193" s="108"/>
    </row>
    <row r="194" spans="6:6">
      <c r="F194" s="108"/>
    </row>
    <row r="195" spans="6:6">
      <c r="F195" s="108"/>
    </row>
    <row r="196" spans="6:6">
      <c r="F196" s="108"/>
    </row>
    <row r="197" spans="6:6">
      <c r="F197" s="108"/>
    </row>
    <row r="198" spans="6:6">
      <c r="F198" s="108"/>
    </row>
    <row r="199" spans="6:6">
      <c r="F199" s="108"/>
    </row>
    <row r="200" spans="6:6">
      <c r="F200" s="108"/>
    </row>
    <row r="201" spans="6:6">
      <c r="F201" s="108"/>
    </row>
    <row r="202" spans="6:6">
      <c r="F202" s="108"/>
    </row>
    <row r="203" spans="6:6">
      <c r="F203" s="108"/>
    </row>
    <row r="204" spans="6:6">
      <c r="F204" s="108"/>
    </row>
    <row r="205" spans="6:6">
      <c r="F205" s="108"/>
    </row>
    <row r="206" spans="6:6">
      <c r="F206" s="108"/>
    </row>
    <row r="207" spans="6:6">
      <c r="F207" s="108"/>
    </row>
    <row r="208" spans="6:6">
      <c r="F208" s="108"/>
    </row>
    <row r="209" spans="6:6">
      <c r="F209" s="108"/>
    </row>
    <row r="210" spans="6:6">
      <c r="F210" s="108"/>
    </row>
    <row r="211" spans="6:6">
      <c r="F211" s="108"/>
    </row>
    <row r="212" spans="6:6">
      <c r="F212" s="108"/>
    </row>
    <row r="213" spans="6:6">
      <c r="F213" s="108"/>
    </row>
    <row r="214" spans="6:6">
      <c r="F214" s="108"/>
    </row>
    <row r="215" spans="6:6">
      <c r="F215" s="108"/>
    </row>
    <row r="216" spans="6:6">
      <c r="F216" s="108"/>
    </row>
    <row r="217" spans="6:6">
      <c r="F217" s="108"/>
    </row>
    <row r="218" spans="6:6">
      <c r="F218" s="108"/>
    </row>
    <row r="219" spans="6:6">
      <c r="F219" s="108"/>
    </row>
    <row r="220" spans="6:6">
      <c r="F220" s="108"/>
    </row>
    <row r="221" spans="6:6">
      <c r="F221" s="108"/>
    </row>
    <row r="222" spans="6:6">
      <c r="F222" s="108"/>
    </row>
    <row r="223" spans="6:6">
      <c r="F223" s="108"/>
    </row>
    <row r="224" spans="6:6">
      <c r="F224" s="108"/>
    </row>
    <row r="225" spans="6:6">
      <c r="F225" s="108"/>
    </row>
    <row r="226" spans="6:6">
      <c r="F226" s="108"/>
    </row>
    <row r="227" spans="6:6">
      <c r="F227" s="108"/>
    </row>
    <row r="228" spans="6:6">
      <c r="F228" s="108"/>
    </row>
    <row r="229" spans="6:6">
      <c r="F229" s="108"/>
    </row>
    <row r="230" spans="6:6">
      <c r="F230" s="108"/>
    </row>
    <row r="231" spans="6:6">
      <c r="F231" s="108"/>
    </row>
    <row r="232" spans="6:6">
      <c r="F232" s="108"/>
    </row>
    <row r="233" spans="6:6">
      <c r="F233" s="108"/>
    </row>
    <row r="234" spans="6:6">
      <c r="F234" s="108"/>
    </row>
    <row r="235" spans="6:6">
      <c r="F235" s="108"/>
    </row>
    <row r="236" spans="6:6">
      <c r="F236" s="108"/>
    </row>
    <row r="237" spans="6:6">
      <c r="F237" s="108"/>
    </row>
    <row r="238" spans="6:6">
      <c r="F238" s="108"/>
    </row>
    <row r="239" spans="6:6">
      <c r="F239" s="108"/>
    </row>
    <row r="240" spans="6:6">
      <c r="F240" s="108"/>
    </row>
    <row r="241" spans="6:6">
      <c r="F241" s="108"/>
    </row>
    <row r="242" spans="6:6">
      <c r="F242" s="108"/>
    </row>
    <row r="243" spans="6:6">
      <c r="F243" s="108"/>
    </row>
    <row r="244" spans="6:6">
      <c r="F244" s="108"/>
    </row>
    <row r="245" spans="6:6">
      <c r="F245" s="108"/>
    </row>
    <row r="246" spans="6:6">
      <c r="F246" s="108"/>
    </row>
    <row r="247" spans="6:6">
      <c r="F247" s="108"/>
    </row>
    <row r="248" spans="6:6">
      <c r="F248" s="108"/>
    </row>
    <row r="249" spans="6:6">
      <c r="F249" s="108"/>
    </row>
    <row r="250" spans="6:6">
      <c r="F250" s="108"/>
    </row>
    <row r="251" spans="6:6">
      <c r="F251" s="108"/>
    </row>
    <row r="252" spans="6:6">
      <c r="F252" s="108"/>
    </row>
    <row r="253" spans="6:6">
      <c r="F253" s="108"/>
    </row>
    <row r="254" spans="6:6">
      <c r="F254" s="108"/>
    </row>
    <row r="255" spans="6:6">
      <c r="F255" s="108"/>
    </row>
    <row r="256" spans="6:6">
      <c r="F256" s="108"/>
    </row>
    <row r="257" spans="6:6">
      <c r="F257" s="108"/>
    </row>
    <row r="258" spans="6:6">
      <c r="F258" s="108"/>
    </row>
    <row r="259" spans="6:6">
      <c r="F259" s="108"/>
    </row>
    <row r="260" spans="6:6">
      <c r="F260" s="108"/>
    </row>
    <row r="261" spans="6:6">
      <c r="F261" s="108"/>
    </row>
    <row r="262" spans="6:6">
      <c r="F262" s="108"/>
    </row>
    <row r="263" spans="6:6">
      <c r="F263" s="108"/>
    </row>
    <row r="264" spans="6:6">
      <c r="F264" s="108"/>
    </row>
    <row r="265" spans="6:6">
      <c r="F265" s="108"/>
    </row>
    <row r="266" spans="6:6">
      <c r="F266" s="108"/>
    </row>
    <row r="267" spans="6:6">
      <c r="F267" s="108"/>
    </row>
    <row r="268" spans="6:6">
      <c r="F268" s="108"/>
    </row>
    <row r="269" spans="6:6">
      <c r="F269" s="108"/>
    </row>
    <row r="270" spans="6:6">
      <c r="F270" s="108"/>
    </row>
    <row r="271" spans="6:6">
      <c r="F271" s="108"/>
    </row>
    <row r="272" spans="6:6">
      <c r="F272" s="108"/>
    </row>
    <row r="273" spans="6:6">
      <c r="F273" s="108"/>
    </row>
    <row r="274" spans="6:6">
      <c r="F274" s="108"/>
    </row>
    <row r="275" spans="6:6">
      <c r="F275" s="108"/>
    </row>
    <row r="276" spans="6:6">
      <c r="F276" s="108"/>
    </row>
    <row r="277" spans="6:6">
      <c r="F277" s="108"/>
    </row>
    <row r="278" spans="6:6">
      <c r="F278" s="108"/>
    </row>
    <row r="279" spans="6:6">
      <c r="F279" s="108"/>
    </row>
    <row r="280" spans="6:6">
      <c r="F280" s="108"/>
    </row>
    <row r="281" spans="6:6">
      <c r="F281" s="108"/>
    </row>
    <row r="282" spans="6:6">
      <c r="F282" s="108"/>
    </row>
    <row r="283" spans="6:6">
      <c r="F283" s="108"/>
    </row>
    <row r="284" spans="6:6">
      <c r="F284" s="108"/>
    </row>
    <row r="285" spans="6:6">
      <c r="F285" s="108"/>
    </row>
    <row r="286" spans="6:6">
      <c r="F286" s="108"/>
    </row>
    <row r="287" spans="6:6">
      <c r="F287" s="108"/>
    </row>
    <row r="288" spans="6:6">
      <c r="F288" s="108"/>
    </row>
    <row r="289" spans="6:6">
      <c r="F289" s="108"/>
    </row>
    <row r="290" spans="6:6">
      <c r="F290" s="108"/>
    </row>
    <row r="291" spans="6:6">
      <c r="F291" s="108"/>
    </row>
    <row r="292" spans="6:6">
      <c r="F292" s="108"/>
    </row>
    <row r="293" spans="6:6">
      <c r="F293" s="108"/>
    </row>
    <row r="294" spans="6:6">
      <c r="F294" s="108"/>
    </row>
    <row r="295" spans="6:6">
      <c r="F295" s="108"/>
    </row>
    <row r="296" spans="6:6">
      <c r="F296" s="108"/>
    </row>
    <row r="297" spans="6:6">
      <c r="F297" s="108"/>
    </row>
    <row r="298" spans="6:6">
      <c r="F298" s="108"/>
    </row>
    <row r="299" spans="6:6">
      <c r="F299" s="108"/>
    </row>
    <row r="300" spans="6:6">
      <c r="F300" s="108"/>
    </row>
    <row r="301" spans="6:6">
      <c r="F301" s="108"/>
    </row>
    <row r="302" spans="6:6">
      <c r="F302" s="108"/>
    </row>
    <row r="303" spans="6:6">
      <c r="F303" s="108"/>
    </row>
    <row r="304" spans="6:6">
      <c r="F304" s="108"/>
    </row>
    <row r="305" spans="6:6">
      <c r="F305" s="108"/>
    </row>
    <row r="306" spans="6:6">
      <c r="F306" s="108"/>
    </row>
    <row r="307" spans="6:6">
      <c r="F307" s="108"/>
    </row>
    <row r="308" spans="6:6">
      <c r="F308" s="108"/>
    </row>
    <row r="309" spans="6:6">
      <c r="F309" s="108"/>
    </row>
    <row r="310" spans="6:6">
      <c r="F310" s="108"/>
    </row>
    <row r="311" spans="6:6">
      <c r="F311" s="108"/>
    </row>
    <row r="312" spans="6:6">
      <c r="F312" s="108"/>
    </row>
    <row r="313" spans="6:6">
      <c r="F313" s="108"/>
    </row>
    <row r="314" spans="6:6">
      <c r="F314" s="108"/>
    </row>
    <row r="315" spans="6:6">
      <c r="F315" s="108"/>
    </row>
    <row r="316" spans="6:6">
      <c r="F316" s="108"/>
    </row>
    <row r="317" spans="6:6">
      <c r="F317" s="108"/>
    </row>
    <row r="318" spans="6:6">
      <c r="F318" s="108"/>
    </row>
    <row r="319" spans="6:6">
      <c r="F319" s="108"/>
    </row>
    <row r="320" spans="6:6">
      <c r="F320" s="108"/>
    </row>
    <row r="321" spans="6:6">
      <c r="F321" s="108"/>
    </row>
    <row r="322" spans="6:6">
      <c r="F322" s="108"/>
    </row>
    <row r="323" spans="6:6">
      <c r="F323" s="108"/>
    </row>
    <row r="324" spans="6:6">
      <c r="F324" s="108"/>
    </row>
    <row r="325" spans="6:6">
      <c r="F325" s="108"/>
    </row>
    <row r="326" spans="6:6">
      <c r="F326" s="108"/>
    </row>
    <row r="327" spans="6:6">
      <c r="F327" s="108"/>
    </row>
    <row r="328" spans="6:6">
      <c r="F328" s="108"/>
    </row>
    <row r="329" spans="6:6">
      <c r="F329" s="108"/>
    </row>
    <row r="330" spans="6:6">
      <c r="F330" s="108"/>
    </row>
    <row r="331" spans="6:6">
      <c r="F331" s="108"/>
    </row>
    <row r="332" spans="6:6">
      <c r="F332" s="108"/>
    </row>
    <row r="333" spans="6:6">
      <c r="F333" s="108"/>
    </row>
    <row r="334" spans="6:6">
      <c r="F334" s="108"/>
    </row>
    <row r="335" spans="6:6">
      <c r="F335" s="108"/>
    </row>
    <row r="336" spans="6:6">
      <c r="F336" s="108"/>
    </row>
    <row r="337" spans="6:6">
      <c r="F337" s="108"/>
    </row>
    <row r="338" spans="6:6">
      <c r="F338" s="108"/>
    </row>
    <row r="339" spans="6:6">
      <c r="F339" s="108"/>
    </row>
    <row r="340" spans="6:6">
      <c r="F340" s="108"/>
    </row>
    <row r="341" spans="6:6">
      <c r="F341" s="108"/>
    </row>
    <row r="342" spans="6:6">
      <c r="F342" s="108"/>
    </row>
    <row r="343" spans="6:6">
      <c r="F343" s="108"/>
    </row>
    <row r="344" spans="6:6">
      <c r="F344" s="108"/>
    </row>
    <row r="345" spans="6:6">
      <c r="F345" s="108"/>
    </row>
    <row r="346" spans="6:6">
      <c r="F346" s="108"/>
    </row>
    <row r="347" spans="6:6">
      <c r="F347" s="108"/>
    </row>
    <row r="348" spans="6:6">
      <c r="F348" s="108"/>
    </row>
    <row r="349" spans="6:6">
      <c r="F349" s="108"/>
    </row>
    <row r="350" spans="6:6">
      <c r="F350" s="108"/>
    </row>
    <row r="351" spans="6:6">
      <c r="F351" s="108"/>
    </row>
    <row r="352" spans="6:6">
      <c r="F352" s="108"/>
    </row>
    <row r="353" spans="6:6">
      <c r="F353" s="108"/>
    </row>
    <row r="354" spans="6:6">
      <c r="F354" s="108"/>
    </row>
    <row r="355" spans="6:6">
      <c r="F355" s="108"/>
    </row>
    <row r="356" spans="6:6">
      <c r="F356" s="108"/>
    </row>
    <row r="357" spans="6:6">
      <c r="F357" s="108"/>
    </row>
    <row r="358" spans="6:6">
      <c r="F358" s="108"/>
    </row>
    <row r="359" spans="6:6">
      <c r="F359" s="108"/>
    </row>
    <row r="360" spans="6:6">
      <c r="F360" s="108"/>
    </row>
    <row r="361" spans="6:6">
      <c r="F361" s="108"/>
    </row>
    <row r="362" spans="6:6">
      <c r="F362" s="108"/>
    </row>
    <row r="363" spans="6:6">
      <c r="F363" s="108"/>
    </row>
    <row r="364" spans="6:6">
      <c r="F364" s="108"/>
    </row>
    <row r="365" spans="6:6">
      <c r="F365" s="108"/>
    </row>
    <row r="366" spans="6:6">
      <c r="F366" s="108"/>
    </row>
    <row r="367" spans="6:6">
      <c r="F367" s="108"/>
    </row>
    <row r="368" spans="6:6">
      <c r="F368" s="108"/>
    </row>
    <row r="369" spans="6:6">
      <c r="F369" s="108"/>
    </row>
    <row r="370" spans="6:6">
      <c r="F370" s="108"/>
    </row>
    <row r="371" spans="6:6">
      <c r="F371" s="108"/>
    </row>
    <row r="372" spans="6:6">
      <c r="F372" s="108"/>
    </row>
    <row r="373" spans="6:6">
      <c r="F373" s="108"/>
    </row>
    <row r="374" spans="6:6">
      <c r="F374" s="108"/>
    </row>
    <row r="375" spans="6:6">
      <c r="F375" s="108"/>
    </row>
    <row r="376" spans="6:6">
      <c r="F376" s="108"/>
    </row>
    <row r="377" spans="6:6">
      <c r="F377" s="108"/>
    </row>
    <row r="378" spans="6:6">
      <c r="F378" s="108"/>
    </row>
    <row r="379" spans="6:6">
      <c r="F379" s="108"/>
    </row>
    <row r="380" spans="6:6">
      <c r="F380" s="108"/>
    </row>
    <row r="381" spans="6:6">
      <c r="F381" s="108"/>
    </row>
    <row r="382" spans="6:6">
      <c r="F382" s="108"/>
    </row>
    <row r="383" spans="6:6">
      <c r="F383" s="108"/>
    </row>
    <row r="384" spans="6:6">
      <c r="F384" s="108"/>
    </row>
    <row r="385" spans="6:6">
      <c r="F385" s="108"/>
    </row>
    <row r="386" spans="6:6">
      <c r="F386" s="108"/>
    </row>
    <row r="387" spans="6:6">
      <c r="F387" s="108"/>
    </row>
    <row r="388" spans="6:6">
      <c r="F388" s="108"/>
    </row>
    <row r="389" spans="6:6">
      <c r="F389" s="108"/>
    </row>
    <row r="390" spans="6:6">
      <c r="F390" s="108"/>
    </row>
    <row r="391" spans="6:6">
      <c r="F391" s="108"/>
    </row>
    <row r="392" spans="6:6">
      <c r="F392" s="108"/>
    </row>
    <row r="393" spans="6:6">
      <c r="F393" s="108"/>
    </row>
    <row r="394" spans="6:6">
      <c r="F394" s="108"/>
    </row>
    <row r="395" spans="6:6">
      <c r="F395" s="108"/>
    </row>
    <row r="396" spans="6:6">
      <c r="F396" s="108"/>
    </row>
    <row r="397" spans="6:6">
      <c r="F397" s="108"/>
    </row>
    <row r="398" spans="6:6">
      <c r="F398" s="108"/>
    </row>
    <row r="399" spans="6:6">
      <c r="F399" s="108"/>
    </row>
    <row r="400" spans="6:6">
      <c r="F400" s="108"/>
    </row>
    <row r="401" spans="6:6">
      <c r="F401" s="108"/>
    </row>
    <row r="402" spans="6:6">
      <c r="F402" s="108"/>
    </row>
    <row r="403" spans="6:6">
      <c r="F403" s="108"/>
    </row>
    <row r="404" spans="6:6">
      <c r="F404" s="108"/>
    </row>
    <row r="405" spans="6:6">
      <c r="F405" s="108"/>
    </row>
    <row r="406" spans="6:6">
      <c r="F406" s="108"/>
    </row>
    <row r="407" spans="6:6">
      <c r="F407" s="108"/>
    </row>
    <row r="408" spans="6:6">
      <c r="F408" s="108"/>
    </row>
    <row r="409" spans="6:6">
      <c r="F409" s="108"/>
    </row>
    <row r="410" spans="6:6">
      <c r="F410" s="108"/>
    </row>
    <row r="411" spans="6:6">
      <c r="F411" s="108"/>
    </row>
    <row r="412" spans="6:6">
      <c r="F412" s="108"/>
    </row>
    <row r="413" spans="6:6">
      <c r="F413" s="108"/>
    </row>
    <row r="414" spans="6:6">
      <c r="F414" s="108"/>
    </row>
    <row r="415" spans="6:6">
      <c r="F415" s="108"/>
    </row>
    <row r="416" spans="6:6">
      <c r="F416" s="108"/>
    </row>
    <row r="417" spans="6:6">
      <c r="F417" s="108"/>
    </row>
    <row r="418" spans="6:6">
      <c r="F418" s="108"/>
    </row>
    <row r="419" spans="6:6">
      <c r="F419" s="108"/>
    </row>
    <row r="420" spans="6:6">
      <c r="F420" s="108"/>
    </row>
    <row r="421" spans="6:6">
      <c r="F421" s="108"/>
    </row>
    <row r="422" spans="6:6">
      <c r="F422" s="108"/>
    </row>
    <row r="423" spans="6:6">
      <c r="F423" s="108"/>
    </row>
    <row r="424" spans="6:6">
      <c r="F424" s="108"/>
    </row>
    <row r="425" spans="6:6">
      <c r="F425" s="108"/>
    </row>
    <row r="426" spans="6:6">
      <c r="F426" s="108"/>
    </row>
    <row r="427" spans="6:6">
      <c r="F427" s="108"/>
    </row>
    <row r="428" spans="6:6">
      <c r="F428" s="108"/>
    </row>
    <row r="429" spans="6:6">
      <c r="F429" s="108"/>
    </row>
    <row r="430" spans="6:6">
      <c r="F430" s="108"/>
    </row>
    <row r="431" spans="6:6">
      <c r="F431" s="108"/>
    </row>
    <row r="432" spans="6:6">
      <c r="F432" s="108"/>
    </row>
    <row r="433" spans="6:6">
      <c r="F433" s="108"/>
    </row>
    <row r="434" spans="6:6">
      <c r="F434" s="108"/>
    </row>
    <row r="435" spans="6:6">
      <c r="F435" s="108"/>
    </row>
    <row r="436" spans="6:6">
      <c r="F436" s="108"/>
    </row>
    <row r="437" spans="6:6">
      <c r="F437" s="108"/>
    </row>
    <row r="438" spans="6:6">
      <c r="F438" s="108"/>
    </row>
    <row r="439" spans="6:6">
      <c r="F439" s="108"/>
    </row>
    <row r="440" spans="6:6">
      <c r="F440" s="108"/>
    </row>
    <row r="441" spans="6:6">
      <c r="F441" s="108"/>
    </row>
    <row r="442" spans="6:6">
      <c r="F442" s="108"/>
    </row>
    <row r="443" spans="6:6">
      <c r="F443" s="108"/>
    </row>
    <row r="444" spans="6:6">
      <c r="F444" s="108"/>
    </row>
    <row r="445" spans="6:6">
      <c r="F445" s="108"/>
    </row>
    <row r="446" spans="6:6">
      <c r="F446" s="108"/>
    </row>
    <row r="447" spans="6:6">
      <c r="F447" s="108"/>
    </row>
    <row r="448" spans="6:6">
      <c r="F448" s="108"/>
    </row>
    <row r="449" spans="6:6">
      <c r="F449" s="108"/>
    </row>
    <row r="450" spans="6:6">
      <c r="F450" s="108"/>
    </row>
    <row r="451" spans="6:6">
      <c r="F451" s="108"/>
    </row>
    <row r="452" spans="6:6">
      <c r="F452" s="108"/>
    </row>
    <row r="453" spans="6:6">
      <c r="F453" s="108"/>
    </row>
    <row r="454" spans="6:6">
      <c r="F454" s="108"/>
    </row>
    <row r="455" spans="6:6">
      <c r="F455" s="108"/>
    </row>
    <row r="456" spans="6:6">
      <c r="F456" s="108"/>
    </row>
    <row r="457" spans="6:6">
      <c r="F457" s="108"/>
    </row>
    <row r="458" spans="6:6">
      <c r="F458" s="108"/>
    </row>
    <row r="459" spans="6:6">
      <c r="F459" s="108"/>
    </row>
    <row r="460" spans="6:6">
      <c r="F460" s="108"/>
    </row>
    <row r="461" spans="6:6">
      <c r="F461" s="108"/>
    </row>
    <row r="462" spans="6:6">
      <c r="F462" s="108"/>
    </row>
    <row r="463" spans="6:6">
      <c r="F463" s="108"/>
    </row>
    <row r="464" spans="6:6">
      <c r="F464" s="108"/>
    </row>
    <row r="465" spans="6:6">
      <c r="F465" s="108"/>
    </row>
    <row r="466" spans="6:6">
      <c r="F466" s="108"/>
    </row>
    <row r="467" spans="6:6">
      <c r="F467" s="108"/>
    </row>
    <row r="468" spans="6:6">
      <c r="F468" s="108"/>
    </row>
    <row r="469" spans="6:6">
      <c r="F469" s="108"/>
    </row>
    <row r="470" spans="6:6">
      <c r="F470" s="108"/>
    </row>
    <row r="471" spans="6:6">
      <c r="F471" s="108"/>
    </row>
    <row r="472" spans="6:6">
      <c r="F472" s="108"/>
    </row>
    <row r="473" spans="6:6">
      <c r="F473" s="108"/>
    </row>
    <row r="474" spans="6:6">
      <c r="F474" s="108"/>
    </row>
    <row r="475" spans="6:6">
      <c r="F475" s="108"/>
    </row>
    <row r="476" spans="6:6">
      <c r="F476" s="108"/>
    </row>
    <row r="477" spans="6:6">
      <c r="F477" s="108"/>
    </row>
    <row r="478" spans="6:6">
      <c r="F478" s="108"/>
    </row>
    <row r="479" spans="6:6">
      <c r="F479" s="108"/>
    </row>
    <row r="480" spans="6:6">
      <c r="F480" s="108"/>
    </row>
    <row r="481" spans="6:6">
      <c r="F481" s="108"/>
    </row>
    <row r="482" spans="6:6">
      <c r="F482" s="108"/>
    </row>
    <row r="483" spans="6:6">
      <c r="F483" s="108"/>
    </row>
    <row r="484" spans="6:6">
      <c r="F484" s="108"/>
    </row>
    <row r="485" spans="6:6">
      <c r="F485" s="108"/>
    </row>
    <row r="486" spans="6:6">
      <c r="F486" s="108"/>
    </row>
    <row r="487" spans="6:6">
      <c r="F487" s="108"/>
    </row>
    <row r="488" spans="6:6">
      <c r="F488" s="108"/>
    </row>
    <row r="489" spans="6:6">
      <c r="F489" s="108"/>
    </row>
    <row r="490" spans="6:6">
      <c r="F490" s="108"/>
    </row>
    <row r="491" spans="6:6">
      <c r="F491" s="108"/>
    </row>
    <row r="492" spans="6:6">
      <c r="F492" s="108"/>
    </row>
    <row r="493" spans="6:6">
      <c r="F493" s="108"/>
    </row>
    <row r="494" spans="6:6">
      <c r="F494" s="108"/>
    </row>
    <row r="495" spans="6:6">
      <c r="F495" s="108"/>
    </row>
    <row r="496" spans="6:6">
      <c r="F496" s="108"/>
    </row>
    <row r="497" spans="6:6">
      <c r="F497" s="108"/>
    </row>
    <row r="498" spans="6:6">
      <c r="F498" s="108"/>
    </row>
    <row r="499" spans="6:6">
      <c r="F499" s="108"/>
    </row>
    <row r="500" spans="6:6">
      <c r="F500" s="108"/>
    </row>
    <row r="501" spans="6:6">
      <c r="F501" s="108"/>
    </row>
    <row r="502" spans="6:6">
      <c r="F502" s="108"/>
    </row>
    <row r="503" spans="6:6">
      <c r="F503" s="108"/>
    </row>
    <row r="504" spans="6:6">
      <c r="F504" s="108"/>
    </row>
    <row r="505" spans="6:6">
      <c r="F505" s="108"/>
    </row>
    <row r="506" spans="6:6">
      <c r="F506" s="108"/>
    </row>
    <row r="507" spans="6:6">
      <c r="F507" s="108"/>
    </row>
    <row r="508" spans="6:6">
      <c r="F508" s="108"/>
    </row>
    <row r="509" spans="6:6">
      <c r="F509" s="108"/>
    </row>
    <row r="510" spans="6:6">
      <c r="F510" s="108"/>
    </row>
    <row r="511" spans="6:6">
      <c r="F511" s="108"/>
    </row>
    <row r="512" spans="6:6">
      <c r="F512" s="108"/>
    </row>
    <row r="513" spans="6:6">
      <c r="F513" s="108"/>
    </row>
    <row r="514" spans="6:6">
      <c r="F514" s="108"/>
    </row>
    <row r="515" spans="6:6">
      <c r="F515" s="108"/>
    </row>
    <row r="516" spans="6:6">
      <c r="F516" s="108"/>
    </row>
    <row r="517" spans="6:6">
      <c r="F517" s="108"/>
    </row>
    <row r="518" spans="6:6">
      <c r="F518" s="108"/>
    </row>
    <row r="519" spans="6:6">
      <c r="F519" s="108"/>
    </row>
    <row r="520" spans="6:6">
      <c r="F520" s="108"/>
    </row>
    <row r="521" spans="6:6">
      <c r="F521" s="108"/>
    </row>
    <row r="522" spans="6:6">
      <c r="F522" s="108"/>
    </row>
    <row r="523" spans="6:6">
      <c r="F523" s="108"/>
    </row>
    <row r="524" spans="6:6">
      <c r="F524" s="108"/>
    </row>
    <row r="525" spans="6:6">
      <c r="F525" s="108"/>
    </row>
    <row r="526" spans="6:6">
      <c r="F526" s="108"/>
    </row>
    <row r="527" spans="6:6">
      <c r="F527" s="108"/>
    </row>
    <row r="528" spans="6:6">
      <c r="F528" s="108"/>
    </row>
    <row r="529" spans="6:6">
      <c r="F529" s="108"/>
    </row>
    <row r="530" spans="6:6">
      <c r="F530" s="108"/>
    </row>
    <row r="531" spans="6:6">
      <c r="F531" s="108"/>
    </row>
    <row r="532" spans="6:6">
      <c r="F532" s="108"/>
    </row>
    <row r="533" spans="6:6">
      <c r="F533" s="108"/>
    </row>
    <row r="534" spans="6:6">
      <c r="F534" s="108"/>
    </row>
    <row r="535" spans="6:6">
      <c r="F535" s="108"/>
    </row>
    <row r="536" spans="6:6">
      <c r="F536" s="108"/>
    </row>
    <row r="537" spans="6:6">
      <c r="F537" s="108"/>
    </row>
    <row r="538" spans="6:6">
      <c r="F538" s="108"/>
    </row>
    <row r="539" spans="6:6">
      <c r="F539" s="108"/>
    </row>
    <row r="540" spans="6:6">
      <c r="F540" s="108"/>
    </row>
    <row r="541" spans="6:6">
      <c r="F541" s="108"/>
    </row>
    <row r="542" spans="6:6">
      <c r="F542" s="108"/>
    </row>
    <row r="543" spans="6:6">
      <c r="F543" s="108"/>
    </row>
    <row r="544" spans="6:6">
      <c r="F544" s="108"/>
    </row>
    <row r="545" spans="6:6">
      <c r="F545" s="108"/>
    </row>
    <row r="546" spans="6:6">
      <c r="F546" s="108"/>
    </row>
    <row r="547" spans="6:6">
      <c r="F547" s="108"/>
    </row>
    <row r="548" spans="6:6">
      <c r="F548" s="108"/>
    </row>
    <row r="549" spans="6:6">
      <c r="F549" s="108"/>
    </row>
    <row r="550" spans="6:6">
      <c r="F550" s="108"/>
    </row>
    <row r="551" spans="6:6">
      <c r="F551" s="108"/>
    </row>
    <row r="552" spans="6:6">
      <c r="F552" s="108"/>
    </row>
    <row r="553" spans="6:6">
      <c r="F553" s="108"/>
    </row>
    <row r="554" spans="6:6">
      <c r="F554" s="108"/>
    </row>
    <row r="555" spans="6:6">
      <c r="F555" s="108"/>
    </row>
    <row r="556" spans="6:6">
      <c r="F556" s="108"/>
    </row>
    <row r="557" spans="6:6">
      <c r="F557" s="108"/>
    </row>
    <row r="558" spans="6:6">
      <c r="F558" s="108"/>
    </row>
    <row r="559" spans="6:6">
      <c r="F559" s="108"/>
    </row>
    <row r="560" spans="6:6">
      <c r="F560" s="108"/>
    </row>
    <row r="561" spans="6:6">
      <c r="F561" s="108"/>
    </row>
    <row r="562" spans="6:6">
      <c r="F562" s="108"/>
    </row>
    <row r="563" spans="6:6">
      <c r="F563" s="108"/>
    </row>
    <row r="564" spans="6:6">
      <c r="F564" s="108"/>
    </row>
    <row r="565" spans="6:6">
      <c r="F565" s="108"/>
    </row>
    <row r="566" spans="6:6">
      <c r="F566" s="108"/>
    </row>
    <row r="567" spans="6:6">
      <c r="F567" s="108"/>
    </row>
    <row r="568" spans="6:6">
      <c r="F568" s="108"/>
    </row>
    <row r="569" spans="6:6">
      <c r="F569" s="108"/>
    </row>
    <row r="570" spans="6:6">
      <c r="F570" s="108"/>
    </row>
    <row r="571" spans="6:6">
      <c r="F571" s="108"/>
    </row>
    <row r="572" spans="6:6">
      <c r="F572" s="108"/>
    </row>
    <row r="573" spans="6:6">
      <c r="F573" s="108"/>
    </row>
    <row r="574" spans="6:6">
      <c r="F574" s="108"/>
    </row>
    <row r="575" spans="6:6">
      <c r="F575" s="108"/>
    </row>
    <row r="576" spans="6:6">
      <c r="F576" s="108"/>
    </row>
    <row r="577" spans="6:6">
      <c r="F577" s="108"/>
    </row>
    <row r="578" spans="6:6">
      <c r="F578" s="108"/>
    </row>
    <row r="579" spans="6:6">
      <c r="F579" s="108"/>
    </row>
    <row r="580" spans="6:6">
      <c r="F580" s="108"/>
    </row>
    <row r="581" spans="6:6">
      <c r="F581" s="108"/>
    </row>
    <row r="582" spans="6:6">
      <c r="F582" s="108"/>
    </row>
    <row r="583" spans="6:6">
      <c r="F583" s="108"/>
    </row>
    <row r="584" spans="6:6">
      <c r="F584" s="108"/>
    </row>
    <row r="585" spans="6:6">
      <c r="F585" s="108"/>
    </row>
    <row r="586" spans="6:6">
      <c r="F586" s="108"/>
    </row>
    <row r="587" spans="6:6">
      <c r="F587" s="108"/>
    </row>
    <row r="588" spans="6:6">
      <c r="F588" s="108"/>
    </row>
    <row r="589" spans="6:6">
      <c r="F589" s="108"/>
    </row>
    <row r="590" spans="6:6">
      <c r="F590" s="108"/>
    </row>
    <row r="591" spans="6:6">
      <c r="F591" s="108"/>
    </row>
    <row r="592" spans="6:6">
      <c r="F592" s="108"/>
    </row>
    <row r="593" spans="6:6">
      <c r="F593" s="108"/>
    </row>
    <row r="594" spans="6:6">
      <c r="F594" s="108"/>
    </row>
    <row r="595" spans="6:6">
      <c r="F595" s="108"/>
    </row>
    <row r="596" spans="6:6">
      <c r="F596" s="108"/>
    </row>
    <row r="597" spans="6:6">
      <c r="F597" s="108"/>
    </row>
    <row r="598" spans="6:6">
      <c r="F598" s="108"/>
    </row>
    <row r="599" spans="6:6">
      <c r="F599" s="108"/>
    </row>
    <row r="600" spans="6:6">
      <c r="F600" s="108"/>
    </row>
    <row r="601" spans="6:6">
      <c r="F601" s="108"/>
    </row>
    <row r="602" spans="6:6">
      <c r="F602" s="108"/>
    </row>
    <row r="603" spans="6:6">
      <c r="F603" s="108"/>
    </row>
    <row r="604" spans="6:6">
      <c r="F604" s="108"/>
    </row>
    <row r="605" spans="6:6">
      <c r="F605" s="108"/>
    </row>
    <row r="606" spans="6:6">
      <c r="F606" s="108"/>
    </row>
    <row r="607" spans="6:6">
      <c r="F607" s="108"/>
    </row>
    <row r="608" spans="6:6">
      <c r="F608" s="108"/>
    </row>
    <row r="609" spans="6:6">
      <c r="F609" s="108"/>
    </row>
    <row r="610" spans="6:6">
      <c r="F610" s="108"/>
    </row>
    <row r="611" spans="6:6">
      <c r="F611" s="108"/>
    </row>
    <row r="612" spans="6:6">
      <c r="F612" s="108"/>
    </row>
    <row r="613" spans="6:6">
      <c r="F613" s="108"/>
    </row>
    <row r="614" spans="6:6">
      <c r="F614" s="108"/>
    </row>
    <row r="615" spans="6:6">
      <c r="F615" s="108"/>
    </row>
    <row r="616" spans="6:6">
      <c r="F616" s="108"/>
    </row>
    <row r="617" spans="6:6">
      <c r="F617" s="108"/>
    </row>
    <row r="618" spans="6:6">
      <c r="F618" s="108"/>
    </row>
    <row r="619" spans="6:6">
      <c r="F619" s="108"/>
    </row>
    <row r="620" spans="6:6">
      <c r="F620" s="108"/>
    </row>
    <row r="621" spans="6:6">
      <c r="F621" s="108"/>
    </row>
    <row r="622" spans="6:6">
      <c r="F622" s="108"/>
    </row>
    <row r="623" spans="6:6">
      <c r="F623" s="108"/>
    </row>
    <row r="624" spans="6:6">
      <c r="F624" s="108"/>
    </row>
    <row r="625" spans="6:6">
      <c r="F625" s="108"/>
    </row>
    <row r="626" spans="6:6">
      <c r="F626" s="108"/>
    </row>
    <row r="627" spans="6:6">
      <c r="F627" s="108"/>
    </row>
    <row r="628" spans="6:6">
      <c r="F628" s="108"/>
    </row>
    <row r="629" spans="6:6">
      <c r="F629" s="108"/>
    </row>
    <row r="630" spans="6:6">
      <c r="F630" s="108"/>
    </row>
    <row r="631" spans="6:6">
      <c r="F631" s="108"/>
    </row>
    <row r="632" spans="6:6">
      <c r="F632" s="108"/>
    </row>
    <row r="633" spans="6:6">
      <c r="F633" s="108"/>
    </row>
    <row r="634" spans="6:6">
      <c r="F634" s="108"/>
    </row>
    <row r="635" spans="6:6">
      <c r="F635" s="108"/>
    </row>
    <row r="636" spans="6:6">
      <c r="F636" s="108"/>
    </row>
    <row r="637" spans="6:6">
      <c r="F637" s="108"/>
    </row>
    <row r="638" spans="6:6">
      <c r="F638" s="108"/>
    </row>
    <row r="639" spans="6:6">
      <c r="F639" s="108"/>
    </row>
    <row r="640" spans="6:6">
      <c r="F640" s="108"/>
    </row>
    <row r="641" spans="6:6">
      <c r="F641" s="108"/>
    </row>
    <row r="642" spans="6:6">
      <c r="F642" s="108"/>
    </row>
    <row r="643" spans="6:6">
      <c r="F643" s="108"/>
    </row>
    <row r="644" spans="6:6">
      <c r="F644" s="108"/>
    </row>
    <row r="645" spans="6:6">
      <c r="F645" s="108"/>
    </row>
    <row r="646" spans="6:6">
      <c r="F646" s="108"/>
    </row>
    <row r="647" spans="6:6">
      <c r="F647" s="108"/>
    </row>
    <row r="648" spans="6:6">
      <c r="F648" s="108"/>
    </row>
    <row r="649" spans="6:6">
      <c r="F649" s="108"/>
    </row>
    <row r="650" spans="6:6">
      <c r="F650" s="108"/>
    </row>
    <row r="651" spans="6:6">
      <c r="F651" s="108"/>
    </row>
    <row r="652" spans="6:6">
      <c r="F652" s="108"/>
    </row>
    <row r="653" spans="6:6">
      <c r="F653" s="108"/>
    </row>
    <row r="654" spans="6:6">
      <c r="F654" s="108"/>
    </row>
    <row r="655" spans="6:6">
      <c r="F655" s="108"/>
    </row>
    <row r="656" spans="6:6">
      <c r="F656" s="108"/>
    </row>
    <row r="657" spans="6:6">
      <c r="F657" s="108"/>
    </row>
    <row r="658" spans="6:6">
      <c r="F658" s="108"/>
    </row>
    <row r="659" spans="6:6">
      <c r="F659" s="108"/>
    </row>
    <row r="660" spans="6:6">
      <c r="F660" s="108"/>
    </row>
    <row r="661" spans="6:6">
      <c r="F661" s="108"/>
    </row>
    <row r="662" spans="6:6">
      <c r="F662" s="108"/>
    </row>
    <row r="663" spans="6:6">
      <c r="F663" s="108"/>
    </row>
    <row r="664" spans="6:6">
      <c r="F664" s="108"/>
    </row>
    <row r="665" spans="6:6">
      <c r="F665" s="108"/>
    </row>
    <row r="666" spans="6:6">
      <c r="F666" s="108"/>
    </row>
    <row r="667" spans="6:6">
      <c r="F667" s="108"/>
    </row>
    <row r="668" spans="6:6">
      <c r="F668" s="108"/>
    </row>
    <row r="669" spans="6:6">
      <c r="F669" s="108"/>
    </row>
    <row r="670" spans="6:6">
      <c r="F670" s="108"/>
    </row>
    <row r="671" spans="6:6">
      <c r="F671" s="108"/>
    </row>
    <row r="672" spans="6:6">
      <c r="F672" s="108"/>
    </row>
    <row r="673" spans="6:6">
      <c r="F673" s="108"/>
    </row>
    <row r="674" spans="6:6">
      <c r="F674" s="108"/>
    </row>
    <row r="675" spans="6:6">
      <c r="F675" s="108"/>
    </row>
    <row r="676" spans="6:6">
      <c r="F676" s="108"/>
    </row>
    <row r="677" spans="6:6">
      <c r="F677" s="108"/>
    </row>
    <row r="678" spans="6:6">
      <c r="F678" s="108"/>
    </row>
    <row r="679" spans="6:6">
      <c r="F679" s="108"/>
    </row>
    <row r="680" spans="6:6">
      <c r="F680" s="108"/>
    </row>
    <row r="681" spans="6:6">
      <c r="F681" s="108"/>
    </row>
    <row r="682" spans="6:6">
      <c r="F682" s="108"/>
    </row>
    <row r="683" spans="6:6">
      <c r="F683" s="108"/>
    </row>
    <row r="684" spans="6:6">
      <c r="F684" s="108"/>
    </row>
    <row r="685" spans="6:6">
      <c r="F685" s="108"/>
    </row>
    <row r="686" spans="6:6">
      <c r="F686" s="108"/>
    </row>
    <row r="687" spans="6:6">
      <c r="F687" s="108"/>
    </row>
    <row r="688" spans="6:6">
      <c r="F688" s="108"/>
    </row>
    <row r="689" spans="6:6">
      <c r="F689" s="108"/>
    </row>
    <row r="690" spans="6:6">
      <c r="F690" s="108"/>
    </row>
    <row r="691" spans="6:6">
      <c r="F691" s="108"/>
    </row>
    <row r="692" spans="6:6">
      <c r="F692" s="108"/>
    </row>
    <row r="693" spans="6:6">
      <c r="F693" s="108"/>
    </row>
    <row r="694" spans="6:6">
      <c r="F694" s="108"/>
    </row>
    <row r="695" spans="6:6">
      <c r="F695" s="108"/>
    </row>
    <row r="696" spans="6:6">
      <c r="F696" s="108"/>
    </row>
    <row r="697" spans="6:6">
      <c r="F697" s="108"/>
    </row>
    <row r="698" spans="6:6">
      <c r="F698" s="108"/>
    </row>
    <row r="699" spans="6:6">
      <c r="F699" s="108"/>
    </row>
    <row r="700" spans="6:6">
      <c r="F700" s="108"/>
    </row>
    <row r="701" spans="6:6">
      <c r="F701" s="108"/>
    </row>
    <row r="702" spans="6:6">
      <c r="F702" s="108"/>
    </row>
    <row r="703" spans="6:6">
      <c r="F703" s="108"/>
    </row>
    <row r="704" spans="6:6">
      <c r="F704" s="108"/>
    </row>
    <row r="705" spans="6:6">
      <c r="F705" s="108"/>
    </row>
    <row r="706" spans="6:6">
      <c r="F706" s="108"/>
    </row>
    <row r="707" spans="6:6">
      <c r="F707" s="108"/>
    </row>
    <row r="708" spans="6:6">
      <c r="F708" s="108"/>
    </row>
    <row r="709" spans="6:6">
      <c r="F709" s="108"/>
    </row>
    <row r="710" spans="6:6">
      <c r="F710" s="108"/>
    </row>
    <row r="711" spans="6:6">
      <c r="F711" s="108"/>
    </row>
    <row r="712" spans="6:6">
      <c r="F712" s="108"/>
    </row>
    <row r="713" spans="6:6">
      <c r="F713" s="108"/>
    </row>
    <row r="714" spans="6:6">
      <c r="F714" s="108"/>
    </row>
    <row r="715" spans="6:6">
      <c r="F715" s="108"/>
    </row>
    <row r="716" spans="6:6">
      <c r="F716" s="108"/>
    </row>
    <row r="717" spans="6:6">
      <c r="F717" s="108"/>
    </row>
    <row r="718" spans="6:6">
      <c r="F718" s="108"/>
    </row>
    <row r="719" spans="6:6">
      <c r="F719" s="108"/>
    </row>
    <row r="720" spans="6:6">
      <c r="F720" s="108"/>
    </row>
    <row r="721" spans="6:6">
      <c r="F721" s="108"/>
    </row>
    <row r="722" spans="6:6">
      <c r="F722" s="108"/>
    </row>
    <row r="723" spans="6:6">
      <c r="F723" s="108"/>
    </row>
    <row r="724" spans="6:6">
      <c r="F724" s="108"/>
    </row>
    <row r="725" spans="6:6">
      <c r="F725" s="108"/>
    </row>
    <row r="726" spans="6:6">
      <c r="F726" s="108"/>
    </row>
    <row r="727" spans="6:6">
      <c r="F727" s="108"/>
    </row>
    <row r="728" spans="6:6">
      <c r="F728" s="108"/>
    </row>
    <row r="729" spans="6:6">
      <c r="F729" s="108"/>
    </row>
    <row r="730" spans="6:6">
      <c r="F730" s="108"/>
    </row>
    <row r="731" spans="6:6">
      <c r="F731" s="108"/>
    </row>
    <row r="732" spans="6:6">
      <c r="F732" s="108"/>
    </row>
    <row r="733" spans="6:6">
      <c r="F733" s="108"/>
    </row>
    <row r="734" spans="6:6">
      <c r="F734" s="108"/>
    </row>
    <row r="735" spans="6:6">
      <c r="F735" s="108"/>
    </row>
    <row r="736" spans="6:6">
      <c r="F736" s="108"/>
    </row>
    <row r="737" spans="6:6">
      <c r="F737" s="108"/>
    </row>
    <row r="738" spans="6:6">
      <c r="F738" s="108"/>
    </row>
    <row r="739" spans="6:6">
      <c r="F739" s="108"/>
    </row>
    <row r="740" spans="6:6">
      <c r="F740" s="108"/>
    </row>
    <row r="741" spans="6:6">
      <c r="F741" s="108"/>
    </row>
    <row r="742" spans="6:6">
      <c r="F742" s="108"/>
    </row>
    <row r="743" spans="6:6">
      <c r="F743" s="108"/>
    </row>
    <row r="744" spans="6:6">
      <c r="F744" s="108"/>
    </row>
    <row r="745" spans="6:6">
      <c r="F745" s="108"/>
    </row>
    <row r="746" spans="6:6">
      <c r="F746" s="108"/>
    </row>
    <row r="747" spans="6:6">
      <c r="F747" s="108"/>
    </row>
    <row r="748" spans="6:6">
      <c r="F748" s="108"/>
    </row>
    <row r="749" spans="6:6">
      <c r="F749" s="108"/>
    </row>
    <row r="750" spans="6:6">
      <c r="F750" s="108"/>
    </row>
    <row r="751" spans="6:6">
      <c r="F751" s="108"/>
    </row>
    <row r="752" spans="6:6">
      <c r="F752" s="108"/>
    </row>
    <row r="753" spans="6:6">
      <c r="F753" s="108"/>
    </row>
    <row r="754" spans="6:6">
      <c r="F754" s="108"/>
    </row>
    <row r="755" spans="6:6">
      <c r="F755" s="108"/>
    </row>
    <row r="756" spans="6:6">
      <c r="F756" s="108"/>
    </row>
    <row r="757" spans="6:6">
      <c r="F757" s="108"/>
    </row>
    <row r="758" spans="6:6">
      <c r="F758" s="108"/>
    </row>
    <row r="759" spans="6:6">
      <c r="F759" s="108"/>
    </row>
    <row r="760" spans="6:6">
      <c r="F760" s="108"/>
    </row>
    <row r="761" spans="6:6">
      <c r="F761" s="108"/>
    </row>
    <row r="762" spans="6:6">
      <c r="F762" s="108"/>
    </row>
    <row r="763" spans="6:6">
      <c r="F763" s="108"/>
    </row>
    <row r="764" spans="6:6">
      <c r="F764" s="108"/>
    </row>
    <row r="765" spans="6:6">
      <c r="F765" s="108"/>
    </row>
    <row r="766" spans="6:6">
      <c r="F766" s="108"/>
    </row>
    <row r="767" spans="6:6">
      <c r="F767" s="108"/>
    </row>
    <row r="768" spans="6:6">
      <c r="F768" s="108"/>
    </row>
    <row r="769" spans="6:6">
      <c r="F769" s="108"/>
    </row>
    <row r="770" spans="6:6">
      <c r="F770" s="108"/>
    </row>
    <row r="771" spans="6:6">
      <c r="F771" s="108"/>
    </row>
    <row r="772" spans="6:6">
      <c r="F772" s="108"/>
    </row>
    <row r="773" spans="6:6">
      <c r="F773" s="108"/>
    </row>
    <row r="774" spans="6:6">
      <c r="F774" s="108"/>
    </row>
    <row r="775" spans="6:6">
      <c r="F775" s="108"/>
    </row>
    <row r="776" spans="6:6">
      <c r="F776" s="108"/>
    </row>
    <row r="777" spans="6:6">
      <c r="F777" s="108"/>
    </row>
    <row r="778" spans="6:6">
      <c r="F778" s="108"/>
    </row>
    <row r="779" spans="6:6">
      <c r="F779" s="108"/>
    </row>
    <row r="780" spans="6:6">
      <c r="F780" s="108"/>
    </row>
    <row r="781" spans="6:6">
      <c r="F781" s="108"/>
    </row>
    <row r="782" spans="6:6">
      <c r="F782" s="108"/>
    </row>
    <row r="783" spans="6:6">
      <c r="F783" s="108"/>
    </row>
    <row r="784" spans="6:6">
      <c r="F784" s="108"/>
    </row>
    <row r="785" spans="6:6">
      <c r="F785" s="108"/>
    </row>
    <row r="786" spans="6:6">
      <c r="F786" s="108"/>
    </row>
    <row r="787" spans="6:6">
      <c r="F787" s="108"/>
    </row>
    <row r="788" spans="6:6">
      <c r="F788" s="108"/>
    </row>
    <row r="789" spans="6:6">
      <c r="F789" s="108"/>
    </row>
    <row r="790" spans="6:6">
      <c r="F790" s="108"/>
    </row>
    <row r="791" spans="6:6">
      <c r="F791" s="108"/>
    </row>
    <row r="792" spans="6:6">
      <c r="F792" s="108"/>
    </row>
    <row r="793" spans="6:6">
      <c r="F793" s="108"/>
    </row>
    <row r="794" spans="6:6">
      <c r="F794" s="108"/>
    </row>
    <row r="795" spans="6:6">
      <c r="F795" s="108"/>
    </row>
    <row r="796" spans="6:6">
      <c r="F796" s="108"/>
    </row>
    <row r="797" spans="6:6">
      <c r="F797" s="108"/>
    </row>
    <row r="798" spans="6:6">
      <c r="F798" s="108"/>
    </row>
    <row r="799" spans="6:6">
      <c r="F799" s="108"/>
    </row>
    <row r="800" spans="6:6">
      <c r="F800" s="108"/>
    </row>
    <row r="801" spans="6:6">
      <c r="F801" s="108"/>
    </row>
    <row r="802" spans="6:6">
      <c r="F802" s="108"/>
    </row>
    <row r="803" spans="6:6">
      <c r="F803" s="108"/>
    </row>
    <row r="804" spans="6:6">
      <c r="F804" s="108"/>
    </row>
    <row r="805" spans="6:6">
      <c r="F805" s="108"/>
    </row>
    <row r="806" spans="6:6">
      <c r="F806" s="108"/>
    </row>
    <row r="807" spans="6:6">
      <c r="F807" s="108"/>
    </row>
    <row r="808" spans="6:6">
      <c r="F808" s="108"/>
    </row>
    <row r="809" spans="6:6">
      <c r="F809" s="108"/>
    </row>
    <row r="810" spans="6:6">
      <c r="F810" s="108"/>
    </row>
    <row r="811" spans="6:6">
      <c r="F811" s="108"/>
    </row>
    <row r="812" spans="6:6">
      <c r="F812" s="108"/>
    </row>
    <row r="813" spans="6:6">
      <c r="F813" s="108"/>
    </row>
    <row r="814" spans="6:6">
      <c r="F814" s="108"/>
    </row>
    <row r="815" spans="6:6">
      <c r="F815" s="108"/>
    </row>
    <row r="816" spans="6:6">
      <c r="F816" s="108"/>
    </row>
    <row r="817" spans="6:6">
      <c r="F817" s="108"/>
    </row>
    <row r="818" spans="6:6">
      <c r="F818" s="108"/>
    </row>
    <row r="819" spans="6:6">
      <c r="F819" s="108"/>
    </row>
    <row r="820" spans="6:6">
      <c r="F820" s="108"/>
    </row>
    <row r="821" spans="6:6">
      <c r="F821" s="108"/>
    </row>
    <row r="822" spans="6:6">
      <c r="F822" s="108"/>
    </row>
    <row r="823" spans="6:6">
      <c r="F823" s="108"/>
    </row>
    <row r="824" spans="6:6">
      <c r="F824" s="108"/>
    </row>
    <row r="825" spans="6:6">
      <c r="F825" s="108"/>
    </row>
    <row r="826" spans="6:6">
      <c r="F826" s="108"/>
    </row>
    <row r="827" spans="6:6">
      <c r="F827" s="108"/>
    </row>
    <row r="828" spans="6:6">
      <c r="F828" s="108"/>
    </row>
    <row r="829" spans="6:6">
      <c r="F829" s="108"/>
    </row>
    <row r="830" spans="6:6">
      <c r="F830" s="108"/>
    </row>
    <row r="831" spans="6:6">
      <c r="F831" s="108"/>
    </row>
    <row r="832" spans="6:6">
      <c r="F832" s="108"/>
    </row>
    <row r="833" spans="6:6">
      <c r="F833" s="108"/>
    </row>
    <row r="834" spans="6:6">
      <c r="F834" s="108"/>
    </row>
    <row r="835" spans="6:6">
      <c r="F835" s="108"/>
    </row>
    <row r="836" spans="6:6">
      <c r="F836" s="108"/>
    </row>
    <row r="837" spans="6:6">
      <c r="F837" s="108"/>
    </row>
    <row r="838" spans="6:6">
      <c r="F838" s="108"/>
    </row>
    <row r="839" spans="6:6">
      <c r="F839" s="108"/>
    </row>
    <row r="840" spans="6:6">
      <c r="F840" s="108"/>
    </row>
    <row r="841" spans="6:6">
      <c r="F841" s="108"/>
    </row>
    <row r="842" spans="6:6">
      <c r="F842" s="108"/>
    </row>
    <row r="843" spans="6:6">
      <c r="F843" s="108"/>
    </row>
    <row r="844" spans="6:6">
      <c r="F844" s="108"/>
    </row>
    <row r="845" spans="6:6">
      <c r="F845" s="108"/>
    </row>
    <row r="846" spans="6:6">
      <c r="F846" s="108"/>
    </row>
    <row r="847" spans="6:6">
      <c r="F847" s="108"/>
    </row>
    <row r="848" spans="6:6">
      <c r="F848" s="108"/>
    </row>
    <row r="849" spans="6:6">
      <c r="F849" s="108"/>
    </row>
    <row r="850" spans="6:6">
      <c r="F850" s="108"/>
    </row>
    <row r="851" spans="6:6">
      <c r="F851" s="108"/>
    </row>
    <row r="852" spans="6:6">
      <c r="F852" s="108"/>
    </row>
    <row r="853" spans="6:6">
      <c r="F853" s="108"/>
    </row>
    <row r="854" spans="6:6">
      <c r="F854" s="108"/>
    </row>
    <row r="855" spans="6:6">
      <c r="F855" s="108"/>
    </row>
    <row r="856" spans="6:6">
      <c r="F856" s="108"/>
    </row>
    <row r="857" spans="6:6">
      <c r="F857" s="108"/>
    </row>
    <row r="858" spans="6:6">
      <c r="F858" s="108"/>
    </row>
    <row r="859" spans="6:6">
      <c r="F859" s="108"/>
    </row>
    <row r="860" spans="6:6">
      <c r="F860" s="108"/>
    </row>
    <row r="861" spans="6:6">
      <c r="F861" s="108"/>
    </row>
    <row r="862" spans="6:6">
      <c r="F862" s="108"/>
    </row>
    <row r="863" spans="6:6">
      <c r="F863" s="108"/>
    </row>
    <row r="864" spans="6:6">
      <c r="F864" s="108"/>
    </row>
    <row r="865" spans="6:6">
      <c r="F865" s="108"/>
    </row>
    <row r="866" spans="6:6">
      <c r="F866" s="108"/>
    </row>
    <row r="867" spans="6:6">
      <c r="F867" s="108"/>
    </row>
    <row r="868" spans="6:6">
      <c r="F868" s="108"/>
    </row>
    <row r="869" spans="6:6">
      <c r="F869" s="108"/>
    </row>
    <row r="870" spans="6:6">
      <c r="F870" s="108"/>
    </row>
    <row r="871" spans="6:6">
      <c r="F871" s="108"/>
    </row>
    <row r="872" spans="6:6">
      <c r="F872" s="108"/>
    </row>
    <row r="873" spans="6:6">
      <c r="F873" s="108"/>
    </row>
    <row r="874" spans="6:6">
      <c r="F874" s="108"/>
    </row>
    <row r="875" spans="6:6">
      <c r="F875" s="108"/>
    </row>
    <row r="876" spans="6:6">
      <c r="F876" s="108"/>
    </row>
    <row r="877" spans="6:6">
      <c r="F877" s="108"/>
    </row>
    <row r="878" spans="6:6">
      <c r="F878" s="108"/>
    </row>
    <row r="879" spans="6:6">
      <c r="F879" s="108"/>
    </row>
    <row r="880" spans="6:6">
      <c r="F880" s="108"/>
    </row>
    <row r="881" spans="6:6">
      <c r="F881" s="108"/>
    </row>
    <row r="882" spans="6:6">
      <c r="F882" s="108"/>
    </row>
    <row r="883" spans="6:6">
      <c r="F883" s="108"/>
    </row>
    <row r="884" spans="6:6">
      <c r="F884" s="108"/>
    </row>
    <row r="885" spans="6:6">
      <c r="F885" s="108"/>
    </row>
    <row r="886" spans="6:6">
      <c r="F886" s="108"/>
    </row>
    <row r="887" spans="6:6">
      <c r="F887" s="108"/>
    </row>
    <row r="888" spans="6:6">
      <c r="F888" s="108"/>
    </row>
    <row r="889" spans="6:6">
      <c r="F889" s="108"/>
    </row>
    <row r="890" spans="6:6">
      <c r="F890" s="108"/>
    </row>
    <row r="891" spans="6:6">
      <c r="F891" s="108"/>
    </row>
    <row r="892" spans="6:6">
      <c r="F892" s="108"/>
    </row>
    <row r="893" spans="6:6">
      <c r="F893" s="108"/>
    </row>
    <row r="894" spans="6:6">
      <c r="F894" s="108"/>
    </row>
    <row r="895" spans="6:6">
      <c r="F895" s="108"/>
    </row>
    <row r="896" spans="6:6">
      <c r="F896" s="108"/>
    </row>
    <row r="897" spans="6:6">
      <c r="F897" s="108"/>
    </row>
    <row r="898" spans="6:6">
      <c r="F898" s="108"/>
    </row>
    <row r="899" spans="6:6">
      <c r="F899" s="108"/>
    </row>
    <row r="900" spans="6:6">
      <c r="F900" s="108"/>
    </row>
    <row r="901" spans="6:6">
      <c r="F901" s="108"/>
    </row>
    <row r="902" spans="6:6">
      <c r="F902" s="108"/>
    </row>
    <row r="903" spans="6:6">
      <c r="F903" s="108"/>
    </row>
    <row r="904" spans="6:6">
      <c r="F904" s="108"/>
    </row>
    <row r="905" spans="6:6">
      <c r="F905" s="108"/>
    </row>
    <row r="906" spans="6:6">
      <c r="F906" s="108"/>
    </row>
    <row r="907" spans="6:6">
      <c r="F907" s="108"/>
    </row>
    <row r="908" spans="6:6">
      <c r="F908" s="108"/>
    </row>
    <row r="909" spans="6:6">
      <c r="F909" s="108"/>
    </row>
    <row r="910" spans="6:6">
      <c r="F910" s="108"/>
    </row>
    <row r="911" spans="6:6">
      <c r="F911" s="108"/>
    </row>
    <row r="912" spans="6:6">
      <c r="F912" s="108"/>
    </row>
    <row r="913" spans="6:6">
      <c r="F913" s="108"/>
    </row>
    <row r="914" spans="6:6">
      <c r="F914" s="108"/>
    </row>
    <row r="915" spans="6:6">
      <c r="F915" s="108"/>
    </row>
    <row r="916" spans="6:6">
      <c r="F916" s="108"/>
    </row>
    <row r="917" spans="6:6">
      <c r="F917" s="108"/>
    </row>
    <row r="918" spans="6:6">
      <c r="F918" s="108"/>
    </row>
    <row r="919" spans="6:6">
      <c r="F919" s="108"/>
    </row>
    <row r="920" spans="6:6">
      <c r="F920" s="108"/>
    </row>
    <row r="921" spans="6:6">
      <c r="F921" s="108"/>
    </row>
    <row r="922" spans="6:6">
      <c r="F922" s="108"/>
    </row>
    <row r="923" spans="6:6">
      <c r="F923" s="108"/>
    </row>
    <row r="924" spans="6:6">
      <c r="F924" s="108"/>
    </row>
    <row r="925" spans="6:6">
      <c r="F925" s="108"/>
    </row>
    <row r="926" spans="6:6">
      <c r="F926" s="108"/>
    </row>
    <row r="927" spans="6:6">
      <c r="F927" s="108"/>
    </row>
    <row r="928" spans="6:6">
      <c r="F928" s="108"/>
    </row>
    <row r="929" spans="6:6">
      <c r="F929" s="108"/>
    </row>
    <row r="930" spans="6:6">
      <c r="F930" s="108"/>
    </row>
    <row r="931" spans="6:6">
      <c r="F931" s="108"/>
    </row>
    <row r="932" spans="6:6">
      <c r="F932" s="108"/>
    </row>
    <row r="933" spans="6:6">
      <c r="F933" s="108"/>
    </row>
    <row r="934" spans="6:6">
      <c r="F934" s="108"/>
    </row>
    <row r="935" spans="6:6">
      <c r="F935" s="108"/>
    </row>
    <row r="936" spans="6:6">
      <c r="F936" s="108"/>
    </row>
    <row r="937" spans="6:6">
      <c r="F937" s="108"/>
    </row>
    <row r="938" spans="6:6">
      <c r="F938" s="108"/>
    </row>
    <row r="939" spans="6:6">
      <c r="F939" s="108"/>
    </row>
    <row r="940" spans="6:6">
      <c r="F940" s="108"/>
    </row>
    <row r="941" spans="6:6">
      <c r="F941" s="108"/>
    </row>
    <row r="942" spans="6:6">
      <c r="F942" s="108"/>
    </row>
    <row r="943" spans="6:6">
      <c r="F943" s="108"/>
    </row>
    <row r="944" spans="6:6">
      <c r="F944" s="108"/>
    </row>
    <row r="945" spans="6:6">
      <c r="F945" s="108"/>
    </row>
    <row r="946" spans="6:6">
      <c r="F946" s="108"/>
    </row>
    <row r="947" spans="6:6">
      <c r="F947" s="108"/>
    </row>
    <row r="948" spans="6:6">
      <c r="F948" s="108"/>
    </row>
    <row r="949" spans="6:6">
      <c r="F949" s="108"/>
    </row>
    <row r="950" spans="6:6">
      <c r="F950" s="108"/>
    </row>
    <row r="951" spans="6:6">
      <c r="F951" s="108"/>
    </row>
    <row r="952" spans="6:6">
      <c r="F952" s="108"/>
    </row>
    <row r="953" spans="6:6">
      <c r="F953" s="108"/>
    </row>
    <row r="954" spans="6:6">
      <c r="F954" s="108"/>
    </row>
    <row r="955" spans="6:6">
      <c r="F955" s="108"/>
    </row>
    <row r="956" spans="6:6">
      <c r="F956" s="108"/>
    </row>
    <row r="957" spans="6:6">
      <c r="F957" s="108"/>
    </row>
    <row r="958" spans="6:6">
      <c r="F958" s="108"/>
    </row>
    <row r="959" spans="6:6">
      <c r="F959" s="108"/>
    </row>
    <row r="960" spans="6:6">
      <c r="F960" s="108"/>
    </row>
    <row r="961" spans="6:6">
      <c r="F961" s="108"/>
    </row>
    <row r="962" spans="6:6">
      <c r="F962" s="108"/>
    </row>
    <row r="963" spans="6:6">
      <c r="F963" s="108"/>
    </row>
    <row r="964" spans="6:6">
      <c r="F964" s="108"/>
    </row>
    <row r="965" spans="6:6">
      <c r="F965" s="108"/>
    </row>
    <row r="966" spans="6:6">
      <c r="F966" s="108"/>
    </row>
    <row r="967" spans="6:6">
      <c r="F967" s="108"/>
    </row>
    <row r="968" spans="6:6">
      <c r="F968" s="108"/>
    </row>
    <row r="969" spans="6:6">
      <c r="F969" s="108"/>
    </row>
    <row r="970" spans="6:6">
      <c r="F970" s="108"/>
    </row>
    <row r="971" spans="6:6">
      <c r="F971" s="108"/>
    </row>
    <row r="972" spans="6:6">
      <c r="F972" s="108"/>
    </row>
    <row r="973" spans="6:6">
      <c r="F973" s="108"/>
    </row>
    <row r="974" spans="6:6">
      <c r="F974" s="108"/>
    </row>
    <row r="975" spans="6:6">
      <c r="F975" s="108"/>
    </row>
    <row r="976" spans="6:6">
      <c r="F976" s="108"/>
    </row>
    <row r="977" spans="6:6">
      <c r="F977" s="108"/>
    </row>
    <row r="978" spans="6:6">
      <c r="F978" s="108"/>
    </row>
    <row r="979" spans="6:6">
      <c r="F979" s="108"/>
    </row>
    <row r="980" spans="6:6">
      <c r="F980" s="108"/>
    </row>
    <row r="981" spans="6:6">
      <c r="F981" s="108"/>
    </row>
    <row r="982" spans="6:6">
      <c r="F982" s="108"/>
    </row>
    <row r="983" spans="6:6">
      <c r="F983" s="108"/>
    </row>
    <row r="984" spans="6:6">
      <c r="F984" s="108"/>
    </row>
    <row r="985" spans="6:6">
      <c r="F985" s="108"/>
    </row>
    <row r="986" spans="6:6">
      <c r="F986" s="108"/>
    </row>
    <row r="987" spans="6:6">
      <c r="F987" s="108"/>
    </row>
    <row r="988" spans="6:6">
      <c r="F988" s="108"/>
    </row>
    <row r="989" spans="6:6">
      <c r="F989" s="108"/>
    </row>
    <row r="990" spans="6:6">
      <c r="F990" s="108"/>
    </row>
    <row r="991" spans="6:6">
      <c r="F991" s="108"/>
    </row>
    <row r="992" spans="6:6">
      <c r="F992" s="108"/>
    </row>
    <row r="993" spans="6:6">
      <c r="F993" s="108"/>
    </row>
    <row r="994" spans="6:6">
      <c r="F994" s="108"/>
    </row>
    <row r="995" spans="6:6">
      <c r="F995" s="108"/>
    </row>
    <row r="996" spans="6:6">
      <c r="F996" s="108"/>
    </row>
    <row r="997" spans="6:6">
      <c r="F997" s="108"/>
    </row>
    <row r="998" spans="6:6">
      <c r="F998" s="108"/>
    </row>
    <row r="999" spans="6:6">
      <c r="F999" s="108"/>
    </row>
    <row r="1000" spans="6:6">
      <c r="F1000" s="108"/>
    </row>
    <row r="1001" spans="6:6">
      <c r="F1001" s="108"/>
    </row>
    <row r="1002" spans="6:6">
      <c r="F1002" s="108"/>
    </row>
    <row r="1003" spans="6:6">
      <c r="F1003" s="108"/>
    </row>
    <row r="1004" spans="6:6">
      <c r="F1004" s="108"/>
    </row>
    <row r="1005" spans="6:6">
      <c r="F1005" s="108"/>
    </row>
    <row r="1006" spans="6:6">
      <c r="F1006" s="108"/>
    </row>
    <row r="1007" spans="6:6">
      <c r="F1007" s="108"/>
    </row>
    <row r="1008" spans="6:6">
      <c r="F1008" s="108"/>
    </row>
    <row r="1009" spans="6:6">
      <c r="F1009" s="108"/>
    </row>
    <row r="1010" spans="6:6">
      <c r="F1010" s="108"/>
    </row>
    <row r="1011" spans="6:6">
      <c r="F1011" s="108"/>
    </row>
    <row r="1012" spans="6:6">
      <c r="F1012" s="108"/>
    </row>
    <row r="1013" spans="6:6">
      <c r="F1013" s="108"/>
    </row>
    <row r="1014" spans="6:6">
      <c r="F1014" s="108"/>
    </row>
    <row r="1015" spans="6:6">
      <c r="F1015" s="108"/>
    </row>
    <row r="1016" spans="6:6">
      <c r="F1016" s="108"/>
    </row>
    <row r="1017" spans="6:6">
      <c r="F1017" s="108"/>
    </row>
    <row r="1018" spans="6:6">
      <c r="F1018" s="108"/>
    </row>
    <row r="1019" spans="6:6">
      <c r="F1019" s="108"/>
    </row>
    <row r="1020" spans="6:6">
      <c r="F1020" s="108"/>
    </row>
    <row r="1021" spans="6:6">
      <c r="F1021" s="108"/>
    </row>
    <row r="1022" spans="6:6">
      <c r="F1022" s="108"/>
    </row>
    <row r="1023" spans="6:6">
      <c r="F1023" s="108"/>
    </row>
    <row r="1024" spans="6:6">
      <c r="F1024" s="108"/>
    </row>
    <row r="1025" spans="6:6">
      <c r="F1025" s="108"/>
    </row>
    <row r="1026" spans="6:6">
      <c r="F1026" s="108"/>
    </row>
    <row r="1027" spans="6:6">
      <c r="F1027" s="108"/>
    </row>
    <row r="1028" spans="6:6">
      <c r="F1028" s="108"/>
    </row>
    <row r="1029" spans="6:6">
      <c r="F1029" s="108"/>
    </row>
    <row r="1030" spans="6:6">
      <c r="F1030" s="108"/>
    </row>
    <row r="1031" spans="6:6">
      <c r="F1031" s="108"/>
    </row>
    <row r="1032" spans="6:6">
      <c r="F1032" s="108"/>
    </row>
    <row r="1033" spans="6:6">
      <c r="F1033" s="108"/>
    </row>
    <row r="1034" spans="6:6">
      <c r="F1034" s="108"/>
    </row>
    <row r="1035" spans="6:6">
      <c r="F1035" s="108"/>
    </row>
    <row r="1036" spans="6:6">
      <c r="F1036" s="108"/>
    </row>
    <row r="1037" spans="6:6">
      <c r="F1037" s="108"/>
    </row>
    <row r="1038" spans="6:6">
      <c r="F1038" s="108"/>
    </row>
    <row r="1039" spans="6:6">
      <c r="F1039" s="108"/>
    </row>
    <row r="1040" spans="6:6">
      <c r="F1040" s="108"/>
    </row>
    <row r="1041" spans="6:6">
      <c r="F1041" s="108"/>
    </row>
  </sheetData>
  <autoFilter ref="A3:J3" xr:uid="{00000000-0009-0000-0000-000005000000}">
    <sortState xmlns:xlrd2="http://schemas.microsoft.com/office/spreadsheetml/2017/richdata2" ref="A4:J95">
      <sortCondition ref="A3"/>
    </sortState>
  </autoFilter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Y1000"/>
  <sheetViews>
    <sheetView topLeftCell="A69" workbookViewId="0">
      <selection activeCell="E79" sqref="E79"/>
    </sheetView>
  </sheetViews>
  <sheetFormatPr defaultColWidth="14.453125" defaultRowHeight="15" customHeight="1"/>
  <cols>
    <col min="2" max="2" width="20.36328125" customWidth="1"/>
    <col min="3" max="3" width="36.08984375" customWidth="1"/>
    <col min="4" max="4" width="16.54296875" customWidth="1"/>
    <col min="8" max="8" width="20.54296875" customWidth="1"/>
    <col min="9" max="9" width="29.08984375" customWidth="1"/>
  </cols>
  <sheetData>
    <row r="1" spans="1:25" ht="14.5">
      <c r="A1" s="109" t="s">
        <v>0</v>
      </c>
      <c r="B1" s="109" t="s">
        <v>319</v>
      </c>
      <c r="C1" s="109" t="s">
        <v>320</v>
      </c>
      <c r="D1" s="109"/>
      <c r="E1" s="109"/>
      <c r="F1" s="110"/>
      <c r="G1" s="109"/>
      <c r="H1" s="109"/>
      <c r="I1" s="109"/>
      <c r="J1" s="111"/>
      <c r="K1" s="111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</row>
    <row r="2" spans="1:25" ht="14.5">
      <c r="A2" s="112" t="s">
        <v>2</v>
      </c>
      <c r="B2" s="113" t="s">
        <v>321</v>
      </c>
      <c r="C2" s="113"/>
      <c r="D2" s="113" t="s">
        <v>322</v>
      </c>
      <c r="E2" s="113"/>
      <c r="F2" s="114"/>
      <c r="G2" s="113"/>
      <c r="H2" s="113"/>
      <c r="I2" s="113"/>
      <c r="J2" s="115" t="s">
        <v>323</v>
      </c>
      <c r="K2" s="115" t="s">
        <v>324</v>
      </c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</row>
    <row r="3" spans="1:25" ht="15.5">
      <c r="A3" s="116" t="s">
        <v>6</v>
      </c>
      <c r="B3" s="117" t="s">
        <v>7</v>
      </c>
      <c r="C3" s="117" t="s">
        <v>8</v>
      </c>
      <c r="D3" s="117" t="s">
        <v>9</v>
      </c>
      <c r="E3" s="117" t="s">
        <v>10</v>
      </c>
      <c r="F3" s="118" t="s">
        <v>293</v>
      </c>
      <c r="G3" s="117" t="s">
        <v>13</v>
      </c>
      <c r="H3" s="119" t="s">
        <v>325</v>
      </c>
      <c r="I3" s="119" t="s">
        <v>326</v>
      </c>
      <c r="J3" s="120" t="s">
        <v>12</v>
      </c>
      <c r="K3" s="120" t="s">
        <v>12</v>
      </c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</row>
    <row r="4" spans="1:25" ht="15.5">
      <c r="A4" s="121">
        <v>1</v>
      </c>
      <c r="B4" s="122" t="s">
        <v>374</v>
      </c>
      <c r="C4" s="16" t="s">
        <v>375</v>
      </c>
      <c r="D4" s="122">
        <v>7</v>
      </c>
      <c r="E4" s="125">
        <f>SUM(31.2+14.3)</f>
        <v>45.5</v>
      </c>
      <c r="F4" s="125">
        <f t="shared" ref="F4:F35" si="0">E4/3.14</f>
        <v>14.490445859872612</v>
      </c>
      <c r="G4" s="126"/>
      <c r="H4" s="51">
        <v>0.4</v>
      </c>
      <c r="I4" s="51">
        <v>0.4</v>
      </c>
      <c r="J4" s="127">
        <f t="shared" ref="J4:J35" si="1">8.9857+0.0035*(F4)^2*(D4)</f>
        <v>14.130039019838533</v>
      </c>
      <c r="K4" s="128">
        <f t="shared" ref="K4:K35" si="2">0.0673*(I4*F4^2*D4)^0.976</f>
        <v>33.952587416425636</v>
      </c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</row>
    <row r="5" spans="1:25" ht="15.5">
      <c r="A5" s="121">
        <v>1</v>
      </c>
      <c r="B5" s="122" t="s">
        <v>374</v>
      </c>
      <c r="C5" s="16" t="s">
        <v>375</v>
      </c>
      <c r="D5" s="122">
        <v>7</v>
      </c>
      <c r="E5" s="125">
        <v>27.6</v>
      </c>
      <c r="F5" s="125">
        <f t="shared" si="0"/>
        <v>8.7898089171974529</v>
      </c>
      <c r="G5" s="126"/>
      <c r="H5" s="51">
        <v>0.4</v>
      </c>
      <c r="I5" s="51">
        <v>0.4</v>
      </c>
      <c r="J5" s="127">
        <f t="shared" si="1"/>
        <v>10.878588149620674</v>
      </c>
      <c r="K5" s="128">
        <f t="shared" si="2"/>
        <v>12.796439801745496</v>
      </c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</row>
    <row r="6" spans="1:25" ht="15.5">
      <c r="A6" s="121">
        <v>1</v>
      </c>
      <c r="B6" s="122" t="s">
        <v>332</v>
      </c>
      <c r="C6" s="16" t="s">
        <v>21</v>
      </c>
      <c r="D6" s="122">
        <v>8</v>
      </c>
      <c r="E6" s="125">
        <f>SUM(39.6+31.5)</f>
        <v>71.099999999999994</v>
      </c>
      <c r="F6" s="125">
        <f t="shared" si="0"/>
        <v>22.643312101910826</v>
      </c>
      <c r="G6" s="126"/>
      <c r="H6" s="51" t="s">
        <v>333</v>
      </c>
      <c r="I6" s="51">
        <f>AVERAGE(0.84,1.1)</f>
        <v>0.97</v>
      </c>
      <c r="J6" s="127">
        <f t="shared" si="1"/>
        <v>23.341848322447156</v>
      </c>
      <c r="K6" s="128">
        <f t="shared" si="2"/>
        <v>219.46379850969782</v>
      </c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</row>
    <row r="7" spans="1:25" ht="15.5">
      <c r="A7" s="121">
        <v>1</v>
      </c>
      <c r="B7" s="122" t="s">
        <v>297</v>
      </c>
      <c r="C7" s="16" t="s">
        <v>298</v>
      </c>
      <c r="D7" s="122">
        <v>3.5</v>
      </c>
      <c r="E7" s="124">
        <v>11.8</v>
      </c>
      <c r="F7" s="125">
        <f t="shared" si="0"/>
        <v>3.7579617834394905</v>
      </c>
      <c r="G7" s="126"/>
      <c r="H7" s="51" t="s">
        <v>347</v>
      </c>
      <c r="I7" s="51">
        <f>AVERAGE(0.75,1)</f>
        <v>0.875</v>
      </c>
      <c r="J7" s="127">
        <f t="shared" si="1"/>
        <v>9.1586978903809477</v>
      </c>
      <c r="K7" s="128">
        <f t="shared" si="2"/>
        <v>2.6590857367052658</v>
      </c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</row>
    <row r="8" spans="1:25" ht="15.5">
      <c r="A8" s="121">
        <v>1</v>
      </c>
      <c r="B8" s="122" t="s">
        <v>356</v>
      </c>
      <c r="C8" s="16" t="s">
        <v>300</v>
      </c>
      <c r="D8" s="122">
        <v>3</v>
      </c>
      <c r="E8" s="124">
        <v>11.7</v>
      </c>
      <c r="F8" s="125">
        <f t="shared" si="0"/>
        <v>3.7261146496815285</v>
      </c>
      <c r="G8" s="126"/>
      <c r="H8" s="51" t="s">
        <v>357</v>
      </c>
      <c r="I8" s="51">
        <f>AVERAGE(0.62,0.71)</f>
        <v>0.66500000000000004</v>
      </c>
      <c r="J8" s="127">
        <f t="shared" si="1"/>
        <v>9.131481269016998</v>
      </c>
      <c r="K8" s="128">
        <f t="shared" si="2"/>
        <v>1.7212797666910356</v>
      </c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</row>
    <row r="9" spans="1:25" ht="15.5">
      <c r="A9" s="121">
        <v>1</v>
      </c>
      <c r="B9" s="122" t="s">
        <v>365</v>
      </c>
      <c r="C9" s="16" t="s">
        <v>366</v>
      </c>
      <c r="D9" s="122">
        <v>5</v>
      </c>
      <c r="E9" s="124">
        <f>SUM(25.3+14.5+16.6+20)</f>
        <v>76.400000000000006</v>
      </c>
      <c r="F9" s="125">
        <f t="shared" si="0"/>
        <v>24.331210191082803</v>
      </c>
      <c r="G9" s="126"/>
      <c r="H9" s="131">
        <v>0.375</v>
      </c>
      <c r="I9" s="131">
        <v>0.375</v>
      </c>
      <c r="J9" s="127">
        <f t="shared" si="1"/>
        <v>19.345836313846405</v>
      </c>
      <c r="K9" s="128">
        <f t="shared" si="2"/>
        <v>63.132918843238009</v>
      </c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</row>
    <row r="10" spans="1:25" ht="15.5">
      <c r="A10" s="121">
        <v>1</v>
      </c>
      <c r="B10" s="129" t="s">
        <v>340</v>
      </c>
      <c r="C10" s="16" t="s">
        <v>341</v>
      </c>
      <c r="D10" s="129">
        <v>5</v>
      </c>
      <c r="E10" s="125">
        <f>SUM(25.6+18.7)</f>
        <v>44.3</v>
      </c>
      <c r="F10" s="125">
        <f t="shared" si="0"/>
        <v>14.108280254777069</v>
      </c>
      <c r="G10" s="126"/>
      <c r="H10" s="126"/>
      <c r="I10" s="126"/>
      <c r="J10" s="127">
        <f t="shared" si="1"/>
        <v>12.468962505578318</v>
      </c>
      <c r="K10" s="128">
        <f t="shared" si="2"/>
        <v>0</v>
      </c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</row>
    <row r="11" spans="1:25" ht="15.5">
      <c r="A11" s="121">
        <v>1</v>
      </c>
      <c r="B11" s="129" t="s">
        <v>340</v>
      </c>
      <c r="C11" s="16" t="s">
        <v>341</v>
      </c>
      <c r="D11" s="129">
        <v>5</v>
      </c>
      <c r="E11" s="125">
        <f>SUM(16.2+33.4+19.3+17.5+13.2+16.7+18.2)</f>
        <v>134.5</v>
      </c>
      <c r="F11" s="125">
        <f t="shared" si="0"/>
        <v>42.834394904458598</v>
      </c>
      <c r="G11" s="126"/>
      <c r="H11" s="126"/>
      <c r="I11" s="126"/>
      <c r="J11" s="127">
        <f t="shared" si="1"/>
        <v>41.094444269544404</v>
      </c>
      <c r="K11" s="128">
        <f t="shared" si="2"/>
        <v>0</v>
      </c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</row>
    <row r="12" spans="1:25" s="214" customFormat="1" ht="15.5">
      <c r="A12" s="204">
        <v>1</v>
      </c>
      <c r="B12" s="205" t="s">
        <v>352</v>
      </c>
      <c r="C12" s="206" t="s">
        <v>56</v>
      </c>
      <c r="D12" s="207"/>
      <c r="E12" s="208">
        <f>SUM(19.6+14.5+24.4)</f>
        <v>58.5</v>
      </c>
      <c r="F12" s="208">
        <f t="shared" si="0"/>
        <v>18.630573248407643</v>
      </c>
      <c r="G12" s="207"/>
      <c r="H12" s="209" t="s">
        <v>353</v>
      </c>
      <c r="I12" s="210">
        <f>AVERAGE(0.58,0.77)</f>
        <v>0.67500000000000004</v>
      </c>
      <c r="J12" s="211">
        <f t="shared" si="1"/>
        <v>8.9856999999999996</v>
      </c>
      <c r="K12" s="212">
        <f t="shared" si="2"/>
        <v>0</v>
      </c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</row>
    <row r="13" spans="1:25" ht="15.5">
      <c r="A13" s="121">
        <v>1</v>
      </c>
      <c r="B13" s="129" t="s">
        <v>344</v>
      </c>
      <c r="C13" s="16" t="s">
        <v>127</v>
      </c>
      <c r="D13" s="129">
        <v>7</v>
      </c>
      <c r="E13" s="125">
        <v>53.6</v>
      </c>
      <c r="F13" s="125">
        <f t="shared" si="0"/>
        <v>17.070063694267517</v>
      </c>
      <c r="G13" s="126"/>
      <c r="H13" s="51" t="s">
        <v>345</v>
      </c>
      <c r="I13" s="51">
        <f>AVERAGE(0.47,0.59)</f>
        <v>0.53</v>
      </c>
      <c r="J13" s="127">
        <f t="shared" si="1"/>
        <v>16.124683325895575</v>
      </c>
      <c r="K13" s="128">
        <f t="shared" si="2"/>
        <v>61.524344664635535</v>
      </c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</row>
    <row r="14" spans="1:25" ht="15.5">
      <c r="A14" s="121">
        <v>1</v>
      </c>
      <c r="B14" s="129" t="s">
        <v>151</v>
      </c>
      <c r="C14" s="16" t="s">
        <v>361</v>
      </c>
      <c r="D14" s="129">
        <v>6.5</v>
      </c>
      <c r="E14" s="125">
        <f>SUM(16.7+11.2+13.5+17.2+24.3+17.5+19.7+23.3+29.4+19.3)</f>
        <v>192.10000000000002</v>
      </c>
      <c r="F14" s="125">
        <f t="shared" si="0"/>
        <v>61.178343949044589</v>
      </c>
      <c r="G14" s="126"/>
      <c r="H14" s="51" t="s">
        <v>362</v>
      </c>
      <c r="I14" s="51">
        <f>AVERAGE(0.55,0.7)</f>
        <v>0.625</v>
      </c>
      <c r="J14" s="127">
        <f t="shared" si="1"/>
        <v>94.134167229907916</v>
      </c>
      <c r="K14" s="128">
        <f t="shared" si="2"/>
        <v>812.14979758864808</v>
      </c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</row>
    <row r="15" spans="1:25" ht="15.5">
      <c r="A15" s="121">
        <v>1</v>
      </c>
      <c r="B15" s="129" t="s">
        <v>342</v>
      </c>
      <c r="C15" s="16" t="s">
        <v>38</v>
      </c>
      <c r="D15" s="129">
        <v>8</v>
      </c>
      <c r="E15" s="125">
        <v>31.2</v>
      </c>
      <c r="F15" s="125">
        <f t="shared" si="0"/>
        <v>9.936305732484076</v>
      </c>
      <c r="G15" s="126"/>
      <c r="H15" s="51" t="s">
        <v>343</v>
      </c>
      <c r="I15" s="51">
        <f>AVERAGE(0.75,0.9)</f>
        <v>0.82499999999999996</v>
      </c>
      <c r="J15" s="127">
        <f t="shared" si="1"/>
        <v>11.750144805063085</v>
      </c>
      <c r="K15" s="128">
        <f t="shared" si="2"/>
        <v>37.538165074681402</v>
      </c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</row>
    <row r="16" spans="1:25" ht="15.5">
      <c r="A16" s="121">
        <v>1</v>
      </c>
      <c r="B16" s="122" t="s">
        <v>338</v>
      </c>
      <c r="C16" s="16" t="s">
        <v>254</v>
      </c>
      <c r="D16" s="122">
        <v>7</v>
      </c>
      <c r="E16" s="124">
        <f>SUM(29.3)</f>
        <v>29.3</v>
      </c>
      <c r="F16" s="125">
        <f t="shared" si="0"/>
        <v>9.3312101910828016</v>
      </c>
      <c r="G16" s="126"/>
      <c r="H16" s="51" t="s">
        <v>339</v>
      </c>
      <c r="I16" s="51">
        <f>AVERAGE(0.41,0.51)</f>
        <v>0.45999999999999996</v>
      </c>
      <c r="J16" s="127">
        <f t="shared" si="1"/>
        <v>11.118951348939104</v>
      </c>
      <c r="K16" s="128">
        <f t="shared" si="2"/>
        <v>16.48167389180977</v>
      </c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</row>
    <row r="17" spans="1:25" ht="15.5">
      <c r="A17" s="121">
        <v>1</v>
      </c>
      <c r="B17" s="122" t="s">
        <v>338</v>
      </c>
      <c r="C17" s="16" t="s">
        <v>254</v>
      </c>
      <c r="D17" s="122">
        <v>7</v>
      </c>
      <c r="E17" s="124">
        <f>SUM(16.6+18.4+16.3+12.2+10.3)</f>
        <v>73.8</v>
      </c>
      <c r="F17" s="125">
        <f t="shared" si="0"/>
        <v>23.503184713375795</v>
      </c>
      <c r="G17" s="126"/>
      <c r="H17" s="51" t="s">
        <v>339</v>
      </c>
      <c r="I17" s="51">
        <f>AVERAGE(0.41,0.51)</f>
        <v>0.45999999999999996</v>
      </c>
      <c r="J17" s="127">
        <f t="shared" si="1"/>
        <v>22.519492445941012</v>
      </c>
      <c r="K17" s="128">
        <f t="shared" si="2"/>
        <v>100.02803565515622</v>
      </c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</row>
    <row r="18" spans="1:25" ht="15.5">
      <c r="A18" s="121">
        <v>2</v>
      </c>
      <c r="B18" s="122" t="s">
        <v>332</v>
      </c>
      <c r="C18" s="16" t="s">
        <v>21</v>
      </c>
      <c r="D18" s="122">
        <v>4.5</v>
      </c>
      <c r="E18" s="124">
        <v>32.5</v>
      </c>
      <c r="F18" s="125">
        <f t="shared" si="0"/>
        <v>10.350318471337578</v>
      </c>
      <c r="G18" s="126"/>
      <c r="H18" s="51" t="s">
        <v>333</v>
      </c>
      <c r="I18" s="51">
        <f>AVERAGE(0.84,1.1)</f>
        <v>0.97</v>
      </c>
      <c r="J18" s="127">
        <f t="shared" si="1"/>
        <v>10.672983206215262</v>
      </c>
      <c r="K18" s="128">
        <f t="shared" si="2"/>
        <v>27.153720157155142</v>
      </c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</row>
    <row r="19" spans="1:25" ht="15.5">
      <c r="A19" s="121">
        <v>2</v>
      </c>
      <c r="B19" s="122" t="s">
        <v>74</v>
      </c>
      <c r="C19" s="123" t="s">
        <v>370</v>
      </c>
      <c r="D19" s="122">
        <v>6.5</v>
      </c>
      <c r="E19" s="124">
        <f>SUM(14.4+15.6+25.5+11.3+8.2)</f>
        <v>75</v>
      </c>
      <c r="F19" s="193">
        <f t="shared" si="0"/>
        <v>23.885350318471335</v>
      </c>
      <c r="G19" s="126"/>
      <c r="H19" s="51" t="s">
        <v>371</v>
      </c>
      <c r="I19" s="51">
        <f>AVERAGE(0.5,0.65)</f>
        <v>0.57499999999999996</v>
      </c>
      <c r="J19" s="127">
        <f t="shared" si="1"/>
        <v>21.964801586271246</v>
      </c>
      <c r="K19" s="128">
        <f t="shared" si="2"/>
        <v>119.38980141610034</v>
      </c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</row>
    <row r="20" spans="1:25" ht="15.5">
      <c r="A20" s="121">
        <v>2</v>
      </c>
      <c r="B20" s="129" t="s">
        <v>358</v>
      </c>
      <c r="C20" s="16" t="s">
        <v>359</v>
      </c>
      <c r="D20" s="126"/>
      <c r="E20" s="124">
        <v>28.1</v>
      </c>
      <c r="F20" s="125">
        <f t="shared" si="0"/>
        <v>8.9490445859872612</v>
      </c>
      <c r="G20" s="126"/>
      <c r="H20" s="51" t="s">
        <v>360</v>
      </c>
      <c r="I20" s="51">
        <f>AVERAGE(0.5,0.65)</f>
        <v>0.57499999999999996</v>
      </c>
      <c r="J20" s="127">
        <f t="shared" si="1"/>
        <v>8.9856999999999996</v>
      </c>
      <c r="K20" s="128">
        <f t="shared" si="2"/>
        <v>0</v>
      </c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</row>
    <row r="21" spans="1:25" ht="15.5">
      <c r="A21" s="121">
        <v>2</v>
      </c>
      <c r="B21" s="129" t="s">
        <v>128</v>
      </c>
      <c r="C21" s="16" t="s">
        <v>129</v>
      </c>
      <c r="D21" s="129">
        <v>5.5</v>
      </c>
      <c r="E21" s="125">
        <f>SUM(15.6+8.2+16.1+13.4)</f>
        <v>53.3</v>
      </c>
      <c r="F21" s="125">
        <f t="shared" si="0"/>
        <v>16.97452229299363</v>
      </c>
      <c r="G21" s="126"/>
      <c r="H21" s="51" t="s">
        <v>346</v>
      </c>
      <c r="I21" s="51">
        <f>AVERAGE(0.25,0.41)</f>
        <v>0.32999999999999996</v>
      </c>
      <c r="J21" s="127">
        <f t="shared" si="1"/>
        <v>14.53228733620025</v>
      </c>
      <c r="K21" s="128">
        <f t="shared" si="2"/>
        <v>30.286109866567731</v>
      </c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</row>
    <row r="22" spans="1:25" ht="15.5">
      <c r="A22" s="121">
        <v>2</v>
      </c>
      <c r="B22" s="122" t="s">
        <v>354</v>
      </c>
      <c r="C22" s="16" t="s">
        <v>237</v>
      </c>
      <c r="D22" s="122">
        <v>4</v>
      </c>
      <c r="E22" s="125">
        <v>17.5</v>
      </c>
      <c r="F22" s="125">
        <f t="shared" si="0"/>
        <v>5.5732484076433115</v>
      </c>
      <c r="G22" s="126"/>
      <c r="H22" s="51" t="s">
        <v>355</v>
      </c>
      <c r="I22" s="51">
        <f>AVERAGE(0.8,1)</f>
        <v>0.9</v>
      </c>
      <c r="J22" s="127">
        <f t="shared" si="1"/>
        <v>9.4205553693861823</v>
      </c>
      <c r="K22" s="128">
        <f t="shared" si="2"/>
        <v>6.7200097469277615</v>
      </c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</row>
    <row r="23" spans="1:25" ht="15.5">
      <c r="A23" s="121">
        <v>2</v>
      </c>
      <c r="B23" s="129" t="s">
        <v>354</v>
      </c>
      <c r="C23" s="16" t="s">
        <v>237</v>
      </c>
      <c r="D23" s="129">
        <v>4</v>
      </c>
      <c r="E23" s="125">
        <f>SUM(20.5+11.3)</f>
        <v>31.8</v>
      </c>
      <c r="F23" s="125">
        <f t="shared" si="0"/>
        <v>10.127388535031846</v>
      </c>
      <c r="G23" s="126"/>
      <c r="H23" s="51" t="s">
        <v>355</v>
      </c>
      <c r="I23" s="51">
        <f>AVERAGE(0.8,1)</f>
        <v>0.9</v>
      </c>
      <c r="J23" s="127">
        <f t="shared" si="1"/>
        <v>10.421595979552922</v>
      </c>
      <c r="K23" s="128">
        <f t="shared" si="2"/>
        <v>21.562413497165878</v>
      </c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</row>
    <row r="24" spans="1:25" ht="15.5">
      <c r="A24" s="121">
        <v>2</v>
      </c>
      <c r="B24" s="122" t="s">
        <v>56</v>
      </c>
      <c r="C24" s="16" t="s">
        <v>56</v>
      </c>
      <c r="D24" s="122">
        <v>5</v>
      </c>
      <c r="E24" s="124">
        <f>SUM(12.1+13.3+24.5+13.4)</f>
        <v>63.3</v>
      </c>
      <c r="F24" s="125">
        <f t="shared" si="0"/>
        <v>20.159235668789808</v>
      </c>
      <c r="G24" s="126"/>
      <c r="H24" s="130" t="s">
        <v>353</v>
      </c>
      <c r="I24" s="51">
        <f>AVERAGE(0.58,0.77)</f>
        <v>0.67500000000000004</v>
      </c>
      <c r="J24" s="127">
        <f t="shared" si="1"/>
        <v>16.097608698121626</v>
      </c>
      <c r="K24" s="128">
        <f t="shared" si="2"/>
        <v>77.614638608926953</v>
      </c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</row>
    <row r="25" spans="1:25" ht="15.5">
      <c r="A25" s="121">
        <v>2</v>
      </c>
      <c r="B25" s="122" t="s">
        <v>344</v>
      </c>
      <c r="C25" s="123" t="s">
        <v>127</v>
      </c>
      <c r="D25" s="122">
        <v>7</v>
      </c>
      <c r="E25" s="124">
        <v>42.2</v>
      </c>
      <c r="F25" s="125">
        <f t="shared" si="0"/>
        <v>13.439490445859873</v>
      </c>
      <c r="G25" s="126"/>
      <c r="H25" s="51" t="s">
        <v>345</v>
      </c>
      <c r="I25" s="51">
        <f>AVERAGE(0.47,0.59)</f>
        <v>0.53</v>
      </c>
      <c r="J25" s="127">
        <f t="shared" si="1"/>
        <v>13.410887634386789</v>
      </c>
      <c r="K25" s="128">
        <f t="shared" si="2"/>
        <v>38.576891649795407</v>
      </c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</row>
    <row r="26" spans="1:25" ht="15.5">
      <c r="A26" s="121">
        <v>2</v>
      </c>
      <c r="B26" s="129" t="s">
        <v>151</v>
      </c>
      <c r="C26" s="16" t="s">
        <v>361</v>
      </c>
      <c r="D26" s="129">
        <v>6</v>
      </c>
      <c r="E26" s="125">
        <f>SUM(13.5+18.7+17.5+14.3+14.3+15.4+13.5+10.3+4.2+17.5+13.2+11.4+13.5)</f>
        <v>177.29999999999998</v>
      </c>
      <c r="F26" s="193">
        <f t="shared" si="0"/>
        <v>56.464968152866234</v>
      </c>
      <c r="G26" s="126"/>
      <c r="H26" s="51" t="s">
        <v>362</v>
      </c>
      <c r="I26" s="51">
        <f>AVERAGE(0.55,0.7)</f>
        <v>0.625</v>
      </c>
      <c r="J26" s="127">
        <f t="shared" si="1"/>
        <v>75.939845198588159</v>
      </c>
      <c r="K26" s="128">
        <f t="shared" si="2"/>
        <v>642.30656415703947</v>
      </c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</row>
    <row r="27" spans="1:25" ht="15.5">
      <c r="A27" s="121">
        <v>2</v>
      </c>
      <c r="B27" s="129" t="s">
        <v>334</v>
      </c>
      <c r="C27" s="123" t="s">
        <v>29</v>
      </c>
      <c r="D27" s="129">
        <v>4</v>
      </c>
      <c r="E27" s="125">
        <f>SUM(9.5+7.2+7+10.6+76.1+73.7)</f>
        <v>184.1</v>
      </c>
      <c r="F27" s="125">
        <f t="shared" si="0"/>
        <v>58.630573248407636</v>
      </c>
      <c r="G27" s="126"/>
      <c r="H27" s="51">
        <v>0.8</v>
      </c>
      <c r="I27" s="51">
        <v>0.8</v>
      </c>
      <c r="J27" s="127">
        <f t="shared" si="1"/>
        <v>57.111317672116506</v>
      </c>
      <c r="K27" s="128">
        <f t="shared" si="2"/>
        <v>592.13368155963849</v>
      </c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</row>
    <row r="28" spans="1:25" ht="15.5">
      <c r="A28" s="121">
        <v>2</v>
      </c>
      <c r="B28" s="129" t="s">
        <v>334</v>
      </c>
      <c r="C28" s="123" t="s">
        <v>29</v>
      </c>
      <c r="D28" s="129">
        <v>3.5</v>
      </c>
      <c r="E28" s="125">
        <f>SUM(10.5+8.2+9.4+10.5+8.4)</f>
        <v>47</v>
      </c>
      <c r="F28" s="125">
        <f t="shared" si="0"/>
        <v>14.968152866242038</v>
      </c>
      <c r="G28" s="126"/>
      <c r="H28" s="51">
        <v>0.8</v>
      </c>
      <c r="I28" s="51">
        <v>0.8</v>
      </c>
      <c r="J28" s="127">
        <f t="shared" si="1"/>
        <v>11.730258602783074</v>
      </c>
      <c r="K28" s="128">
        <f t="shared" si="2"/>
        <v>36.171760652584993</v>
      </c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</row>
    <row r="29" spans="1:25" ht="15.5">
      <c r="A29" s="121">
        <v>2</v>
      </c>
      <c r="B29" s="122" t="s">
        <v>334</v>
      </c>
      <c r="C29" s="123" t="s">
        <v>29</v>
      </c>
      <c r="D29" s="122">
        <v>5</v>
      </c>
      <c r="E29" s="124">
        <f>SUM(17.4+5.6+13.4+21.5)</f>
        <v>57.9</v>
      </c>
      <c r="F29" s="125">
        <f t="shared" si="0"/>
        <v>18.439490445859871</v>
      </c>
      <c r="G29" s="126"/>
      <c r="H29" s="51">
        <v>0.8</v>
      </c>
      <c r="I29" s="51">
        <v>0.8</v>
      </c>
      <c r="J29" s="127">
        <f t="shared" si="1"/>
        <v>14.935959138301754</v>
      </c>
      <c r="K29" s="128">
        <f t="shared" si="2"/>
        <v>76.978155236427284</v>
      </c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</row>
    <row r="30" spans="1:25" ht="15.5">
      <c r="A30" s="121">
        <v>2</v>
      </c>
      <c r="B30" s="122" t="s">
        <v>334</v>
      </c>
      <c r="C30" s="123" t="s">
        <v>29</v>
      </c>
      <c r="D30" s="122">
        <v>5.5</v>
      </c>
      <c r="E30" s="124">
        <f>SUM(11.2+16.3+14.2+12.2+15.2+9.6+13.4+13.7+13.2+12.1+17.3+13.2)</f>
        <v>161.60000000000002</v>
      </c>
      <c r="F30" s="125">
        <f t="shared" si="0"/>
        <v>51.464968152866248</v>
      </c>
      <c r="G30" s="126"/>
      <c r="H30" s="51">
        <v>0.8</v>
      </c>
      <c r="I30" s="51">
        <v>0.8</v>
      </c>
      <c r="J30" s="127">
        <f t="shared" si="1"/>
        <v>59.972076729279088</v>
      </c>
      <c r="K30" s="128">
        <f t="shared" si="2"/>
        <v>626.46344040132431</v>
      </c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</row>
    <row r="31" spans="1:25" ht="15.5">
      <c r="A31" s="121">
        <v>2</v>
      </c>
      <c r="B31" s="122" t="s">
        <v>338</v>
      </c>
      <c r="C31" s="16" t="s">
        <v>254</v>
      </c>
      <c r="D31" s="122">
        <v>5</v>
      </c>
      <c r="E31" s="124">
        <f>SUM(11.2+13.5+11.4+18.5+22.3)</f>
        <v>76.900000000000006</v>
      </c>
      <c r="F31" s="125">
        <f t="shared" si="0"/>
        <v>24.490445859872612</v>
      </c>
      <c r="G31" s="126"/>
      <c r="H31" s="51" t="s">
        <v>339</v>
      </c>
      <c r="I31" s="51">
        <f>AVERAGE(0.41,0.51)</f>
        <v>0.45999999999999996</v>
      </c>
      <c r="J31" s="127">
        <f t="shared" si="1"/>
        <v>19.481883922268651</v>
      </c>
      <c r="K31" s="128">
        <f t="shared" si="2"/>
        <v>78.051809235442448</v>
      </c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</row>
    <row r="32" spans="1:25" ht="15.5">
      <c r="A32" s="121">
        <v>2</v>
      </c>
      <c r="B32" s="129" t="s">
        <v>336</v>
      </c>
      <c r="C32" s="16" t="s">
        <v>337</v>
      </c>
      <c r="D32" s="129">
        <v>6</v>
      </c>
      <c r="E32" s="125">
        <v>32.299999999999997</v>
      </c>
      <c r="F32" s="125">
        <f t="shared" si="0"/>
        <v>10.286624203821654</v>
      </c>
      <c r="G32" s="126"/>
      <c r="H32" s="51">
        <v>0.46800000000000003</v>
      </c>
      <c r="I32" s="51">
        <v>0.46800000000000003</v>
      </c>
      <c r="J32" s="127">
        <f t="shared" si="1"/>
        <v>11.207807387723639</v>
      </c>
      <c r="K32" s="128">
        <f t="shared" si="2"/>
        <v>17.442442008929813</v>
      </c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</row>
    <row r="33" spans="1:25" ht="15.5">
      <c r="A33" s="121">
        <v>2</v>
      </c>
      <c r="B33" s="122" t="s">
        <v>336</v>
      </c>
      <c r="C33" s="16" t="s">
        <v>337</v>
      </c>
      <c r="D33" s="122">
        <v>4.5</v>
      </c>
      <c r="E33" s="124">
        <f>SUM(16.1+14.2)</f>
        <v>30.3</v>
      </c>
      <c r="F33" s="125">
        <f t="shared" si="0"/>
        <v>9.6496815286624198</v>
      </c>
      <c r="G33" s="126"/>
      <c r="H33" s="51">
        <v>0.46800000000000003</v>
      </c>
      <c r="I33" s="51">
        <v>0.46800000000000003</v>
      </c>
      <c r="J33" s="127">
        <f t="shared" si="1"/>
        <v>10.452282569272587</v>
      </c>
      <c r="K33" s="128">
        <f t="shared" si="2"/>
        <v>11.627323829836699</v>
      </c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</row>
    <row r="34" spans="1:25" ht="15.5">
      <c r="A34" s="121">
        <v>2</v>
      </c>
      <c r="B34" s="129" t="s">
        <v>349</v>
      </c>
      <c r="C34" s="126"/>
      <c r="D34" s="129">
        <v>6</v>
      </c>
      <c r="E34" s="125">
        <f>SUM(16.5+19.4+15.2+21.3+21.2+20.4)</f>
        <v>114</v>
      </c>
      <c r="F34" s="125">
        <f t="shared" si="0"/>
        <v>36.30573248407643</v>
      </c>
      <c r="G34" s="126"/>
      <c r="H34" s="126"/>
      <c r="I34" s="126"/>
      <c r="J34" s="127">
        <f t="shared" si="1"/>
        <v>36.665930435311779</v>
      </c>
      <c r="K34" s="128">
        <f t="shared" si="2"/>
        <v>0</v>
      </c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</row>
    <row r="35" spans="1:25" ht="15.5">
      <c r="A35" s="121">
        <v>2</v>
      </c>
      <c r="B35" s="122" t="s">
        <v>136</v>
      </c>
      <c r="C35" s="126"/>
      <c r="D35" s="122">
        <v>5.5</v>
      </c>
      <c r="E35" s="124">
        <v>19.5</v>
      </c>
      <c r="F35" s="125">
        <f t="shared" si="0"/>
        <v>6.2101910828025479</v>
      </c>
      <c r="G35" s="122" t="s">
        <v>350</v>
      </c>
      <c r="H35" s="126"/>
      <c r="I35" s="126"/>
      <c r="J35" s="127">
        <f t="shared" si="1"/>
        <v>9.7281046107347144</v>
      </c>
      <c r="K35" s="128">
        <f t="shared" si="2"/>
        <v>0</v>
      </c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</row>
    <row r="36" spans="1:25" ht="15.5">
      <c r="A36" s="121">
        <v>3</v>
      </c>
      <c r="B36" s="122" t="s">
        <v>329</v>
      </c>
      <c r="C36" s="123" t="s">
        <v>330</v>
      </c>
      <c r="D36" s="122">
        <v>4.5</v>
      </c>
      <c r="E36" s="124">
        <f>SUM(14.3+13.2)</f>
        <v>27.5</v>
      </c>
      <c r="F36" s="125">
        <f t="shared" ref="F36:F67" si="3">E36/3.14</f>
        <v>8.7579617834394909</v>
      </c>
      <c r="G36" s="126"/>
      <c r="H36" s="51" t="s">
        <v>331</v>
      </c>
      <c r="I36" s="51">
        <f>AVERAGE(0.8,1.1)</f>
        <v>0.95000000000000007</v>
      </c>
      <c r="J36" s="127">
        <f t="shared" ref="J36:J67" si="4">8.9857+0.0035*(F36)^2*(D36)</f>
        <v>10.193754839952939</v>
      </c>
      <c r="K36" s="128">
        <f t="shared" ref="K36:K67" si="5">0.0673*(I36*F36^2*D36)^0.976</f>
        <v>19.203458965798745</v>
      </c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</row>
    <row r="37" spans="1:25" ht="15.5">
      <c r="A37" s="121">
        <v>3</v>
      </c>
      <c r="B37" s="122" t="s">
        <v>297</v>
      </c>
      <c r="C37" s="123" t="s">
        <v>348</v>
      </c>
      <c r="D37" s="122">
        <v>4</v>
      </c>
      <c r="E37" s="124">
        <f>SUM(11.5+11.4)</f>
        <v>22.9</v>
      </c>
      <c r="F37" s="125">
        <f t="shared" si="3"/>
        <v>7.2929936305732479</v>
      </c>
      <c r="G37" s="126"/>
      <c r="H37" s="51" t="s">
        <v>347</v>
      </c>
      <c r="I37" s="51">
        <f>AVERAGE(0.75,1)</f>
        <v>0.875</v>
      </c>
      <c r="J37" s="127">
        <f t="shared" si="4"/>
        <v>9.7303285853381478</v>
      </c>
      <c r="K37" s="128">
        <f t="shared" si="5"/>
        <v>11.051409306591111</v>
      </c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</row>
    <row r="38" spans="1:25" ht="15.5">
      <c r="A38" s="121">
        <v>3</v>
      </c>
      <c r="B38" s="122" t="s">
        <v>368</v>
      </c>
      <c r="C38" s="16" t="s">
        <v>369</v>
      </c>
      <c r="D38" s="122">
        <v>7</v>
      </c>
      <c r="E38" s="124">
        <f>SUM(15.7+8.6)</f>
        <v>24.299999999999997</v>
      </c>
      <c r="F38" s="125">
        <f t="shared" si="3"/>
        <v>7.7388535031847123</v>
      </c>
      <c r="G38" s="126"/>
      <c r="H38" s="51">
        <v>0.66</v>
      </c>
      <c r="I38" s="51">
        <v>0.66</v>
      </c>
      <c r="J38" s="127">
        <f t="shared" si="4"/>
        <v>10.45300141182198</v>
      </c>
      <c r="K38" s="128">
        <f t="shared" si="5"/>
        <v>16.270556427915171</v>
      </c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</row>
    <row r="39" spans="1:25" ht="15.5">
      <c r="A39" s="121">
        <v>3</v>
      </c>
      <c r="B39" s="122" t="s">
        <v>74</v>
      </c>
      <c r="C39" s="215" t="s">
        <v>372</v>
      </c>
      <c r="D39" s="216">
        <v>5.5</v>
      </c>
      <c r="E39" s="217">
        <f>SUM(24.4+16.3)</f>
        <v>40.700000000000003</v>
      </c>
      <c r="F39" s="208">
        <f t="shared" si="3"/>
        <v>12.961783439490446</v>
      </c>
      <c r="G39" s="126"/>
      <c r="H39" s="51" t="s">
        <v>371</v>
      </c>
      <c r="I39" s="51">
        <f>AVERAGE(0.99,1.27)</f>
        <v>1.1299999999999999</v>
      </c>
      <c r="J39" s="127">
        <f t="shared" si="4"/>
        <v>12.219850726195789</v>
      </c>
      <c r="K39" s="128">
        <f t="shared" si="5"/>
        <v>59.475105869073836</v>
      </c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</row>
    <row r="40" spans="1:25" ht="15.5">
      <c r="A40" s="121">
        <v>3</v>
      </c>
      <c r="B40" s="122" t="s">
        <v>335</v>
      </c>
      <c r="C40" s="123" t="s">
        <v>34</v>
      </c>
      <c r="D40" s="122">
        <v>3.5</v>
      </c>
      <c r="E40" s="124">
        <f>SUM(20.4+15.7+14.2)</f>
        <v>50.3</v>
      </c>
      <c r="F40" s="125">
        <f t="shared" si="3"/>
        <v>16.019108280254777</v>
      </c>
      <c r="G40" s="126"/>
      <c r="H40" s="51">
        <v>0.53</v>
      </c>
      <c r="I40" s="51">
        <v>0.53</v>
      </c>
      <c r="J40" s="127">
        <f t="shared" si="4"/>
        <v>12.129194918657957</v>
      </c>
      <c r="K40" s="128">
        <f t="shared" si="5"/>
        <v>27.629482968884655</v>
      </c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</row>
    <row r="41" spans="1:25" ht="15.5">
      <c r="A41" s="121">
        <v>3</v>
      </c>
      <c r="B41" s="122" t="s">
        <v>340</v>
      </c>
      <c r="C41" s="16" t="s">
        <v>341</v>
      </c>
      <c r="D41" s="122">
        <v>5</v>
      </c>
      <c r="E41" s="124">
        <f>SUM(12.5+10.4)</f>
        <v>22.9</v>
      </c>
      <c r="F41" s="125">
        <f t="shared" si="3"/>
        <v>7.2929936305732479</v>
      </c>
      <c r="G41" s="126"/>
      <c r="H41" s="126"/>
      <c r="I41" s="126"/>
      <c r="J41" s="127">
        <f t="shared" si="4"/>
        <v>9.9164857316726831</v>
      </c>
      <c r="K41" s="128">
        <f t="shared" si="5"/>
        <v>0</v>
      </c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</row>
    <row r="42" spans="1:25" ht="15.5">
      <c r="A42" s="121">
        <v>3</v>
      </c>
      <c r="B42" s="122" t="s">
        <v>56</v>
      </c>
      <c r="C42" s="123" t="s">
        <v>56</v>
      </c>
      <c r="D42" s="122">
        <v>7</v>
      </c>
      <c r="E42" s="124">
        <f>SUM(21.5+28.7+26.6+11.3)</f>
        <v>88.100000000000009</v>
      </c>
      <c r="F42" s="125">
        <f t="shared" si="3"/>
        <v>28.057324840764334</v>
      </c>
      <c r="G42" s="126"/>
      <c r="H42" s="130" t="s">
        <v>353</v>
      </c>
      <c r="I42" s="51">
        <f>AVERAGE(0.58,0.77)</f>
        <v>0.67500000000000004</v>
      </c>
      <c r="J42" s="127">
        <f t="shared" si="4"/>
        <v>28.272430191894202</v>
      </c>
      <c r="K42" s="128">
        <f t="shared" si="5"/>
        <v>205.50270071398523</v>
      </c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</row>
    <row r="43" spans="1:25" ht="15.5">
      <c r="A43" s="121">
        <v>3</v>
      </c>
      <c r="B43" s="129" t="s">
        <v>56</v>
      </c>
      <c r="C43" s="16" t="s">
        <v>56</v>
      </c>
      <c r="D43" s="129">
        <v>7</v>
      </c>
      <c r="E43" s="125">
        <f>SUM(31.2+31.5+35.3+14.5)</f>
        <v>112.5</v>
      </c>
      <c r="F43" s="125">
        <f t="shared" si="3"/>
        <v>35.828025477707008</v>
      </c>
      <c r="G43" s="126"/>
      <c r="H43" s="130" t="s">
        <v>353</v>
      </c>
      <c r="I43" s="51">
        <f>AVERAGE(0.58,0.77)</f>
        <v>0.67500000000000004</v>
      </c>
      <c r="J43" s="127">
        <f t="shared" si="4"/>
        <v>40.435061535964948</v>
      </c>
      <c r="K43" s="128">
        <f t="shared" si="5"/>
        <v>331.18776498469259</v>
      </c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</row>
    <row r="44" spans="1:25" ht="15.5">
      <c r="A44" s="121">
        <v>3</v>
      </c>
      <c r="B44" s="129" t="s">
        <v>344</v>
      </c>
      <c r="C44" s="16" t="s">
        <v>127</v>
      </c>
      <c r="D44" s="129">
        <v>8</v>
      </c>
      <c r="E44" s="125">
        <f>SUM(31.5+33.3)</f>
        <v>64.8</v>
      </c>
      <c r="F44" s="125">
        <f t="shared" si="3"/>
        <v>20.636942675159233</v>
      </c>
      <c r="G44" s="126"/>
      <c r="H44" s="51" t="s">
        <v>345</v>
      </c>
      <c r="I44" s="51">
        <f>AVERAGE(0.47,0.59)</f>
        <v>0.53</v>
      </c>
      <c r="J44" s="127">
        <f t="shared" si="4"/>
        <v>20.910435283378632</v>
      </c>
      <c r="K44" s="128">
        <f t="shared" si="5"/>
        <v>101.51071310673494</v>
      </c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</row>
    <row r="45" spans="1:25" ht="15.5">
      <c r="A45" s="121">
        <v>3</v>
      </c>
      <c r="B45" s="122" t="s">
        <v>344</v>
      </c>
      <c r="C45" s="16" t="s">
        <v>127</v>
      </c>
      <c r="D45" s="122">
        <v>9</v>
      </c>
      <c r="E45" s="124">
        <f>SUM(45.7+41.2+47.7)</f>
        <v>134.60000000000002</v>
      </c>
      <c r="F45" s="125">
        <f t="shared" si="3"/>
        <v>42.866242038216569</v>
      </c>
      <c r="G45" s="126"/>
      <c r="H45" s="51" t="s">
        <v>345</v>
      </c>
      <c r="I45" s="51">
        <f>AVERAGE(0.47,0.59)</f>
        <v>0.53</v>
      </c>
      <c r="J45" s="127">
        <f t="shared" si="4"/>
        <v>66.86741325408741</v>
      </c>
      <c r="K45" s="128">
        <f t="shared" si="5"/>
        <v>474.39301523187351</v>
      </c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</row>
    <row r="46" spans="1:25" ht="15.5">
      <c r="A46" s="121">
        <v>3</v>
      </c>
      <c r="B46" s="129" t="s">
        <v>151</v>
      </c>
      <c r="C46" s="16" t="s">
        <v>361</v>
      </c>
      <c r="D46" s="129">
        <v>6.5</v>
      </c>
      <c r="E46" s="125">
        <f>SUM(21.5+20.3+20.3+25.5+22.2+19.6+17.3+14.3)</f>
        <v>161.00000000000003</v>
      </c>
      <c r="F46" s="125">
        <f t="shared" si="3"/>
        <v>51.27388535031848</v>
      </c>
      <c r="H46" s="51" t="s">
        <v>362</v>
      </c>
      <c r="I46" s="51">
        <f>AVERAGE(0.55,0.7)</f>
        <v>0.625</v>
      </c>
      <c r="J46" s="127">
        <f t="shared" si="4"/>
        <v>68.795707505375489</v>
      </c>
      <c r="K46" s="128">
        <f t="shared" si="5"/>
        <v>575.32710377907085</v>
      </c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</row>
    <row r="47" spans="1:25" ht="15.5">
      <c r="A47" s="121">
        <v>3</v>
      </c>
      <c r="B47" s="129" t="s">
        <v>151</v>
      </c>
      <c r="C47" s="16" t="s">
        <v>361</v>
      </c>
      <c r="D47" s="129">
        <v>8</v>
      </c>
      <c r="E47" s="125">
        <f>SUM(19.3+25.6+11.4+17.3+8.6+12.2+9.3+27.4+25.2)</f>
        <v>156.29999999999998</v>
      </c>
      <c r="F47" s="125">
        <f t="shared" si="3"/>
        <v>49.777070063694261</v>
      </c>
      <c r="H47" s="51" t="s">
        <v>362</v>
      </c>
      <c r="I47" s="51">
        <f>AVERAGE(0.55,0.7)</f>
        <v>0.625</v>
      </c>
      <c r="J47" s="127">
        <f t="shared" si="4"/>
        <v>78.362887715525957</v>
      </c>
      <c r="K47" s="128">
        <f t="shared" si="5"/>
        <v>664.98376193735726</v>
      </c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</row>
    <row r="48" spans="1:25" ht="15.5">
      <c r="A48" s="121">
        <v>3</v>
      </c>
      <c r="B48" s="129" t="s">
        <v>334</v>
      </c>
      <c r="C48" s="123" t="s">
        <v>29</v>
      </c>
      <c r="D48" s="129">
        <v>5</v>
      </c>
      <c r="E48" s="125">
        <f>SUM(12.5+20.4+14.5+13.7+16.3+11.4+16.5+19.4)</f>
        <v>124.69999999999999</v>
      </c>
      <c r="F48" s="125">
        <f t="shared" si="3"/>
        <v>39.71337579617834</v>
      </c>
      <c r="G48" s="126"/>
      <c r="H48" s="51">
        <v>0.8</v>
      </c>
      <c r="I48" s="51">
        <v>0.8</v>
      </c>
      <c r="J48" s="127">
        <f t="shared" si="4"/>
        <v>36.585863799748466</v>
      </c>
      <c r="K48" s="128">
        <f t="shared" si="5"/>
        <v>344.15197001525195</v>
      </c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</row>
    <row r="49" spans="1:25" ht="15.5">
      <c r="A49" s="121">
        <v>3</v>
      </c>
      <c r="B49" s="122" t="s">
        <v>334</v>
      </c>
      <c r="C49" s="123" t="s">
        <v>29</v>
      </c>
      <c r="D49" s="122">
        <v>6.5</v>
      </c>
      <c r="E49" s="124">
        <f>SUM(20.5+15.6+14.3+10.6+10)</f>
        <v>71</v>
      </c>
      <c r="F49" s="125">
        <f t="shared" si="3"/>
        <v>22.611464968152866</v>
      </c>
      <c r="G49" s="126"/>
      <c r="H49" s="51">
        <v>0.8</v>
      </c>
      <c r="I49" s="51">
        <v>0.8</v>
      </c>
      <c r="J49" s="127">
        <f t="shared" si="4"/>
        <v>20.617282417136597</v>
      </c>
      <c r="K49" s="128">
        <f t="shared" si="5"/>
        <v>148.07575349921876</v>
      </c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</row>
    <row r="50" spans="1:25" ht="15.5">
      <c r="A50" s="121">
        <v>3</v>
      </c>
      <c r="B50" s="122" t="s">
        <v>338</v>
      </c>
      <c r="C50" s="16" t="s">
        <v>254</v>
      </c>
      <c r="D50" s="122">
        <v>6</v>
      </c>
      <c r="E50" s="124">
        <f>SUM(16.4+13.2+18.5)</f>
        <v>48.099999999999994</v>
      </c>
      <c r="F50" s="125">
        <f t="shared" si="3"/>
        <v>15.318471337579615</v>
      </c>
      <c r="G50" s="126"/>
      <c r="H50" s="51" t="s">
        <v>339</v>
      </c>
      <c r="I50" s="51">
        <f>AVERAGE(0.41,0.51)</f>
        <v>0.45999999999999996</v>
      </c>
      <c r="J50" s="127">
        <f t="shared" si="4"/>
        <v>13.91346684652521</v>
      </c>
      <c r="K50" s="128">
        <f t="shared" si="5"/>
        <v>37.314948310501777</v>
      </c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</row>
    <row r="51" spans="1:25" ht="15.5">
      <c r="A51" s="121">
        <v>3</v>
      </c>
      <c r="B51" s="129" t="s">
        <v>336</v>
      </c>
      <c r="C51" s="16" t="s">
        <v>337</v>
      </c>
      <c r="D51" s="129">
        <v>5</v>
      </c>
      <c r="E51" s="125">
        <f>SUM(18.5+11.2)</f>
        <v>29.7</v>
      </c>
      <c r="F51" s="125">
        <f t="shared" si="3"/>
        <v>9.4585987261146496</v>
      </c>
      <c r="G51" s="126"/>
      <c r="H51" s="51">
        <v>0.46800000000000003</v>
      </c>
      <c r="I51" s="51">
        <v>0.46800000000000003</v>
      </c>
      <c r="J51" s="127">
        <f t="shared" si="4"/>
        <v>10.551339072579008</v>
      </c>
      <c r="K51" s="128">
        <f t="shared" si="5"/>
        <v>12.393205671285799</v>
      </c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</row>
    <row r="52" spans="1:25" ht="15.5">
      <c r="A52" s="121">
        <v>3</v>
      </c>
      <c r="B52" s="122" t="s">
        <v>138</v>
      </c>
      <c r="C52" s="126"/>
      <c r="D52" s="122">
        <v>5.5</v>
      </c>
      <c r="E52" s="124">
        <v>18.5</v>
      </c>
      <c r="F52" s="125">
        <f t="shared" si="3"/>
        <v>5.8917197452229297</v>
      </c>
      <c r="G52" s="126"/>
      <c r="H52" s="126"/>
      <c r="I52" s="126"/>
      <c r="J52" s="127">
        <f t="shared" si="4"/>
        <v>9.6539129599578075</v>
      </c>
      <c r="K52" s="128">
        <f t="shared" si="5"/>
        <v>0</v>
      </c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</row>
    <row r="53" spans="1:25" ht="15.5">
      <c r="A53" s="204">
        <v>4</v>
      </c>
      <c r="B53" s="205" t="s">
        <v>74</v>
      </c>
      <c r="C53" s="206" t="s">
        <v>373</v>
      </c>
      <c r="D53" s="216">
        <v>4.5</v>
      </c>
      <c r="E53" s="217">
        <f>SUM(12.5+13.6+9.5)</f>
        <v>35.6</v>
      </c>
      <c r="F53" s="125">
        <f t="shared" si="3"/>
        <v>11.337579617834395</v>
      </c>
      <c r="G53" s="126"/>
      <c r="H53" s="51" t="s">
        <v>371</v>
      </c>
      <c r="I53" s="51">
        <f>AVERAGE(0.99,1.27)</f>
        <v>1.1299999999999999</v>
      </c>
      <c r="J53" s="127">
        <f t="shared" si="4"/>
        <v>11.010216207554059</v>
      </c>
      <c r="K53" s="128">
        <f t="shared" si="5"/>
        <v>37.651194723852633</v>
      </c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</row>
    <row r="54" spans="1:25" ht="15.5">
      <c r="A54" s="204">
        <v>4</v>
      </c>
      <c r="B54" s="205" t="s">
        <v>74</v>
      </c>
      <c r="C54" s="206" t="s">
        <v>373</v>
      </c>
      <c r="D54" s="216">
        <v>4.5</v>
      </c>
      <c r="E54" s="217">
        <v>31.2</v>
      </c>
      <c r="F54" s="125">
        <f t="shared" si="3"/>
        <v>9.936305732484076</v>
      </c>
      <c r="G54" s="126"/>
      <c r="H54" s="51" t="s">
        <v>371</v>
      </c>
      <c r="I54" s="51">
        <f>AVERAGE(0.99,1.27)</f>
        <v>1.1299999999999999</v>
      </c>
      <c r="J54" s="127">
        <f t="shared" si="4"/>
        <v>10.540700202847985</v>
      </c>
      <c r="K54" s="128">
        <f t="shared" si="5"/>
        <v>29.103025041668953</v>
      </c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</row>
    <row r="55" spans="1:25" ht="15.5">
      <c r="A55" s="204">
        <v>4</v>
      </c>
      <c r="B55" s="205" t="s">
        <v>358</v>
      </c>
      <c r="C55" s="206" t="s">
        <v>359</v>
      </c>
      <c r="D55" s="205">
        <v>6</v>
      </c>
      <c r="E55" s="208">
        <v>4.5</v>
      </c>
      <c r="F55" s="125">
        <f t="shared" si="3"/>
        <v>1.4331210191082802</v>
      </c>
      <c r="G55" s="126"/>
      <c r="H55" s="51" t="s">
        <v>360</v>
      </c>
      <c r="I55" s="51">
        <f>AVERAGE(0.5,0.65)</f>
        <v>0.57499999999999996</v>
      </c>
      <c r="J55" s="127">
        <f t="shared" si="4"/>
        <v>9.0288305529636084</v>
      </c>
      <c r="K55" s="128">
        <f t="shared" si="5"/>
        <v>0.45497826983771456</v>
      </c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</row>
    <row r="56" spans="1:25" ht="15.5">
      <c r="A56" s="121">
        <v>4</v>
      </c>
      <c r="B56" s="129" t="s">
        <v>128</v>
      </c>
      <c r="C56" s="16" t="s">
        <v>129</v>
      </c>
      <c r="D56" s="129">
        <v>6</v>
      </c>
      <c r="E56" s="125">
        <f>SUM(17.3+22.6)</f>
        <v>39.900000000000006</v>
      </c>
      <c r="F56" s="125">
        <f t="shared" si="3"/>
        <v>12.707006369426752</v>
      </c>
      <c r="G56" s="126"/>
      <c r="H56" s="51" t="s">
        <v>346</v>
      </c>
      <c r="I56" s="51">
        <f>AVERAGE(0.25,0.41)</f>
        <v>0.32999999999999996</v>
      </c>
      <c r="J56" s="127">
        <f t="shared" si="4"/>
        <v>12.376528228325693</v>
      </c>
      <c r="K56" s="128">
        <f t="shared" si="5"/>
        <v>18.734957371494836</v>
      </c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</row>
    <row r="57" spans="1:25" ht="15.5">
      <c r="A57" s="121">
        <v>4</v>
      </c>
      <c r="B57" s="129" t="s">
        <v>335</v>
      </c>
      <c r="C57" s="16" t="s">
        <v>34</v>
      </c>
      <c r="D57" s="122">
        <v>2.8</v>
      </c>
      <c r="E57" s="124">
        <f>SUM(19.3+12.5)</f>
        <v>31.8</v>
      </c>
      <c r="F57" s="125">
        <f t="shared" si="3"/>
        <v>10.127388535031846</v>
      </c>
      <c r="G57" s="126"/>
      <c r="H57" s="51">
        <v>0.53</v>
      </c>
      <c r="I57" s="51">
        <v>0.53</v>
      </c>
      <c r="J57" s="127">
        <f t="shared" si="4"/>
        <v>9.9908271856870456</v>
      </c>
      <c r="K57" s="128">
        <f t="shared" si="5"/>
        <v>9.0795770139213428</v>
      </c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</row>
    <row r="58" spans="1:25" ht="15.5">
      <c r="A58" s="121">
        <v>4</v>
      </c>
      <c r="B58" s="129" t="s">
        <v>356</v>
      </c>
      <c r="C58" s="16" t="s">
        <v>300</v>
      </c>
      <c r="D58" s="122">
        <v>3</v>
      </c>
      <c r="E58" s="125">
        <v>7.6</v>
      </c>
      <c r="F58" s="125">
        <f t="shared" si="3"/>
        <v>2.4203821656050954</v>
      </c>
      <c r="G58" s="126"/>
      <c r="H58" s="51" t="s">
        <v>357</v>
      </c>
      <c r="I58" s="51">
        <f>AVERAGE(0.62,0.71)</f>
        <v>0.66500000000000004</v>
      </c>
      <c r="J58" s="127">
        <f t="shared" si="4"/>
        <v>9.0472116231895807</v>
      </c>
      <c r="K58" s="128">
        <f t="shared" si="5"/>
        <v>0.74148230911601543</v>
      </c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</row>
    <row r="59" spans="1:25" ht="15.5">
      <c r="A59" s="121">
        <v>4</v>
      </c>
      <c r="B59" s="129" t="s">
        <v>354</v>
      </c>
      <c r="C59" s="16" t="s">
        <v>237</v>
      </c>
      <c r="D59" s="129">
        <v>5</v>
      </c>
      <c r="E59" s="125">
        <f>SUM(17.7+10.5)</f>
        <v>28.2</v>
      </c>
      <c r="F59" s="125">
        <f t="shared" si="3"/>
        <v>8.9808917197452232</v>
      </c>
      <c r="G59" s="126"/>
      <c r="H59" s="51" t="s">
        <v>355</v>
      </c>
      <c r="I59" s="51">
        <f>AVERAGE(0.8,1)</f>
        <v>0.9</v>
      </c>
      <c r="J59" s="127">
        <f t="shared" si="4"/>
        <v>10.397187281431295</v>
      </c>
      <c r="K59" s="128">
        <f t="shared" si="5"/>
        <v>21.204599006602937</v>
      </c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</row>
    <row r="60" spans="1:25" ht="15.5">
      <c r="A60" s="121">
        <v>4</v>
      </c>
      <c r="B60" s="129" t="s">
        <v>340</v>
      </c>
      <c r="C60" s="16" t="s">
        <v>341</v>
      </c>
      <c r="D60" s="129">
        <v>8</v>
      </c>
      <c r="E60" s="125">
        <v>14.2</v>
      </c>
      <c r="F60" s="125">
        <f t="shared" si="3"/>
        <v>4.5222929936305727</v>
      </c>
      <c r="G60" s="126"/>
      <c r="H60" s="126"/>
      <c r="I60" s="126"/>
      <c r="J60" s="127">
        <f t="shared" si="4"/>
        <v>9.5583317497667242</v>
      </c>
      <c r="K60" s="128">
        <f t="shared" si="5"/>
        <v>0</v>
      </c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</row>
    <row r="61" spans="1:25" ht="15.5">
      <c r="A61" s="121">
        <v>4</v>
      </c>
      <c r="B61" s="129" t="s">
        <v>340</v>
      </c>
      <c r="C61" s="16" t="s">
        <v>341</v>
      </c>
      <c r="D61" s="122">
        <v>6</v>
      </c>
      <c r="E61" s="124">
        <f>SUM(24.3+21.2)</f>
        <v>45.5</v>
      </c>
      <c r="F61" s="125">
        <f t="shared" si="3"/>
        <v>14.490445859872612</v>
      </c>
      <c r="G61" s="126"/>
      <c r="H61" s="126"/>
      <c r="I61" s="126"/>
      <c r="J61" s="127">
        <f t="shared" si="4"/>
        <v>13.395133445575885</v>
      </c>
      <c r="K61" s="128">
        <f t="shared" si="5"/>
        <v>0</v>
      </c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</row>
    <row r="62" spans="1:25" ht="15.5">
      <c r="A62" s="121">
        <v>4</v>
      </c>
      <c r="B62" s="122" t="s">
        <v>232</v>
      </c>
      <c r="C62" s="16" t="s">
        <v>232</v>
      </c>
      <c r="D62" s="122">
        <v>5.5</v>
      </c>
      <c r="E62" s="124">
        <f>SUM(15.4+16.2+13.4+18.5+15.5+17.7+12.2)</f>
        <v>108.9</v>
      </c>
      <c r="F62" s="125">
        <f t="shared" si="3"/>
        <v>34.681528662420384</v>
      </c>
      <c r="G62" s="126"/>
      <c r="H62" s="51">
        <v>0.62</v>
      </c>
      <c r="I62" s="51">
        <v>0.62</v>
      </c>
      <c r="J62" s="127">
        <f t="shared" si="4"/>
        <v>32.139762284474017</v>
      </c>
      <c r="K62" s="128">
        <f t="shared" si="5"/>
        <v>226.07632578521785</v>
      </c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</row>
    <row r="63" spans="1:25" ht="15.5">
      <c r="A63" s="121">
        <v>4</v>
      </c>
      <c r="B63" s="129" t="s">
        <v>56</v>
      </c>
      <c r="C63" s="16" t="s">
        <v>56</v>
      </c>
      <c r="D63" s="129">
        <v>6.5</v>
      </c>
      <c r="E63" s="125">
        <f>SUM(22.2+20.4+23.3+14.4+17.7+18.5)</f>
        <v>116.5</v>
      </c>
      <c r="F63" s="125">
        <f t="shared" si="3"/>
        <v>37.101910828025474</v>
      </c>
      <c r="G63" s="126"/>
      <c r="H63" s="130" t="s">
        <v>353</v>
      </c>
      <c r="I63" s="51">
        <f>AVERAGE(0.58,0.77)</f>
        <v>0.67500000000000004</v>
      </c>
      <c r="J63" s="127">
        <f t="shared" si="4"/>
        <v>40.302253156314656</v>
      </c>
      <c r="K63" s="128">
        <f t="shared" si="5"/>
        <v>329.82267969679344</v>
      </c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</row>
    <row r="64" spans="1:25" ht="15.5">
      <c r="A64" s="121">
        <v>4</v>
      </c>
      <c r="B64" s="129" t="s">
        <v>56</v>
      </c>
      <c r="C64" s="16" t="s">
        <v>56</v>
      </c>
      <c r="D64" s="122">
        <v>4</v>
      </c>
      <c r="E64" s="124">
        <f>SUM(14.3+11.3+9.7)</f>
        <v>35.299999999999997</v>
      </c>
      <c r="F64" s="125">
        <f t="shared" si="3"/>
        <v>11.242038216560509</v>
      </c>
      <c r="G64" s="126"/>
      <c r="H64" s="130" t="s">
        <v>353</v>
      </c>
      <c r="I64" s="51">
        <f>AVERAGE(0.58,0.77)</f>
        <v>0.67500000000000004</v>
      </c>
      <c r="J64" s="127">
        <f t="shared" si="4"/>
        <v>10.755067925676498</v>
      </c>
      <c r="K64" s="128">
        <f t="shared" si="5"/>
        <v>19.965291247085311</v>
      </c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</row>
    <row r="65" spans="1:25" ht="15.5">
      <c r="A65" s="121">
        <v>4</v>
      </c>
      <c r="B65" s="122" t="s">
        <v>344</v>
      </c>
      <c r="C65" s="16" t="s">
        <v>127</v>
      </c>
      <c r="D65" s="122">
        <v>10</v>
      </c>
      <c r="E65" s="124">
        <f>SUM(53.3+41.5)</f>
        <v>94.8</v>
      </c>
      <c r="F65" s="125">
        <f t="shared" si="3"/>
        <v>30.191082802547768</v>
      </c>
      <c r="G65" s="126"/>
      <c r="H65" s="51" t="s">
        <v>345</v>
      </c>
      <c r="I65" s="51">
        <f>AVERAGE(0.47,0.59)</f>
        <v>0.53</v>
      </c>
      <c r="J65" s="127">
        <f t="shared" si="4"/>
        <v>40.888251827660348</v>
      </c>
      <c r="K65" s="128">
        <f t="shared" si="5"/>
        <v>265.23541655071898</v>
      </c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</row>
    <row r="66" spans="1:25" ht="15.5">
      <c r="A66" s="121">
        <v>4</v>
      </c>
      <c r="B66" s="129" t="s">
        <v>344</v>
      </c>
      <c r="C66" s="16" t="s">
        <v>127</v>
      </c>
      <c r="D66" s="122">
        <v>9</v>
      </c>
      <c r="E66" s="124">
        <v>47.7</v>
      </c>
      <c r="F66" s="125">
        <f t="shared" si="3"/>
        <v>15.19108280254777</v>
      </c>
      <c r="G66" s="126"/>
      <c r="H66" s="51" t="s">
        <v>345</v>
      </c>
      <c r="I66" s="51">
        <f>AVERAGE(0.47,0.59)</f>
        <v>0.53</v>
      </c>
      <c r="J66" s="127">
        <f t="shared" si="4"/>
        <v>16.254923396486671</v>
      </c>
      <c r="K66" s="128">
        <f t="shared" si="5"/>
        <v>62.619587873990341</v>
      </c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</row>
    <row r="67" spans="1:25" ht="15.5">
      <c r="A67" s="121">
        <v>4</v>
      </c>
      <c r="B67" s="129" t="s">
        <v>344</v>
      </c>
      <c r="C67" s="16" t="s">
        <v>127</v>
      </c>
      <c r="D67" s="122">
        <v>10</v>
      </c>
      <c r="E67" s="124">
        <f>SUM(38.5+40.3+40.7+31.5)</f>
        <v>151</v>
      </c>
      <c r="F67" s="125">
        <f t="shared" si="3"/>
        <v>48.089171974522294</v>
      </c>
      <c r="G67" s="126"/>
      <c r="H67" s="51" t="s">
        <v>345</v>
      </c>
      <c r="I67" s="51">
        <f>AVERAGE(0.47,0.59)</f>
        <v>0.53</v>
      </c>
      <c r="J67" s="127">
        <f t="shared" si="4"/>
        <v>89.925596141831306</v>
      </c>
      <c r="K67" s="128">
        <f t="shared" si="5"/>
        <v>658.05870886996991</v>
      </c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</row>
    <row r="68" spans="1:25" ht="15.5">
      <c r="A68" s="121">
        <v>4</v>
      </c>
      <c r="B68" s="122" t="s">
        <v>151</v>
      </c>
      <c r="C68" s="16" t="s">
        <v>361</v>
      </c>
      <c r="D68" s="122">
        <v>6</v>
      </c>
      <c r="E68" s="124">
        <f>SUM(18.5+17.4+16.3+8.5+5.4+9.3+8.2)</f>
        <v>83.600000000000009</v>
      </c>
      <c r="F68" s="125">
        <f t="shared" ref="F68:F96" si="6">E68/3.14</f>
        <v>26.624203821656053</v>
      </c>
      <c r="G68" s="126"/>
      <c r="H68" s="51" t="s">
        <v>362</v>
      </c>
      <c r="I68" s="51">
        <f>AVERAGE(0.55,0.7)</f>
        <v>0.625</v>
      </c>
      <c r="J68" s="127">
        <f t="shared" ref="J68:J96" si="7">8.9857+0.0035*(F68)^2*(D68)</f>
        <v>23.87151281187878</v>
      </c>
      <c r="K68" s="128">
        <f t="shared" ref="K68:K96" si="8">0.0673*(I68*F68^2*D68)^0.976</f>
        <v>148.05039214299606</v>
      </c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</row>
    <row r="69" spans="1:25" ht="15.5">
      <c r="A69" s="121">
        <v>4</v>
      </c>
      <c r="B69" s="129" t="s">
        <v>151</v>
      </c>
      <c r="C69" s="16" t="s">
        <v>361</v>
      </c>
      <c r="D69" s="129">
        <v>8</v>
      </c>
      <c r="E69" s="125">
        <f>SUM(16.5+14.8+27.6+10.5+24.6+21.3+13.6+16.3+23.4+15.3+13.5+15.2)</f>
        <v>212.60000000000002</v>
      </c>
      <c r="F69" s="125">
        <f t="shared" si="6"/>
        <v>67.70700636942675</v>
      </c>
      <c r="G69" s="126"/>
      <c r="H69" s="51" t="s">
        <v>362</v>
      </c>
      <c r="I69" s="51">
        <f>AVERAGE(0.55,0.7)</f>
        <v>0.625</v>
      </c>
      <c r="J69" s="127">
        <f t="shared" si="7"/>
        <v>137.34438392226866</v>
      </c>
      <c r="K69" s="128">
        <f t="shared" si="8"/>
        <v>1212.2902136988362</v>
      </c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</row>
    <row r="70" spans="1:25" ht="15.5">
      <c r="A70" s="121">
        <v>4</v>
      </c>
      <c r="B70" s="129" t="s">
        <v>151</v>
      </c>
      <c r="C70" s="16" t="s">
        <v>361</v>
      </c>
      <c r="D70" s="129">
        <v>4</v>
      </c>
      <c r="E70" s="125">
        <f>SUM(7.5+6.3)</f>
        <v>13.8</v>
      </c>
      <c r="F70" s="125">
        <f t="shared" si="6"/>
        <v>4.3949044585987265</v>
      </c>
      <c r="G70" s="126"/>
      <c r="H70" s="51" t="s">
        <v>362</v>
      </c>
      <c r="I70" s="51">
        <f>AVERAGE(0.55,0.7)</f>
        <v>0.625</v>
      </c>
      <c r="J70" s="127">
        <f t="shared" si="7"/>
        <v>9.2561125928029533</v>
      </c>
      <c r="K70" s="128">
        <f t="shared" si="8"/>
        <v>2.9610232419176579</v>
      </c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</row>
    <row r="71" spans="1:25" ht="15.5">
      <c r="A71" s="121">
        <v>4</v>
      </c>
      <c r="B71" s="122" t="s">
        <v>334</v>
      </c>
      <c r="C71" s="123" t="s">
        <v>29</v>
      </c>
      <c r="D71" s="122">
        <v>6</v>
      </c>
      <c r="E71" s="124">
        <f>SUM(17.3+8.5+12.3+16.4+12.4+11.2+19.4)</f>
        <v>97.5</v>
      </c>
      <c r="F71" s="125">
        <f t="shared" si="6"/>
        <v>31.050955414012737</v>
      </c>
      <c r="G71" s="126"/>
      <c r="H71" s="51">
        <v>0.8</v>
      </c>
      <c r="I71" s="51">
        <v>0.8</v>
      </c>
      <c r="J71" s="127">
        <f t="shared" si="7"/>
        <v>29.233098474583144</v>
      </c>
      <c r="K71" s="128">
        <f t="shared" si="8"/>
        <v>254.35299084367901</v>
      </c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</row>
    <row r="72" spans="1:25" ht="15.5">
      <c r="A72" s="121">
        <v>4</v>
      </c>
      <c r="B72" s="129" t="s">
        <v>338</v>
      </c>
      <c r="C72" s="16" t="s">
        <v>254</v>
      </c>
      <c r="D72" s="129">
        <v>5</v>
      </c>
      <c r="E72" s="125">
        <f>SUM(15.4+10.3)</f>
        <v>25.700000000000003</v>
      </c>
      <c r="F72" s="125">
        <f t="shared" si="6"/>
        <v>8.1847133757961785</v>
      </c>
      <c r="G72" s="126"/>
      <c r="H72" s="51" t="s">
        <v>339</v>
      </c>
      <c r="I72" s="51">
        <f>AVERAGE(0.41,0.51)</f>
        <v>0.45999999999999996</v>
      </c>
      <c r="J72" s="127">
        <f t="shared" si="7"/>
        <v>10.158016828268895</v>
      </c>
      <c r="K72" s="128">
        <f t="shared" si="8"/>
        <v>9.1884914569666876</v>
      </c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</row>
    <row r="73" spans="1:25" ht="15.5">
      <c r="A73" s="121">
        <v>4</v>
      </c>
      <c r="B73" s="129" t="s">
        <v>338</v>
      </c>
      <c r="C73" s="16" t="s">
        <v>254</v>
      </c>
      <c r="D73" s="122">
        <v>8</v>
      </c>
      <c r="E73" s="124">
        <f>SUM(26.6+12.4+18.4+26.6+30.4)</f>
        <v>114.4</v>
      </c>
      <c r="F73" s="125">
        <f t="shared" si="6"/>
        <v>36.433121019108277</v>
      </c>
      <c r="G73" s="126"/>
      <c r="H73" s="51" t="s">
        <v>339</v>
      </c>
      <c r="I73" s="51">
        <f>AVERAGE(0.41,0.51)</f>
        <v>0.45999999999999996</v>
      </c>
      <c r="J73" s="127">
        <f t="shared" si="7"/>
        <v>46.152124601403706</v>
      </c>
      <c r="K73" s="128">
        <f t="shared" si="8"/>
        <v>268.11645090970109</v>
      </c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</row>
    <row r="74" spans="1:25" ht="15.5">
      <c r="A74" s="121">
        <v>4</v>
      </c>
      <c r="B74" s="129" t="s">
        <v>338</v>
      </c>
      <c r="C74" s="16" t="s">
        <v>254</v>
      </c>
      <c r="D74" s="122">
        <v>6.5</v>
      </c>
      <c r="E74" s="124">
        <f>SUM(15.6+13.4+21.2+15.3+24.2)</f>
        <v>89.7</v>
      </c>
      <c r="F74" s="125">
        <f t="shared" si="6"/>
        <v>28.566878980891719</v>
      </c>
      <c r="G74" s="126"/>
      <c r="H74" s="51" t="s">
        <v>339</v>
      </c>
      <c r="I74" s="51">
        <f>AVERAGE(0.41,0.51)</f>
        <v>0.45999999999999996</v>
      </c>
      <c r="J74" s="127">
        <f t="shared" si="7"/>
        <v>27.551214574627771</v>
      </c>
      <c r="K74" s="128">
        <f t="shared" si="8"/>
        <v>136.18031042115132</v>
      </c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</row>
    <row r="75" spans="1:25" ht="15.5">
      <c r="A75" s="121">
        <v>5</v>
      </c>
      <c r="B75" s="129" t="s">
        <v>332</v>
      </c>
      <c r="C75" s="16" t="s">
        <v>21</v>
      </c>
      <c r="D75" s="122">
        <v>7</v>
      </c>
      <c r="E75" s="124">
        <v>24.3</v>
      </c>
      <c r="F75" s="125">
        <f t="shared" si="6"/>
        <v>7.7388535031847132</v>
      </c>
      <c r="G75" s="126"/>
      <c r="H75" s="51" t="s">
        <v>333</v>
      </c>
      <c r="I75" s="51">
        <f>AVERAGE(0.84,1.1)</f>
        <v>0.97</v>
      </c>
      <c r="J75" s="127">
        <f t="shared" si="7"/>
        <v>10.45300141182198</v>
      </c>
      <c r="K75" s="128">
        <f t="shared" si="8"/>
        <v>23.692819014823968</v>
      </c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</row>
    <row r="76" spans="1:25" ht="15.5">
      <c r="A76" s="121">
        <v>5</v>
      </c>
      <c r="B76" s="122" t="s">
        <v>327</v>
      </c>
      <c r="C76" s="123" t="s">
        <v>328</v>
      </c>
      <c r="D76" s="122">
        <v>3.5</v>
      </c>
      <c r="E76" s="124">
        <v>11.4</v>
      </c>
      <c r="F76" s="125">
        <f t="shared" si="6"/>
        <v>3.6305732484076434</v>
      </c>
      <c r="G76" s="126"/>
      <c r="H76" s="51">
        <v>0.98</v>
      </c>
      <c r="I76" s="51">
        <v>0.98</v>
      </c>
      <c r="J76" s="127">
        <f t="shared" si="7"/>
        <v>9.147168010872651</v>
      </c>
      <c r="K76" s="128">
        <f t="shared" si="8"/>
        <v>2.7767304456693096</v>
      </c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</row>
    <row r="77" spans="1:25" ht="15.5">
      <c r="A77" s="121">
        <v>5</v>
      </c>
      <c r="B77" s="216" t="s">
        <v>74</v>
      </c>
      <c r="C77" s="206" t="s">
        <v>373</v>
      </c>
      <c r="D77" s="216">
        <v>5</v>
      </c>
      <c r="E77" s="124">
        <f>SUM(15.4+10.3+7.2)</f>
        <v>32.900000000000006</v>
      </c>
      <c r="F77" s="125">
        <f t="shared" si="6"/>
        <v>10.477707006369428</v>
      </c>
      <c r="G77" s="126"/>
      <c r="H77" s="51" t="s">
        <v>371</v>
      </c>
      <c r="I77" s="51">
        <f>AVERAGE(0.99,1.27)</f>
        <v>1.1299999999999999</v>
      </c>
      <c r="J77" s="127">
        <f t="shared" si="7"/>
        <v>10.906891021948152</v>
      </c>
      <c r="K77" s="128">
        <f t="shared" si="8"/>
        <v>35.774540896147883</v>
      </c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</row>
    <row r="78" spans="1:25" ht="15.5">
      <c r="A78" s="121">
        <v>5</v>
      </c>
      <c r="B78" s="216" t="s">
        <v>74</v>
      </c>
      <c r="C78" s="206" t="s">
        <v>373</v>
      </c>
      <c r="D78" s="216">
        <v>6</v>
      </c>
      <c r="E78" s="124">
        <v>20.399999999999999</v>
      </c>
      <c r="F78" s="125">
        <f t="shared" si="6"/>
        <v>6.4968152866242033</v>
      </c>
      <c r="G78" s="126"/>
      <c r="H78" s="51" t="s">
        <v>371</v>
      </c>
      <c r="I78" s="51">
        <f>AVERAGE(0.99,1.27)</f>
        <v>1.1299999999999999</v>
      </c>
      <c r="J78" s="127">
        <f t="shared" si="7"/>
        <v>9.8720807862387918</v>
      </c>
      <c r="K78" s="128">
        <f t="shared" si="8"/>
        <v>16.814604599875803</v>
      </c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</row>
    <row r="79" spans="1:25" ht="15.5">
      <c r="A79" s="121">
        <v>5</v>
      </c>
      <c r="B79" s="129" t="s">
        <v>128</v>
      </c>
      <c r="C79" s="16" t="s">
        <v>129</v>
      </c>
      <c r="D79" s="122">
        <v>6</v>
      </c>
      <c r="E79" s="124">
        <f>SUM(12.5+10.5+6.2+5.2+9.4+12.1)</f>
        <v>55.9</v>
      </c>
      <c r="F79" s="125">
        <f t="shared" si="6"/>
        <v>17.802547770700635</v>
      </c>
      <c r="G79" s="126"/>
      <c r="H79" s="51" t="s">
        <v>346</v>
      </c>
      <c r="I79" s="51">
        <f>AVERAGE(0.25,0.41)</f>
        <v>0.32999999999999996</v>
      </c>
      <c r="J79" s="127">
        <f t="shared" si="7"/>
        <v>15.641244849689642</v>
      </c>
      <c r="K79" s="128">
        <f t="shared" si="8"/>
        <v>36.182741200680631</v>
      </c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</row>
    <row r="80" spans="1:25" ht="15.5">
      <c r="A80" s="121">
        <v>5</v>
      </c>
      <c r="B80" s="129" t="s">
        <v>164</v>
      </c>
      <c r="C80" s="16" t="s">
        <v>204</v>
      </c>
      <c r="D80" s="122">
        <v>5</v>
      </c>
      <c r="E80" s="124">
        <v>13.3</v>
      </c>
      <c r="F80" s="125">
        <f t="shared" si="6"/>
        <v>4.2356687898089174</v>
      </c>
      <c r="G80" s="126"/>
      <c r="H80" s="51" t="s">
        <v>367</v>
      </c>
      <c r="I80" s="51">
        <f>AVERAGE(0.22,0.34)</f>
        <v>0.28000000000000003</v>
      </c>
      <c r="J80" s="127">
        <f t="shared" si="7"/>
        <v>9.2996655766968228</v>
      </c>
      <c r="K80" s="128">
        <f t="shared" si="8"/>
        <v>1.5645439126962146</v>
      </c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</row>
    <row r="81" spans="1:25" ht="15.5">
      <c r="A81" s="121">
        <v>5</v>
      </c>
      <c r="B81" s="122" t="s">
        <v>160</v>
      </c>
      <c r="C81" s="123" t="s">
        <v>363</v>
      </c>
      <c r="D81" s="122">
        <v>3.5</v>
      </c>
      <c r="E81" s="124">
        <v>5.6</v>
      </c>
      <c r="F81" s="125">
        <f t="shared" si="6"/>
        <v>1.7834394904458597</v>
      </c>
      <c r="G81" s="126"/>
      <c r="H81" s="51" t="s">
        <v>364</v>
      </c>
      <c r="I81" s="51">
        <f>AVERAGE(0.5,0.68)</f>
        <v>0.59000000000000008</v>
      </c>
      <c r="J81" s="127">
        <f t="shared" si="7"/>
        <v>9.0246630410970017</v>
      </c>
      <c r="K81" s="128">
        <f t="shared" si="8"/>
        <v>0.42250649986563149</v>
      </c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</row>
    <row r="82" spans="1:25" ht="15.5">
      <c r="A82" s="121">
        <v>5</v>
      </c>
      <c r="B82" s="122" t="s">
        <v>354</v>
      </c>
      <c r="C82" s="16" t="s">
        <v>237</v>
      </c>
      <c r="D82" s="122">
        <v>7</v>
      </c>
      <c r="E82" s="124">
        <v>27.7</v>
      </c>
      <c r="F82" s="125">
        <f t="shared" si="6"/>
        <v>8.8216560509554132</v>
      </c>
      <c r="G82" s="126"/>
      <c r="H82" s="51" t="s">
        <v>355</v>
      </c>
      <c r="I82" s="51">
        <f>AVERAGE(0.8,1)</f>
        <v>0.9</v>
      </c>
      <c r="J82" s="127">
        <f t="shared" si="7"/>
        <v>10.892329579293277</v>
      </c>
      <c r="K82" s="128">
        <f t="shared" si="8"/>
        <v>28.437098131553668</v>
      </c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</row>
    <row r="83" spans="1:25" ht="15.5">
      <c r="A83" s="121">
        <v>5</v>
      </c>
      <c r="B83" s="122" t="s">
        <v>354</v>
      </c>
      <c r="C83" s="16" t="s">
        <v>237</v>
      </c>
      <c r="D83" s="122">
        <v>6</v>
      </c>
      <c r="E83" s="124">
        <f>SUM(15.3+9.7)</f>
        <v>25</v>
      </c>
      <c r="F83" s="125">
        <f t="shared" si="6"/>
        <v>7.9617834394904454</v>
      </c>
      <c r="G83" s="126"/>
      <c r="H83" s="51" t="s">
        <v>355</v>
      </c>
      <c r="I83" s="51">
        <f>AVERAGE(0.8,1)</f>
        <v>0.9</v>
      </c>
      <c r="J83" s="127">
        <f t="shared" si="7"/>
        <v>10.31688990628423</v>
      </c>
      <c r="K83" s="128">
        <f t="shared" si="8"/>
        <v>20.026432801903688</v>
      </c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</row>
    <row r="84" spans="1:25" ht="15.5">
      <c r="A84" s="121">
        <v>5</v>
      </c>
      <c r="B84" s="129" t="s">
        <v>232</v>
      </c>
      <c r="C84" s="16" t="s">
        <v>232</v>
      </c>
      <c r="D84" s="122">
        <v>6</v>
      </c>
      <c r="E84" s="124">
        <f>SUM(13.2+11.4+10.2+14.3+13.1+11.5)</f>
        <v>73.699999999999989</v>
      </c>
      <c r="F84" s="125">
        <f t="shared" si="6"/>
        <v>23.471337579617831</v>
      </c>
      <c r="G84" s="126"/>
      <c r="H84" s="51">
        <v>0.62</v>
      </c>
      <c r="I84" s="51">
        <v>0.62</v>
      </c>
      <c r="J84" s="127">
        <f t="shared" si="7"/>
        <v>20.554677443303987</v>
      </c>
      <c r="K84" s="128">
        <f t="shared" si="8"/>
        <v>114.85630398683919</v>
      </c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</row>
    <row r="85" spans="1:25" ht="15.5">
      <c r="A85" s="121">
        <v>5</v>
      </c>
      <c r="B85" s="122" t="s">
        <v>344</v>
      </c>
      <c r="C85" s="123" t="s">
        <v>127</v>
      </c>
      <c r="D85" s="122">
        <v>10</v>
      </c>
      <c r="E85" s="124">
        <v>64.5</v>
      </c>
      <c r="F85" s="125">
        <f t="shared" si="6"/>
        <v>20.541401273885349</v>
      </c>
      <c r="G85" s="126"/>
      <c r="H85" s="51" t="s">
        <v>345</v>
      </c>
      <c r="I85" s="51">
        <f t="shared" ref="I85:I92" si="9">AVERAGE(0.47,0.59)</f>
        <v>0.53</v>
      </c>
      <c r="J85" s="127">
        <f t="shared" si="7"/>
        <v>23.753920820317255</v>
      </c>
      <c r="K85" s="128">
        <f t="shared" si="8"/>
        <v>125.07260716000417</v>
      </c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</row>
    <row r="86" spans="1:25" ht="15.5">
      <c r="A86" s="121">
        <v>5</v>
      </c>
      <c r="B86" s="122" t="s">
        <v>344</v>
      </c>
      <c r="C86" s="123" t="s">
        <v>127</v>
      </c>
      <c r="D86" s="122">
        <v>10</v>
      </c>
      <c r="E86" s="124">
        <f>SUM(41.2+55.5)</f>
        <v>96.7</v>
      </c>
      <c r="F86" s="125">
        <f t="shared" si="6"/>
        <v>30.796178343949045</v>
      </c>
      <c r="G86" s="126"/>
      <c r="H86" s="51" t="s">
        <v>345</v>
      </c>
      <c r="I86" s="51">
        <f t="shared" si="9"/>
        <v>0.53</v>
      </c>
      <c r="J86" s="127">
        <f t="shared" si="7"/>
        <v>42.179861020731067</v>
      </c>
      <c r="K86" s="128">
        <f t="shared" si="8"/>
        <v>275.71101516834068</v>
      </c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</row>
    <row r="87" spans="1:25" ht="15.5">
      <c r="A87" s="121">
        <v>5</v>
      </c>
      <c r="B87" s="122" t="s">
        <v>344</v>
      </c>
      <c r="C87" s="123" t="s">
        <v>127</v>
      </c>
      <c r="D87" s="122">
        <v>9</v>
      </c>
      <c r="E87" s="124">
        <v>47.3</v>
      </c>
      <c r="F87" s="125">
        <f t="shared" si="6"/>
        <v>15.063694267515922</v>
      </c>
      <c r="G87" s="126"/>
      <c r="H87" s="51" t="s">
        <v>345</v>
      </c>
      <c r="I87" s="51">
        <f t="shared" si="9"/>
        <v>0.53</v>
      </c>
      <c r="J87" s="127">
        <f t="shared" si="7"/>
        <v>16.133518877033552</v>
      </c>
      <c r="K87" s="128">
        <f t="shared" si="8"/>
        <v>61.598661574633809</v>
      </c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</row>
    <row r="88" spans="1:25" ht="15.5">
      <c r="A88" s="121">
        <v>5</v>
      </c>
      <c r="B88" s="122" t="s">
        <v>344</v>
      </c>
      <c r="C88" s="123" t="s">
        <v>127</v>
      </c>
      <c r="D88" s="122">
        <v>9</v>
      </c>
      <c r="E88" s="124">
        <v>17.100000000000001</v>
      </c>
      <c r="F88" s="125">
        <f t="shared" si="6"/>
        <v>5.4458598726114653</v>
      </c>
      <c r="G88" s="126"/>
      <c r="H88" s="51" t="s">
        <v>345</v>
      </c>
      <c r="I88" s="51">
        <f t="shared" si="9"/>
        <v>0.53</v>
      </c>
      <c r="J88" s="127">
        <f t="shared" si="7"/>
        <v>9.9199077771917725</v>
      </c>
      <c r="K88" s="128">
        <f t="shared" si="8"/>
        <v>8.4537760094291752</v>
      </c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</row>
    <row r="89" spans="1:25" ht="15.5">
      <c r="A89" s="121">
        <v>5</v>
      </c>
      <c r="B89" s="122" t="s">
        <v>344</v>
      </c>
      <c r="C89" s="123" t="s">
        <v>127</v>
      </c>
      <c r="D89" s="122">
        <v>8</v>
      </c>
      <c r="E89" s="124">
        <v>51</v>
      </c>
      <c r="F89" s="125">
        <f t="shared" si="6"/>
        <v>16.242038216560509</v>
      </c>
      <c r="G89" s="126"/>
      <c r="H89" s="51" t="s">
        <v>345</v>
      </c>
      <c r="I89" s="51">
        <f t="shared" si="9"/>
        <v>0.53</v>
      </c>
      <c r="J89" s="127">
        <f t="shared" si="7"/>
        <v>16.372206551989937</v>
      </c>
      <c r="K89" s="128">
        <f t="shared" si="8"/>
        <v>63.605467783173246</v>
      </c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</row>
    <row r="90" spans="1:25" ht="15.5">
      <c r="A90" s="121">
        <v>5</v>
      </c>
      <c r="B90" s="122" t="s">
        <v>344</v>
      </c>
      <c r="C90" s="16" t="s">
        <v>127</v>
      </c>
      <c r="D90" s="129">
        <v>11</v>
      </c>
      <c r="E90" s="125">
        <f>SUM(30.2+42.1+40.3+38.5)</f>
        <v>151.1</v>
      </c>
      <c r="F90" s="125">
        <f t="shared" si="6"/>
        <v>48.121019108280251</v>
      </c>
      <c r="G90" s="126"/>
      <c r="H90" s="51" t="s">
        <v>345</v>
      </c>
      <c r="I90" s="51">
        <f t="shared" si="9"/>
        <v>0.53</v>
      </c>
      <c r="J90" s="127">
        <f t="shared" si="7"/>
        <v>98.137550480749695</v>
      </c>
      <c r="K90" s="128">
        <f t="shared" si="8"/>
        <v>723.14457920863276</v>
      </c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</row>
    <row r="91" spans="1:25" ht="15.5">
      <c r="A91" s="121">
        <v>5</v>
      </c>
      <c r="B91" s="122" t="s">
        <v>344</v>
      </c>
      <c r="C91" s="16" t="s">
        <v>127</v>
      </c>
      <c r="D91" s="122">
        <v>7</v>
      </c>
      <c r="E91" s="124">
        <f>SUM(29.4+45.5)</f>
        <v>74.900000000000006</v>
      </c>
      <c r="F91" s="125">
        <f t="shared" si="6"/>
        <v>23.853503184713375</v>
      </c>
      <c r="G91" s="126"/>
      <c r="H91" s="51" t="s">
        <v>345</v>
      </c>
      <c r="I91" s="51">
        <f t="shared" si="9"/>
        <v>0.53</v>
      </c>
      <c r="J91" s="127">
        <f t="shared" si="7"/>
        <v>22.925945547486712</v>
      </c>
      <c r="K91" s="128">
        <f t="shared" si="8"/>
        <v>118.22405060695398</v>
      </c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</row>
    <row r="92" spans="1:25" ht="15.5">
      <c r="A92" s="121">
        <v>5</v>
      </c>
      <c r="B92" s="122" t="s">
        <v>344</v>
      </c>
      <c r="C92" s="16" t="s">
        <v>127</v>
      </c>
      <c r="D92" s="129">
        <v>7</v>
      </c>
      <c r="E92" s="125">
        <f>SUM(38.4+17.5)</f>
        <v>55.9</v>
      </c>
      <c r="F92" s="125">
        <f t="shared" si="6"/>
        <v>17.802547770700635</v>
      </c>
      <c r="G92" s="126"/>
      <c r="H92" s="51" t="s">
        <v>345</v>
      </c>
      <c r="I92" s="51">
        <f t="shared" si="9"/>
        <v>0.53</v>
      </c>
      <c r="J92" s="127">
        <f t="shared" si="7"/>
        <v>16.750502324637914</v>
      </c>
      <c r="K92" s="128">
        <f t="shared" si="8"/>
        <v>66.782884915823104</v>
      </c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</row>
    <row r="93" spans="1:25" ht="15.5">
      <c r="A93" s="121">
        <v>5</v>
      </c>
      <c r="B93" s="122" t="s">
        <v>151</v>
      </c>
      <c r="C93" s="123" t="s">
        <v>361</v>
      </c>
      <c r="D93" s="122">
        <v>8</v>
      </c>
      <c r="E93" s="124">
        <f>SUM(15.2+2.4+13.2+14.3+7+15.2+14.4+13+14.2)</f>
        <v>108.9</v>
      </c>
      <c r="F93" s="125">
        <f t="shared" si="6"/>
        <v>34.681528662420384</v>
      </c>
      <c r="G93" s="126"/>
      <c r="H93" s="51" t="s">
        <v>362</v>
      </c>
      <c r="I93" s="51">
        <f>AVERAGE(0.55,0.7)</f>
        <v>0.625</v>
      </c>
      <c r="J93" s="127">
        <f t="shared" si="7"/>
        <v>42.664336050144023</v>
      </c>
      <c r="K93" s="128">
        <f t="shared" si="8"/>
        <v>328.45928011218768</v>
      </c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</row>
    <row r="94" spans="1:25" ht="15.5">
      <c r="A94" s="121">
        <v>5</v>
      </c>
      <c r="B94" s="122" t="s">
        <v>334</v>
      </c>
      <c r="C94" s="123" t="s">
        <v>29</v>
      </c>
      <c r="D94" s="122">
        <v>7</v>
      </c>
      <c r="E94" s="124">
        <f>SUM(15.3+11.2+13.2+16.4+21.3+15.4+9.2)</f>
        <v>102.00000000000001</v>
      </c>
      <c r="F94" s="125">
        <f t="shared" si="6"/>
        <v>32.484076433121025</v>
      </c>
      <c r="G94" s="126"/>
      <c r="H94" s="51">
        <v>0.8</v>
      </c>
      <c r="I94" s="51">
        <v>0.8</v>
      </c>
      <c r="J94" s="127">
        <f t="shared" si="7"/>
        <v>34.838472931964795</v>
      </c>
      <c r="K94" s="128">
        <f t="shared" si="8"/>
        <v>322.86981200048973</v>
      </c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</row>
    <row r="95" spans="1:25" ht="15.5">
      <c r="A95" s="121">
        <v>5</v>
      </c>
      <c r="B95" s="122" t="s">
        <v>334</v>
      </c>
      <c r="C95" s="123" t="s">
        <v>29</v>
      </c>
      <c r="D95" s="122">
        <v>6</v>
      </c>
      <c r="E95" s="124">
        <f>SUM(15.4+16.3+22.3+15.4)</f>
        <v>69.400000000000006</v>
      </c>
      <c r="F95" s="125">
        <f t="shared" si="6"/>
        <v>22.101910828025478</v>
      </c>
      <c r="G95" s="126"/>
      <c r="H95" s="51">
        <v>0.8</v>
      </c>
      <c r="I95" s="51">
        <v>0.8</v>
      </c>
      <c r="J95" s="127">
        <f t="shared" si="7"/>
        <v>19.244083707249786</v>
      </c>
      <c r="K95" s="128">
        <f t="shared" si="8"/>
        <v>130.98860746366915</v>
      </c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</row>
    <row r="96" spans="1:25" ht="15.5">
      <c r="A96" s="121">
        <v>5</v>
      </c>
      <c r="B96" s="122" t="s">
        <v>351</v>
      </c>
      <c r="C96" s="126"/>
      <c r="D96" s="122">
        <v>5.5</v>
      </c>
      <c r="E96" s="124">
        <v>19.5</v>
      </c>
      <c r="F96" s="125">
        <f t="shared" si="6"/>
        <v>6.2101910828025479</v>
      </c>
      <c r="G96" s="126"/>
      <c r="H96" s="126"/>
      <c r="I96" s="126"/>
      <c r="J96" s="127">
        <f t="shared" si="7"/>
        <v>9.7281046107347144</v>
      </c>
      <c r="K96" s="128">
        <f t="shared" si="8"/>
        <v>0</v>
      </c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</row>
    <row r="97" spans="1:25" ht="14.5">
      <c r="A97" s="109"/>
      <c r="B97" s="109"/>
      <c r="C97" s="109"/>
      <c r="D97" s="109"/>
      <c r="E97" s="110"/>
      <c r="F97" s="110"/>
      <c r="G97" s="109"/>
      <c r="H97" s="109"/>
      <c r="I97" s="109"/>
      <c r="J97" s="111"/>
      <c r="K97" s="111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</row>
    <row r="98" spans="1:25" ht="14.5">
      <c r="A98" s="109"/>
      <c r="B98" s="109"/>
      <c r="C98" s="109"/>
      <c r="D98" s="109"/>
      <c r="E98" s="110"/>
      <c r="F98" s="110"/>
      <c r="G98" s="109"/>
      <c r="H98" s="109"/>
      <c r="I98" s="109"/>
      <c r="J98" s="111"/>
      <c r="K98" s="111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</row>
    <row r="99" spans="1:25" ht="14.5">
      <c r="A99" s="109"/>
      <c r="B99" s="109"/>
      <c r="C99" s="109"/>
      <c r="D99" s="109"/>
      <c r="E99" s="110"/>
      <c r="F99" s="110"/>
      <c r="G99" s="109"/>
      <c r="H99" s="109"/>
      <c r="I99" s="109"/>
      <c r="J99" s="111"/>
      <c r="K99" s="111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</row>
    <row r="100" spans="1:25" ht="14.5">
      <c r="A100" s="109"/>
      <c r="B100" s="109"/>
      <c r="C100" s="109"/>
      <c r="D100" s="109"/>
      <c r="E100" s="110"/>
      <c r="F100" s="110"/>
      <c r="G100" s="109"/>
      <c r="H100" s="109"/>
      <c r="I100" s="109"/>
      <c r="J100" s="111"/>
      <c r="K100" s="111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</row>
    <row r="101" spans="1:25" ht="14.5">
      <c r="A101" s="109"/>
      <c r="B101" s="109"/>
      <c r="C101" s="109"/>
      <c r="D101" s="109"/>
      <c r="E101" s="110"/>
      <c r="F101" s="110"/>
      <c r="G101" s="109"/>
      <c r="H101" s="109"/>
      <c r="I101" s="109"/>
      <c r="J101" s="111"/>
      <c r="K101" s="111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</row>
    <row r="102" spans="1:25" ht="14.5">
      <c r="A102" s="109"/>
      <c r="B102" s="109"/>
      <c r="C102" s="109"/>
      <c r="D102" s="109"/>
      <c r="E102" s="110"/>
      <c r="F102" s="110"/>
      <c r="G102" s="109"/>
      <c r="H102" s="109"/>
      <c r="I102" s="109"/>
      <c r="J102" s="111"/>
      <c r="K102" s="111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</row>
    <row r="103" spans="1:25" ht="14.5">
      <c r="A103" s="109"/>
      <c r="B103" s="109"/>
      <c r="C103" s="109"/>
      <c r="D103" s="109"/>
      <c r="E103" s="110"/>
      <c r="F103" s="110"/>
      <c r="G103" s="109"/>
      <c r="H103" s="109"/>
      <c r="I103" s="109"/>
      <c r="J103" s="111"/>
      <c r="K103" s="111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</row>
    <row r="104" spans="1:25" ht="14.5">
      <c r="A104" s="109"/>
      <c r="B104" s="109"/>
      <c r="C104" s="109"/>
      <c r="D104" s="109"/>
      <c r="E104" s="110"/>
      <c r="F104" s="110"/>
      <c r="G104" s="109"/>
      <c r="H104" s="109"/>
      <c r="I104" s="109"/>
      <c r="J104" s="111"/>
      <c r="K104" s="111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</row>
    <row r="105" spans="1:25" ht="14.5">
      <c r="A105" s="109"/>
      <c r="B105" s="109"/>
      <c r="C105" s="109"/>
      <c r="D105" s="109"/>
      <c r="E105" s="110"/>
      <c r="F105" s="110"/>
      <c r="G105" s="109"/>
      <c r="H105" s="109"/>
      <c r="I105" s="109"/>
      <c r="J105" s="111"/>
      <c r="K105" s="111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</row>
    <row r="106" spans="1:25" ht="14.5">
      <c r="A106" s="109"/>
      <c r="B106" s="109"/>
      <c r="C106" s="109"/>
      <c r="D106" s="109"/>
      <c r="E106" s="110"/>
      <c r="F106" s="110"/>
      <c r="G106" s="109"/>
      <c r="H106" s="109"/>
      <c r="I106" s="109"/>
      <c r="J106" s="111"/>
      <c r="K106" s="111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</row>
    <row r="107" spans="1:25" ht="14.5">
      <c r="A107" s="109"/>
      <c r="B107" s="109"/>
      <c r="C107" s="109"/>
      <c r="D107" s="109"/>
      <c r="E107" s="110"/>
      <c r="F107" s="110"/>
      <c r="G107" s="109"/>
      <c r="H107" s="109"/>
      <c r="I107" s="109"/>
      <c r="J107" s="111"/>
      <c r="K107" s="111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</row>
    <row r="108" spans="1:25" ht="14.5">
      <c r="A108" s="109"/>
      <c r="B108" s="109"/>
      <c r="C108" s="109"/>
      <c r="D108" s="109"/>
      <c r="E108" s="110"/>
      <c r="F108" s="110"/>
      <c r="G108" s="109"/>
      <c r="H108" s="109"/>
      <c r="I108" s="109"/>
      <c r="J108" s="111"/>
      <c r="K108" s="111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</row>
    <row r="109" spans="1:25" ht="14.5">
      <c r="A109" s="109"/>
      <c r="B109" s="109"/>
      <c r="C109" s="109"/>
      <c r="D109" s="109"/>
      <c r="E109" s="110"/>
      <c r="F109" s="110"/>
      <c r="G109" s="109"/>
      <c r="H109" s="109"/>
      <c r="I109" s="109"/>
      <c r="J109" s="111"/>
      <c r="K109" s="111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</row>
    <row r="110" spans="1:25" ht="14.5">
      <c r="A110" s="109"/>
      <c r="B110" s="109"/>
      <c r="C110" s="109"/>
      <c r="D110" s="109"/>
      <c r="E110" s="110"/>
      <c r="F110" s="110"/>
      <c r="G110" s="109"/>
      <c r="H110" s="109"/>
      <c r="I110" s="109"/>
      <c r="J110" s="111"/>
      <c r="K110" s="111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</row>
    <row r="111" spans="1:25" ht="14.5">
      <c r="A111" s="109"/>
      <c r="B111" s="109"/>
      <c r="C111" s="109"/>
      <c r="D111" s="109"/>
      <c r="E111" s="110"/>
      <c r="F111" s="110"/>
      <c r="G111" s="109"/>
      <c r="H111" s="109"/>
      <c r="I111" s="109"/>
      <c r="J111" s="111"/>
      <c r="K111" s="111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</row>
    <row r="112" spans="1:25" ht="14.5">
      <c r="A112" s="109"/>
      <c r="B112" s="109"/>
      <c r="C112" s="109"/>
      <c r="D112" s="109"/>
      <c r="E112" s="110"/>
      <c r="F112" s="110"/>
      <c r="G112" s="109"/>
      <c r="H112" s="109"/>
      <c r="I112" s="109"/>
      <c r="J112" s="111"/>
      <c r="K112" s="111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</row>
    <row r="113" spans="1:25" ht="14.5">
      <c r="A113" s="109"/>
      <c r="B113" s="109"/>
      <c r="C113" s="109"/>
      <c r="D113" s="109"/>
      <c r="E113" s="110"/>
      <c r="F113" s="110"/>
      <c r="G113" s="109"/>
      <c r="H113" s="109"/>
      <c r="I113" s="109"/>
      <c r="J113" s="111"/>
      <c r="K113" s="111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</row>
    <row r="114" spans="1:25" ht="14.5">
      <c r="A114" s="109"/>
      <c r="B114" s="109"/>
      <c r="C114" s="109"/>
      <c r="D114" s="109"/>
      <c r="E114" s="110"/>
      <c r="F114" s="110"/>
      <c r="G114" s="109"/>
      <c r="H114" s="109"/>
      <c r="I114" s="109"/>
      <c r="J114" s="111"/>
      <c r="K114" s="111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</row>
    <row r="115" spans="1:25" ht="14.5">
      <c r="A115" s="109"/>
      <c r="B115" s="109"/>
      <c r="C115" s="109"/>
      <c r="D115" s="109"/>
      <c r="E115" s="110"/>
      <c r="F115" s="110"/>
      <c r="G115" s="109"/>
      <c r="H115" s="109"/>
      <c r="I115" s="109"/>
      <c r="J115" s="111"/>
      <c r="K115" s="111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</row>
    <row r="116" spans="1:25" ht="14.5">
      <c r="A116" s="109"/>
      <c r="B116" s="109"/>
      <c r="C116" s="109"/>
      <c r="D116" s="109"/>
      <c r="E116" s="110"/>
      <c r="F116" s="110"/>
      <c r="G116" s="109"/>
      <c r="H116" s="109"/>
      <c r="I116" s="109"/>
      <c r="J116" s="111"/>
      <c r="K116" s="111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</row>
    <row r="117" spans="1:25" ht="14.5">
      <c r="A117" s="109"/>
      <c r="B117" s="109"/>
      <c r="C117" s="109"/>
      <c r="D117" s="109"/>
      <c r="E117" s="110"/>
      <c r="F117" s="110"/>
      <c r="G117" s="109"/>
      <c r="H117" s="109"/>
      <c r="I117" s="109"/>
      <c r="J117" s="111"/>
      <c r="K117" s="111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</row>
    <row r="118" spans="1:25" ht="14.5">
      <c r="A118" s="109"/>
      <c r="B118" s="109"/>
      <c r="C118" s="109"/>
      <c r="D118" s="109"/>
      <c r="E118" s="110"/>
      <c r="F118" s="110"/>
      <c r="G118" s="109"/>
      <c r="H118" s="109"/>
      <c r="I118" s="109"/>
      <c r="J118" s="111"/>
      <c r="K118" s="111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</row>
    <row r="119" spans="1:25" ht="14.5">
      <c r="A119" s="109"/>
      <c r="B119" s="109"/>
      <c r="C119" s="109"/>
      <c r="D119" s="109"/>
      <c r="E119" s="110"/>
      <c r="F119" s="110"/>
      <c r="G119" s="109"/>
      <c r="H119" s="109"/>
      <c r="I119" s="109"/>
      <c r="J119" s="111"/>
      <c r="K119" s="111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</row>
    <row r="120" spans="1:25" ht="14.5">
      <c r="A120" s="109"/>
      <c r="B120" s="109"/>
      <c r="C120" s="109"/>
      <c r="D120" s="109"/>
      <c r="E120" s="110"/>
      <c r="F120" s="110"/>
      <c r="G120" s="109"/>
      <c r="H120" s="109"/>
      <c r="I120" s="109"/>
      <c r="J120" s="111"/>
      <c r="K120" s="111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</row>
    <row r="121" spans="1:25" ht="14.5">
      <c r="A121" s="109"/>
      <c r="B121" s="109"/>
      <c r="C121" s="109"/>
      <c r="D121" s="109"/>
      <c r="E121" s="110"/>
      <c r="F121" s="110"/>
      <c r="G121" s="109"/>
      <c r="H121" s="109"/>
      <c r="I121" s="109"/>
      <c r="J121" s="111"/>
      <c r="K121" s="111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</row>
    <row r="122" spans="1:25" ht="14.5">
      <c r="A122" s="109"/>
      <c r="B122" s="109"/>
      <c r="C122" s="109"/>
      <c r="D122" s="109"/>
      <c r="E122" s="110"/>
      <c r="F122" s="110"/>
      <c r="G122" s="109"/>
      <c r="H122" s="109"/>
      <c r="I122" s="109"/>
      <c r="J122" s="111"/>
      <c r="K122" s="111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</row>
    <row r="123" spans="1:25" ht="14.5">
      <c r="A123" s="109"/>
      <c r="B123" s="109"/>
      <c r="C123" s="109"/>
      <c r="D123" s="109"/>
      <c r="E123" s="110"/>
      <c r="F123" s="110"/>
      <c r="G123" s="109"/>
      <c r="H123" s="109"/>
      <c r="I123" s="109"/>
      <c r="J123" s="111"/>
      <c r="K123" s="111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</row>
    <row r="124" spans="1:25" ht="14.5">
      <c r="A124" s="109"/>
      <c r="B124" s="109"/>
      <c r="C124" s="109"/>
      <c r="D124" s="109"/>
      <c r="E124" s="110"/>
      <c r="F124" s="110"/>
      <c r="G124" s="109"/>
      <c r="H124" s="109"/>
      <c r="I124" s="109"/>
      <c r="J124" s="111"/>
      <c r="K124" s="111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</row>
    <row r="125" spans="1:25" ht="14.5">
      <c r="A125" s="109"/>
      <c r="B125" s="109"/>
      <c r="C125" s="109"/>
      <c r="D125" s="109"/>
      <c r="E125" s="110"/>
      <c r="F125" s="110"/>
      <c r="G125" s="109"/>
      <c r="H125" s="109"/>
      <c r="I125" s="109"/>
      <c r="J125" s="111"/>
      <c r="K125" s="111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</row>
    <row r="126" spans="1:25" ht="14.5">
      <c r="A126" s="109"/>
      <c r="B126" s="109"/>
      <c r="C126" s="109"/>
      <c r="D126" s="109"/>
      <c r="E126" s="110"/>
      <c r="F126" s="110"/>
      <c r="G126" s="109"/>
      <c r="H126" s="109"/>
      <c r="I126" s="109"/>
      <c r="J126" s="111"/>
      <c r="K126" s="111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</row>
    <row r="127" spans="1:25" ht="14.5">
      <c r="A127" s="109"/>
      <c r="B127" s="109"/>
      <c r="C127" s="109"/>
      <c r="D127" s="109"/>
      <c r="E127" s="110"/>
      <c r="F127" s="110"/>
      <c r="G127" s="109"/>
      <c r="H127" s="109"/>
      <c r="I127" s="109"/>
      <c r="J127" s="111"/>
      <c r="K127" s="111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</row>
    <row r="128" spans="1:25" ht="14.5">
      <c r="A128" s="109"/>
      <c r="B128" s="109"/>
      <c r="C128" s="109"/>
      <c r="D128" s="109"/>
      <c r="E128" s="110"/>
      <c r="F128" s="110"/>
      <c r="G128" s="109"/>
      <c r="H128" s="109"/>
      <c r="I128" s="109"/>
      <c r="J128" s="111"/>
      <c r="K128" s="111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</row>
    <row r="129" spans="1:25" ht="14.5">
      <c r="A129" s="109"/>
      <c r="B129" s="109"/>
      <c r="C129" s="109"/>
      <c r="D129" s="109"/>
      <c r="E129" s="110"/>
      <c r="F129" s="110"/>
      <c r="G129" s="109"/>
      <c r="H129" s="109"/>
      <c r="I129" s="109"/>
      <c r="J129" s="111"/>
      <c r="K129" s="111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</row>
    <row r="130" spans="1:25" ht="14.5">
      <c r="A130" s="109"/>
      <c r="B130" s="109"/>
      <c r="C130" s="109"/>
      <c r="D130" s="109"/>
      <c r="E130" s="110"/>
      <c r="F130" s="110"/>
      <c r="G130" s="109"/>
      <c r="H130" s="109"/>
      <c r="I130" s="109"/>
      <c r="J130" s="111"/>
      <c r="K130" s="111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</row>
    <row r="131" spans="1:25" ht="14.5">
      <c r="A131" s="109"/>
      <c r="B131" s="109"/>
      <c r="C131" s="109"/>
      <c r="D131" s="109"/>
      <c r="E131" s="110"/>
      <c r="F131" s="110"/>
      <c r="G131" s="109"/>
      <c r="H131" s="109"/>
      <c r="I131" s="109"/>
      <c r="J131" s="111"/>
      <c r="K131" s="111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</row>
    <row r="132" spans="1:25" ht="14.5">
      <c r="A132" s="109"/>
      <c r="B132" s="109"/>
      <c r="C132" s="109"/>
      <c r="D132" s="109"/>
      <c r="E132" s="110"/>
      <c r="F132" s="110"/>
      <c r="G132" s="109"/>
      <c r="H132" s="109"/>
      <c r="I132" s="109"/>
      <c r="J132" s="111"/>
      <c r="K132" s="111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</row>
    <row r="133" spans="1:25" ht="14.5">
      <c r="A133" s="109"/>
      <c r="B133" s="109"/>
      <c r="C133" s="109"/>
      <c r="D133" s="109"/>
      <c r="E133" s="110"/>
      <c r="F133" s="110"/>
      <c r="G133" s="109"/>
      <c r="H133" s="109"/>
      <c r="I133" s="109"/>
      <c r="J133" s="111"/>
      <c r="K133" s="111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</row>
    <row r="134" spans="1:25" ht="14.5">
      <c r="A134" s="109"/>
      <c r="B134" s="109"/>
      <c r="C134" s="109"/>
      <c r="D134" s="109"/>
      <c r="E134" s="110"/>
      <c r="F134" s="110"/>
      <c r="G134" s="109"/>
      <c r="H134" s="109"/>
      <c r="I134" s="109"/>
      <c r="J134" s="111"/>
      <c r="K134" s="111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</row>
    <row r="135" spans="1:25" ht="14.5">
      <c r="A135" s="109"/>
      <c r="B135" s="109"/>
      <c r="C135" s="109"/>
      <c r="D135" s="109"/>
      <c r="E135" s="110"/>
      <c r="F135" s="110"/>
      <c r="G135" s="109"/>
      <c r="H135" s="109"/>
      <c r="I135" s="109"/>
      <c r="J135" s="111"/>
      <c r="K135" s="111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</row>
    <row r="136" spans="1:25" ht="14.5">
      <c r="A136" s="109"/>
      <c r="B136" s="109"/>
      <c r="C136" s="109"/>
      <c r="D136" s="109"/>
      <c r="E136" s="110"/>
      <c r="F136" s="110"/>
      <c r="G136" s="109"/>
      <c r="H136" s="109"/>
      <c r="I136" s="109"/>
      <c r="J136" s="111"/>
      <c r="K136" s="111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</row>
    <row r="137" spans="1:25" ht="14.5">
      <c r="A137" s="109"/>
      <c r="B137" s="109"/>
      <c r="C137" s="109"/>
      <c r="D137" s="109"/>
      <c r="E137" s="110"/>
      <c r="F137" s="110"/>
      <c r="G137" s="109"/>
      <c r="H137" s="109"/>
      <c r="I137" s="109"/>
      <c r="J137" s="111"/>
      <c r="K137" s="111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</row>
    <row r="138" spans="1:25" ht="14.5">
      <c r="A138" s="109"/>
      <c r="B138" s="109"/>
      <c r="C138" s="109"/>
      <c r="D138" s="109"/>
      <c r="E138" s="110"/>
      <c r="F138" s="110"/>
      <c r="G138" s="109"/>
      <c r="H138" s="109"/>
      <c r="I138" s="109"/>
      <c r="J138" s="111"/>
      <c r="K138" s="111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</row>
    <row r="139" spans="1:25" ht="14.5">
      <c r="A139" s="109"/>
      <c r="B139" s="109"/>
      <c r="C139" s="109"/>
      <c r="D139" s="109"/>
      <c r="E139" s="110"/>
      <c r="F139" s="110"/>
      <c r="G139" s="109"/>
      <c r="H139" s="109"/>
      <c r="I139" s="109"/>
      <c r="J139" s="111"/>
      <c r="K139" s="111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</row>
    <row r="140" spans="1:25" ht="14.5">
      <c r="A140" s="109"/>
      <c r="B140" s="109"/>
      <c r="C140" s="109"/>
      <c r="D140" s="109"/>
      <c r="E140" s="110"/>
      <c r="F140" s="110"/>
      <c r="G140" s="109"/>
      <c r="H140" s="109"/>
      <c r="I140" s="109"/>
      <c r="J140" s="111"/>
      <c r="K140" s="111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</row>
    <row r="141" spans="1:25" ht="14.5">
      <c r="A141" s="109"/>
      <c r="B141" s="109"/>
      <c r="C141" s="109"/>
      <c r="D141" s="109"/>
      <c r="E141" s="110"/>
      <c r="F141" s="110"/>
      <c r="G141" s="109"/>
      <c r="H141" s="109"/>
      <c r="I141" s="109"/>
      <c r="J141" s="111"/>
      <c r="K141" s="111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</row>
    <row r="142" spans="1:25" ht="14.5">
      <c r="A142" s="109"/>
      <c r="B142" s="109"/>
      <c r="C142" s="109"/>
      <c r="D142" s="109"/>
      <c r="E142" s="110"/>
      <c r="F142" s="110"/>
      <c r="G142" s="109"/>
      <c r="H142" s="109"/>
      <c r="I142" s="109"/>
      <c r="J142" s="111"/>
      <c r="K142" s="111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</row>
    <row r="143" spans="1:25" ht="14.5">
      <c r="A143" s="109"/>
      <c r="B143" s="109"/>
      <c r="C143" s="109"/>
      <c r="D143" s="109"/>
      <c r="E143" s="110"/>
      <c r="F143" s="110"/>
      <c r="G143" s="109"/>
      <c r="H143" s="109"/>
      <c r="I143" s="109"/>
      <c r="J143" s="111"/>
      <c r="K143" s="111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</row>
    <row r="144" spans="1:25" ht="14.5">
      <c r="A144" s="109"/>
      <c r="B144" s="109"/>
      <c r="C144" s="109"/>
      <c r="D144" s="109"/>
      <c r="E144" s="110"/>
      <c r="F144" s="110"/>
      <c r="G144" s="109"/>
      <c r="H144" s="109"/>
      <c r="I144" s="109"/>
      <c r="J144" s="111"/>
      <c r="K144" s="111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</row>
    <row r="145" spans="1:25" ht="14.5">
      <c r="A145" s="109"/>
      <c r="B145" s="109"/>
      <c r="C145" s="109"/>
      <c r="D145" s="109"/>
      <c r="E145" s="110"/>
      <c r="F145" s="110"/>
      <c r="G145" s="109"/>
      <c r="H145" s="109"/>
      <c r="I145" s="109"/>
      <c r="J145" s="111"/>
      <c r="K145" s="111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</row>
    <row r="146" spans="1:25" ht="14.5">
      <c r="A146" s="109"/>
      <c r="B146" s="109"/>
      <c r="C146" s="109"/>
      <c r="D146" s="109"/>
      <c r="E146" s="110"/>
      <c r="F146" s="110"/>
      <c r="G146" s="109"/>
      <c r="H146" s="109"/>
      <c r="I146" s="109"/>
      <c r="J146" s="111"/>
      <c r="K146" s="111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</row>
    <row r="147" spans="1:25" ht="14.5">
      <c r="A147" s="109"/>
      <c r="B147" s="109"/>
      <c r="C147" s="109"/>
      <c r="D147" s="109"/>
      <c r="E147" s="110"/>
      <c r="F147" s="110"/>
      <c r="G147" s="109"/>
      <c r="H147" s="109"/>
      <c r="I147" s="109"/>
      <c r="J147" s="111"/>
      <c r="K147" s="111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</row>
    <row r="148" spans="1:25" ht="14.5">
      <c r="A148" s="109"/>
      <c r="B148" s="109"/>
      <c r="C148" s="109"/>
      <c r="D148" s="109"/>
      <c r="E148" s="110"/>
      <c r="F148" s="110"/>
      <c r="G148" s="109"/>
      <c r="H148" s="109"/>
      <c r="I148" s="109"/>
      <c r="J148" s="111"/>
      <c r="K148" s="111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</row>
    <row r="149" spans="1:25" ht="14.5">
      <c r="A149" s="109"/>
      <c r="B149" s="109"/>
      <c r="C149" s="109"/>
      <c r="D149" s="109"/>
      <c r="E149" s="110"/>
      <c r="F149" s="110"/>
      <c r="G149" s="109"/>
      <c r="H149" s="109"/>
      <c r="I149" s="109"/>
      <c r="J149" s="111"/>
      <c r="K149" s="111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</row>
    <row r="150" spans="1:25" ht="14.5">
      <c r="A150" s="109"/>
      <c r="B150" s="109"/>
      <c r="C150" s="109"/>
      <c r="D150" s="109"/>
      <c r="E150" s="110"/>
      <c r="F150" s="110"/>
      <c r="G150" s="109"/>
      <c r="H150" s="109"/>
      <c r="I150" s="109"/>
      <c r="J150" s="111"/>
      <c r="K150" s="111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</row>
    <row r="151" spans="1:25" ht="14.5">
      <c r="A151" s="109"/>
      <c r="B151" s="109"/>
      <c r="C151" s="109"/>
      <c r="D151" s="109"/>
      <c r="E151" s="110"/>
      <c r="F151" s="110"/>
      <c r="G151" s="109"/>
      <c r="H151" s="109"/>
      <c r="I151" s="109"/>
      <c r="J151" s="111"/>
      <c r="K151" s="111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</row>
    <row r="152" spans="1:25" ht="14.5">
      <c r="A152" s="109"/>
      <c r="B152" s="109"/>
      <c r="C152" s="109"/>
      <c r="D152" s="109"/>
      <c r="E152" s="110"/>
      <c r="F152" s="110"/>
      <c r="G152" s="109"/>
      <c r="H152" s="109"/>
      <c r="I152" s="109"/>
      <c r="J152" s="111"/>
      <c r="K152" s="111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</row>
    <row r="153" spans="1:25" ht="14.5">
      <c r="A153" s="109"/>
      <c r="B153" s="109"/>
      <c r="C153" s="109"/>
      <c r="D153" s="109"/>
      <c r="E153" s="110"/>
      <c r="F153" s="110"/>
      <c r="G153" s="109"/>
      <c r="H153" s="109"/>
      <c r="I153" s="109"/>
      <c r="J153" s="111"/>
      <c r="K153" s="111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</row>
    <row r="154" spans="1:25" ht="14.5">
      <c r="A154" s="109"/>
      <c r="B154" s="109"/>
      <c r="C154" s="109"/>
      <c r="D154" s="109"/>
      <c r="E154" s="110"/>
      <c r="F154" s="110"/>
      <c r="G154" s="109"/>
      <c r="H154" s="109"/>
      <c r="I154" s="109"/>
      <c r="J154" s="111"/>
      <c r="K154" s="111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</row>
    <row r="155" spans="1:25" ht="14.5">
      <c r="A155" s="109"/>
      <c r="B155" s="109"/>
      <c r="C155" s="109"/>
      <c r="D155" s="109"/>
      <c r="E155" s="110"/>
      <c r="F155" s="110"/>
      <c r="G155" s="109"/>
      <c r="H155" s="109"/>
      <c r="I155" s="109"/>
      <c r="J155" s="111"/>
      <c r="K155" s="111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</row>
    <row r="156" spans="1:25" ht="14.5">
      <c r="A156" s="109"/>
      <c r="B156" s="109"/>
      <c r="C156" s="109"/>
      <c r="D156" s="109"/>
      <c r="E156" s="110"/>
      <c r="F156" s="110"/>
      <c r="G156" s="109"/>
      <c r="H156" s="109"/>
      <c r="I156" s="109"/>
      <c r="J156" s="111"/>
      <c r="K156" s="111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</row>
    <row r="157" spans="1:25" ht="14.5">
      <c r="A157" s="109"/>
      <c r="B157" s="109"/>
      <c r="C157" s="109"/>
      <c r="D157" s="109"/>
      <c r="E157" s="110"/>
      <c r="F157" s="110"/>
      <c r="G157" s="109"/>
      <c r="H157" s="109"/>
      <c r="I157" s="109"/>
      <c r="J157" s="111"/>
      <c r="K157" s="111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</row>
    <row r="158" spans="1:25" ht="14.5">
      <c r="A158" s="109"/>
      <c r="B158" s="109"/>
      <c r="C158" s="109"/>
      <c r="D158" s="109"/>
      <c r="E158" s="110"/>
      <c r="F158" s="110"/>
      <c r="G158" s="109"/>
      <c r="H158" s="109"/>
      <c r="I158" s="109"/>
      <c r="J158" s="111"/>
      <c r="K158" s="111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</row>
    <row r="159" spans="1:25" ht="14.5">
      <c r="A159" s="109"/>
      <c r="B159" s="109"/>
      <c r="C159" s="109"/>
      <c r="D159" s="109"/>
      <c r="E159" s="110"/>
      <c r="F159" s="110"/>
      <c r="G159" s="109"/>
      <c r="H159" s="109"/>
      <c r="I159" s="109"/>
      <c r="J159" s="111"/>
      <c r="K159" s="111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</row>
    <row r="160" spans="1:25" ht="14.5">
      <c r="A160" s="109"/>
      <c r="B160" s="109"/>
      <c r="C160" s="109"/>
      <c r="D160" s="109"/>
      <c r="E160" s="110"/>
      <c r="F160" s="110"/>
      <c r="G160" s="109"/>
      <c r="H160" s="109"/>
      <c r="I160" s="109"/>
      <c r="J160" s="111"/>
      <c r="K160" s="111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</row>
    <row r="161" spans="1:25" ht="14.5">
      <c r="A161" s="109"/>
      <c r="B161" s="109"/>
      <c r="C161" s="109"/>
      <c r="D161" s="109"/>
      <c r="E161" s="110"/>
      <c r="F161" s="110"/>
      <c r="G161" s="109"/>
      <c r="H161" s="109"/>
      <c r="I161" s="109"/>
      <c r="J161" s="111"/>
      <c r="K161" s="111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</row>
    <row r="162" spans="1:25" ht="14.5">
      <c r="A162" s="109"/>
      <c r="B162" s="109"/>
      <c r="C162" s="109"/>
      <c r="D162" s="109"/>
      <c r="E162" s="110"/>
      <c r="F162" s="110"/>
      <c r="G162" s="109"/>
      <c r="H162" s="109"/>
      <c r="I162" s="109"/>
      <c r="J162" s="111"/>
      <c r="K162" s="111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</row>
    <row r="163" spans="1:25" ht="14.5">
      <c r="A163" s="109"/>
      <c r="B163" s="109"/>
      <c r="C163" s="109"/>
      <c r="D163" s="109"/>
      <c r="E163" s="110"/>
      <c r="F163" s="110"/>
      <c r="G163" s="109"/>
      <c r="H163" s="109"/>
      <c r="I163" s="109"/>
      <c r="J163" s="111"/>
      <c r="K163" s="111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</row>
    <row r="164" spans="1:25" ht="14.5">
      <c r="A164" s="109"/>
      <c r="B164" s="109"/>
      <c r="C164" s="109"/>
      <c r="D164" s="109"/>
      <c r="E164" s="110"/>
      <c r="F164" s="110"/>
      <c r="G164" s="109"/>
      <c r="H164" s="109"/>
      <c r="I164" s="109"/>
      <c r="J164" s="111"/>
      <c r="K164" s="111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</row>
    <row r="165" spans="1:25" ht="14.5">
      <c r="A165" s="109"/>
      <c r="B165" s="109"/>
      <c r="C165" s="109"/>
      <c r="D165" s="109"/>
      <c r="E165" s="110"/>
      <c r="F165" s="110"/>
      <c r="G165" s="109"/>
      <c r="H165" s="109"/>
      <c r="I165" s="109"/>
      <c r="J165" s="111"/>
      <c r="K165" s="111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</row>
    <row r="166" spans="1:25" ht="14.5">
      <c r="A166" s="109"/>
      <c r="B166" s="109"/>
      <c r="C166" s="109"/>
      <c r="D166" s="109"/>
      <c r="E166" s="110"/>
      <c r="F166" s="110"/>
      <c r="G166" s="109"/>
      <c r="H166" s="109"/>
      <c r="I166" s="109"/>
      <c r="J166" s="111"/>
      <c r="K166" s="111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</row>
    <row r="167" spans="1:25" ht="14.5">
      <c r="A167" s="109"/>
      <c r="B167" s="109"/>
      <c r="C167" s="109"/>
      <c r="D167" s="109"/>
      <c r="E167" s="110"/>
      <c r="F167" s="110"/>
      <c r="G167" s="109"/>
      <c r="H167" s="109"/>
      <c r="I167" s="109"/>
      <c r="J167" s="111"/>
      <c r="K167" s="111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</row>
    <row r="168" spans="1:25" ht="14.5">
      <c r="A168" s="109"/>
      <c r="B168" s="109"/>
      <c r="C168" s="109"/>
      <c r="D168" s="109"/>
      <c r="E168" s="110"/>
      <c r="F168" s="110"/>
      <c r="G168" s="109"/>
      <c r="H168" s="109"/>
      <c r="I168" s="109"/>
      <c r="J168" s="111"/>
      <c r="K168" s="111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</row>
    <row r="169" spans="1:25" ht="14.5">
      <c r="A169" s="109"/>
      <c r="B169" s="109"/>
      <c r="C169" s="109"/>
      <c r="D169" s="109"/>
      <c r="E169" s="110"/>
      <c r="F169" s="110"/>
      <c r="G169" s="109"/>
      <c r="H169" s="109"/>
      <c r="I169" s="109"/>
      <c r="J169" s="111"/>
      <c r="K169" s="111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</row>
    <row r="170" spans="1:25" ht="14.5">
      <c r="A170" s="109"/>
      <c r="B170" s="109"/>
      <c r="C170" s="109"/>
      <c r="D170" s="109"/>
      <c r="E170" s="110"/>
      <c r="F170" s="110"/>
      <c r="G170" s="109"/>
      <c r="H170" s="109"/>
      <c r="I170" s="109"/>
      <c r="J170" s="111"/>
      <c r="K170" s="111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</row>
    <row r="171" spans="1:25" ht="14.5">
      <c r="A171" s="109"/>
      <c r="B171" s="109"/>
      <c r="C171" s="109"/>
      <c r="D171" s="109"/>
      <c r="E171" s="110"/>
      <c r="F171" s="110"/>
      <c r="G171" s="109"/>
      <c r="H171" s="109"/>
      <c r="I171" s="109"/>
      <c r="J171" s="111"/>
      <c r="K171" s="111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</row>
    <row r="172" spans="1:25" ht="14.5">
      <c r="A172" s="109"/>
      <c r="B172" s="109"/>
      <c r="C172" s="109"/>
      <c r="D172" s="109"/>
      <c r="E172" s="110"/>
      <c r="F172" s="110"/>
      <c r="G172" s="109"/>
      <c r="H172" s="109"/>
      <c r="I172" s="109"/>
      <c r="J172" s="111"/>
      <c r="K172" s="111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</row>
    <row r="173" spans="1:25" ht="14.5">
      <c r="A173" s="109"/>
      <c r="B173" s="109"/>
      <c r="C173" s="109"/>
      <c r="D173" s="109"/>
      <c r="E173" s="110"/>
      <c r="F173" s="110"/>
      <c r="G173" s="109"/>
      <c r="H173" s="109"/>
      <c r="I173" s="109"/>
      <c r="J173" s="111"/>
      <c r="K173" s="111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</row>
    <row r="174" spans="1:25" ht="14.5">
      <c r="A174" s="109"/>
      <c r="B174" s="109"/>
      <c r="C174" s="109"/>
      <c r="D174" s="109"/>
      <c r="E174" s="110"/>
      <c r="F174" s="110"/>
      <c r="G174" s="109"/>
      <c r="H174" s="109"/>
      <c r="I174" s="109"/>
      <c r="J174" s="111"/>
      <c r="K174" s="111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</row>
    <row r="175" spans="1:25" ht="14.5">
      <c r="A175" s="109"/>
      <c r="B175" s="109"/>
      <c r="C175" s="109"/>
      <c r="D175" s="109"/>
      <c r="E175" s="110"/>
      <c r="F175" s="110"/>
      <c r="G175" s="109"/>
      <c r="H175" s="109"/>
      <c r="I175" s="109"/>
      <c r="J175" s="111"/>
      <c r="K175" s="111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</row>
    <row r="176" spans="1:25" ht="14.5">
      <c r="A176" s="109"/>
      <c r="B176" s="109"/>
      <c r="C176" s="109"/>
      <c r="D176" s="109"/>
      <c r="E176" s="110"/>
      <c r="F176" s="110"/>
      <c r="G176" s="109"/>
      <c r="H176" s="109"/>
      <c r="I176" s="109"/>
      <c r="J176" s="111"/>
      <c r="K176" s="111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</row>
    <row r="177" spans="1:25" ht="14.5">
      <c r="A177" s="109"/>
      <c r="B177" s="109"/>
      <c r="C177" s="109"/>
      <c r="D177" s="109"/>
      <c r="E177" s="110"/>
      <c r="F177" s="110"/>
      <c r="G177" s="109"/>
      <c r="H177" s="109"/>
      <c r="I177" s="109"/>
      <c r="J177" s="111"/>
      <c r="K177" s="111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</row>
    <row r="178" spans="1:25" ht="14.5">
      <c r="A178" s="109"/>
      <c r="B178" s="109"/>
      <c r="C178" s="109"/>
      <c r="D178" s="109"/>
      <c r="E178" s="110"/>
      <c r="F178" s="110"/>
      <c r="G178" s="109"/>
      <c r="H178" s="109"/>
      <c r="I178" s="109"/>
      <c r="J178" s="111"/>
      <c r="K178" s="111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</row>
    <row r="179" spans="1:25" ht="14.5">
      <c r="A179" s="109"/>
      <c r="B179" s="109"/>
      <c r="C179" s="109"/>
      <c r="D179" s="109"/>
      <c r="E179" s="110"/>
      <c r="F179" s="110"/>
      <c r="G179" s="109"/>
      <c r="H179" s="109"/>
      <c r="I179" s="109"/>
      <c r="J179" s="111"/>
      <c r="K179" s="111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</row>
    <row r="180" spans="1:25" ht="14.5">
      <c r="A180" s="109"/>
      <c r="B180" s="109"/>
      <c r="C180" s="109"/>
      <c r="D180" s="109"/>
      <c r="E180" s="110"/>
      <c r="F180" s="110"/>
      <c r="G180" s="109"/>
      <c r="H180" s="109"/>
      <c r="I180" s="109"/>
      <c r="J180" s="111"/>
      <c r="K180" s="111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</row>
    <row r="181" spans="1:25" ht="14.5">
      <c r="A181" s="109"/>
      <c r="B181" s="109"/>
      <c r="C181" s="109"/>
      <c r="D181" s="109"/>
      <c r="E181" s="110"/>
      <c r="F181" s="110"/>
      <c r="G181" s="109"/>
      <c r="H181" s="109"/>
      <c r="I181" s="109"/>
      <c r="J181" s="111"/>
      <c r="K181" s="111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</row>
    <row r="182" spans="1:25" ht="14.5">
      <c r="A182" s="109"/>
      <c r="B182" s="109"/>
      <c r="C182" s="109"/>
      <c r="D182" s="109"/>
      <c r="E182" s="110"/>
      <c r="F182" s="110"/>
      <c r="G182" s="109"/>
      <c r="H182" s="109"/>
      <c r="I182" s="109"/>
      <c r="J182" s="111"/>
      <c r="K182" s="111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</row>
    <row r="183" spans="1:25" ht="14.5">
      <c r="A183" s="109"/>
      <c r="B183" s="109"/>
      <c r="C183" s="109"/>
      <c r="D183" s="109"/>
      <c r="E183" s="110"/>
      <c r="F183" s="110"/>
      <c r="G183" s="109"/>
      <c r="H183" s="109"/>
      <c r="I183" s="109"/>
      <c r="J183" s="111"/>
      <c r="K183" s="111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</row>
    <row r="184" spans="1:25" ht="14.5">
      <c r="A184" s="109"/>
      <c r="B184" s="109"/>
      <c r="C184" s="109"/>
      <c r="D184" s="109"/>
      <c r="E184" s="110"/>
      <c r="F184" s="110"/>
      <c r="G184" s="109"/>
      <c r="H184" s="109"/>
      <c r="I184" s="109"/>
      <c r="J184" s="111"/>
      <c r="K184" s="111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</row>
    <row r="185" spans="1:25" ht="14.5">
      <c r="A185" s="109"/>
      <c r="B185" s="109"/>
      <c r="C185" s="109"/>
      <c r="D185" s="109"/>
      <c r="E185" s="110"/>
      <c r="F185" s="110"/>
      <c r="G185" s="109"/>
      <c r="H185" s="109"/>
      <c r="I185" s="109"/>
      <c r="J185" s="111"/>
      <c r="K185" s="111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</row>
    <row r="186" spans="1:25" ht="14.5">
      <c r="A186" s="109"/>
      <c r="B186" s="109"/>
      <c r="C186" s="109"/>
      <c r="D186" s="109"/>
      <c r="E186" s="110"/>
      <c r="F186" s="110"/>
      <c r="G186" s="109"/>
      <c r="H186" s="109"/>
      <c r="I186" s="109"/>
      <c r="J186" s="111"/>
      <c r="K186" s="111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</row>
    <row r="187" spans="1:25" ht="14.5">
      <c r="A187" s="109"/>
      <c r="B187" s="109"/>
      <c r="C187" s="109"/>
      <c r="D187" s="109"/>
      <c r="E187" s="110"/>
      <c r="F187" s="110"/>
      <c r="G187" s="109"/>
      <c r="H187" s="109"/>
      <c r="I187" s="109"/>
      <c r="J187" s="111"/>
      <c r="K187" s="111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</row>
    <row r="188" spans="1:25" ht="14.5">
      <c r="A188" s="109"/>
      <c r="B188" s="109"/>
      <c r="C188" s="109"/>
      <c r="D188" s="109"/>
      <c r="E188" s="110"/>
      <c r="F188" s="110"/>
      <c r="G188" s="109"/>
      <c r="H188" s="109"/>
      <c r="I188" s="109"/>
      <c r="J188" s="111"/>
      <c r="K188" s="111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</row>
    <row r="189" spans="1:25" ht="14.5">
      <c r="A189" s="109"/>
      <c r="B189" s="109"/>
      <c r="C189" s="109"/>
      <c r="D189" s="109"/>
      <c r="E189" s="110"/>
      <c r="F189" s="110"/>
      <c r="G189" s="109"/>
      <c r="H189" s="109"/>
      <c r="I189" s="109"/>
      <c r="J189" s="111"/>
      <c r="K189" s="111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</row>
    <row r="190" spans="1:25" ht="14.5">
      <c r="A190" s="109"/>
      <c r="B190" s="109"/>
      <c r="C190" s="109"/>
      <c r="D190" s="109"/>
      <c r="E190" s="110"/>
      <c r="F190" s="110"/>
      <c r="G190" s="109"/>
      <c r="H190" s="109"/>
      <c r="I190" s="109"/>
      <c r="J190" s="111"/>
      <c r="K190" s="111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</row>
    <row r="191" spans="1:25" ht="14.5">
      <c r="A191" s="109"/>
      <c r="B191" s="109"/>
      <c r="C191" s="109"/>
      <c r="D191" s="109"/>
      <c r="E191" s="110"/>
      <c r="F191" s="110"/>
      <c r="G191" s="109"/>
      <c r="H191" s="109"/>
      <c r="I191" s="109"/>
      <c r="J191" s="111"/>
      <c r="K191" s="111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</row>
    <row r="192" spans="1:25" ht="14.5">
      <c r="A192" s="109"/>
      <c r="B192" s="109"/>
      <c r="C192" s="109"/>
      <c r="D192" s="109"/>
      <c r="E192" s="110"/>
      <c r="F192" s="110"/>
      <c r="G192" s="109"/>
      <c r="H192" s="109"/>
      <c r="I192" s="109"/>
      <c r="J192" s="111"/>
      <c r="K192" s="111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</row>
    <row r="193" spans="1:25" ht="14.5">
      <c r="A193" s="109"/>
      <c r="B193" s="109"/>
      <c r="C193" s="109"/>
      <c r="D193" s="109"/>
      <c r="E193" s="110"/>
      <c r="F193" s="110"/>
      <c r="G193" s="109"/>
      <c r="H193" s="109"/>
      <c r="I193" s="109"/>
      <c r="J193" s="111"/>
      <c r="K193" s="111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</row>
    <row r="194" spans="1:25" ht="14.5">
      <c r="A194" s="109"/>
      <c r="B194" s="109"/>
      <c r="C194" s="109"/>
      <c r="D194" s="109"/>
      <c r="E194" s="110"/>
      <c r="F194" s="110"/>
      <c r="G194" s="109"/>
      <c r="H194" s="109"/>
      <c r="I194" s="109"/>
      <c r="J194" s="111"/>
      <c r="K194" s="111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</row>
    <row r="195" spans="1:25" ht="14.5">
      <c r="A195" s="109"/>
      <c r="B195" s="109"/>
      <c r="C195" s="109"/>
      <c r="D195" s="109"/>
      <c r="E195" s="110"/>
      <c r="F195" s="110"/>
      <c r="G195" s="109"/>
      <c r="H195" s="109"/>
      <c r="I195" s="109"/>
      <c r="J195" s="111"/>
      <c r="K195" s="111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</row>
    <row r="196" spans="1:25" ht="14.5">
      <c r="A196" s="109"/>
      <c r="B196" s="109"/>
      <c r="C196" s="109"/>
      <c r="D196" s="109"/>
      <c r="E196" s="110"/>
      <c r="F196" s="110"/>
      <c r="G196" s="109"/>
      <c r="H196" s="109"/>
      <c r="I196" s="109"/>
      <c r="J196" s="111"/>
      <c r="K196" s="111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</row>
    <row r="197" spans="1:25" ht="14.5">
      <c r="A197" s="109"/>
      <c r="B197" s="109"/>
      <c r="C197" s="109"/>
      <c r="D197" s="109"/>
      <c r="E197" s="110"/>
      <c r="F197" s="110"/>
      <c r="G197" s="109"/>
      <c r="H197" s="109"/>
      <c r="I197" s="109"/>
      <c r="J197" s="111"/>
      <c r="K197" s="111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</row>
    <row r="198" spans="1:25" ht="14.5">
      <c r="A198" s="109"/>
      <c r="B198" s="109"/>
      <c r="C198" s="109"/>
      <c r="D198" s="109"/>
      <c r="E198" s="110"/>
      <c r="F198" s="110"/>
      <c r="G198" s="109"/>
      <c r="H198" s="109"/>
      <c r="I198" s="109"/>
      <c r="J198" s="111"/>
      <c r="K198" s="111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</row>
    <row r="199" spans="1:25" ht="14.5">
      <c r="A199" s="109"/>
      <c r="B199" s="109"/>
      <c r="C199" s="109"/>
      <c r="D199" s="109"/>
      <c r="E199" s="110"/>
      <c r="F199" s="110"/>
      <c r="G199" s="109"/>
      <c r="H199" s="109"/>
      <c r="I199" s="109"/>
      <c r="J199" s="111"/>
      <c r="K199" s="111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</row>
    <row r="200" spans="1:25" ht="14.5">
      <c r="A200" s="109"/>
      <c r="B200" s="109"/>
      <c r="C200" s="109"/>
      <c r="D200" s="109"/>
      <c r="E200" s="110"/>
      <c r="F200" s="110"/>
      <c r="G200" s="109"/>
      <c r="H200" s="109"/>
      <c r="I200" s="109"/>
      <c r="J200" s="111"/>
      <c r="K200" s="111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</row>
    <row r="201" spans="1:25" ht="14.5">
      <c r="A201" s="109"/>
      <c r="B201" s="109"/>
      <c r="C201" s="109"/>
      <c r="D201" s="109"/>
      <c r="E201" s="110"/>
      <c r="F201" s="110"/>
      <c r="G201" s="109"/>
      <c r="H201" s="109"/>
      <c r="I201" s="109"/>
      <c r="J201" s="111"/>
      <c r="K201" s="111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</row>
    <row r="202" spans="1:25" ht="14.5">
      <c r="A202" s="109"/>
      <c r="B202" s="109"/>
      <c r="C202" s="109"/>
      <c r="D202" s="109"/>
      <c r="E202" s="110"/>
      <c r="F202" s="110"/>
      <c r="G202" s="109"/>
      <c r="H202" s="109"/>
      <c r="I202" s="109"/>
      <c r="J202" s="111"/>
      <c r="K202" s="111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</row>
    <row r="203" spans="1:25" ht="14.5">
      <c r="A203" s="109"/>
      <c r="B203" s="109"/>
      <c r="C203" s="109"/>
      <c r="D203" s="109"/>
      <c r="E203" s="110"/>
      <c r="F203" s="110"/>
      <c r="G203" s="109"/>
      <c r="H203" s="109"/>
      <c r="I203" s="109"/>
      <c r="J203" s="111"/>
      <c r="K203" s="111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</row>
    <row r="204" spans="1:25" ht="14.5">
      <c r="A204" s="109"/>
      <c r="B204" s="109"/>
      <c r="C204" s="109"/>
      <c r="D204" s="109"/>
      <c r="E204" s="110"/>
      <c r="F204" s="110"/>
      <c r="G204" s="109"/>
      <c r="H204" s="109"/>
      <c r="I204" s="109"/>
      <c r="J204" s="111"/>
      <c r="K204" s="111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</row>
    <row r="205" spans="1:25" ht="14.5">
      <c r="A205" s="109"/>
      <c r="B205" s="109"/>
      <c r="C205" s="109"/>
      <c r="D205" s="109"/>
      <c r="E205" s="110"/>
      <c r="F205" s="110"/>
      <c r="G205" s="109"/>
      <c r="H205" s="109"/>
      <c r="I205" s="109"/>
      <c r="J205" s="111"/>
      <c r="K205" s="111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</row>
    <row r="206" spans="1:25" ht="14.5">
      <c r="A206" s="109"/>
      <c r="B206" s="109"/>
      <c r="C206" s="109"/>
      <c r="D206" s="109"/>
      <c r="E206" s="110"/>
      <c r="F206" s="110"/>
      <c r="G206" s="109"/>
      <c r="H206" s="109"/>
      <c r="I206" s="109"/>
      <c r="J206" s="111"/>
      <c r="K206" s="111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</row>
    <row r="207" spans="1:25" ht="14.5">
      <c r="A207" s="109"/>
      <c r="B207" s="109"/>
      <c r="C207" s="109"/>
      <c r="D207" s="109"/>
      <c r="E207" s="110"/>
      <c r="F207" s="110"/>
      <c r="G207" s="109"/>
      <c r="H207" s="109"/>
      <c r="I207" s="109"/>
      <c r="J207" s="111"/>
      <c r="K207" s="111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</row>
    <row r="208" spans="1:25" ht="14.5">
      <c r="A208" s="109"/>
      <c r="B208" s="109"/>
      <c r="C208" s="109"/>
      <c r="D208" s="109"/>
      <c r="E208" s="110"/>
      <c r="F208" s="110"/>
      <c r="G208" s="109"/>
      <c r="H208" s="109"/>
      <c r="I208" s="109"/>
      <c r="J208" s="111"/>
      <c r="K208" s="111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</row>
    <row r="209" spans="1:25" ht="14.5">
      <c r="A209" s="109"/>
      <c r="B209" s="109"/>
      <c r="C209" s="109"/>
      <c r="D209" s="109"/>
      <c r="E209" s="110"/>
      <c r="F209" s="110"/>
      <c r="G209" s="109"/>
      <c r="H209" s="109"/>
      <c r="I209" s="109"/>
      <c r="J209" s="111"/>
      <c r="K209" s="111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</row>
    <row r="210" spans="1:25" ht="14.5">
      <c r="A210" s="109"/>
      <c r="B210" s="109"/>
      <c r="C210" s="109"/>
      <c r="D210" s="109"/>
      <c r="E210" s="110"/>
      <c r="F210" s="110"/>
      <c r="G210" s="109"/>
      <c r="H210" s="109"/>
      <c r="I210" s="109"/>
      <c r="J210" s="111"/>
      <c r="K210" s="111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</row>
    <row r="211" spans="1:25" ht="14.5">
      <c r="A211" s="109"/>
      <c r="B211" s="109"/>
      <c r="C211" s="109"/>
      <c r="D211" s="109"/>
      <c r="E211" s="110"/>
      <c r="F211" s="110"/>
      <c r="G211" s="109"/>
      <c r="H211" s="109"/>
      <c r="I211" s="109"/>
      <c r="J211" s="111"/>
      <c r="K211" s="111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</row>
    <row r="212" spans="1:25" ht="14.5">
      <c r="A212" s="109"/>
      <c r="B212" s="109"/>
      <c r="C212" s="109"/>
      <c r="D212" s="109"/>
      <c r="E212" s="110"/>
      <c r="F212" s="110"/>
      <c r="G212" s="109"/>
      <c r="H212" s="109"/>
      <c r="I212" s="109"/>
      <c r="J212" s="111"/>
      <c r="K212" s="111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</row>
    <row r="213" spans="1:25" ht="14.5">
      <c r="A213" s="109"/>
      <c r="B213" s="109"/>
      <c r="C213" s="109"/>
      <c r="D213" s="109"/>
      <c r="E213" s="110"/>
      <c r="F213" s="110"/>
      <c r="G213" s="109"/>
      <c r="H213" s="109"/>
      <c r="I213" s="109"/>
      <c r="J213" s="111"/>
      <c r="K213" s="111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</row>
    <row r="214" spans="1:25" ht="14.5">
      <c r="A214" s="109"/>
      <c r="B214" s="109"/>
      <c r="C214" s="109"/>
      <c r="D214" s="109"/>
      <c r="E214" s="110"/>
      <c r="F214" s="110"/>
      <c r="G214" s="109"/>
      <c r="H214" s="109"/>
      <c r="I214" s="109"/>
      <c r="J214" s="111"/>
      <c r="K214" s="111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</row>
    <row r="215" spans="1:25" ht="14.5">
      <c r="A215" s="109"/>
      <c r="B215" s="109"/>
      <c r="C215" s="109"/>
      <c r="D215" s="109"/>
      <c r="E215" s="110"/>
      <c r="F215" s="110"/>
      <c r="G215" s="109"/>
      <c r="H215" s="109"/>
      <c r="I215" s="109"/>
      <c r="J215" s="111"/>
      <c r="K215" s="111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</row>
    <row r="216" spans="1:25" ht="14.5">
      <c r="A216" s="109"/>
      <c r="B216" s="109"/>
      <c r="C216" s="109"/>
      <c r="D216" s="109"/>
      <c r="E216" s="110"/>
      <c r="F216" s="110"/>
      <c r="G216" s="109"/>
      <c r="H216" s="109"/>
      <c r="I216" s="109"/>
      <c r="J216" s="111"/>
      <c r="K216" s="111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</row>
    <row r="217" spans="1:25" ht="14.5">
      <c r="A217" s="109"/>
      <c r="B217" s="109"/>
      <c r="C217" s="109"/>
      <c r="D217" s="109"/>
      <c r="E217" s="110"/>
      <c r="F217" s="110"/>
      <c r="G217" s="109"/>
      <c r="H217" s="109"/>
      <c r="I217" s="109"/>
      <c r="J217" s="111"/>
      <c r="K217" s="111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</row>
    <row r="218" spans="1:25" ht="14.5">
      <c r="A218" s="109"/>
      <c r="B218" s="109"/>
      <c r="C218" s="109"/>
      <c r="D218" s="109"/>
      <c r="E218" s="110"/>
      <c r="F218" s="110"/>
      <c r="G218" s="109"/>
      <c r="H218" s="109"/>
      <c r="I218" s="109"/>
      <c r="J218" s="111"/>
      <c r="K218" s="111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</row>
    <row r="219" spans="1:25" ht="14.5">
      <c r="A219" s="109"/>
      <c r="B219" s="109"/>
      <c r="C219" s="109"/>
      <c r="D219" s="109"/>
      <c r="E219" s="110"/>
      <c r="F219" s="110"/>
      <c r="G219" s="109"/>
      <c r="H219" s="109"/>
      <c r="I219" s="109"/>
      <c r="J219" s="111"/>
      <c r="K219" s="111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</row>
    <row r="220" spans="1:25" ht="14.5">
      <c r="A220" s="109"/>
      <c r="B220" s="109"/>
      <c r="C220" s="109"/>
      <c r="D220" s="109"/>
      <c r="E220" s="109"/>
      <c r="F220" s="110"/>
      <c r="G220" s="109"/>
      <c r="H220" s="109"/>
      <c r="I220" s="109"/>
      <c r="J220" s="111"/>
      <c r="K220" s="111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</row>
    <row r="221" spans="1:25" ht="14.5">
      <c r="A221" s="109"/>
      <c r="B221" s="109"/>
      <c r="C221" s="109"/>
      <c r="D221" s="109"/>
      <c r="E221" s="109"/>
      <c r="F221" s="110"/>
      <c r="G221" s="109"/>
      <c r="H221" s="109"/>
      <c r="I221" s="109"/>
      <c r="J221" s="111"/>
      <c r="K221" s="111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</row>
    <row r="222" spans="1:25" ht="14.5">
      <c r="A222" s="109"/>
      <c r="B222" s="109"/>
      <c r="C222" s="109"/>
      <c r="D222" s="109"/>
      <c r="E222" s="109"/>
      <c r="F222" s="110"/>
      <c r="G222" s="109"/>
      <c r="H222" s="109"/>
      <c r="I222" s="109"/>
      <c r="J222" s="111"/>
      <c r="K222" s="111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</row>
    <row r="223" spans="1:25" ht="14.5">
      <c r="A223" s="109"/>
      <c r="B223" s="109"/>
      <c r="C223" s="109"/>
      <c r="D223" s="109"/>
      <c r="E223" s="109"/>
      <c r="F223" s="110"/>
      <c r="G223" s="109"/>
      <c r="H223" s="109"/>
      <c r="I223" s="109"/>
      <c r="J223" s="111"/>
      <c r="K223" s="111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</row>
    <row r="224" spans="1:25" ht="14.5">
      <c r="A224" s="109"/>
      <c r="B224" s="109"/>
      <c r="C224" s="109"/>
      <c r="D224" s="109"/>
      <c r="E224" s="109"/>
      <c r="F224" s="110"/>
      <c r="G224" s="109"/>
      <c r="H224" s="109"/>
      <c r="I224" s="109"/>
      <c r="J224" s="111"/>
      <c r="K224" s="111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</row>
    <row r="225" spans="1:25" ht="14.5">
      <c r="A225" s="109"/>
      <c r="B225" s="109"/>
      <c r="C225" s="109"/>
      <c r="D225" s="109"/>
      <c r="E225" s="109"/>
      <c r="F225" s="110"/>
      <c r="G225" s="109"/>
      <c r="H225" s="109"/>
      <c r="I225" s="109"/>
      <c r="J225" s="111"/>
      <c r="K225" s="111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</row>
    <row r="226" spans="1:25" ht="14.5">
      <c r="A226" s="109"/>
      <c r="B226" s="109"/>
      <c r="C226" s="109"/>
      <c r="D226" s="109"/>
      <c r="E226" s="109"/>
      <c r="F226" s="110"/>
      <c r="G226" s="109"/>
      <c r="H226" s="109"/>
      <c r="I226" s="109"/>
      <c r="J226" s="111"/>
      <c r="K226" s="111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</row>
    <row r="227" spans="1:25" ht="14.5">
      <c r="A227" s="109"/>
      <c r="B227" s="109"/>
      <c r="C227" s="109"/>
      <c r="D227" s="109"/>
      <c r="E227" s="109"/>
      <c r="F227" s="110"/>
      <c r="G227" s="109"/>
      <c r="H227" s="109"/>
      <c r="I227" s="109"/>
      <c r="J227" s="111"/>
      <c r="K227" s="111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</row>
    <row r="228" spans="1:25" ht="14.5">
      <c r="A228" s="109"/>
      <c r="B228" s="109"/>
      <c r="C228" s="109"/>
      <c r="D228" s="109"/>
      <c r="E228" s="109"/>
      <c r="F228" s="110"/>
      <c r="G228" s="109"/>
      <c r="H228" s="109"/>
      <c r="I228" s="109"/>
      <c r="J228" s="111"/>
      <c r="K228" s="111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</row>
    <row r="229" spans="1:25" ht="14.5">
      <c r="A229" s="109"/>
      <c r="B229" s="109"/>
      <c r="C229" s="109"/>
      <c r="D229" s="109"/>
      <c r="E229" s="109"/>
      <c r="F229" s="110"/>
      <c r="G229" s="109"/>
      <c r="H229" s="109"/>
      <c r="I229" s="109"/>
      <c r="J229" s="111"/>
      <c r="K229" s="111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</row>
    <row r="230" spans="1:25" ht="14.5">
      <c r="A230" s="109"/>
      <c r="B230" s="109"/>
      <c r="C230" s="109"/>
      <c r="D230" s="109"/>
      <c r="E230" s="109"/>
      <c r="F230" s="110"/>
      <c r="G230" s="109"/>
      <c r="H230" s="109"/>
      <c r="I230" s="109"/>
      <c r="J230" s="111"/>
      <c r="K230" s="111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</row>
    <row r="231" spans="1:25" ht="14.5">
      <c r="A231" s="109"/>
      <c r="B231" s="109"/>
      <c r="C231" s="109"/>
      <c r="D231" s="109"/>
      <c r="E231" s="109"/>
      <c r="F231" s="110"/>
      <c r="G231" s="109"/>
      <c r="H231" s="109"/>
      <c r="I231" s="109"/>
      <c r="J231" s="111"/>
      <c r="K231" s="111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</row>
    <row r="232" spans="1:25" ht="14.5">
      <c r="A232" s="109"/>
      <c r="B232" s="109"/>
      <c r="C232" s="109"/>
      <c r="D232" s="109"/>
      <c r="E232" s="109"/>
      <c r="F232" s="110"/>
      <c r="G232" s="109"/>
      <c r="H232" s="109"/>
      <c r="I232" s="109"/>
      <c r="J232" s="111"/>
      <c r="K232" s="111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</row>
    <row r="233" spans="1:25" ht="14.5">
      <c r="A233" s="109"/>
      <c r="B233" s="109"/>
      <c r="C233" s="109"/>
      <c r="D233" s="109"/>
      <c r="E233" s="109"/>
      <c r="F233" s="110"/>
      <c r="G233" s="109"/>
      <c r="H233" s="109"/>
      <c r="I233" s="109"/>
      <c r="J233" s="111"/>
      <c r="K233" s="111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</row>
    <row r="234" spans="1:25" ht="14.5">
      <c r="A234" s="109"/>
      <c r="B234" s="109"/>
      <c r="C234" s="109"/>
      <c r="D234" s="109"/>
      <c r="E234" s="109"/>
      <c r="F234" s="110"/>
      <c r="G234" s="109"/>
      <c r="H234" s="109"/>
      <c r="I234" s="109"/>
      <c r="J234" s="111"/>
      <c r="K234" s="111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</row>
    <row r="235" spans="1:25" ht="14.5">
      <c r="A235" s="109"/>
      <c r="B235" s="109"/>
      <c r="C235" s="109"/>
      <c r="D235" s="109"/>
      <c r="E235" s="109"/>
      <c r="F235" s="110"/>
      <c r="G235" s="109"/>
      <c r="H235" s="109"/>
      <c r="I235" s="109"/>
      <c r="J235" s="111"/>
      <c r="K235" s="111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</row>
    <row r="236" spans="1:25" ht="14.5">
      <c r="A236" s="109"/>
      <c r="B236" s="109"/>
      <c r="C236" s="109"/>
      <c r="D236" s="109"/>
      <c r="E236" s="109"/>
      <c r="F236" s="110"/>
      <c r="G236" s="109"/>
      <c r="H236" s="109"/>
      <c r="I236" s="109"/>
      <c r="J236" s="111"/>
      <c r="K236" s="111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</row>
    <row r="237" spans="1:25" ht="14.5">
      <c r="A237" s="109"/>
      <c r="B237" s="109"/>
      <c r="C237" s="109"/>
      <c r="D237" s="109"/>
      <c r="E237" s="109"/>
      <c r="F237" s="110"/>
      <c r="G237" s="109"/>
      <c r="H237" s="109"/>
      <c r="I237" s="109"/>
      <c r="J237" s="111"/>
      <c r="K237" s="111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</row>
    <row r="238" spans="1:25" ht="14.5">
      <c r="A238" s="109"/>
      <c r="B238" s="109"/>
      <c r="C238" s="109"/>
      <c r="D238" s="109"/>
      <c r="E238" s="109"/>
      <c r="F238" s="110"/>
      <c r="G238" s="109"/>
      <c r="H238" s="109"/>
      <c r="I238" s="109"/>
      <c r="J238" s="111"/>
      <c r="K238" s="111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</row>
    <row r="239" spans="1:25" ht="14.5">
      <c r="A239" s="109"/>
      <c r="B239" s="109"/>
      <c r="C239" s="109"/>
      <c r="D239" s="109"/>
      <c r="E239" s="109"/>
      <c r="F239" s="110"/>
      <c r="G239" s="109"/>
      <c r="H239" s="109"/>
      <c r="I239" s="109"/>
      <c r="J239" s="111"/>
      <c r="K239" s="111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</row>
    <row r="240" spans="1:25" ht="14.5">
      <c r="A240" s="109"/>
      <c r="B240" s="109"/>
      <c r="C240" s="109"/>
      <c r="D240" s="109"/>
      <c r="E240" s="109"/>
      <c r="F240" s="110"/>
      <c r="G240" s="109"/>
      <c r="H240" s="109"/>
      <c r="I240" s="109"/>
      <c r="J240" s="111"/>
      <c r="K240" s="111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</row>
    <row r="241" spans="1:25" ht="14.5">
      <c r="A241" s="109"/>
      <c r="B241" s="109"/>
      <c r="C241" s="109"/>
      <c r="D241" s="109"/>
      <c r="E241" s="109"/>
      <c r="F241" s="110"/>
      <c r="G241" s="109"/>
      <c r="H241" s="109"/>
      <c r="I241" s="109"/>
      <c r="J241" s="111"/>
      <c r="K241" s="111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</row>
    <row r="242" spans="1:25" ht="14.5">
      <c r="A242" s="109"/>
      <c r="B242" s="109"/>
      <c r="C242" s="109"/>
      <c r="D242" s="109"/>
      <c r="E242" s="109"/>
      <c r="F242" s="110"/>
      <c r="G242" s="109"/>
      <c r="H242" s="109"/>
      <c r="I242" s="109"/>
      <c r="J242" s="111"/>
      <c r="K242" s="111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</row>
    <row r="243" spans="1:25" ht="14.5">
      <c r="A243" s="109"/>
      <c r="B243" s="109"/>
      <c r="C243" s="109"/>
      <c r="D243" s="109"/>
      <c r="E243" s="109"/>
      <c r="F243" s="110"/>
      <c r="G243" s="109"/>
      <c r="H243" s="109"/>
      <c r="I243" s="109"/>
      <c r="J243" s="111"/>
      <c r="K243" s="111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</row>
    <row r="244" spans="1:25" ht="14.5">
      <c r="A244" s="109"/>
      <c r="B244" s="109"/>
      <c r="C244" s="109"/>
      <c r="D244" s="109"/>
      <c r="E244" s="109"/>
      <c r="F244" s="110"/>
      <c r="G244" s="109"/>
      <c r="H244" s="109"/>
      <c r="I244" s="109"/>
      <c r="J244" s="111"/>
      <c r="K244" s="111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</row>
    <row r="245" spans="1:25" ht="14.5">
      <c r="A245" s="109"/>
      <c r="B245" s="109"/>
      <c r="C245" s="109"/>
      <c r="D245" s="109"/>
      <c r="E245" s="109"/>
      <c r="F245" s="110"/>
      <c r="G245" s="109"/>
      <c r="H245" s="109"/>
      <c r="I245" s="109"/>
      <c r="J245" s="111"/>
      <c r="K245" s="111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</row>
    <row r="246" spans="1:25" ht="14.5">
      <c r="A246" s="109"/>
      <c r="B246" s="109"/>
      <c r="C246" s="109"/>
      <c r="D246" s="109"/>
      <c r="E246" s="109"/>
      <c r="F246" s="110"/>
      <c r="G246" s="109"/>
      <c r="H246" s="109"/>
      <c r="I246" s="109"/>
      <c r="J246" s="111"/>
      <c r="K246" s="111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</row>
    <row r="247" spans="1:25" ht="14.5">
      <c r="A247" s="109"/>
      <c r="B247" s="109"/>
      <c r="C247" s="109"/>
      <c r="D247" s="109"/>
      <c r="E247" s="109"/>
      <c r="F247" s="110"/>
      <c r="G247" s="109"/>
      <c r="H247" s="109"/>
      <c r="I247" s="109"/>
      <c r="J247" s="111"/>
      <c r="K247" s="111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</row>
    <row r="248" spans="1:25" ht="14.5">
      <c r="A248" s="109"/>
      <c r="B248" s="109"/>
      <c r="C248" s="109"/>
      <c r="D248" s="109"/>
      <c r="E248" s="109"/>
      <c r="F248" s="110"/>
      <c r="G248" s="109"/>
      <c r="H248" s="109"/>
      <c r="I248" s="109"/>
      <c r="J248" s="111"/>
      <c r="K248" s="111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</row>
    <row r="249" spans="1:25" ht="14.5">
      <c r="A249" s="109"/>
      <c r="B249" s="109"/>
      <c r="C249" s="109"/>
      <c r="D249" s="109"/>
      <c r="E249" s="109"/>
      <c r="F249" s="110"/>
      <c r="G249" s="109"/>
      <c r="H249" s="109"/>
      <c r="I249" s="109"/>
      <c r="J249" s="111"/>
      <c r="K249" s="111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</row>
    <row r="250" spans="1:25" ht="14.5">
      <c r="A250" s="109"/>
      <c r="B250" s="109"/>
      <c r="C250" s="109"/>
      <c r="D250" s="109"/>
      <c r="E250" s="109"/>
      <c r="F250" s="110"/>
      <c r="G250" s="109"/>
      <c r="H250" s="109"/>
      <c r="I250" s="109"/>
      <c r="J250" s="111"/>
      <c r="K250" s="111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</row>
    <row r="251" spans="1:25" ht="14.5">
      <c r="A251" s="109"/>
      <c r="B251" s="109"/>
      <c r="C251" s="109"/>
      <c r="D251" s="109"/>
      <c r="E251" s="109"/>
      <c r="F251" s="110"/>
      <c r="G251" s="109"/>
      <c r="H251" s="109"/>
      <c r="I251" s="109"/>
      <c r="J251" s="111"/>
      <c r="K251" s="111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</row>
    <row r="252" spans="1:25" ht="14.5">
      <c r="A252" s="109"/>
      <c r="B252" s="109"/>
      <c r="C252" s="109"/>
      <c r="D252" s="109"/>
      <c r="E252" s="109"/>
      <c r="F252" s="110"/>
      <c r="G252" s="109"/>
      <c r="H252" s="109"/>
      <c r="I252" s="109"/>
      <c r="J252" s="111"/>
      <c r="K252" s="111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</row>
    <row r="253" spans="1:25" ht="14.5">
      <c r="A253" s="109"/>
      <c r="B253" s="109"/>
      <c r="C253" s="109"/>
      <c r="D253" s="109"/>
      <c r="E253" s="109"/>
      <c r="F253" s="110"/>
      <c r="G253" s="109"/>
      <c r="H253" s="109"/>
      <c r="I253" s="109"/>
      <c r="J253" s="111"/>
      <c r="K253" s="111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</row>
    <row r="254" spans="1:25" ht="14.5">
      <c r="A254" s="109"/>
      <c r="B254" s="109"/>
      <c r="C254" s="109"/>
      <c r="D254" s="109"/>
      <c r="E254" s="109"/>
      <c r="F254" s="110"/>
      <c r="G254" s="109"/>
      <c r="H254" s="109"/>
      <c r="I254" s="109"/>
      <c r="J254" s="111"/>
      <c r="K254" s="111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</row>
    <row r="255" spans="1:25" ht="14.5">
      <c r="A255" s="109"/>
      <c r="B255" s="109"/>
      <c r="C255" s="109"/>
      <c r="D255" s="109"/>
      <c r="E255" s="109"/>
      <c r="F255" s="110"/>
      <c r="G255" s="109"/>
      <c r="H255" s="109"/>
      <c r="I255" s="109"/>
      <c r="J255" s="111"/>
      <c r="K255" s="111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</row>
    <row r="256" spans="1:25" ht="14.5">
      <c r="A256" s="109"/>
      <c r="B256" s="109"/>
      <c r="C256" s="109"/>
      <c r="D256" s="109"/>
      <c r="E256" s="109"/>
      <c r="F256" s="110"/>
      <c r="G256" s="109"/>
      <c r="H256" s="109"/>
      <c r="I256" s="109"/>
      <c r="J256" s="111"/>
      <c r="K256" s="111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</row>
    <row r="257" spans="1:25" ht="14.5">
      <c r="A257" s="109"/>
      <c r="B257" s="109"/>
      <c r="C257" s="109"/>
      <c r="D257" s="109"/>
      <c r="E257" s="109"/>
      <c r="F257" s="110"/>
      <c r="G257" s="109"/>
      <c r="H257" s="109"/>
      <c r="I257" s="109"/>
      <c r="J257" s="111"/>
      <c r="K257" s="111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</row>
    <row r="258" spans="1:25" ht="14.5">
      <c r="A258" s="109"/>
      <c r="B258" s="109"/>
      <c r="C258" s="109"/>
      <c r="D258" s="109"/>
      <c r="E258" s="109"/>
      <c r="F258" s="110"/>
      <c r="G258" s="109"/>
      <c r="H258" s="109"/>
      <c r="I258" s="109"/>
      <c r="J258" s="111"/>
      <c r="K258" s="111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</row>
    <row r="259" spans="1:25" ht="14.5">
      <c r="A259" s="109"/>
      <c r="B259" s="109"/>
      <c r="C259" s="109"/>
      <c r="D259" s="109"/>
      <c r="E259" s="109"/>
      <c r="F259" s="110"/>
      <c r="G259" s="109"/>
      <c r="H259" s="109"/>
      <c r="I259" s="109"/>
      <c r="J259" s="111"/>
      <c r="K259" s="111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</row>
    <row r="260" spans="1:25" ht="14.5">
      <c r="A260" s="109"/>
      <c r="B260" s="109"/>
      <c r="C260" s="109"/>
      <c r="D260" s="109"/>
      <c r="E260" s="109"/>
      <c r="F260" s="110"/>
      <c r="G260" s="109"/>
      <c r="H260" s="109"/>
      <c r="I260" s="109"/>
      <c r="J260" s="111"/>
      <c r="K260" s="111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</row>
    <row r="261" spans="1:25" ht="14.5">
      <c r="A261" s="109"/>
      <c r="B261" s="109"/>
      <c r="C261" s="109"/>
      <c r="D261" s="109"/>
      <c r="E261" s="109"/>
      <c r="F261" s="110"/>
      <c r="G261" s="109"/>
      <c r="H261" s="109"/>
      <c r="I261" s="109"/>
      <c r="J261" s="111"/>
      <c r="K261" s="111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</row>
    <row r="262" spans="1:25" ht="14.5">
      <c r="A262" s="109"/>
      <c r="B262" s="109"/>
      <c r="C262" s="109"/>
      <c r="D262" s="109"/>
      <c r="E262" s="109"/>
      <c r="F262" s="110"/>
      <c r="G262" s="109"/>
      <c r="H262" s="109"/>
      <c r="I262" s="109"/>
      <c r="J262" s="111"/>
      <c r="K262" s="111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</row>
    <row r="263" spans="1:25" ht="14.5">
      <c r="A263" s="109"/>
      <c r="B263" s="109"/>
      <c r="C263" s="109"/>
      <c r="D263" s="109"/>
      <c r="E263" s="109"/>
      <c r="F263" s="110"/>
      <c r="G263" s="109"/>
      <c r="H263" s="109"/>
      <c r="I263" s="109"/>
      <c r="J263" s="111"/>
      <c r="K263" s="111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</row>
    <row r="264" spans="1:25" ht="14.5">
      <c r="A264" s="109"/>
      <c r="B264" s="109"/>
      <c r="C264" s="109"/>
      <c r="D264" s="109"/>
      <c r="E264" s="109"/>
      <c r="F264" s="110"/>
      <c r="G264" s="109"/>
      <c r="H264" s="109"/>
      <c r="I264" s="109"/>
      <c r="J264" s="111"/>
      <c r="K264" s="111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</row>
    <row r="265" spans="1:25" ht="14.5">
      <c r="A265" s="109"/>
      <c r="B265" s="109"/>
      <c r="C265" s="109"/>
      <c r="D265" s="109"/>
      <c r="E265" s="109"/>
      <c r="F265" s="110"/>
      <c r="G265" s="109"/>
      <c r="H265" s="109"/>
      <c r="I265" s="109"/>
      <c r="J265" s="111"/>
      <c r="K265" s="111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</row>
    <row r="266" spans="1:25" ht="14.5">
      <c r="A266" s="109"/>
      <c r="B266" s="109"/>
      <c r="C266" s="109"/>
      <c r="D266" s="109"/>
      <c r="E266" s="109"/>
      <c r="F266" s="110"/>
      <c r="G266" s="109"/>
      <c r="H266" s="109"/>
      <c r="I266" s="109"/>
      <c r="J266" s="111"/>
      <c r="K266" s="111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</row>
    <row r="267" spans="1:25" ht="14.5">
      <c r="A267" s="109"/>
      <c r="B267" s="109"/>
      <c r="C267" s="109"/>
      <c r="D267" s="109"/>
      <c r="E267" s="109"/>
      <c r="F267" s="110"/>
      <c r="G267" s="109"/>
      <c r="H267" s="109"/>
      <c r="I267" s="109"/>
      <c r="J267" s="111"/>
      <c r="K267" s="111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</row>
    <row r="268" spans="1:25" ht="14.5">
      <c r="A268" s="109"/>
      <c r="B268" s="109"/>
      <c r="C268" s="109"/>
      <c r="D268" s="109"/>
      <c r="E268" s="109"/>
      <c r="F268" s="110"/>
      <c r="G268" s="109"/>
      <c r="H268" s="109"/>
      <c r="I268" s="109"/>
      <c r="J268" s="111"/>
      <c r="K268" s="111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</row>
    <row r="269" spans="1:25" ht="14.5">
      <c r="A269" s="109"/>
      <c r="B269" s="109"/>
      <c r="C269" s="109"/>
      <c r="D269" s="109"/>
      <c r="E269" s="109"/>
      <c r="F269" s="110"/>
      <c r="G269" s="109"/>
      <c r="H269" s="109"/>
      <c r="I269" s="109"/>
      <c r="J269" s="111"/>
      <c r="K269" s="111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</row>
    <row r="270" spans="1:25" ht="14.5">
      <c r="A270" s="109"/>
      <c r="B270" s="109"/>
      <c r="C270" s="109"/>
      <c r="D270" s="109"/>
      <c r="E270" s="109"/>
      <c r="F270" s="110"/>
      <c r="G270" s="109"/>
      <c r="H270" s="109"/>
      <c r="I270" s="109"/>
      <c r="J270" s="111"/>
      <c r="K270" s="111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</row>
    <row r="271" spans="1:25" ht="14.5">
      <c r="A271" s="109"/>
      <c r="B271" s="109"/>
      <c r="C271" s="109"/>
      <c r="D271" s="109"/>
      <c r="E271" s="109"/>
      <c r="F271" s="110"/>
      <c r="G271" s="109"/>
      <c r="H271" s="109"/>
      <c r="I271" s="109"/>
      <c r="J271" s="111"/>
      <c r="K271" s="111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</row>
    <row r="272" spans="1:25" ht="14.5">
      <c r="A272" s="109"/>
      <c r="B272" s="109"/>
      <c r="C272" s="109"/>
      <c r="D272" s="109"/>
      <c r="E272" s="109"/>
      <c r="F272" s="110"/>
      <c r="G272" s="109"/>
      <c r="H272" s="109"/>
      <c r="I272" s="109"/>
      <c r="J272" s="111"/>
      <c r="K272" s="111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</row>
    <row r="273" spans="1:25" ht="14.5">
      <c r="A273" s="109"/>
      <c r="B273" s="109"/>
      <c r="C273" s="109"/>
      <c r="D273" s="109"/>
      <c r="E273" s="109"/>
      <c r="F273" s="110"/>
      <c r="G273" s="109"/>
      <c r="H273" s="109"/>
      <c r="I273" s="109"/>
      <c r="J273" s="111"/>
      <c r="K273" s="111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</row>
    <row r="274" spans="1:25" ht="14.5">
      <c r="A274" s="109"/>
      <c r="B274" s="109"/>
      <c r="C274" s="109"/>
      <c r="D274" s="109"/>
      <c r="E274" s="109"/>
      <c r="F274" s="110"/>
      <c r="G274" s="109"/>
      <c r="H274" s="109"/>
      <c r="I274" s="109"/>
      <c r="J274" s="111"/>
      <c r="K274" s="111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</row>
    <row r="275" spans="1:25" ht="14.5">
      <c r="A275" s="109"/>
      <c r="B275" s="109"/>
      <c r="C275" s="109"/>
      <c r="D275" s="109"/>
      <c r="E275" s="109"/>
      <c r="F275" s="110"/>
      <c r="G275" s="109"/>
      <c r="H275" s="109"/>
      <c r="I275" s="109"/>
      <c r="J275" s="111"/>
      <c r="K275" s="111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</row>
    <row r="276" spans="1:25" ht="14.5">
      <c r="A276" s="109"/>
      <c r="B276" s="109"/>
      <c r="C276" s="109"/>
      <c r="D276" s="109"/>
      <c r="E276" s="109"/>
      <c r="F276" s="110"/>
      <c r="G276" s="109"/>
      <c r="H276" s="109"/>
      <c r="I276" s="109"/>
      <c r="J276" s="111"/>
      <c r="K276" s="111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</row>
    <row r="277" spans="1:25" ht="14.5">
      <c r="A277" s="109"/>
      <c r="B277" s="109"/>
      <c r="C277" s="109"/>
      <c r="D277" s="109"/>
      <c r="E277" s="109"/>
      <c r="F277" s="110"/>
      <c r="G277" s="109"/>
      <c r="H277" s="109"/>
      <c r="I277" s="109"/>
      <c r="J277" s="111"/>
      <c r="K277" s="111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</row>
    <row r="278" spans="1:25" ht="14.5">
      <c r="A278" s="109"/>
      <c r="B278" s="109"/>
      <c r="C278" s="109"/>
      <c r="D278" s="109"/>
      <c r="E278" s="109"/>
      <c r="F278" s="110"/>
      <c r="G278" s="109"/>
      <c r="H278" s="109"/>
      <c r="I278" s="109"/>
      <c r="J278" s="111"/>
      <c r="K278" s="111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</row>
    <row r="279" spans="1:25" ht="14.5">
      <c r="A279" s="109"/>
      <c r="B279" s="109"/>
      <c r="C279" s="109"/>
      <c r="D279" s="109"/>
      <c r="E279" s="109"/>
      <c r="F279" s="110"/>
      <c r="G279" s="109"/>
      <c r="H279" s="109"/>
      <c r="I279" s="109"/>
      <c r="J279" s="111"/>
      <c r="K279" s="111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</row>
    <row r="280" spans="1:25" ht="14.5">
      <c r="A280" s="109"/>
      <c r="B280" s="109"/>
      <c r="C280" s="109"/>
      <c r="D280" s="109"/>
      <c r="E280" s="109"/>
      <c r="F280" s="110"/>
      <c r="G280" s="109"/>
      <c r="H280" s="109"/>
      <c r="I280" s="109"/>
      <c r="J280" s="111"/>
      <c r="K280" s="111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</row>
    <row r="281" spans="1:25" ht="14.5">
      <c r="A281" s="109"/>
      <c r="B281" s="109"/>
      <c r="C281" s="109"/>
      <c r="D281" s="109"/>
      <c r="E281" s="109"/>
      <c r="F281" s="110"/>
      <c r="G281" s="109"/>
      <c r="H281" s="109"/>
      <c r="I281" s="109"/>
      <c r="J281" s="111"/>
      <c r="K281" s="111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</row>
    <row r="282" spans="1:25" ht="14.5">
      <c r="A282" s="109"/>
      <c r="B282" s="109"/>
      <c r="C282" s="109"/>
      <c r="D282" s="109"/>
      <c r="E282" s="109"/>
      <c r="F282" s="110"/>
      <c r="G282" s="109"/>
      <c r="H282" s="109"/>
      <c r="I282" s="109"/>
      <c r="J282" s="111"/>
      <c r="K282" s="111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</row>
    <row r="283" spans="1:25" ht="14.5">
      <c r="A283" s="109"/>
      <c r="B283" s="109"/>
      <c r="C283" s="109"/>
      <c r="D283" s="109"/>
      <c r="E283" s="109"/>
      <c r="F283" s="110"/>
      <c r="G283" s="109"/>
      <c r="H283" s="109"/>
      <c r="I283" s="109"/>
      <c r="J283" s="111"/>
      <c r="K283" s="111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</row>
    <row r="284" spans="1:25" ht="14.5">
      <c r="A284" s="109"/>
      <c r="B284" s="109"/>
      <c r="C284" s="109"/>
      <c r="D284" s="109"/>
      <c r="E284" s="109"/>
      <c r="F284" s="110"/>
      <c r="G284" s="109"/>
      <c r="H284" s="109"/>
      <c r="I284" s="109"/>
      <c r="J284" s="111"/>
      <c r="K284" s="111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</row>
    <row r="285" spans="1:25" ht="14.5">
      <c r="A285" s="109"/>
      <c r="B285" s="109"/>
      <c r="C285" s="109"/>
      <c r="D285" s="109"/>
      <c r="E285" s="109"/>
      <c r="F285" s="110"/>
      <c r="G285" s="109"/>
      <c r="H285" s="109"/>
      <c r="I285" s="109"/>
      <c r="J285" s="111"/>
      <c r="K285" s="111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</row>
    <row r="286" spans="1:25" ht="14.5">
      <c r="A286" s="109"/>
      <c r="B286" s="109"/>
      <c r="C286" s="109"/>
      <c r="D286" s="109"/>
      <c r="E286" s="109"/>
      <c r="F286" s="110"/>
      <c r="G286" s="109"/>
      <c r="H286" s="109"/>
      <c r="I286" s="109"/>
      <c r="J286" s="111"/>
      <c r="K286" s="111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</row>
    <row r="287" spans="1:25" ht="14.5">
      <c r="A287" s="109"/>
      <c r="B287" s="109"/>
      <c r="C287" s="109"/>
      <c r="D287" s="109"/>
      <c r="E287" s="109"/>
      <c r="F287" s="110"/>
      <c r="G287" s="109"/>
      <c r="H287" s="109"/>
      <c r="I287" s="109"/>
      <c r="J287" s="111"/>
      <c r="K287" s="111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</row>
    <row r="288" spans="1:25" ht="14.5">
      <c r="A288" s="109"/>
      <c r="B288" s="109"/>
      <c r="C288" s="109"/>
      <c r="D288" s="109"/>
      <c r="E288" s="109"/>
      <c r="F288" s="110"/>
      <c r="G288" s="109"/>
      <c r="H288" s="109"/>
      <c r="I288" s="109"/>
      <c r="J288" s="111"/>
      <c r="K288" s="111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</row>
    <row r="289" spans="1:25" ht="14.5">
      <c r="A289" s="109"/>
      <c r="B289" s="109"/>
      <c r="C289" s="109"/>
      <c r="D289" s="109"/>
      <c r="E289" s="109"/>
      <c r="F289" s="110"/>
      <c r="G289" s="109"/>
      <c r="H289" s="109"/>
      <c r="I289" s="109"/>
      <c r="J289" s="111"/>
      <c r="K289" s="111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</row>
    <row r="290" spans="1:25" ht="14.5">
      <c r="A290" s="109"/>
      <c r="B290" s="109"/>
      <c r="C290" s="109"/>
      <c r="D290" s="109"/>
      <c r="E290" s="109"/>
      <c r="F290" s="110"/>
      <c r="G290" s="109"/>
      <c r="H290" s="109"/>
      <c r="I290" s="109"/>
      <c r="J290" s="111"/>
      <c r="K290" s="111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</row>
    <row r="291" spans="1:25" ht="14.5">
      <c r="A291" s="109"/>
      <c r="B291" s="109"/>
      <c r="C291" s="109"/>
      <c r="D291" s="109"/>
      <c r="E291" s="109"/>
      <c r="F291" s="110"/>
      <c r="G291" s="109"/>
      <c r="H291" s="109"/>
      <c r="I291" s="109"/>
      <c r="J291" s="111"/>
      <c r="K291" s="111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</row>
    <row r="292" spans="1:25" ht="14.5">
      <c r="A292" s="109"/>
      <c r="B292" s="109"/>
      <c r="C292" s="109"/>
      <c r="D292" s="109"/>
      <c r="E292" s="109"/>
      <c r="F292" s="110"/>
      <c r="G292" s="109"/>
      <c r="H292" s="109"/>
      <c r="I292" s="109"/>
      <c r="J292" s="111"/>
      <c r="K292" s="111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</row>
    <row r="293" spans="1:25" ht="14.5">
      <c r="A293" s="109"/>
      <c r="B293" s="109"/>
      <c r="C293" s="109"/>
      <c r="D293" s="109"/>
      <c r="E293" s="109"/>
      <c r="F293" s="110"/>
      <c r="G293" s="109"/>
      <c r="H293" s="109"/>
      <c r="I293" s="109"/>
      <c r="J293" s="111"/>
      <c r="K293" s="111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</row>
    <row r="294" spans="1:25" ht="14.5">
      <c r="A294" s="109"/>
      <c r="B294" s="109"/>
      <c r="C294" s="109"/>
      <c r="D294" s="109"/>
      <c r="E294" s="109"/>
      <c r="F294" s="110"/>
      <c r="G294" s="109"/>
      <c r="H294" s="109"/>
      <c r="I294" s="109"/>
      <c r="J294" s="111"/>
      <c r="K294" s="111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</row>
    <row r="295" spans="1:25" ht="14.5">
      <c r="A295" s="109"/>
      <c r="B295" s="109"/>
      <c r="C295" s="109"/>
      <c r="D295" s="109"/>
      <c r="E295" s="109"/>
      <c r="F295" s="110"/>
      <c r="G295" s="109"/>
      <c r="H295" s="109"/>
      <c r="I295" s="109"/>
      <c r="J295" s="111"/>
      <c r="K295" s="111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</row>
    <row r="296" spans="1:25" ht="14.5">
      <c r="A296" s="109"/>
      <c r="B296" s="109"/>
      <c r="C296" s="109"/>
      <c r="D296" s="109"/>
      <c r="E296" s="109"/>
      <c r="F296" s="110"/>
      <c r="G296" s="109"/>
      <c r="H296" s="109"/>
      <c r="I296" s="109"/>
      <c r="J296" s="111"/>
      <c r="K296" s="111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</row>
    <row r="297" spans="1:25" ht="14.5">
      <c r="A297" s="109"/>
      <c r="B297" s="109"/>
      <c r="C297" s="109"/>
      <c r="D297" s="109"/>
      <c r="E297" s="109"/>
      <c r="F297" s="110"/>
      <c r="G297" s="109"/>
      <c r="H297" s="109"/>
      <c r="I297" s="109"/>
      <c r="J297" s="111"/>
      <c r="K297" s="111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</row>
    <row r="298" spans="1:25" ht="14.5">
      <c r="A298" s="109"/>
      <c r="B298" s="109"/>
      <c r="C298" s="109"/>
      <c r="D298" s="109"/>
      <c r="E298" s="109"/>
      <c r="F298" s="110"/>
      <c r="G298" s="109"/>
      <c r="H298" s="109"/>
      <c r="I298" s="109"/>
      <c r="J298" s="111"/>
      <c r="K298" s="111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</row>
    <row r="299" spans="1:25" ht="14.5">
      <c r="A299" s="109"/>
      <c r="B299" s="109"/>
      <c r="C299" s="109"/>
      <c r="D299" s="109"/>
      <c r="E299" s="109"/>
      <c r="F299" s="110"/>
      <c r="G299" s="109"/>
      <c r="H299" s="109"/>
      <c r="I299" s="109"/>
      <c r="J299" s="111"/>
      <c r="K299" s="111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</row>
    <row r="300" spans="1:25" ht="14.5">
      <c r="A300" s="109"/>
      <c r="B300" s="109"/>
      <c r="C300" s="109"/>
      <c r="D300" s="109"/>
      <c r="E300" s="109"/>
      <c r="F300" s="110"/>
      <c r="G300" s="109"/>
      <c r="H300" s="109"/>
      <c r="I300" s="109"/>
      <c r="J300" s="111"/>
      <c r="K300" s="111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</row>
    <row r="301" spans="1:25" ht="14.5">
      <c r="A301" s="109"/>
      <c r="B301" s="109"/>
      <c r="C301" s="109"/>
      <c r="D301" s="109"/>
      <c r="E301" s="109"/>
      <c r="F301" s="110"/>
      <c r="G301" s="109"/>
      <c r="H301" s="109"/>
      <c r="I301" s="109"/>
      <c r="J301" s="111"/>
      <c r="K301" s="111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</row>
    <row r="302" spans="1:25" ht="14.5">
      <c r="A302" s="109"/>
      <c r="B302" s="109"/>
      <c r="C302" s="109"/>
      <c r="D302" s="109"/>
      <c r="E302" s="109"/>
      <c r="F302" s="110"/>
      <c r="G302" s="109"/>
      <c r="H302" s="109"/>
      <c r="I302" s="109"/>
      <c r="J302" s="111"/>
      <c r="K302" s="111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</row>
    <row r="303" spans="1:25" ht="14.5">
      <c r="A303" s="109"/>
      <c r="B303" s="109"/>
      <c r="C303" s="109"/>
      <c r="D303" s="109"/>
      <c r="E303" s="109"/>
      <c r="F303" s="110"/>
      <c r="G303" s="109"/>
      <c r="H303" s="109"/>
      <c r="I303" s="109"/>
      <c r="J303" s="111"/>
      <c r="K303" s="111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</row>
    <row r="304" spans="1:25" ht="14.5">
      <c r="A304" s="109"/>
      <c r="B304" s="109"/>
      <c r="C304" s="109"/>
      <c r="D304" s="109"/>
      <c r="E304" s="109"/>
      <c r="F304" s="110"/>
      <c r="G304" s="109"/>
      <c r="H304" s="109"/>
      <c r="I304" s="109"/>
      <c r="J304" s="111"/>
      <c r="K304" s="111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</row>
    <row r="305" spans="1:25" ht="14.5">
      <c r="A305" s="109"/>
      <c r="B305" s="109"/>
      <c r="C305" s="109"/>
      <c r="D305" s="109"/>
      <c r="E305" s="109"/>
      <c r="F305" s="110"/>
      <c r="G305" s="109"/>
      <c r="H305" s="109"/>
      <c r="I305" s="109"/>
      <c r="J305" s="111"/>
      <c r="K305" s="111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</row>
    <row r="306" spans="1:25" ht="14.5">
      <c r="A306" s="109"/>
      <c r="B306" s="109"/>
      <c r="C306" s="109"/>
      <c r="D306" s="109"/>
      <c r="E306" s="109"/>
      <c r="F306" s="110"/>
      <c r="G306" s="109"/>
      <c r="H306" s="109"/>
      <c r="I306" s="109"/>
      <c r="J306" s="111"/>
      <c r="K306" s="111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</row>
    <row r="307" spans="1:25" ht="14.5">
      <c r="A307" s="109"/>
      <c r="B307" s="109"/>
      <c r="C307" s="109"/>
      <c r="D307" s="109"/>
      <c r="E307" s="109"/>
      <c r="F307" s="110"/>
      <c r="G307" s="109"/>
      <c r="H307" s="109"/>
      <c r="I307" s="109"/>
      <c r="J307" s="111"/>
      <c r="K307" s="111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</row>
    <row r="308" spans="1:25" ht="14.5">
      <c r="A308" s="109"/>
      <c r="B308" s="109"/>
      <c r="C308" s="109"/>
      <c r="D308" s="109"/>
      <c r="E308" s="109"/>
      <c r="F308" s="110"/>
      <c r="G308" s="109"/>
      <c r="H308" s="109"/>
      <c r="I308" s="109"/>
      <c r="J308" s="111"/>
      <c r="K308" s="111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</row>
    <row r="309" spans="1:25" ht="14.5">
      <c r="A309" s="109"/>
      <c r="B309" s="109"/>
      <c r="C309" s="109"/>
      <c r="D309" s="109"/>
      <c r="E309" s="109"/>
      <c r="F309" s="110"/>
      <c r="G309" s="109"/>
      <c r="H309" s="109"/>
      <c r="I309" s="109"/>
      <c r="J309" s="111"/>
      <c r="K309" s="111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</row>
    <row r="310" spans="1:25" ht="14.5">
      <c r="A310" s="109"/>
      <c r="B310" s="109"/>
      <c r="C310" s="109"/>
      <c r="D310" s="109"/>
      <c r="E310" s="109"/>
      <c r="F310" s="110"/>
      <c r="G310" s="109"/>
      <c r="H310" s="109"/>
      <c r="I310" s="109"/>
      <c r="J310" s="111"/>
      <c r="K310" s="111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</row>
    <row r="311" spans="1:25" ht="14.5">
      <c r="A311" s="109"/>
      <c r="B311" s="109"/>
      <c r="C311" s="109"/>
      <c r="D311" s="109"/>
      <c r="E311" s="109"/>
      <c r="F311" s="110"/>
      <c r="G311" s="109"/>
      <c r="H311" s="109"/>
      <c r="I311" s="109"/>
      <c r="J311" s="111"/>
      <c r="K311" s="111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</row>
    <row r="312" spans="1:25" ht="14.5">
      <c r="A312" s="109"/>
      <c r="B312" s="109"/>
      <c r="C312" s="109"/>
      <c r="D312" s="109"/>
      <c r="E312" s="109"/>
      <c r="F312" s="110"/>
      <c r="G312" s="109"/>
      <c r="H312" s="109"/>
      <c r="I312" s="109"/>
      <c r="J312" s="111"/>
      <c r="K312" s="111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</row>
    <row r="313" spans="1:25" ht="14.5">
      <c r="A313" s="109"/>
      <c r="B313" s="109"/>
      <c r="C313" s="109"/>
      <c r="D313" s="109"/>
      <c r="E313" s="109"/>
      <c r="F313" s="110"/>
      <c r="G313" s="109"/>
      <c r="H313" s="109"/>
      <c r="I313" s="109"/>
      <c r="J313" s="111"/>
      <c r="K313" s="111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</row>
    <row r="314" spans="1:25" ht="14.5">
      <c r="A314" s="109"/>
      <c r="B314" s="109"/>
      <c r="C314" s="109"/>
      <c r="D314" s="109"/>
      <c r="E314" s="109"/>
      <c r="F314" s="110"/>
      <c r="G314" s="109"/>
      <c r="H314" s="109"/>
      <c r="I314" s="109"/>
      <c r="J314" s="111"/>
      <c r="K314" s="111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</row>
    <row r="315" spans="1:25" ht="14.5">
      <c r="A315" s="109"/>
      <c r="B315" s="109"/>
      <c r="C315" s="109"/>
      <c r="D315" s="109"/>
      <c r="E315" s="109"/>
      <c r="F315" s="110"/>
      <c r="G315" s="109"/>
      <c r="H315" s="109"/>
      <c r="I315" s="109"/>
      <c r="J315" s="111"/>
      <c r="K315" s="111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</row>
    <row r="316" spans="1:25" ht="14.5">
      <c r="A316" s="109"/>
      <c r="B316" s="109"/>
      <c r="C316" s="109"/>
      <c r="D316" s="109"/>
      <c r="E316" s="109"/>
      <c r="F316" s="110"/>
      <c r="G316" s="109"/>
      <c r="H316" s="109"/>
      <c r="I316" s="109"/>
      <c r="J316" s="111"/>
      <c r="K316" s="111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</row>
    <row r="317" spans="1:25" ht="14.5">
      <c r="A317" s="109"/>
      <c r="B317" s="109"/>
      <c r="C317" s="109"/>
      <c r="D317" s="109"/>
      <c r="E317" s="109"/>
      <c r="F317" s="110"/>
      <c r="G317" s="109"/>
      <c r="H317" s="109"/>
      <c r="I317" s="109"/>
      <c r="J317" s="111"/>
      <c r="K317" s="111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</row>
    <row r="318" spans="1:25" ht="14.5">
      <c r="A318" s="109"/>
      <c r="B318" s="109"/>
      <c r="C318" s="109"/>
      <c r="D318" s="109"/>
      <c r="E318" s="109"/>
      <c r="F318" s="110"/>
      <c r="G318" s="109"/>
      <c r="H318" s="109"/>
      <c r="I318" s="109"/>
      <c r="J318" s="111"/>
      <c r="K318" s="111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</row>
    <row r="319" spans="1:25" ht="14.5">
      <c r="A319" s="109"/>
      <c r="B319" s="109"/>
      <c r="C319" s="109"/>
      <c r="D319" s="109"/>
      <c r="E319" s="109"/>
      <c r="F319" s="110"/>
      <c r="G319" s="109"/>
      <c r="H319" s="109"/>
      <c r="I319" s="109"/>
      <c r="J319" s="111"/>
      <c r="K319" s="111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</row>
    <row r="320" spans="1:25" ht="14.5">
      <c r="A320" s="109"/>
      <c r="B320" s="109"/>
      <c r="C320" s="109"/>
      <c r="D320" s="109"/>
      <c r="E320" s="109"/>
      <c r="F320" s="110"/>
      <c r="G320" s="109"/>
      <c r="H320" s="109"/>
      <c r="I320" s="109"/>
      <c r="J320" s="111"/>
      <c r="K320" s="111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</row>
    <row r="321" spans="1:25" ht="14.5">
      <c r="A321" s="109"/>
      <c r="B321" s="109"/>
      <c r="C321" s="109"/>
      <c r="D321" s="109"/>
      <c r="E321" s="109"/>
      <c r="F321" s="110"/>
      <c r="G321" s="109"/>
      <c r="H321" s="109"/>
      <c r="I321" s="109"/>
      <c r="J321" s="111"/>
      <c r="K321" s="111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</row>
    <row r="322" spans="1:25" ht="14.5">
      <c r="A322" s="109"/>
      <c r="B322" s="109"/>
      <c r="C322" s="109"/>
      <c r="D322" s="109"/>
      <c r="E322" s="109"/>
      <c r="F322" s="110"/>
      <c r="G322" s="109"/>
      <c r="H322" s="109"/>
      <c r="I322" s="109"/>
      <c r="J322" s="111"/>
      <c r="K322" s="111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</row>
    <row r="323" spans="1:25" ht="14.5">
      <c r="A323" s="109"/>
      <c r="B323" s="109"/>
      <c r="C323" s="109"/>
      <c r="D323" s="109"/>
      <c r="E323" s="109"/>
      <c r="F323" s="110"/>
      <c r="G323" s="109"/>
      <c r="H323" s="109"/>
      <c r="I323" s="109"/>
      <c r="J323" s="111"/>
      <c r="K323" s="111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</row>
    <row r="324" spans="1:25" ht="14.5">
      <c r="A324" s="109"/>
      <c r="B324" s="109"/>
      <c r="C324" s="109"/>
      <c r="D324" s="109"/>
      <c r="E324" s="109"/>
      <c r="F324" s="110"/>
      <c r="G324" s="109"/>
      <c r="H324" s="109"/>
      <c r="I324" s="109"/>
      <c r="J324" s="111"/>
      <c r="K324" s="111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</row>
    <row r="325" spans="1:25" ht="14.5">
      <c r="A325" s="109"/>
      <c r="B325" s="109"/>
      <c r="C325" s="109"/>
      <c r="D325" s="109"/>
      <c r="E325" s="109"/>
      <c r="F325" s="110"/>
      <c r="G325" s="109"/>
      <c r="H325" s="109"/>
      <c r="I325" s="109"/>
      <c r="J325" s="111"/>
      <c r="K325" s="111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</row>
    <row r="326" spans="1:25" ht="14.5">
      <c r="A326" s="109"/>
      <c r="B326" s="109"/>
      <c r="C326" s="109"/>
      <c r="D326" s="109"/>
      <c r="E326" s="109"/>
      <c r="F326" s="110"/>
      <c r="G326" s="109"/>
      <c r="H326" s="109"/>
      <c r="I326" s="109"/>
      <c r="J326" s="111"/>
      <c r="K326" s="111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</row>
    <row r="327" spans="1:25" ht="14.5">
      <c r="A327" s="109"/>
      <c r="B327" s="109"/>
      <c r="C327" s="109"/>
      <c r="D327" s="109"/>
      <c r="E327" s="109"/>
      <c r="F327" s="110"/>
      <c r="G327" s="109"/>
      <c r="H327" s="109"/>
      <c r="I327" s="109"/>
      <c r="J327" s="111"/>
      <c r="K327" s="111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</row>
    <row r="328" spans="1:25" ht="14.5">
      <c r="A328" s="109"/>
      <c r="B328" s="109"/>
      <c r="C328" s="109"/>
      <c r="D328" s="109"/>
      <c r="E328" s="109"/>
      <c r="F328" s="110"/>
      <c r="G328" s="109"/>
      <c r="H328" s="109"/>
      <c r="I328" s="109"/>
      <c r="J328" s="111"/>
      <c r="K328" s="111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</row>
    <row r="329" spans="1:25" ht="14.5">
      <c r="A329" s="109"/>
      <c r="B329" s="109"/>
      <c r="C329" s="109"/>
      <c r="D329" s="109"/>
      <c r="E329" s="109"/>
      <c r="F329" s="110"/>
      <c r="G329" s="109"/>
      <c r="H329" s="109"/>
      <c r="I329" s="109"/>
      <c r="J329" s="111"/>
      <c r="K329" s="111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</row>
    <row r="330" spans="1:25" ht="14.5">
      <c r="A330" s="109"/>
      <c r="B330" s="109"/>
      <c r="C330" s="109"/>
      <c r="D330" s="109"/>
      <c r="E330" s="109"/>
      <c r="F330" s="110"/>
      <c r="G330" s="109"/>
      <c r="H330" s="109"/>
      <c r="I330" s="109"/>
      <c r="J330" s="111"/>
      <c r="K330" s="111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</row>
    <row r="331" spans="1:25" ht="14.5">
      <c r="A331" s="109"/>
      <c r="B331" s="109"/>
      <c r="C331" s="109"/>
      <c r="D331" s="109"/>
      <c r="E331" s="109"/>
      <c r="F331" s="110"/>
      <c r="G331" s="109"/>
      <c r="H331" s="109"/>
      <c r="I331" s="109"/>
      <c r="J331" s="111"/>
      <c r="K331" s="111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</row>
    <row r="332" spans="1:25" ht="14.5">
      <c r="A332" s="109"/>
      <c r="B332" s="109"/>
      <c r="C332" s="109"/>
      <c r="D332" s="109"/>
      <c r="E332" s="109"/>
      <c r="F332" s="110"/>
      <c r="G332" s="109"/>
      <c r="H332" s="109"/>
      <c r="I332" s="109"/>
      <c r="J332" s="111"/>
      <c r="K332" s="111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</row>
    <row r="333" spans="1:25" ht="14.5">
      <c r="A333" s="109"/>
      <c r="B333" s="109"/>
      <c r="C333" s="109"/>
      <c r="D333" s="109"/>
      <c r="E333" s="109"/>
      <c r="F333" s="110"/>
      <c r="G333" s="109"/>
      <c r="H333" s="109"/>
      <c r="I333" s="109"/>
      <c r="J333" s="111"/>
      <c r="K333" s="111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</row>
    <row r="334" spans="1:25" ht="14.5">
      <c r="A334" s="109"/>
      <c r="B334" s="109"/>
      <c r="C334" s="109"/>
      <c r="D334" s="109"/>
      <c r="E334" s="109"/>
      <c r="F334" s="110"/>
      <c r="G334" s="109"/>
      <c r="H334" s="109"/>
      <c r="I334" s="109"/>
      <c r="J334" s="111"/>
      <c r="K334" s="111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</row>
    <row r="335" spans="1:25" ht="14.5">
      <c r="A335" s="109"/>
      <c r="B335" s="109"/>
      <c r="C335" s="109"/>
      <c r="D335" s="109"/>
      <c r="E335" s="109"/>
      <c r="F335" s="110"/>
      <c r="G335" s="109"/>
      <c r="H335" s="109"/>
      <c r="I335" s="109"/>
      <c r="J335" s="111"/>
      <c r="K335" s="111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</row>
    <row r="336" spans="1:25" ht="14.5">
      <c r="A336" s="109"/>
      <c r="B336" s="109"/>
      <c r="C336" s="109"/>
      <c r="D336" s="109"/>
      <c r="E336" s="109"/>
      <c r="F336" s="110"/>
      <c r="G336" s="109"/>
      <c r="H336" s="109"/>
      <c r="I336" s="109"/>
      <c r="J336" s="111"/>
      <c r="K336" s="111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</row>
    <row r="337" spans="1:25" ht="14.5">
      <c r="A337" s="109"/>
      <c r="B337" s="109"/>
      <c r="C337" s="109"/>
      <c r="D337" s="109"/>
      <c r="E337" s="109"/>
      <c r="F337" s="110"/>
      <c r="G337" s="109"/>
      <c r="H337" s="109"/>
      <c r="I337" s="109"/>
      <c r="J337" s="111"/>
      <c r="K337" s="111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</row>
    <row r="338" spans="1:25" ht="14.5">
      <c r="A338" s="109"/>
      <c r="B338" s="109"/>
      <c r="C338" s="109"/>
      <c r="D338" s="109"/>
      <c r="E338" s="109"/>
      <c r="F338" s="110"/>
      <c r="G338" s="109"/>
      <c r="H338" s="109"/>
      <c r="I338" s="109"/>
      <c r="J338" s="111"/>
      <c r="K338" s="111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</row>
    <row r="339" spans="1:25" ht="14.5">
      <c r="A339" s="109"/>
      <c r="B339" s="109"/>
      <c r="C339" s="109"/>
      <c r="D339" s="109"/>
      <c r="E339" s="109"/>
      <c r="F339" s="110"/>
      <c r="G339" s="109"/>
      <c r="H339" s="109"/>
      <c r="I339" s="109"/>
      <c r="J339" s="111"/>
      <c r="K339" s="111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</row>
    <row r="340" spans="1:25" ht="14.5">
      <c r="A340" s="109"/>
      <c r="B340" s="109"/>
      <c r="C340" s="109"/>
      <c r="D340" s="109"/>
      <c r="E340" s="109"/>
      <c r="F340" s="110"/>
      <c r="G340" s="109"/>
      <c r="H340" s="109"/>
      <c r="I340" s="109"/>
      <c r="J340" s="111"/>
      <c r="K340" s="111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</row>
    <row r="341" spans="1:25" ht="14.5">
      <c r="A341" s="109"/>
      <c r="B341" s="109"/>
      <c r="C341" s="109"/>
      <c r="D341" s="109"/>
      <c r="E341" s="109"/>
      <c r="F341" s="110"/>
      <c r="G341" s="109"/>
      <c r="H341" s="109"/>
      <c r="I341" s="109"/>
      <c r="J341" s="111"/>
      <c r="K341" s="111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</row>
    <row r="342" spans="1:25" ht="14.5">
      <c r="A342" s="109"/>
      <c r="B342" s="109"/>
      <c r="C342" s="109"/>
      <c r="D342" s="109"/>
      <c r="E342" s="109"/>
      <c r="F342" s="110"/>
      <c r="G342" s="109"/>
      <c r="H342" s="109"/>
      <c r="I342" s="109"/>
      <c r="J342" s="111"/>
      <c r="K342" s="111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</row>
    <row r="343" spans="1:25" ht="14.5">
      <c r="A343" s="109"/>
      <c r="B343" s="109"/>
      <c r="C343" s="109"/>
      <c r="D343" s="109"/>
      <c r="E343" s="109"/>
      <c r="F343" s="110"/>
      <c r="G343" s="109"/>
      <c r="H343" s="109"/>
      <c r="I343" s="109"/>
      <c r="J343" s="111"/>
      <c r="K343" s="111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</row>
    <row r="344" spans="1:25" ht="14.5">
      <c r="A344" s="109"/>
      <c r="B344" s="109"/>
      <c r="C344" s="109"/>
      <c r="D344" s="109"/>
      <c r="E344" s="109"/>
      <c r="F344" s="110"/>
      <c r="G344" s="109"/>
      <c r="H344" s="109"/>
      <c r="I344" s="109"/>
      <c r="J344" s="111"/>
      <c r="K344" s="111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</row>
    <row r="345" spans="1:25" ht="14.5">
      <c r="A345" s="109"/>
      <c r="B345" s="109"/>
      <c r="C345" s="109"/>
      <c r="D345" s="109"/>
      <c r="E345" s="109"/>
      <c r="F345" s="110"/>
      <c r="G345" s="109"/>
      <c r="H345" s="109"/>
      <c r="I345" s="109"/>
      <c r="J345" s="111"/>
      <c r="K345" s="111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</row>
    <row r="346" spans="1:25" ht="14.5">
      <c r="A346" s="109"/>
      <c r="B346" s="109"/>
      <c r="C346" s="109"/>
      <c r="D346" s="109"/>
      <c r="E346" s="109"/>
      <c r="F346" s="110"/>
      <c r="G346" s="109"/>
      <c r="H346" s="109"/>
      <c r="I346" s="109"/>
      <c r="J346" s="111"/>
      <c r="K346" s="111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</row>
    <row r="347" spans="1:25" ht="14.5">
      <c r="A347" s="109"/>
      <c r="B347" s="109"/>
      <c r="C347" s="109"/>
      <c r="D347" s="109"/>
      <c r="E347" s="109"/>
      <c r="F347" s="110"/>
      <c r="G347" s="109"/>
      <c r="H347" s="109"/>
      <c r="I347" s="109"/>
      <c r="J347" s="111"/>
      <c r="K347" s="111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</row>
    <row r="348" spans="1:25" ht="14.5">
      <c r="A348" s="109"/>
      <c r="B348" s="109"/>
      <c r="C348" s="109"/>
      <c r="D348" s="109"/>
      <c r="E348" s="109"/>
      <c r="F348" s="110"/>
      <c r="G348" s="109"/>
      <c r="H348" s="109"/>
      <c r="I348" s="109"/>
      <c r="J348" s="111"/>
      <c r="K348" s="111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</row>
    <row r="349" spans="1:25" ht="14.5">
      <c r="A349" s="109"/>
      <c r="B349" s="109"/>
      <c r="C349" s="109"/>
      <c r="D349" s="109"/>
      <c r="E349" s="109"/>
      <c r="F349" s="110"/>
      <c r="G349" s="109"/>
      <c r="H349" s="109"/>
      <c r="I349" s="109"/>
      <c r="J349" s="111"/>
      <c r="K349" s="111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</row>
    <row r="350" spans="1:25" ht="14.5">
      <c r="A350" s="109"/>
      <c r="B350" s="109"/>
      <c r="C350" s="109"/>
      <c r="D350" s="109"/>
      <c r="E350" s="109"/>
      <c r="F350" s="110"/>
      <c r="G350" s="109"/>
      <c r="H350" s="109"/>
      <c r="I350" s="109"/>
      <c r="J350" s="111"/>
      <c r="K350" s="111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</row>
    <row r="351" spans="1:25" ht="14.5">
      <c r="A351" s="109"/>
      <c r="B351" s="109"/>
      <c r="C351" s="109"/>
      <c r="D351" s="109"/>
      <c r="E351" s="109"/>
      <c r="F351" s="110"/>
      <c r="G351" s="109"/>
      <c r="H351" s="109"/>
      <c r="I351" s="109"/>
      <c r="J351" s="111"/>
      <c r="K351" s="111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</row>
    <row r="352" spans="1:25" ht="14.5">
      <c r="A352" s="109"/>
      <c r="B352" s="109"/>
      <c r="C352" s="109"/>
      <c r="D352" s="109"/>
      <c r="E352" s="109"/>
      <c r="F352" s="110"/>
      <c r="G352" s="109"/>
      <c r="H352" s="109"/>
      <c r="I352" s="109"/>
      <c r="J352" s="111"/>
      <c r="K352" s="111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</row>
    <row r="353" spans="1:25" ht="14.5">
      <c r="A353" s="109"/>
      <c r="B353" s="109"/>
      <c r="C353" s="109"/>
      <c r="D353" s="109"/>
      <c r="E353" s="109"/>
      <c r="F353" s="110"/>
      <c r="G353" s="109"/>
      <c r="H353" s="109"/>
      <c r="I353" s="109"/>
      <c r="J353" s="111"/>
      <c r="K353" s="111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</row>
    <row r="354" spans="1:25" ht="14.5">
      <c r="A354" s="109"/>
      <c r="B354" s="109"/>
      <c r="C354" s="109"/>
      <c r="D354" s="109"/>
      <c r="E354" s="109"/>
      <c r="F354" s="110"/>
      <c r="G354" s="109"/>
      <c r="H354" s="109"/>
      <c r="I354" s="109"/>
      <c r="J354" s="111"/>
      <c r="K354" s="111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</row>
    <row r="355" spans="1:25" ht="14.5">
      <c r="A355" s="109"/>
      <c r="B355" s="109"/>
      <c r="C355" s="109"/>
      <c r="D355" s="109"/>
      <c r="E355" s="109"/>
      <c r="F355" s="110"/>
      <c r="G355" s="109"/>
      <c r="H355" s="109"/>
      <c r="I355" s="109"/>
      <c r="J355" s="111"/>
      <c r="K355" s="111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</row>
    <row r="356" spans="1:25" ht="14.5">
      <c r="A356" s="109"/>
      <c r="B356" s="109"/>
      <c r="C356" s="109"/>
      <c r="D356" s="109"/>
      <c r="E356" s="109"/>
      <c r="F356" s="110"/>
      <c r="G356" s="109"/>
      <c r="H356" s="109"/>
      <c r="I356" s="109"/>
      <c r="J356" s="111"/>
      <c r="K356" s="111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</row>
    <row r="357" spans="1:25" ht="14.5">
      <c r="A357" s="109"/>
      <c r="B357" s="109"/>
      <c r="C357" s="109"/>
      <c r="D357" s="109"/>
      <c r="E357" s="109"/>
      <c r="F357" s="110"/>
      <c r="G357" s="109"/>
      <c r="H357" s="109"/>
      <c r="I357" s="109"/>
      <c r="J357" s="111"/>
      <c r="K357" s="111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</row>
    <row r="358" spans="1:25" ht="14.5">
      <c r="A358" s="109"/>
      <c r="B358" s="109"/>
      <c r="C358" s="109"/>
      <c r="D358" s="109"/>
      <c r="E358" s="109"/>
      <c r="F358" s="110"/>
      <c r="G358" s="109"/>
      <c r="H358" s="109"/>
      <c r="I358" s="109"/>
      <c r="J358" s="111"/>
      <c r="K358" s="111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</row>
    <row r="359" spans="1:25" ht="14.5">
      <c r="A359" s="109"/>
      <c r="B359" s="109"/>
      <c r="C359" s="109"/>
      <c r="D359" s="109"/>
      <c r="E359" s="109"/>
      <c r="F359" s="110"/>
      <c r="G359" s="109"/>
      <c r="H359" s="109"/>
      <c r="I359" s="109"/>
      <c r="J359" s="111"/>
      <c r="K359" s="111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</row>
    <row r="360" spans="1:25" ht="14.5">
      <c r="A360" s="109"/>
      <c r="B360" s="109"/>
      <c r="C360" s="109"/>
      <c r="D360" s="109"/>
      <c r="E360" s="109"/>
      <c r="F360" s="110"/>
      <c r="G360" s="109"/>
      <c r="H360" s="109"/>
      <c r="I360" s="109"/>
      <c r="J360" s="111"/>
      <c r="K360" s="111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</row>
    <row r="361" spans="1:25" ht="14.5">
      <c r="A361" s="109"/>
      <c r="B361" s="109"/>
      <c r="C361" s="109"/>
      <c r="D361" s="109"/>
      <c r="E361" s="109"/>
      <c r="F361" s="110"/>
      <c r="G361" s="109"/>
      <c r="H361" s="109"/>
      <c r="I361" s="109"/>
      <c r="J361" s="111"/>
      <c r="K361" s="111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</row>
    <row r="362" spans="1:25" ht="14.5">
      <c r="A362" s="109"/>
      <c r="B362" s="109"/>
      <c r="C362" s="109"/>
      <c r="D362" s="109"/>
      <c r="E362" s="109"/>
      <c r="F362" s="110"/>
      <c r="G362" s="109"/>
      <c r="H362" s="109"/>
      <c r="I362" s="109"/>
      <c r="J362" s="111"/>
      <c r="K362" s="111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</row>
    <row r="363" spans="1:25" ht="14.5">
      <c r="A363" s="109"/>
      <c r="B363" s="109"/>
      <c r="C363" s="109"/>
      <c r="D363" s="109"/>
      <c r="E363" s="109"/>
      <c r="F363" s="110"/>
      <c r="G363" s="109"/>
      <c r="H363" s="109"/>
      <c r="I363" s="109"/>
      <c r="J363" s="111"/>
      <c r="K363" s="111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</row>
    <row r="364" spans="1:25" ht="14.5">
      <c r="A364" s="109"/>
      <c r="B364" s="109"/>
      <c r="C364" s="109"/>
      <c r="D364" s="109"/>
      <c r="E364" s="109"/>
      <c r="F364" s="110"/>
      <c r="G364" s="109"/>
      <c r="H364" s="109"/>
      <c r="I364" s="109"/>
      <c r="J364" s="111"/>
      <c r="K364" s="111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</row>
    <row r="365" spans="1:25" ht="14.5">
      <c r="A365" s="109"/>
      <c r="B365" s="109"/>
      <c r="C365" s="109"/>
      <c r="D365" s="109"/>
      <c r="E365" s="109"/>
      <c r="F365" s="110"/>
      <c r="G365" s="109"/>
      <c r="H365" s="109"/>
      <c r="I365" s="109"/>
      <c r="J365" s="111"/>
      <c r="K365" s="111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</row>
    <row r="366" spans="1:25" ht="14.5">
      <c r="A366" s="109"/>
      <c r="B366" s="109"/>
      <c r="C366" s="109"/>
      <c r="D366" s="109"/>
      <c r="E366" s="109"/>
      <c r="F366" s="110"/>
      <c r="G366" s="109"/>
      <c r="H366" s="109"/>
      <c r="I366" s="109"/>
      <c r="J366" s="111"/>
      <c r="K366" s="111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</row>
    <row r="367" spans="1:25" ht="14.5">
      <c r="A367" s="109"/>
      <c r="B367" s="109"/>
      <c r="C367" s="109"/>
      <c r="D367" s="109"/>
      <c r="E367" s="109"/>
      <c r="F367" s="110"/>
      <c r="G367" s="109"/>
      <c r="H367" s="109"/>
      <c r="I367" s="109"/>
      <c r="J367" s="111"/>
      <c r="K367" s="111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</row>
    <row r="368" spans="1:25" ht="14.5">
      <c r="A368" s="109"/>
      <c r="B368" s="109"/>
      <c r="C368" s="109"/>
      <c r="D368" s="109"/>
      <c r="E368" s="109"/>
      <c r="F368" s="110"/>
      <c r="G368" s="109"/>
      <c r="H368" s="109"/>
      <c r="I368" s="109"/>
      <c r="J368" s="111"/>
      <c r="K368" s="111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</row>
    <row r="369" spans="1:25" ht="14.5">
      <c r="A369" s="109"/>
      <c r="B369" s="109"/>
      <c r="C369" s="109"/>
      <c r="D369" s="109"/>
      <c r="E369" s="109"/>
      <c r="F369" s="110"/>
      <c r="G369" s="109"/>
      <c r="H369" s="109"/>
      <c r="I369" s="109"/>
      <c r="J369" s="111"/>
      <c r="K369" s="111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</row>
    <row r="370" spans="1:25" ht="14.5">
      <c r="A370" s="109"/>
      <c r="B370" s="109"/>
      <c r="C370" s="109"/>
      <c r="D370" s="109"/>
      <c r="E370" s="109"/>
      <c r="F370" s="110"/>
      <c r="G370" s="109"/>
      <c r="H370" s="109"/>
      <c r="I370" s="109"/>
      <c r="J370" s="111"/>
      <c r="K370" s="111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</row>
    <row r="371" spans="1:25" ht="14.5">
      <c r="A371" s="109"/>
      <c r="B371" s="109"/>
      <c r="C371" s="109"/>
      <c r="D371" s="109"/>
      <c r="E371" s="109"/>
      <c r="F371" s="110"/>
      <c r="G371" s="109"/>
      <c r="H371" s="109"/>
      <c r="I371" s="109"/>
      <c r="J371" s="111"/>
      <c r="K371" s="111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</row>
    <row r="372" spans="1:25" ht="14.5">
      <c r="A372" s="109"/>
      <c r="B372" s="109"/>
      <c r="C372" s="109"/>
      <c r="D372" s="109"/>
      <c r="E372" s="109"/>
      <c r="F372" s="110"/>
      <c r="G372" s="109"/>
      <c r="H372" s="109"/>
      <c r="I372" s="109"/>
      <c r="J372" s="111"/>
      <c r="K372" s="111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</row>
    <row r="373" spans="1:25" ht="14.5">
      <c r="A373" s="109"/>
      <c r="B373" s="109"/>
      <c r="C373" s="109"/>
      <c r="D373" s="109"/>
      <c r="E373" s="109"/>
      <c r="F373" s="110"/>
      <c r="G373" s="109"/>
      <c r="H373" s="109"/>
      <c r="I373" s="109"/>
      <c r="J373" s="111"/>
      <c r="K373" s="111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</row>
    <row r="374" spans="1:25" ht="14.5">
      <c r="A374" s="109"/>
      <c r="B374" s="109"/>
      <c r="C374" s="109"/>
      <c r="D374" s="109"/>
      <c r="E374" s="109"/>
      <c r="F374" s="110"/>
      <c r="G374" s="109"/>
      <c r="H374" s="109"/>
      <c r="I374" s="109"/>
      <c r="J374" s="111"/>
      <c r="K374" s="111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</row>
    <row r="375" spans="1:25" ht="14.5">
      <c r="A375" s="109"/>
      <c r="B375" s="109"/>
      <c r="C375" s="109"/>
      <c r="D375" s="109"/>
      <c r="E375" s="109"/>
      <c r="F375" s="110"/>
      <c r="G375" s="109"/>
      <c r="H375" s="109"/>
      <c r="I375" s="109"/>
      <c r="J375" s="111"/>
      <c r="K375" s="111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</row>
    <row r="376" spans="1:25" ht="14.5">
      <c r="A376" s="109"/>
      <c r="B376" s="109"/>
      <c r="C376" s="109"/>
      <c r="D376" s="109"/>
      <c r="E376" s="109"/>
      <c r="F376" s="110"/>
      <c r="G376" s="109"/>
      <c r="H376" s="109"/>
      <c r="I376" s="109"/>
      <c r="J376" s="111"/>
      <c r="K376" s="111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</row>
    <row r="377" spans="1:25" ht="14.5">
      <c r="A377" s="109"/>
      <c r="B377" s="109"/>
      <c r="C377" s="109"/>
      <c r="D377" s="109"/>
      <c r="E377" s="109"/>
      <c r="F377" s="110"/>
      <c r="G377" s="109"/>
      <c r="H377" s="109"/>
      <c r="I377" s="109"/>
      <c r="J377" s="111"/>
      <c r="K377" s="111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</row>
    <row r="378" spans="1:25" ht="14.5">
      <c r="A378" s="109"/>
      <c r="B378" s="109"/>
      <c r="C378" s="109"/>
      <c r="D378" s="109"/>
      <c r="E378" s="109"/>
      <c r="F378" s="110"/>
      <c r="G378" s="109"/>
      <c r="H378" s="109"/>
      <c r="I378" s="109"/>
      <c r="J378" s="111"/>
      <c r="K378" s="111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</row>
    <row r="379" spans="1:25" ht="14.5">
      <c r="A379" s="109"/>
      <c r="B379" s="109"/>
      <c r="C379" s="109"/>
      <c r="D379" s="109"/>
      <c r="E379" s="109"/>
      <c r="F379" s="110"/>
      <c r="G379" s="109"/>
      <c r="H379" s="109"/>
      <c r="I379" s="109"/>
      <c r="J379" s="111"/>
      <c r="K379" s="111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</row>
    <row r="380" spans="1:25" ht="14.5">
      <c r="A380" s="109"/>
      <c r="B380" s="109"/>
      <c r="C380" s="109"/>
      <c r="D380" s="109"/>
      <c r="E380" s="109"/>
      <c r="F380" s="110"/>
      <c r="G380" s="109"/>
      <c r="H380" s="109"/>
      <c r="I380" s="109"/>
      <c r="J380" s="111"/>
      <c r="K380" s="111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</row>
    <row r="381" spans="1:25" ht="14.5">
      <c r="A381" s="109"/>
      <c r="B381" s="109"/>
      <c r="C381" s="109"/>
      <c r="D381" s="109"/>
      <c r="E381" s="109"/>
      <c r="F381" s="110"/>
      <c r="G381" s="109"/>
      <c r="H381" s="109"/>
      <c r="I381" s="109"/>
      <c r="J381" s="111"/>
      <c r="K381" s="111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</row>
    <row r="382" spans="1:25" ht="14.5">
      <c r="A382" s="109"/>
      <c r="B382" s="109"/>
      <c r="C382" s="109"/>
      <c r="D382" s="109"/>
      <c r="E382" s="109"/>
      <c r="F382" s="110"/>
      <c r="G382" s="109"/>
      <c r="H382" s="109"/>
      <c r="I382" s="109"/>
      <c r="J382" s="111"/>
      <c r="K382" s="111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</row>
    <row r="383" spans="1:25" ht="14.5">
      <c r="A383" s="109"/>
      <c r="B383" s="109"/>
      <c r="C383" s="109"/>
      <c r="D383" s="109"/>
      <c r="E383" s="109"/>
      <c r="F383" s="110"/>
      <c r="G383" s="109"/>
      <c r="H383" s="109"/>
      <c r="I383" s="109"/>
      <c r="J383" s="111"/>
      <c r="K383" s="111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</row>
    <row r="384" spans="1:25" ht="14.5">
      <c r="A384" s="109"/>
      <c r="B384" s="109"/>
      <c r="C384" s="109"/>
      <c r="D384" s="109"/>
      <c r="E384" s="109"/>
      <c r="F384" s="110"/>
      <c r="G384" s="109"/>
      <c r="H384" s="109"/>
      <c r="I384" s="109"/>
      <c r="J384" s="111"/>
      <c r="K384" s="111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</row>
    <row r="385" spans="1:25" ht="14.5">
      <c r="A385" s="109"/>
      <c r="B385" s="109"/>
      <c r="C385" s="109"/>
      <c r="D385" s="109"/>
      <c r="E385" s="109"/>
      <c r="F385" s="110"/>
      <c r="G385" s="109"/>
      <c r="H385" s="109"/>
      <c r="I385" s="109"/>
      <c r="J385" s="111"/>
      <c r="K385" s="111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</row>
    <row r="386" spans="1:25" ht="14.5">
      <c r="A386" s="109"/>
      <c r="B386" s="109"/>
      <c r="C386" s="109"/>
      <c r="D386" s="109"/>
      <c r="E386" s="109"/>
      <c r="F386" s="110"/>
      <c r="G386" s="109"/>
      <c r="H386" s="109"/>
      <c r="I386" s="109"/>
      <c r="J386" s="111"/>
      <c r="K386" s="111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</row>
    <row r="387" spans="1:25" ht="14.5">
      <c r="A387" s="109"/>
      <c r="B387" s="109"/>
      <c r="C387" s="109"/>
      <c r="D387" s="109"/>
      <c r="E387" s="109"/>
      <c r="F387" s="110"/>
      <c r="G387" s="109"/>
      <c r="H387" s="109"/>
      <c r="I387" s="109"/>
      <c r="J387" s="111"/>
      <c r="K387" s="111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</row>
    <row r="388" spans="1:25" ht="14.5">
      <c r="A388" s="109"/>
      <c r="B388" s="109"/>
      <c r="C388" s="109"/>
      <c r="D388" s="109"/>
      <c r="E388" s="109"/>
      <c r="F388" s="110"/>
      <c r="G388" s="109"/>
      <c r="H388" s="109"/>
      <c r="I388" s="109"/>
      <c r="J388" s="111"/>
      <c r="K388" s="111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</row>
    <row r="389" spans="1:25" ht="14.5">
      <c r="A389" s="109"/>
      <c r="B389" s="109"/>
      <c r="C389" s="109"/>
      <c r="D389" s="109"/>
      <c r="E389" s="109"/>
      <c r="F389" s="110"/>
      <c r="G389" s="109"/>
      <c r="H389" s="109"/>
      <c r="I389" s="109"/>
      <c r="J389" s="111"/>
      <c r="K389" s="111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</row>
    <row r="390" spans="1:25" ht="14.5">
      <c r="A390" s="109"/>
      <c r="B390" s="109"/>
      <c r="C390" s="109"/>
      <c r="D390" s="109"/>
      <c r="E390" s="109"/>
      <c r="F390" s="110"/>
      <c r="G390" s="109"/>
      <c r="H390" s="109"/>
      <c r="I390" s="109"/>
      <c r="J390" s="111"/>
      <c r="K390" s="111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</row>
    <row r="391" spans="1:25" ht="14.5">
      <c r="A391" s="109"/>
      <c r="B391" s="109"/>
      <c r="C391" s="109"/>
      <c r="D391" s="109"/>
      <c r="E391" s="109"/>
      <c r="F391" s="110"/>
      <c r="G391" s="109"/>
      <c r="H391" s="109"/>
      <c r="I391" s="109"/>
      <c r="J391" s="111"/>
      <c r="K391" s="111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</row>
    <row r="392" spans="1:25" ht="14.5">
      <c r="A392" s="109"/>
      <c r="B392" s="109"/>
      <c r="C392" s="109"/>
      <c r="D392" s="109"/>
      <c r="E392" s="109"/>
      <c r="F392" s="110"/>
      <c r="G392" s="109"/>
      <c r="H392" s="109"/>
      <c r="I392" s="109"/>
      <c r="J392" s="111"/>
      <c r="K392" s="111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</row>
    <row r="393" spans="1:25" ht="14.5">
      <c r="A393" s="109"/>
      <c r="B393" s="109"/>
      <c r="C393" s="109"/>
      <c r="D393" s="109"/>
      <c r="E393" s="109"/>
      <c r="F393" s="110"/>
      <c r="G393" s="109"/>
      <c r="H393" s="109"/>
      <c r="I393" s="109"/>
      <c r="J393" s="111"/>
      <c r="K393" s="111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</row>
    <row r="394" spans="1:25" ht="14.5">
      <c r="A394" s="109"/>
      <c r="B394" s="109"/>
      <c r="C394" s="109"/>
      <c r="D394" s="109"/>
      <c r="E394" s="109"/>
      <c r="F394" s="110"/>
      <c r="G394" s="109"/>
      <c r="H394" s="109"/>
      <c r="I394" s="109"/>
      <c r="J394" s="111"/>
      <c r="K394" s="111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</row>
    <row r="395" spans="1:25" ht="14.5">
      <c r="A395" s="109"/>
      <c r="B395" s="109"/>
      <c r="C395" s="109"/>
      <c r="D395" s="109"/>
      <c r="E395" s="109"/>
      <c r="F395" s="110"/>
      <c r="G395" s="109"/>
      <c r="H395" s="109"/>
      <c r="I395" s="109"/>
      <c r="J395" s="111"/>
      <c r="K395" s="111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</row>
    <row r="396" spans="1:25" ht="14.5">
      <c r="A396" s="109"/>
      <c r="B396" s="109"/>
      <c r="C396" s="109"/>
      <c r="D396" s="109"/>
      <c r="E396" s="109"/>
      <c r="F396" s="110"/>
      <c r="G396" s="109"/>
      <c r="H396" s="109"/>
      <c r="I396" s="109"/>
      <c r="J396" s="111"/>
      <c r="K396" s="111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</row>
    <row r="397" spans="1:25" ht="14.5">
      <c r="A397" s="109"/>
      <c r="B397" s="109"/>
      <c r="C397" s="109"/>
      <c r="D397" s="109"/>
      <c r="E397" s="109"/>
      <c r="F397" s="110"/>
      <c r="G397" s="109"/>
      <c r="H397" s="109"/>
      <c r="I397" s="109"/>
      <c r="J397" s="111"/>
      <c r="K397" s="111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</row>
    <row r="398" spans="1:25" ht="14.5">
      <c r="A398" s="109"/>
      <c r="B398" s="109"/>
      <c r="C398" s="109"/>
      <c r="D398" s="109"/>
      <c r="E398" s="109"/>
      <c r="F398" s="110"/>
      <c r="G398" s="109"/>
      <c r="H398" s="109"/>
      <c r="I398" s="109"/>
      <c r="J398" s="111"/>
      <c r="K398" s="111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</row>
    <row r="399" spans="1:25" ht="14.5">
      <c r="A399" s="109"/>
      <c r="B399" s="109"/>
      <c r="C399" s="109"/>
      <c r="D399" s="109"/>
      <c r="E399" s="109"/>
      <c r="F399" s="110"/>
      <c r="G399" s="109"/>
      <c r="H399" s="109"/>
      <c r="I399" s="109"/>
      <c r="J399" s="111"/>
      <c r="K399" s="111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</row>
    <row r="400" spans="1:25" ht="14.5">
      <c r="A400" s="109"/>
      <c r="B400" s="109"/>
      <c r="C400" s="109"/>
      <c r="D400" s="109"/>
      <c r="E400" s="109"/>
      <c r="F400" s="110"/>
      <c r="G400" s="109"/>
      <c r="H400" s="109"/>
      <c r="I400" s="109"/>
      <c r="J400" s="111"/>
      <c r="K400" s="111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</row>
    <row r="401" spans="1:25" ht="14.5">
      <c r="A401" s="109"/>
      <c r="B401" s="109"/>
      <c r="C401" s="109"/>
      <c r="D401" s="109"/>
      <c r="E401" s="109"/>
      <c r="F401" s="110"/>
      <c r="G401" s="109"/>
      <c r="H401" s="109"/>
      <c r="I401" s="109"/>
      <c r="J401" s="111"/>
      <c r="K401" s="111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</row>
    <row r="402" spans="1:25" ht="14.5">
      <c r="A402" s="109"/>
      <c r="B402" s="109"/>
      <c r="C402" s="109"/>
      <c r="D402" s="109"/>
      <c r="E402" s="109"/>
      <c r="F402" s="110"/>
      <c r="G402" s="109"/>
      <c r="H402" s="109"/>
      <c r="I402" s="109"/>
      <c r="J402" s="111"/>
      <c r="K402" s="111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</row>
    <row r="403" spans="1:25" ht="14.5">
      <c r="A403" s="109"/>
      <c r="B403" s="109"/>
      <c r="C403" s="109"/>
      <c r="D403" s="109"/>
      <c r="E403" s="109"/>
      <c r="F403" s="110"/>
      <c r="G403" s="109"/>
      <c r="H403" s="109"/>
      <c r="I403" s="109"/>
      <c r="J403" s="111"/>
      <c r="K403" s="111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</row>
    <row r="404" spans="1:25" ht="14.5">
      <c r="A404" s="109"/>
      <c r="B404" s="109"/>
      <c r="C404" s="109"/>
      <c r="D404" s="109"/>
      <c r="E404" s="109"/>
      <c r="F404" s="110"/>
      <c r="G404" s="109"/>
      <c r="H404" s="109"/>
      <c r="I404" s="109"/>
      <c r="J404" s="111"/>
      <c r="K404" s="111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</row>
    <row r="405" spans="1:25" ht="14.5">
      <c r="A405" s="109"/>
      <c r="B405" s="109"/>
      <c r="C405" s="109"/>
      <c r="D405" s="109"/>
      <c r="E405" s="109"/>
      <c r="F405" s="110"/>
      <c r="G405" s="109"/>
      <c r="H405" s="109"/>
      <c r="I405" s="109"/>
      <c r="J405" s="111"/>
      <c r="K405" s="111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</row>
    <row r="406" spans="1:25" ht="14.5">
      <c r="A406" s="109"/>
      <c r="B406" s="109"/>
      <c r="C406" s="109"/>
      <c r="D406" s="109"/>
      <c r="E406" s="109"/>
      <c r="F406" s="110"/>
      <c r="G406" s="109"/>
      <c r="H406" s="109"/>
      <c r="I406" s="109"/>
      <c r="J406" s="111"/>
      <c r="K406" s="111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</row>
    <row r="407" spans="1:25" ht="14.5">
      <c r="A407" s="109"/>
      <c r="B407" s="109"/>
      <c r="C407" s="109"/>
      <c r="D407" s="109"/>
      <c r="E407" s="109"/>
      <c r="F407" s="110"/>
      <c r="G407" s="109"/>
      <c r="H407" s="109"/>
      <c r="I407" s="109"/>
      <c r="J407" s="111"/>
      <c r="K407" s="111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</row>
    <row r="408" spans="1:25" ht="14.5">
      <c r="A408" s="109"/>
      <c r="B408" s="109"/>
      <c r="C408" s="109"/>
      <c r="D408" s="109"/>
      <c r="E408" s="109"/>
      <c r="F408" s="110"/>
      <c r="G408" s="109"/>
      <c r="H408" s="109"/>
      <c r="I408" s="109"/>
      <c r="J408" s="111"/>
      <c r="K408" s="111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</row>
    <row r="409" spans="1:25" ht="14.5">
      <c r="A409" s="109"/>
      <c r="B409" s="109"/>
      <c r="C409" s="109"/>
      <c r="D409" s="109"/>
      <c r="E409" s="109"/>
      <c r="F409" s="110"/>
      <c r="G409" s="109"/>
      <c r="H409" s="109"/>
      <c r="I409" s="109"/>
      <c r="J409" s="111"/>
      <c r="K409" s="111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</row>
    <row r="410" spans="1:25" ht="14.5">
      <c r="A410" s="109"/>
      <c r="B410" s="109"/>
      <c r="C410" s="109"/>
      <c r="D410" s="109"/>
      <c r="E410" s="109"/>
      <c r="F410" s="110"/>
      <c r="G410" s="109"/>
      <c r="H410" s="109"/>
      <c r="I410" s="109"/>
      <c r="J410" s="111"/>
      <c r="K410" s="111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</row>
    <row r="411" spans="1:25" ht="14.5">
      <c r="A411" s="109"/>
      <c r="B411" s="109"/>
      <c r="C411" s="109"/>
      <c r="D411" s="109"/>
      <c r="E411" s="109"/>
      <c r="F411" s="110"/>
      <c r="G411" s="109"/>
      <c r="H411" s="109"/>
      <c r="I411" s="109"/>
      <c r="J411" s="111"/>
      <c r="K411" s="111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</row>
    <row r="412" spans="1:25" ht="14.5">
      <c r="A412" s="109"/>
      <c r="B412" s="109"/>
      <c r="C412" s="109"/>
      <c r="D412" s="109"/>
      <c r="E412" s="109"/>
      <c r="F412" s="110"/>
      <c r="G412" s="109"/>
      <c r="H412" s="109"/>
      <c r="I412" s="109"/>
      <c r="J412" s="111"/>
      <c r="K412" s="111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</row>
    <row r="413" spans="1:25" ht="14.5">
      <c r="A413" s="109"/>
      <c r="B413" s="109"/>
      <c r="C413" s="109"/>
      <c r="D413" s="109"/>
      <c r="E413" s="109"/>
      <c r="F413" s="110"/>
      <c r="G413" s="109"/>
      <c r="H413" s="109"/>
      <c r="I413" s="109"/>
      <c r="J413" s="111"/>
      <c r="K413" s="111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</row>
    <row r="414" spans="1:25" ht="14.5">
      <c r="A414" s="109"/>
      <c r="B414" s="109"/>
      <c r="C414" s="109"/>
      <c r="D414" s="109"/>
      <c r="E414" s="109"/>
      <c r="F414" s="110"/>
      <c r="G414" s="109"/>
      <c r="H414" s="109"/>
      <c r="I414" s="109"/>
      <c r="J414" s="111"/>
      <c r="K414" s="111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</row>
    <row r="415" spans="1:25" ht="14.5">
      <c r="A415" s="109"/>
      <c r="B415" s="109"/>
      <c r="C415" s="109"/>
      <c r="D415" s="109"/>
      <c r="E415" s="109"/>
      <c r="F415" s="110"/>
      <c r="G415" s="109"/>
      <c r="H415" s="109"/>
      <c r="I415" s="109"/>
      <c r="J415" s="111"/>
      <c r="K415" s="111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</row>
    <row r="416" spans="1:25" ht="14.5">
      <c r="A416" s="109"/>
      <c r="B416" s="109"/>
      <c r="C416" s="109"/>
      <c r="D416" s="109"/>
      <c r="E416" s="109"/>
      <c r="F416" s="110"/>
      <c r="G416" s="109"/>
      <c r="H416" s="109"/>
      <c r="I416" s="109"/>
      <c r="J416" s="111"/>
      <c r="K416" s="111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</row>
    <row r="417" spans="1:25" ht="14.5">
      <c r="A417" s="109"/>
      <c r="B417" s="109"/>
      <c r="C417" s="109"/>
      <c r="D417" s="109"/>
      <c r="E417" s="109"/>
      <c r="F417" s="110"/>
      <c r="G417" s="109"/>
      <c r="H417" s="109"/>
      <c r="I417" s="109"/>
      <c r="J417" s="111"/>
      <c r="K417" s="111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</row>
    <row r="418" spans="1:25" ht="14.5">
      <c r="A418" s="109"/>
      <c r="B418" s="109"/>
      <c r="C418" s="109"/>
      <c r="D418" s="109"/>
      <c r="E418" s="109"/>
      <c r="F418" s="110"/>
      <c r="G418" s="109"/>
      <c r="H418" s="109"/>
      <c r="I418" s="109"/>
      <c r="J418" s="111"/>
      <c r="K418" s="111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</row>
    <row r="419" spans="1:25" ht="14.5">
      <c r="A419" s="109"/>
      <c r="B419" s="109"/>
      <c r="C419" s="109"/>
      <c r="D419" s="109"/>
      <c r="E419" s="109"/>
      <c r="F419" s="110"/>
      <c r="G419" s="109"/>
      <c r="H419" s="109"/>
      <c r="I419" s="109"/>
      <c r="J419" s="111"/>
      <c r="K419" s="111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</row>
    <row r="420" spans="1:25" ht="14.5">
      <c r="A420" s="109"/>
      <c r="B420" s="109"/>
      <c r="C420" s="109"/>
      <c r="D420" s="109"/>
      <c r="E420" s="109"/>
      <c r="F420" s="110"/>
      <c r="G420" s="109"/>
      <c r="H420" s="109"/>
      <c r="I420" s="109"/>
      <c r="J420" s="111"/>
      <c r="K420" s="111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</row>
    <row r="421" spans="1:25" ht="14.5">
      <c r="A421" s="109"/>
      <c r="B421" s="109"/>
      <c r="C421" s="109"/>
      <c r="D421" s="109"/>
      <c r="E421" s="109"/>
      <c r="F421" s="110"/>
      <c r="G421" s="109"/>
      <c r="H421" s="109"/>
      <c r="I421" s="109"/>
      <c r="J421" s="111"/>
      <c r="K421" s="111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</row>
    <row r="422" spans="1:25" ht="14.5">
      <c r="A422" s="109"/>
      <c r="B422" s="109"/>
      <c r="C422" s="109"/>
      <c r="D422" s="109"/>
      <c r="E422" s="109"/>
      <c r="F422" s="110"/>
      <c r="G422" s="109"/>
      <c r="H422" s="109"/>
      <c r="I422" s="109"/>
      <c r="J422" s="111"/>
      <c r="K422" s="111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</row>
    <row r="423" spans="1:25" ht="14.5">
      <c r="A423" s="109"/>
      <c r="B423" s="109"/>
      <c r="C423" s="109"/>
      <c r="D423" s="109"/>
      <c r="E423" s="109"/>
      <c r="F423" s="110"/>
      <c r="G423" s="109"/>
      <c r="H423" s="109"/>
      <c r="I423" s="109"/>
      <c r="J423" s="111"/>
      <c r="K423" s="111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</row>
    <row r="424" spans="1:25" ht="14.5">
      <c r="A424" s="109"/>
      <c r="B424" s="109"/>
      <c r="C424" s="109"/>
      <c r="D424" s="109"/>
      <c r="E424" s="109"/>
      <c r="F424" s="110"/>
      <c r="G424" s="109"/>
      <c r="H424" s="109"/>
      <c r="I424" s="109"/>
      <c r="J424" s="111"/>
      <c r="K424" s="111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</row>
    <row r="425" spans="1:25" ht="14.5">
      <c r="A425" s="109"/>
      <c r="B425" s="109"/>
      <c r="C425" s="109"/>
      <c r="D425" s="109"/>
      <c r="E425" s="109"/>
      <c r="F425" s="110"/>
      <c r="G425" s="109"/>
      <c r="H425" s="109"/>
      <c r="I425" s="109"/>
      <c r="J425" s="111"/>
      <c r="K425" s="111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</row>
    <row r="426" spans="1:25" ht="14.5">
      <c r="A426" s="109"/>
      <c r="B426" s="109"/>
      <c r="C426" s="109"/>
      <c r="D426" s="109"/>
      <c r="E426" s="109"/>
      <c r="F426" s="110"/>
      <c r="G426" s="109"/>
      <c r="H426" s="109"/>
      <c r="I426" s="109"/>
      <c r="J426" s="111"/>
      <c r="K426" s="111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</row>
    <row r="427" spans="1:25" ht="14.5">
      <c r="A427" s="109"/>
      <c r="B427" s="109"/>
      <c r="C427" s="109"/>
      <c r="D427" s="109"/>
      <c r="E427" s="109"/>
      <c r="F427" s="110"/>
      <c r="G427" s="109"/>
      <c r="H427" s="109"/>
      <c r="I427" s="109"/>
      <c r="J427" s="111"/>
      <c r="K427" s="111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</row>
    <row r="428" spans="1:25" ht="14.5">
      <c r="A428" s="109"/>
      <c r="B428" s="109"/>
      <c r="C428" s="109"/>
      <c r="D428" s="109"/>
      <c r="E428" s="109"/>
      <c r="F428" s="110"/>
      <c r="G428" s="109"/>
      <c r="H428" s="109"/>
      <c r="I428" s="109"/>
      <c r="J428" s="111"/>
      <c r="K428" s="111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</row>
    <row r="429" spans="1:25" ht="14.5">
      <c r="A429" s="109"/>
      <c r="B429" s="109"/>
      <c r="C429" s="109"/>
      <c r="D429" s="109"/>
      <c r="E429" s="109"/>
      <c r="F429" s="110"/>
      <c r="G429" s="109"/>
      <c r="H429" s="109"/>
      <c r="I429" s="109"/>
      <c r="J429" s="111"/>
      <c r="K429" s="111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</row>
    <row r="430" spans="1:25" ht="14.5">
      <c r="A430" s="109"/>
      <c r="B430" s="109"/>
      <c r="C430" s="109"/>
      <c r="D430" s="109"/>
      <c r="E430" s="109"/>
      <c r="F430" s="110"/>
      <c r="G430" s="109"/>
      <c r="H430" s="109"/>
      <c r="I430" s="109"/>
      <c r="J430" s="111"/>
      <c r="K430" s="111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</row>
    <row r="431" spans="1:25" ht="14.5">
      <c r="A431" s="109"/>
      <c r="B431" s="109"/>
      <c r="C431" s="109"/>
      <c r="D431" s="109"/>
      <c r="E431" s="109"/>
      <c r="F431" s="110"/>
      <c r="G431" s="109"/>
      <c r="H431" s="109"/>
      <c r="I431" s="109"/>
      <c r="J431" s="111"/>
      <c r="K431" s="111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</row>
    <row r="432" spans="1:25" ht="14.5">
      <c r="A432" s="109"/>
      <c r="B432" s="109"/>
      <c r="C432" s="109"/>
      <c r="D432" s="109"/>
      <c r="E432" s="109"/>
      <c r="F432" s="110"/>
      <c r="G432" s="109"/>
      <c r="H432" s="109"/>
      <c r="I432" s="109"/>
      <c r="J432" s="111"/>
      <c r="K432" s="111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</row>
    <row r="433" spans="1:25" ht="14.5">
      <c r="A433" s="109"/>
      <c r="B433" s="109"/>
      <c r="C433" s="109"/>
      <c r="D433" s="109"/>
      <c r="E433" s="109"/>
      <c r="F433" s="110"/>
      <c r="G433" s="109"/>
      <c r="H433" s="109"/>
      <c r="I433" s="109"/>
      <c r="J433" s="111"/>
      <c r="K433" s="111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</row>
    <row r="434" spans="1:25" ht="14.5">
      <c r="A434" s="109"/>
      <c r="B434" s="109"/>
      <c r="C434" s="109"/>
      <c r="D434" s="109"/>
      <c r="E434" s="109"/>
      <c r="F434" s="110"/>
      <c r="G434" s="109"/>
      <c r="H434" s="109"/>
      <c r="I434" s="109"/>
      <c r="J434" s="111"/>
      <c r="K434" s="111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</row>
    <row r="435" spans="1:25" ht="14.5">
      <c r="A435" s="109"/>
      <c r="B435" s="109"/>
      <c r="C435" s="109"/>
      <c r="D435" s="109"/>
      <c r="E435" s="109"/>
      <c r="F435" s="110"/>
      <c r="G435" s="109"/>
      <c r="H435" s="109"/>
      <c r="I435" s="109"/>
      <c r="J435" s="111"/>
      <c r="K435" s="111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</row>
    <row r="436" spans="1:25" ht="14.5">
      <c r="A436" s="109"/>
      <c r="B436" s="109"/>
      <c r="C436" s="109"/>
      <c r="D436" s="109"/>
      <c r="E436" s="109"/>
      <c r="F436" s="110"/>
      <c r="G436" s="109"/>
      <c r="H436" s="109"/>
      <c r="I436" s="109"/>
      <c r="J436" s="111"/>
      <c r="K436" s="111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</row>
    <row r="437" spans="1:25" ht="14.5">
      <c r="A437" s="109"/>
      <c r="B437" s="109"/>
      <c r="C437" s="109"/>
      <c r="D437" s="109"/>
      <c r="E437" s="109"/>
      <c r="F437" s="110"/>
      <c r="G437" s="109"/>
      <c r="H437" s="109"/>
      <c r="I437" s="109"/>
      <c r="J437" s="111"/>
      <c r="K437" s="111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</row>
    <row r="438" spans="1:25" ht="14.5">
      <c r="A438" s="109"/>
      <c r="B438" s="109"/>
      <c r="C438" s="109"/>
      <c r="D438" s="109"/>
      <c r="E438" s="109"/>
      <c r="F438" s="110"/>
      <c r="G438" s="109"/>
      <c r="H438" s="109"/>
      <c r="I438" s="109"/>
      <c r="J438" s="111"/>
      <c r="K438" s="111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</row>
    <row r="439" spans="1:25" ht="14.5">
      <c r="A439" s="109"/>
      <c r="B439" s="109"/>
      <c r="C439" s="109"/>
      <c r="D439" s="109"/>
      <c r="E439" s="109"/>
      <c r="F439" s="110"/>
      <c r="G439" s="109"/>
      <c r="H439" s="109"/>
      <c r="I439" s="109"/>
      <c r="J439" s="111"/>
      <c r="K439" s="111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</row>
    <row r="440" spans="1:25" ht="14.5">
      <c r="A440" s="109"/>
      <c r="B440" s="109"/>
      <c r="C440" s="109"/>
      <c r="D440" s="109"/>
      <c r="E440" s="109"/>
      <c r="F440" s="110"/>
      <c r="G440" s="109"/>
      <c r="H440" s="109"/>
      <c r="I440" s="109"/>
      <c r="J440" s="111"/>
      <c r="K440" s="111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</row>
    <row r="441" spans="1:25" ht="14.5">
      <c r="A441" s="109"/>
      <c r="B441" s="109"/>
      <c r="C441" s="109"/>
      <c r="D441" s="109"/>
      <c r="E441" s="109"/>
      <c r="F441" s="110"/>
      <c r="G441" s="109"/>
      <c r="H441" s="109"/>
      <c r="I441" s="109"/>
      <c r="J441" s="111"/>
      <c r="K441" s="111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</row>
    <row r="442" spans="1:25" ht="14.5">
      <c r="A442" s="109"/>
      <c r="B442" s="109"/>
      <c r="C442" s="109"/>
      <c r="D442" s="109"/>
      <c r="E442" s="109"/>
      <c r="F442" s="110"/>
      <c r="G442" s="109"/>
      <c r="H442" s="109"/>
      <c r="I442" s="109"/>
      <c r="J442" s="111"/>
      <c r="K442" s="111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</row>
    <row r="443" spans="1:25" ht="14.5">
      <c r="A443" s="109"/>
      <c r="B443" s="109"/>
      <c r="C443" s="109"/>
      <c r="D443" s="109"/>
      <c r="E443" s="109"/>
      <c r="F443" s="110"/>
      <c r="G443" s="109"/>
      <c r="H443" s="109"/>
      <c r="I443" s="109"/>
      <c r="J443" s="111"/>
      <c r="K443" s="111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</row>
    <row r="444" spans="1:25" ht="14.5">
      <c r="A444" s="109"/>
      <c r="B444" s="109"/>
      <c r="C444" s="109"/>
      <c r="D444" s="109"/>
      <c r="E444" s="109"/>
      <c r="F444" s="110"/>
      <c r="G444" s="109"/>
      <c r="H444" s="109"/>
      <c r="I444" s="109"/>
      <c r="J444" s="111"/>
      <c r="K444" s="111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</row>
    <row r="445" spans="1:25" ht="14.5">
      <c r="A445" s="109"/>
      <c r="B445" s="109"/>
      <c r="C445" s="109"/>
      <c r="D445" s="109"/>
      <c r="E445" s="109"/>
      <c r="F445" s="110"/>
      <c r="G445" s="109"/>
      <c r="H445" s="109"/>
      <c r="I445" s="109"/>
      <c r="J445" s="111"/>
      <c r="K445" s="111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</row>
    <row r="446" spans="1:25" ht="14.5">
      <c r="A446" s="109"/>
      <c r="B446" s="109"/>
      <c r="C446" s="109"/>
      <c r="D446" s="109"/>
      <c r="E446" s="109"/>
      <c r="F446" s="110"/>
      <c r="G446" s="109"/>
      <c r="H446" s="109"/>
      <c r="I446" s="109"/>
      <c r="J446" s="111"/>
      <c r="K446" s="111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</row>
    <row r="447" spans="1:25" ht="14.5">
      <c r="A447" s="109"/>
      <c r="B447" s="109"/>
      <c r="C447" s="109"/>
      <c r="D447" s="109"/>
      <c r="E447" s="109"/>
      <c r="F447" s="110"/>
      <c r="G447" s="109"/>
      <c r="H447" s="109"/>
      <c r="I447" s="109"/>
      <c r="J447" s="111"/>
      <c r="K447" s="111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</row>
    <row r="448" spans="1:25" ht="14.5">
      <c r="A448" s="109"/>
      <c r="B448" s="109"/>
      <c r="C448" s="109"/>
      <c r="D448" s="109"/>
      <c r="E448" s="109"/>
      <c r="F448" s="110"/>
      <c r="G448" s="109"/>
      <c r="H448" s="109"/>
      <c r="I448" s="109"/>
      <c r="J448" s="111"/>
      <c r="K448" s="111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</row>
    <row r="449" spans="1:25" ht="14.5">
      <c r="A449" s="109"/>
      <c r="B449" s="109"/>
      <c r="C449" s="109"/>
      <c r="D449" s="109"/>
      <c r="E449" s="109"/>
      <c r="F449" s="110"/>
      <c r="G449" s="109"/>
      <c r="H449" s="109"/>
      <c r="I449" s="109"/>
      <c r="J449" s="111"/>
      <c r="K449" s="111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</row>
    <row r="450" spans="1:25" ht="14.5">
      <c r="A450" s="109"/>
      <c r="B450" s="109"/>
      <c r="C450" s="109"/>
      <c r="D450" s="109"/>
      <c r="E450" s="109"/>
      <c r="F450" s="110"/>
      <c r="G450" s="109"/>
      <c r="H450" s="109"/>
      <c r="I450" s="109"/>
      <c r="J450" s="111"/>
      <c r="K450" s="111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</row>
    <row r="451" spans="1:25" ht="14.5">
      <c r="A451" s="109"/>
      <c r="B451" s="109"/>
      <c r="C451" s="109"/>
      <c r="D451" s="109"/>
      <c r="E451" s="109"/>
      <c r="F451" s="110"/>
      <c r="G451" s="109"/>
      <c r="H451" s="109"/>
      <c r="I451" s="109"/>
      <c r="J451" s="111"/>
      <c r="K451" s="111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</row>
    <row r="452" spans="1:25" ht="14.5">
      <c r="A452" s="109"/>
      <c r="B452" s="109"/>
      <c r="C452" s="109"/>
      <c r="D452" s="109"/>
      <c r="E452" s="109"/>
      <c r="F452" s="110"/>
      <c r="G452" s="109"/>
      <c r="H452" s="109"/>
      <c r="I452" s="109"/>
      <c r="J452" s="111"/>
      <c r="K452" s="111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</row>
    <row r="453" spans="1:25" ht="14.5">
      <c r="A453" s="109"/>
      <c r="B453" s="109"/>
      <c r="C453" s="109"/>
      <c r="D453" s="109"/>
      <c r="E453" s="109"/>
      <c r="F453" s="110"/>
      <c r="G453" s="109"/>
      <c r="H453" s="109"/>
      <c r="I453" s="109"/>
      <c r="J453" s="111"/>
      <c r="K453" s="111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</row>
    <row r="454" spans="1:25" ht="14.5">
      <c r="A454" s="109"/>
      <c r="B454" s="109"/>
      <c r="C454" s="109"/>
      <c r="D454" s="109"/>
      <c r="E454" s="109"/>
      <c r="F454" s="110"/>
      <c r="G454" s="109"/>
      <c r="H454" s="109"/>
      <c r="I454" s="109"/>
      <c r="J454" s="111"/>
      <c r="K454" s="111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</row>
    <row r="455" spans="1:25" ht="14.5">
      <c r="A455" s="109"/>
      <c r="B455" s="109"/>
      <c r="C455" s="109"/>
      <c r="D455" s="109"/>
      <c r="E455" s="109"/>
      <c r="F455" s="110"/>
      <c r="G455" s="109"/>
      <c r="H455" s="109"/>
      <c r="I455" s="109"/>
      <c r="J455" s="111"/>
      <c r="K455" s="111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</row>
    <row r="456" spans="1:25" ht="14.5">
      <c r="A456" s="109"/>
      <c r="B456" s="109"/>
      <c r="C456" s="109"/>
      <c r="D456" s="109"/>
      <c r="E456" s="109"/>
      <c r="F456" s="110"/>
      <c r="G456" s="109"/>
      <c r="H456" s="109"/>
      <c r="I456" s="109"/>
      <c r="J456" s="111"/>
      <c r="K456" s="111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</row>
    <row r="457" spans="1:25" ht="14.5">
      <c r="A457" s="109"/>
      <c r="B457" s="109"/>
      <c r="C457" s="109"/>
      <c r="D457" s="109"/>
      <c r="E457" s="109"/>
      <c r="F457" s="110"/>
      <c r="G457" s="109"/>
      <c r="H457" s="109"/>
      <c r="I457" s="109"/>
      <c r="J457" s="111"/>
      <c r="K457" s="111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</row>
    <row r="458" spans="1:25" ht="14.5">
      <c r="A458" s="109"/>
      <c r="B458" s="109"/>
      <c r="C458" s="109"/>
      <c r="D458" s="109"/>
      <c r="E458" s="109"/>
      <c r="F458" s="110"/>
      <c r="G458" s="109"/>
      <c r="H458" s="109"/>
      <c r="I458" s="109"/>
      <c r="J458" s="111"/>
      <c r="K458" s="111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</row>
    <row r="459" spans="1:25" ht="14.5">
      <c r="A459" s="109"/>
      <c r="B459" s="109"/>
      <c r="C459" s="109"/>
      <c r="D459" s="109"/>
      <c r="E459" s="109"/>
      <c r="F459" s="110"/>
      <c r="G459" s="109"/>
      <c r="H459" s="109"/>
      <c r="I459" s="109"/>
      <c r="J459" s="111"/>
      <c r="K459" s="111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</row>
    <row r="460" spans="1:25" ht="14.5">
      <c r="A460" s="109"/>
      <c r="B460" s="109"/>
      <c r="C460" s="109"/>
      <c r="D460" s="109"/>
      <c r="E460" s="109"/>
      <c r="F460" s="110"/>
      <c r="G460" s="109"/>
      <c r="H460" s="109"/>
      <c r="I460" s="109"/>
      <c r="J460" s="111"/>
      <c r="K460" s="111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</row>
    <row r="461" spans="1:25" ht="14.5">
      <c r="A461" s="109"/>
      <c r="B461" s="109"/>
      <c r="C461" s="109"/>
      <c r="D461" s="109"/>
      <c r="E461" s="109"/>
      <c r="F461" s="110"/>
      <c r="G461" s="109"/>
      <c r="H461" s="109"/>
      <c r="I461" s="109"/>
      <c r="J461" s="111"/>
      <c r="K461" s="111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</row>
    <row r="462" spans="1:25" ht="14.5">
      <c r="A462" s="109"/>
      <c r="B462" s="109"/>
      <c r="C462" s="109"/>
      <c r="D462" s="109"/>
      <c r="E462" s="109"/>
      <c r="F462" s="110"/>
      <c r="G462" s="109"/>
      <c r="H462" s="109"/>
      <c r="I462" s="109"/>
      <c r="J462" s="111"/>
      <c r="K462" s="111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</row>
    <row r="463" spans="1:25" ht="14.5">
      <c r="A463" s="109"/>
      <c r="B463" s="109"/>
      <c r="C463" s="109"/>
      <c r="D463" s="109"/>
      <c r="E463" s="109"/>
      <c r="F463" s="110"/>
      <c r="G463" s="109"/>
      <c r="H463" s="109"/>
      <c r="I463" s="109"/>
      <c r="J463" s="111"/>
      <c r="K463" s="111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</row>
    <row r="464" spans="1:25" ht="14.5">
      <c r="A464" s="109"/>
      <c r="B464" s="109"/>
      <c r="C464" s="109"/>
      <c r="D464" s="109"/>
      <c r="E464" s="109"/>
      <c r="F464" s="110"/>
      <c r="G464" s="109"/>
      <c r="H464" s="109"/>
      <c r="I464" s="109"/>
      <c r="J464" s="111"/>
      <c r="K464" s="111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</row>
    <row r="465" spans="1:25" ht="14.5">
      <c r="A465" s="109"/>
      <c r="B465" s="109"/>
      <c r="C465" s="109"/>
      <c r="D465" s="109"/>
      <c r="E465" s="109"/>
      <c r="F465" s="110"/>
      <c r="G465" s="109"/>
      <c r="H465" s="109"/>
      <c r="I465" s="109"/>
      <c r="J465" s="111"/>
      <c r="K465" s="111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</row>
    <row r="466" spans="1:25" ht="14.5">
      <c r="A466" s="109"/>
      <c r="B466" s="109"/>
      <c r="C466" s="109"/>
      <c r="D466" s="109"/>
      <c r="E466" s="109"/>
      <c r="F466" s="110"/>
      <c r="G466" s="109"/>
      <c r="H466" s="109"/>
      <c r="I466" s="109"/>
      <c r="J466" s="111"/>
      <c r="K466" s="111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</row>
    <row r="467" spans="1:25" ht="14.5">
      <c r="A467" s="109"/>
      <c r="B467" s="109"/>
      <c r="C467" s="109"/>
      <c r="D467" s="109"/>
      <c r="E467" s="109"/>
      <c r="F467" s="110"/>
      <c r="G467" s="109"/>
      <c r="H467" s="109"/>
      <c r="I467" s="109"/>
      <c r="J467" s="111"/>
      <c r="K467" s="111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</row>
    <row r="468" spans="1:25" ht="14.5">
      <c r="A468" s="109"/>
      <c r="B468" s="109"/>
      <c r="C468" s="109"/>
      <c r="D468" s="109"/>
      <c r="E468" s="109"/>
      <c r="F468" s="110"/>
      <c r="G468" s="109"/>
      <c r="H468" s="109"/>
      <c r="I468" s="109"/>
      <c r="J468" s="111"/>
      <c r="K468" s="111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</row>
    <row r="469" spans="1:25" ht="14.5">
      <c r="A469" s="109"/>
      <c r="B469" s="109"/>
      <c r="C469" s="109"/>
      <c r="D469" s="109"/>
      <c r="E469" s="109"/>
      <c r="F469" s="110"/>
      <c r="G469" s="109"/>
      <c r="H469" s="109"/>
      <c r="I469" s="109"/>
      <c r="J469" s="111"/>
      <c r="K469" s="111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</row>
    <row r="470" spans="1:25" ht="14.5">
      <c r="A470" s="109"/>
      <c r="B470" s="109"/>
      <c r="C470" s="109"/>
      <c r="D470" s="109"/>
      <c r="E470" s="109"/>
      <c r="F470" s="110"/>
      <c r="G470" s="109"/>
      <c r="H470" s="109"/>
      <c r="I470" s="109"/>
      <c r="J470" s="111"/>
      <c r="K470" s="111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</row>
    <row r="471" spans="1:25" ht="14.5">
      <c r="A471" s="109"/>
      <c r="B471" s="109"/>
      <c r="C471" s="109"/>
      <c r="D471" s="109"/>
      <c r="E471" s="109"/>
      <c r="F471" s="110"/>
      <c r="G471" s="109"/>
      <c r="H471" s="109"/>
      <c r="I471" s="109"/>
      <c r="J471" s="111"/>
      <c r="K471" s="111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</row>
    <row r="472" spans="1:25" ht="14.5">
      <c r="A472" s="109"/>
      <c r="B472" s="109"/>
      <c r="C472" s="109"/>
      <c r="D472" s="109"/>
      <c r="E472" s="109"/>
      <c r="F472" s="110"/>
      <c r="G472" s="109"/>
      <c r="H472" s="109"/>
      <c r="I472" s="109"/>
      <c r="J472" s="111"/>
      <c r="K472" s="111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</row>
    <row r="473" spans="1:25" ht="14.5">
      <c r="A473" s="109"/>
      <c r="B473" s="109"/>
      <c r="C473" s="109"/>
      <c r="D473" s="109"/>
      <c r="E473" s="109"/>
      <c r="F473" s="110"/>
      <c r="G473" s="109"/>
      <c r="H473" s="109"/>
      <c r="I473" s="109"/>
      <c r="J473" s="111"/>
      <c r="K473" s="111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</row>
    <row r="474" spans="1:25" ht="14.5">
      <c r="A474" s="109"/>
      <c r="B474" s="109"/>
      <c r="C474" s="109"/>
      <c r="D474" s="109"/>
      <c r="E474" s="109"/>
      <c r="F474" s="110"/>
      <c r="G474" s="109"/>
      <c r="H474" s="109"/>
      <c r="I474" s="109"/>
      <c r="J474" s="111"/>
      <c r="K474" s="111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</row>
    <row r="475" spans="1:25" ht="14.5">
      <c r="A475" s="109"/>
      <c r="B475" s="109"/>
      <c r="C475" s="109"/>
      <c r="D475" s="109"/>
      <c r="E475" s="109"/>
      <c r="F475" s="110"/>
      <c r="G475" s="109"/>
      <c r="H475" s="109"/>
      <c r="I475" s="109"/>
      <c r="J475" s="111"/>
      <c r="K475" s="111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</row>
    <row r="476" spans="1:25" ht="14.5">
      <c r="A476" s="109"/>
      <c r="B476" s="109"/>
      <c r="C476" s="109"/>
      <c r="D476" s="109"/>
      <c r="E476" s="109"/>
      <c r="F476" s="110"/>
      <c r="G476" s="109"/>
      <c r="H476" s="109"/>
      <c r="I476" s="109"/>
      <c r="J476" s="111"/>
      <c r="K476" s="111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</row>
    <row r="477" spans="1:25" ht="14.5">
      <c r="A477" s="109"/>
      <c r="B477" s="109"/>
      <c r="C477" s="109"/>
      <c r="D477" s="109"/>
      <c r="E477" s="109"/>
      <c r="F477" s="110"/>
      <c r="G477" s="109"/>
      <c r="H477" s="109"/>
      <c r="I477" s="109"/>
      <c r="J477" s="111"/>
      <c r="K477" s="111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</row>
    <row r="478" spans="1:25" ht="14.5">
      <c r="A478" s="109"/>
      <c r="B478" s="109"/>
      <c r="C478" s="109"/>
      <c r="D478" s="109"/>
      <c r="E478" s="109"/>
      <c r="F478" s="110"/>
      <c r="G478" s="109"/>
      <c r="H478" s="109"/>
      <c r="I478" s="109"/>
      <c r="J478" s="111"/>
      <c r="K478" s="111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</row>
    <row r="479" spans="1:25" ht="14.5">
      <c r="A479" s="109"/>
      <c r="B479" s="109"/>
      <c r="C479" s="109"/>
      <c r="D479" s="109"/>
      <c r="E479" s="109"/>
      <c r="F479" s="110"/>
      <c r="G479" s="109"/>
      <c r="H479" s="109"/>
      <c r="I479" s="109"/>
      <c r="J479" s="111"/>
      <c r="K479" s="111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</row>
    <row r="480" spans="1:25" ht="14.5">
      <c r="A480" s="109"/>
      <c r="B480" s="109"/>
      <c r="C480" s="109"/>
      <c r="D480" s="109"/>
      <c r="E480" s="109"/>
      <c r="F480" s="110"/>
      <c r="G480" s="109"/>
      <c r="H480" s="109"/>
      <c r="I480" s="109"/>
      <c r="J480" s="111"/>
      <c r="K480" s="111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</row>
    <row r="481" spans="1:25" ht="14.5">
      <c r="A481" s="109"/>
      <c r="B481" s="109"/>
      <c r="C481" s="109"/>
      <c r="D481" s="109"/>
      <c r="E481" s="109"/>
      <c r="F481" s="110"/>
      <c r="G481" s="109"/>
      <c r="H481" s="109"/>
      <c r="I481" s="109"/>
      <c r="J481" s="111"/>
      <c r="K481" s="111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</row>
    <row r="482" spans="1:25" ht="14.5">
      <c r="A482" s="109"/>
      <c r="B482" s="109"/>
      <c r="C482" s="109"/>
      <c r="D482" s="109"/>
      <c r="E482" s="109"/>
      <c r="F482" s="110"/>
      <c r="G482" s="109"/>
      <c r="H482" s="109"/>
      <c r="I482" s="109"/>
      <c r="J482" s="111"/>
      <c r="K482" s="111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</row>
    <row r="483" spans="1:25" ht="14.5">
      <c r="A483" s="109"/>
      <c r="B483" s="109"/>
      <c r="C483" s="109"/>
      <c r="D483" s="109"/>
      <c r="E483" s="109"/>
      <c r="F483" s="110"/>
      <c r="G483" s="109"/>
      <c r="H483" s="109"/>
      <c r="I483" s="109"/>
      <c r="J483" s="111"/>
      <c r="K483" s="111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</row>
    <row r="484" spans="1:25" ht="14.5">
      <c r="A484" s="109"/>
      <c r="B484" s="109"/>
      <c r="C484" s="109"/>
      <c r="D484" s="109"/>
      <c r="E484" s="109"/>
      <c r="F484" s="110"/>
      <c r="G484" s="109"/>
      <c r="H484" s="109"/>
      <c r="I484" s="109"/>
      <c r="J484" s="111"/>
      <c r="K484" s="111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</row>
    <row r="485" spans="1:25" ht="14.5">
      <c r="A485" s="109"/>
      <c r="B485" s="109"/>
      <c r="C485" s="109"/>
      <c r="D485" s="109"/>
      <c r="E485" s="109"/>
      <c r="F485" s="110"/>
      <c r="G485" s="109"/>
      <c r="H485" s="109"/>
      <c r="I485" s="109"/>
      <c r="J485" s="111"/>
      <c r="K485" s="111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</row>
    <row r="486" spans="1:25" ht="14.5">
      <c r="A486" s="109"/>
      <c r="B486" s="109"/>
      <c r="C486" s="109"/>
      <c r="D486" s="109"/>
      <c r="E486" s="109"/>
      <c r="F486" s="110"/>
      <c r="G486" s="109"/>
      <c r="H486" s="109"/>
      <c r="I486" s="109"/>
      <c r="J486" s="111"/>
      <c r="K486" s="111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</row>
    <row r="487" spans="1:25" ht="14.5">
      <c r="A487" s="109"/>
      <c r="B487" s="109"/>
      <c r="C487" s="109"/>
      <c r="D487" s="109"/>
      <c r="E487" s="109"/>
      <c r="F487" s="110"/>
      <c r="G487" s="109"/>
      <c r="H487" s="109"/>
      <c r="I487" s="109"/>
      <c r="J487" s="111"/>
      <c r="K487" s="111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</row>
    <row r="488" spans="1:25" ht="14.5">
      <c r="A488" s="109"/>
      <c r="B488" s="109"/>
      <c r="C488" s="109"/>
      <c r="D488" s="109"/>
      <c r="E488" s="109"/>
      <c r="F488" s="110"/>
      <c r="G488" s="109"/>
      <c r="H488" s="109"/>
      <c r="I488" s="109"/>
      <c r="J488" s="111"/>
      <c r="K488" s="111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</row>
    <row r="489" spans="1:25" ht="14.5">
      <c r="A489" s="109"/>
      <c r="B489" s="109"/>
      <c r="C489" s="109"/>
      <c r="D489" s="109"/>
      <c r="E489" s="109"/>
      <c r="F489" s="110"/>
      <c r="G489" s="109"/>
      <c r="H489" s="109"/>
      <c r="I489" s="109"/>
      <c r="J489" s="111"/>
      <c r="K489" s="111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</row>
    <row r="490" spans="1:25" ht="14.5">
      <c r="A490" s="109"/>
      <c r="B490" s="109"/>
      <c r="C490" s="109"/>
      <c r="D490" s="109"/>
      <c r="E490" s="109"/>
      <c r="F490" s="110"/>
      <c r="G490" s="109"/>
      <c r="H490" s="109"/>
      <c r="I490" s="109"/>
      <c r="J490" s="111"/>
      <c r="K490" s="111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</row>
    <row r="491" spans="1:25" ht="14.5">
      <c r="A491" s="109"/>
      <c r="B491" s="109"/>
      <c r="C491" s="109"/>
      <c r="D491" s="109"/>
      <c r="E491" s="109"/>
      <c r="F491" s="110"/>
      <c r="G491" s="109"/>
      <c r="H491" s="109"/>
      <c r="I491" s="109"/>
      <c r="J491" s="111"/>
      <c r="K491" s="111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</row>
    <row r="492" spans="1:25" ht="14.5">
      <c r="A492" s="109"/>
      <c r="B492" s="109"/>
      <c r="C492" s="109"/>
      <c r="D492" s="109"/>
      <c r="E492" s="109"/>
      <c r="F492" s="110"/>
      <c r="G492" s="109"/>
      <c r="H492" s="109"/>
      <c r="I492" s="109"/>
      <c r="J492" s="111"/>
      <c r="K492" s="111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</row>
    <row r="493" spans="1:25" ht="14.5">
      <c r="A493" s="109"/>
      <c r="B493" s="109"/>
      <c r="C493" s="109"/>
      <c r="D493" s="109"/>
      <c r="E493" s="109"/>
      <c r="F493" s="110"/>
      <c r="G493" s="109"/>
      <c r="H493" s="109"/>
      <c r="I493" s="109"/>
      <c r="J493" s="111"/>
      <c r="K493" s="111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</row>
    <row r="494" spans="1:25" ht="14.5">
      <c r="A494" s="109"/>
      <c r="B494" s="109"/>
      <c r="C494" s="109"/>
      <c r="D494" s="109"/>
      <c r="E494" s="109"/>
      <c r="F494" s="110"/>
      <c r="G494" s="109"/>
      <c r="H494" s="109"/>
      <c r="I494" s="109"/>
      <c r="J494" s="111"/>
      <c r="K494" s="111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</row>
    <row r="495" spans="1:25" ht="14.5">
      <c r="A495" s="109"/>
      <c r="B495" s="109"/>
      <c r="C495" s="109"/>
      <c r="D495" s="109"/>
      <c r="E495" s="109"/>
      <c r="F495" s="110"/>
      <c r="G495" s="109"/>
      <c r="H495" s="109"/>
      <c r="I495" s="109"/>
      <c r="J495" s="111"/>
      <c r="K495" s="111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</row>
    <row r="496" spans="1:25" ht="14.5">
      <c r="A496" s="109"/>
      <c r="B496" s="109"/>
      <c r="C496" s="109"/>
      <c r="D496" s="109"/>
      <c r="E496" s="109"/>
      <c r="F496" s="110"/>
      <c r="G496" s="109"/>
      <c r="H496" s="109"/>
      <c r="I496" s="109"/>
      <c r="J496" s="111"/>
      <c r="K496" s="111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</row>
    <row r="497" spans="1:25" ht="14.5">
      <c r="A497" s="109"/>
      <c r="B497" s="109"/>
      <c r="C497" s="109"/>
      <c r="D497" s="109"/>
      <c r="E497" s="109"/>
      <c r="F497" s="110"/>
      <c r="G497" s="109"/>
      <c r="H497" s="109"/>
      <c r="I497" s="109"/>
      <c r="J497" s="111"/>
      <c r="K497" s="111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</row>
    <row r="498" spans="1:25" ht="14.5">
      <c r="A498" s="109"/>
      <c r="B498" s="109"/>
      <c r="C498" s="109"/>
      <c r="D498" s="109"/>
      <c r="E498" s="109"/>
      <c r="F498" s="110"/>
      <c r="G498" s="109"/>
      <c r="H498" s="109"/>
      <c r="I498" s="109"/>
      <c r="J498" s="111"/>
      <c r="K498" s="111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</row>
    <row r="499" spans="1:25" ht="14.5">
      <c r="A499" s="109"/>
      <c r="B499" s="109"/>
      <c r="C499" s="109"/>
      <c r="D499" s="109"/>
      <c r="E499" s="109"/>
      <c r="F499" s="110"/>
      <c r="G499" s="109"/>
      <c r="H499" s="109"/>
      <c r="I499" s="109"/>
      <c r="J499" s="111"/>
      <c r="K499" s="111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</row>
    <row r="500" spans="1:25" ht="14.5">
      <c r="A500" s="109"/>
      <c r="B500" s="109"/>
      <c r="C500" s="109"/>
      <c r="D500" s="109"/>
      <c r="E500" s="109"/>
      <c r="F500" s="110"/>
      <c r="G500" s="109"/>
      <c r="H500" s="109"/>
      <c r="I500" s="109"/>
      <c r="J500" s="111"/>
      <c r="K500" s="111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</row>
    <row r="501" spans="1:25" ht="14.5">
      <c r="A501" s="109"/>
      <c r="B501" s="109"/>
      <c r="C501" s="109"/>
      <c r="D501" s="109"/>
      <c r="E501" s="109"/>
      <c r="F501" s="110"/>
      <c r="G501" s="109"/>
      <c r="H501" s="109"/>
      <c r="I501" s="109"/>
      <c r="J501" s="111"/>
      <c r="K501" s="111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</row>
    <row r="502" spans="1:25" ht="14.5">
      <c r="A502" s="109"/>
      <c r="B502" s="109"/>
      <c r="C502" s="109"/>
      <c r="D502" s="109"/>
      <c r="E502" s="109"/>
      <c r="F502" s="110"/>
      <c r="G502" s="109"/>
      <c r="H502" s="109"/>
      <c r="I502" s="109"/>
      <c r="J502" s="111"/>
      <c r="K502" s="111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</row>
    <row r="503" spans="1:25" ht="14.5">
      <c r="A503" s="109"/>
      <c r="B503" s="109"/>
      <c r="C503" s="109"/>
      <c r="D503" s="109"/>
      <c r="E503" s="109"/>
      <c r="F503" s="110"/>
      <c r="G503" s="109"/>
      <c r="H503" s="109"/>
      <c r="I503" s="109"/>
      <c r="J503" s="111"/>
      <c r="K503" s="111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</row>
    <row r="504" spans="1:25" ht="14.5">
      <c r="A504" s="109"/>
      <c r="B504" s="109"/>
      <c r="C504" s="109"/>
      <c r="D504" s="109"/>
      <c r="E504" s="109"/>
      <c r="F504" s="110"/>
      <c r="G504" s="109"/>
      <c r="H504" s="109"/>
      <c r="I504" s="109"/>
      <c r="J504" s="111"/>
      <c r="K504" s="111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</row>
    <row r="505" spans="1:25" ht="14.5">
      <c r="A505" s="109"/>
      <c r="B505" s="109"/>
      <c r="C505" s="109"/>
      <c r="D505" s="109"/>
      <c r="E505" s="109"/>
      <c r="F505" s="110"/>
      <c r="G505" s="109"/>
      <c r="H505" s="109"/>
      <c r="I505" s="109"/>
      <c r="J505" s="111"/>
      <c r="K505" s="111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</row>
    <row r="506" spans="1:25" ht="14.5">
      <c r="A506" s="109"/>
      <c r="B506" s="109"/>
      <c r="C506" s="109"/>
      <c r="D506" s="109"/>
      <c r="E506" s="109"/>
      <c r="F506" s="110"/>
      <c r="G506" s="109"/>
      <c r="H506" s="109"/>
      <c r="I506" s="109"/>
      <c r="J506" s="111"/>
      <c r="K506" s="111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</row>
    <row r="507" spans="1:25" ht="14.5">
      <c r="A507" s="109"/>
      <c r="B507" s="109"/>
      <c r="C507" s="109"/>
      <c r="D507" s="109"/>
      <c r="E507" s="109"/>
      <c r="F507" s="110"/>
      <c r="G507" s="109"/>
      <c r="H507" s="109"/>
      <c r="I507" s="109"/>
      <c r="J507" s="111"/>
      <c r="K507" s="111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</row>
    <row r="508" spans="1:25" ht="14.5">
      <c r="A508" s="109"/>
      <c r="B508" s="109"/>
      <c r="C508" s="109"/>
      <c r="D508" s="109"/>
      <c r="E508" s="109"/>
      <c r="F508" s="110"/>
      <c r="G508" s="109"/>
      <c r="H508" s="109"/>
      <c r="I508" s="109"/>
      <c r="J508" s="111"/>
      <c r="K508" s="111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</row>
    <row r="509" spans="1:25" ht="14.5">
      <c r="A509" s="109"/>
      <c r="B509" s="109"/>
      <c r="C509" s="109"/>
      <c r="D509" s="109"/>
      <c r="E509" s="109"/>
      <c r="F509" s="110"/>
      <c r="G509" s="109"/>
      <c r="H509" s="109"/>
      <c r="I509" s="109"/>
      <c r="J509" s="111"/>
      <c r="K509" s="111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</row>
    <row r="510" spans="1:25" ht="14.5">
      <c r="A510" s="109"/>
      <c r="B510" s="109"/>
      <c r="C510" s="109"/>
      <c r="D510" s="109"/>
      <c r="E510" s="109"/>
      <c r="F510" s="110"/>
      <c r="G510" s="109"/>
      <c r="H510" s="109"/>
      <c r="I510" s="109"/>
      <c r="J510" s="111"/>
      <c r="K510" s="111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</row>
    <row r="511" spans="1:25" ht="14.5">
      <c r="A511" s="109"/>
      <c r="B511" s="109"/>
      <c r="C511" s="109"/>
      <c r="D511" s="109"/>
      <c r="E511" s="109"/>
      <c r="F511" s="110"/>
      <c r="G511" s="109"/>
      <c r="H511" s="109"/>
      <c r="I511" s="109"/>
      <c r="J511" s="111"/>
      <c r="K511" s="111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</row>
    <row r="512" spans="1:25" ht="14.5">
      <c r="A512" s="109"/>
      <c r="B512" s="109"/>
      <c r="C512" s="109"/>
      <c r="D512" s="109"/>
      <c r="E512" s="109"/>
      <c r="F512" s="110"/>
      <c r="G512" s="109"/>
      <c r="H512" s="109"/>
      <c r="I512" s="109"/>
      <c r="J512" s="111"/>
      <c r="K512" s="111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</row>
    <row r="513" spans="1:25" ht="14.5">
      <c r="A513" s="109"/>
      <c r="B513" s="109"/>
      <c r="C513" s="109"/>
      <c r="D513" s="109"/>
      <c r="E513" s="109"/>
      <c r="F513" s="110"/>
      <c r="G513" s="109"/>
      <c r="H513" s="109"/>
      <c r="I513" s="109"/>
      <c r="J513" s="111"/>
      <c r="K513" s="111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</row>
    <row r="514" spans="1:25" ht="14.5">
      <c r="A514" s="109"/>
      <c r="B514" s="109"/>
      <c r="C514" s="109"/>
      <c r="D514" s="109"/>
      <c r="E514" s="109"/>
      <c r="F514" s="110"/>
      <c r="G514" s="109"/>
      <c r="H514" s="109"/>
      <c r="I514" s="109"/>
      <c r="J514" s="111"/>
      <c r="K514" s="111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</row>
    <row r="515" spans="1:25" ht="14.5">
      <c r="A515" s="109"/>
      <c r="B515" s="109"/>
      <c r="C515" s="109"/>
      <c r="D515" s="109"/>
      <c r="E515" s="109"/>
      <c r="F515" s="110"/>
      <c r="G515" s="109"/>
      <c r="H515" s="109"/>
      <c r="I515" s="109"/>
      <c r="J515" s="111"/>
      <c r="K515" s="111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</row>
    <row r="516" spans="1:25" ht="14.5">
      <c r="A516" s="109"/>
      <c r="B516" s="109"/>
      <c r="C516" s="109"/>
      <c r="D516" s="109"/>
      <c r="E516" s="109"/>
      <c r="F516" s="110"/>
      <c r="G516" s="109"/>
      <c r="H516" s="109"/>
      <c r="I516" s="109"/>
      <c r="J516" s="111"/>
      <c r="K516" s="111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</row>
    <row r="517" spans="1:25" ht="14.5">
      <c r="A517" s="109"/>
      <c r="B517" s="109"/>
      <c r="C517" s="109"/>
      <c r="D517" s="109"/>
      <c r="E517" s="109"/>
      <c r="F517" s="110"/>
      <c r="G517" s="109"/>
      <c r="H517" s="109"/>
      <c r="I517" s="109"/>
      <c r="J517" s="111"/>
      <c r="K517" s="111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</row>
    <row r="518" spans="1:25" ht="14.5">
      <c r="A518" s="109"/>
      <c r="B518" s="109"/>
      <c r="C518" s="109"/>
      <c r="D518" s="109"/>
      <c r="E518" s="109"/>
      <c r="F518" s="110"/>
      <c r="G518" s="109"/>
      <c r="H518" s="109"/>
      <c r="I518" s="109"/>
      <c r="J518" s="111"/>
      <c r="K518" s="111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</row>
    <row r="519" spans="1:25" ht="14.5">
      <c r="A519" s="109"/>
      <c r="B519" s="109"/>
      <c r="C519" s="109"/>
      <c r="D519" s="109"/>
      <c r="E519" s="109"/>
      <c r="F519" s="110"/>
      <c r="G519" s="109"/>
      <c r="H519" s="109"/>
      <c r="I519" s="109"/>
      <c r="J519" s="111"/>
      <c r="K519" s="111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</row>
    <row r="520" spans="1:25" ht="14.5">
      <c r="A520" s="109"/>
      <c r="B520" s="109"/>
      <c r="C520" s="109"/>
      <c r="D520" s="109"/>
      <c r="E520" s="109"/>
      <c r="F520" s="110"/>
      <c r="G520" s="109"/>
      <c r="H520" s="109"/>
      <c r="I520" s="109"/>
      <c r="J520" s="111"/>
      <c r="K520" s="111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</row>
    <row r="521" spans="1:25" ht="14.5">
      <c r="A521" s="109"/>
      <c r="B521" s="109"/>
      <c r="C521" s="109"/>
      <c r="D521" s="109"/>
      <c r="E521" s="109"/>
      <c r="F521" s="110"/>
      <c r="G521" s="109"/>
      <c r="H521" s="109"/>
      <c r="I521" s="109"/>
      <c r="J521" s="111"/>
      <c r="K521" s="111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</row>
    <row r="522" spans="1:25" ht="14.5">
      <c r="A522" s="109"/>
      <c r="B522" s="109"/>
      <c r="C522" s="109"/>
      <c r="D522" s="109"/>
      <c r="E522" s="109"/>
      <c r="F522" s="110"/>
      <c r="G522" s="109"/>
      <c r="H522" s="109"/>
      <c r="I522" s="109"/>
      <c r="J522" s="111"/>
      <c r="K522" s="111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</row>
    <row r="523" spans="1:25" ht="14.5">
      <c r="A523" s="109"/>
      <c r="B523" s="109"/>
      <c r="C523" s="109"/>
      <c r="D523" s="109"/>
      <c r="E523" s="109"/>
      <c r="F523" s="110"/>
      <c r="G523" s="109"/>
      <c r="H523" s="109"/>
      <c r="I523" s="109"/>
      <c r="J523" s="111"/>
      <c r="K523" s="111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</row>
    <row r="524" spans="1:25" ht="14.5">
      <c r="A524" s="109"/>
      <c r="B524" s="109"/>
      <c r="C524" s="109"/>
      <c r="D524" s="109"/>
      <c r="E524" s="109"/>
      <c r="F524" s="110"/>
      <c r="G524" s="109"/>
      <c r="H524" s="109"/>
      <c r="I524" s="109"/>
      <c r="J524" s="111"/>
      <c r="K524" s="111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</row>
    <row r="525" spans="1:25" ht="14.5">
      <c r="A525" s="109"/>
      <c r="B525" s="109"/>
      <c r="C525" s="109"/>
      <c r="D525" s="109"/>
      <c r="E525" s="109"/>
      <c r="F525" s="110"/>
      <c r="G525" s="109"/>
      <c r="H525" s="109"/>
      <c r="I525" s="109"/>
      <c r="J525" s="111"/>
      <c r="K525" s="111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</row>
    <row r="526" spans="1:25" ht="14.5">
      <c r="A526" s="109"/>
      <c r="B526" s="109"/>
      <c r="C526" s="109"/>
      <c r="D526" s="109"/>
      <c r="E526" s="109"/>
      <c r="F526" s="110"/>
      <c r="G526" s="109"/>
      <c r="H526" s="109"/>
      <c r="I526" s="109"/>
      <c r="J526" s="111"/>
      <c r="K526" s="111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</row>
    <row r="527" spans="1:25" ht="14.5">
      <c r="A527" s="109"/>
      <c r="B527" s="109"/>
      <c r="C527" s="109"/>
      <c r="D527" s="109"/>
      <c r="E527" s="109"/>
      <c r="F527" s="110"/>
      <c r="G527" s="109"/>
      <c r="H527" s="109"/>
      <c r="I527" s="109"/>
      <c r="J527" s="111"/>
      <c r="K527" s="111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</row>
    <row r="528" spans="1:25" ht="14.5">
      <c r="A528" s="109"/>
      <c r="B528" s="109"/>
      <c r="C528" s="109"/>
      <c r="D528" s="109"/>
      <c r="E528" s="109"/>
      <c r="F528" s="110"/>
      <c r="G528" s="109"/>
      <c r="H528" s="109"/>
      <c r="I528" s="109"/>
      <c r="J528" s="111"/>
      <c r="K528" s="111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</row>
    <row r="529" spans="1:25" ht="14.5">
      <c r="A529" s="109"/>
      <c r="B529" s="109"/>
      <c r="C529" s="109"/>
      <c r="D529" s="109"/>
      <c r="E529" s="109"/>
      <c r="F529" s="110"/>
      <c r="G529" s="109"/>
      <c r="H529" s="109"/>
      <c r="I529" s="109"/>
      <c r="J529" s="111"/>
      <c r="K529" s="111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</row>
    <row r="530" spans="1:25" ht="14.5">
      <c r="A530" s="109"/>
      <c r="B530" s="109"/>
      <c r="C530" s="109"/>
      <c r="D530" s="109"/>
      <c r="E530" s="109"/>
      <c r="F530" s="110"/>
      <c r="G530" s="109"/>
      <c r="H530" s="109"/>
      <c r="I530" s="109"/>
      <c r="J530" s="111"/>
      <c r="K530" s="111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</row>
    <row r="531" spans="1:25" ht="14.5">
      <c r="A531" s="109"/>
      <c r="B531" s="109"/>
      <c r="C531" s="109"/>
      <c r="D531" s="109"/>
      <c r="E531" s="109"/>
      <c r="F531" s="110"/>
      <c r="G531" s="109"/>
      <c r="H531" s="109"/>
      <c r="I531" s="109"/>
      <c r="J531" s="111"/>
      <c r="K531" s="111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</row>
    <row r="532" spans="1:25" ht="14.5">
      <c r="A532" s="109"/>
      <c r="B532" s="109"/>
      <c r="C532" s="109"/>
      <c r="D532" s="109"/>
      <c r="E532" s="109"/>
      <c r="F532" s="110"/>
      <c r="G532" s="109"/>
      <c r="H532" s="109"/>
      <c r="I532" s="109"/>
      <c r="J532" s="111"/>
      <c r="K532" s="111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</row>
    <row r="533" spans="1:25" ht="14.5">
      <c r="A533" s="109"/>
      <c r="B533" s="109"/>
      <c r="C533" s="109"/>
      <c r="D533" s="109"/>
      <c r="E533" s="109"/>
      <c r="F533" s="110"/>
      <c r="G533" s="109"/>
      <c r="H533" s="109"/>
      <c r="I533" s="109"/>
      <c r="J533" s="111"/>
      <c r="K533" s="111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</row>
    <row r="534" spans="1:25" ht="14.5">
      <c r="A534" s="109"/>
      <c r="B534" s="109"/>
      <c r="C534" s="109"/>
      <c r="D534" s="109"/>
      <c r="E534" s="109"/>
      <c r="F534" s="110"/>
      <c r="G534" s="109"/>
      <c r="H534" s="109"/>
      <c r="I534" s="109"/>
      <c r="J534" s="111"/>
      <c r="K534" s="111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</row>
    <row r="535" spans="1:25" ht="14.5">
      <c r="A535" s="109"/>
      <c r="B535" s="109"/>
      <c r="C535" s="109"/>
      <c r="D535" s="109"/>
      <c r="E535" s="109"/>
      <c r="F535" s="110"/>
      <c r="G535" s="109"/>
      <c r="H535" s="109"/>
      <c r="I535" s="109"/>
      <c r="J535" s="111"/>
      <c r="K535" s="111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</row>
    <row r="536" spans="1:25" ht="14.5">
      <c r="A536" s="109"/>
      <c r="B536" s="109"/>
      <c r="C536" s="109"/>
      <c r="D536" s="109"/>
      <c r="E536" s="109"/>
      <c r="F536" s="110"/>
      <c r="G536" s="109"/>
      <c r="H536" s="109"/>
      <c r="I536" s="109"/>
      <c r="J536" s="111"/>
      <c r="K536" s="111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</row>
    <row r="537" spans="1:25" ht="14.5">
      <c r="A537" s="109"/>
      <c r="B537" s="109"/>
      <c r="C537" s="109"/>
      <c r="D537" s="109"/>
      <c r="E537" s="109"/>
      <c r="F537" s="110"/>
      <c r="G537" s="109"/>
      <c r="H537" s="109"/>
      <c r="I537" s="109"/>
      <c r="J537" s="111"/>
      <c r="K537" s="111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</row>
    <row r="538" spans="1:25" ht="14.5">
      <c r="A538" s="109"/>
      <c r="B538" s="109"/>
      <c r="C538" s="109"/>
      <c r="D538" s="109"/>
      <c r="E538" s="109"/>
      <c r="F538" s="110"/>
      <c r="G538" s="109"/>
      <c r="H538" s="109"/>
      <c r="I538" s="109"/>
      <c r="J538" s="111"/>
      <c r="K538" s="111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</row>
    <row r="539" spans="1:25" ht="14.5">
      <c r="A539" s="109"/>
      <c r="B539" s="109"/>
      <c r="C539" s="109"/>
      <c r="D539" s="109"/>
      <c r="E539" s="109"/>
      <c r="F539" s="110"/>
      <c r="G539" s="109"/>
      <c r="H539" s="109"/>
      <c r="I539" s="109"/>
      <c r="J539" s="111"/>
      <c r="K539" s="111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</row>
    <row r="540" spans="1:25" ht="14.5">
      <c r="A540" s="109"/>
      <c r="B540" s="109"/>
      <c r="C540" s="109"/>
      <c r="D540" s="109"/>
      <c r="E540" s="109"/>
      <c r="F540" s="110"/>
      <c r="G540" s="109"/>
      <c r="H540" s="109"/>
      <c r="I540" s="109"/>
      <c r="J540" s="111"/>
      <c r="K540" s="111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</row>
    <row r="541" spans="1:25" ht="14.5">
      <c r="A541" s="109"/>
      <c r="B541" s="109"/>
      <c r="C541" s="109"/>
      <c r="D541" s="109"/>
      <c r="E541" s="109"/>
      <c r="F541" s="110"/>
      <c r="G541" s="109"/>
      <c r="H541" s="109"/>
      <c r="I541" s="109"/>
      <c r="J541" s="111"/>
      <c r="K541" s="111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</row>
    <row r="542" spans="1:25" ht="14.5">
      <c r="A542" s="109"/>
      <c r="B542" s="109"/>
      <c r="C542" s="109"/>
      <c r="D542" s="109"/>
      <c r="E542" s="109"/>
      <c r="F542" s="110"/>
      <c r="G542" s="109"/>
      <c r="H542" s="109"/>
      <c r="I542" s="109"/>
      <c r="J542" s="111"/>
      <c r="K542" s="111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</row>
    <row r="543" spans="1:25" ht="14.5">
      <c r="A543" s="109"/>
      <c r="B543" s="109"/>
      <c r="C543" s="109"/>
      <c r="D543" s="109"/>
      <c r="E543" s="109"/>
      <c r="F543" s="110"/>
      <c r="G543" s="109"/>
      <c r="H543" s="109"/>
      <c r="I543" s="109"/>
      <c r="J543" s="111"/>
      <c r="K543" s="111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</row>
    <row r="544" spans="1:25" ht="14.5">
      <c r="A544" s="109"/>
      <c r="B544" s="109"/>
      <c r="C544" s="109"/>
      <c r="D544" s="109"/>
      <c r="E544" s="109"/>
      <c r="F544" s="110"/>
      <c r="G544" s="109"/>
      <c r="H544" s="109"/>
      <c r="I544" s="109"/>
      <c r="J544" s="111"/>
      <c r="K544" s="111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</row>
    <row r="545" spans="1:25" ht="14.5">
      <c r="A545" s="109"/>
      <c r="B545" s="109"/>
      <c r="C545" s="109"/>
      <c r="D545" s="109"/>
      <c r="E545" s="109"/>
      <c r="F545" s="110"/>
      <c r="G545" s="109"/>
      <c r="H545" s="109"/>
      <c r="I545" s="109"/>
      <c r="J545" s="111"/>
      <c r="K545" s="111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</row>
    <row r="546" spans="1:25" ht="14.5">
      <c r="A546" s="109"/>
      <c r="B546" s="109"/>
      <c r="C546" s="109"/>
      <c r="D546" s="109"/>
      <c r="E546" s="109"/>
      <c r="F546" s="110"/>
      <c r="G546" s="109"/>
      <c r="H546" s="109"/>
      <c r="I546" s="109"/>
      <c r="J546" s="111"/>
      <c r="K546" s="111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</row>
    <row r="547" spans="1:25" ht="14.5">
      <c r="A547" s="109"/>
      <c r="B547" s="109"/>
      <c r="C547" s="109"/>
      <c r="D547" s="109"/>
      <c r="E547" s="109"/>
      <c r="F547" s="110"/>
      <c r="G547" s="109"/>
      <c r="H547" s="109"/>
      <c r="I547" s="109"/>
      <c r="J547" s="111"/>
      <c r="K547" s="111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</row>
    <row r="548" spans="1:25" ht="14.5">
      <c r="A548" s="109"/>
      <c r="B548" s="109"/>
      <c r="C548" s="109"/>
      <c r="D548" s="109"/>
      <c r="E548" s="109"/>
      <c r="F548" s="110"/>
      <c r="G548" s="109"/>
      <c r="H548" s="109"/>
      <c r="I548" s="109"/>
      <c r="J548" s="111"/>
      <c r="K548" s="111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</row>
    <row r="549" spans="1:25" ht="14.5">
      <c r="A549" s="109"/>
      <c r="B549" s="109"/>
      <c r="C549" s="109"/>
      <c r="D549" s="109"/>
      <c r="E549" s="109"/>
      <c r="F549" s="110"/>
      <c r="G549" s="109"/>
      <c r="H549" s="109"/>
      <c r="I549" s="109"/>
      <c r="J549" s="111"/>
      <c r="K549" s="111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</row>
    <row r="550" spans="1:25" ht="14.5">
      <c r="A550" s="109"/>
      <c r="B550" s="109"/>
      <c r="C550" s="109"/>
      <c r="D550" s="109"/>
      <c r="E550" s="109"/>
      <c r="F550" s="110"/>
      <c r="G550" s="109"/>
      <c r="H550" s="109"/>
      <c r="I550" s="109"/>
      <c r="J550" s="111"/>
      <c r="K550" s="111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</row>
    <row r="551" spans="1:25" ht="14.5">
      <c r="A551" s="109"/>
      <c r="B551" s="109"/>
      <c r="C551" s="109"/>
      <c r="D551" s="109"/>
      <c r="E551" s="109"/>
      <c r="F551" s="110"/>
      <c r="G551" s="109"/>
      <c r="H551" s="109"/>
      <c r="I551" s="109"/>
      <c r="J551" s="111"/>
      <c r="K551" s="111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</row>
    <row r="552" spans="1:25" ht="14.5">
      <c r="A552" s="109"/>
      <c r="B552" s="109"/>
      <c r="C552" s="109"/>
      <c r="D552" s="109"/>
      <c r="E552" s="109"/>
      <c r="F552" s="110"/>
      <c r="G552" s="109"/>
      <c r="H552" s="109"/>
      <c r="I552" s="109"/>
      <c r="J552" s="111"/>
      <c r="K552" s="111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</row>
    <row r="553" spans="1:25" ht="14.5">
      <c r="A553" s="109"/>
      <c r="B553" s="109"/>
      <c r="C553" s="109"/>
      <c r="D553" s="109"/>
      <c r="E553" s="109"/>
      <c r="F553" s="110"/>
      <c r="G553" s="109"/>
      <c r="H553" s="109"/>
      <c r="I553" s="109"/>
      <c r="J553" s="111"/>
      <c r="K553" s="111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</row>
    <row r="554" spans="1:25" ht="14.5">
      <c r="A554" s="109"/>
      <c r="B554" s="109"/>
      <c r="C554" s="109"/>
      <c r="D554" s="109"/>
      <c r="E554" s="109"/>
      <c r="F554" s="110"/>
      <c r="G554" s="109"/>
      <c r="H554" s="109"/>
      <c r="I554" s="109"/>
      <c r="J554" s="111"/>
      <c r="K554" s="111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</row>
    <row r="555" spans="1:25" ht="14.5">
      <c r="A555" s="109"/>
      <c r="B555" s="109"/>
      <c r="C555" s="109"/>
      <c r="D555" s="109"/>
      <c r="E555" s="109"/>
      <c r="F555" s="110"/>
      <c r="G555" s="109"/>
      <c r="H555" s="109"/>
      <c r="I555" s="109"/>
      <c r="J555" s="111"/>
      <c r="K555" s="111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</row>
    <row r="556" spans="1:25" ht="14.5">
      <c r="A556" s="109"/>
      <c r="B556" s="109"/>
      <c r="C556" s="109"/>
      <c r="D556" s="109"/>
      <c r="E556" s="109"/>
      <c r="F556" s="110"/>
      <c r="G556" s="109"/>
      <c r="H556" s="109"/>
      <c r="I556" s="109"/>
      <c r="J556" s="111"/>
      <c r="K556" s="111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</row>
    <row r="557" spans="1:25" ht="14.5">
      <c r="A557" s="109"/>
      <c r="B557" s="109"/>
      <c r="C557" s="109"/>
      <c r="D557" s="109"/>
      <c r="E557" s="109"/>
      <c r="F557" s="110"/>
      <c r="G557" s="109"/>
      <c r="H557" s="109"/>
      <c r="I557" s="109"/>
      <c r="J557" s="111"/>
      <c r="K557" s="111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</row>
    <row r="558" spans="1:25" ht="14.5">
      <c r="A558" s="109"/>
      <c r="B558" s="109"/>
      <c r="C558" s="109"/>
      <c r="D558" s="109"/>
      <c r="E558" s="109"/>
      <c r="F558" s="110"/>
      <c r="G558" s="109"/>
      <c r="H558" s="109"/>
      <c r="I558" s="109"/>
      <c r="J558" s="111"/>
      <c r="K558" s="111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</row>
    <row r="559" spans="1:25" ht="14.5">
      <c r="A559" s="109"/>
      <c r="B559" s="109"/>
      <c r="C559" s="109"/>
      <c r="D559" s="109"/>
      <c r="E559" s="109"/>
      <c r="F559" s="110"/>
      <c r="G559" s="109"/>
      <c r="H559" s="109"/>
      <c r="I559" s="109"/>
      <c r="J559" s="111"/>
      <c r="K559" s="111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</row>
    <row r="560" spans="1:25" ht="14.5">
      <c r="A560" s="109"/>
      <c r="B560" s="109"/>
      <c r="C560" s="109"/>
      <c r="D560" s="109"/>
      <c r="E560" s="109"/>
      <c r="F560" s="110"/>
      <c r="G560" s="109"/>
      <c r="H560" s="109"/>
      <c r="I560" s="109"/>
      <c r="J560" s="111"/>
      <c r="K560" s="111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</row>
    <row r="561" spans="1:25" ht="14.5">
      <c r="A561" s="109"/>
      <c r="B561" s="109"/>
      <c r="C561" s="109"/>
      <c r="D561" s="109"/>
      <c r="E561" s="109"/>
      <c r="F561" s="110"/>
      <c r="G561" s="109"/>
      <c r="H561" s="109"/>
      <c r="I561" s="109"/>
      <c r="J561" s="111"/>
      <c r="K561" s="111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</row>
    <row r="562" spans="1:25" ht="14.5">
      <c r="A562" s="109"/>
      <c r="B562" s="109"/>
      <c r="C562" s="109"/>
      <c r="D562" s="109"/>
      <c r="E562" s="109"/>
      <c r="F562" s="110"/>
      <c r="G562" s="109"/>
      <c r="H562" s="109"/>
      <c r="I562" s="109"/>
      <c r="J562" s="111"/>
      <c r="K562" s="111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</row>
    <row r="563" spans="1:25" ht="14.5">
      <c r="A563" s="109"/>
      <c r="B563" s="109"/>
      <c r="C563" s="109"/>
      <c r="D563" s="109"/>
      <c r="E563" s="109"/>
      <c r="F563" s="110"/>
      <c r="G563" s="109"/>
      <c r="H563" s="109"/>
      <c r="I563" s="109"/>
      <c r="J563" s="111"/>
      <c r="K563" s="111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</row>
    <row r="564" spans="1:25" ht="14.5">
      <c r="A564" s="109"/>
      <c r="B564" s="109"/>
      <c r="C564" s="109"/>
      <c r="D564" s="109"/>
      <c r="E564" s="109"/>
      <c r="F564" s="110"/>
      <c r="G564" s="109"/>
      <c r="H564" s="109"/>
      <c r="I564" s="109"/>
      <c r="J564" s="111"/>
      <c r="K564" s="111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</row>
    <row r="565" spans="1:25" ht="14.5">
      <c r="A565" s="109"/>
      <c r="B565" s="109"/>
      <c r="C565" s="109"/>
      <c r="D565" s="109"/>
      <c r="E565" s="109"/>
      <c r="F565" s="110"/>
      <c r="G565" s="109"/>
      <c r="H565" s="109"/>
      <c r="I565" s="109"/>
      <c r="J565" s="111"/>
      <c r="K565" s="111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</row>
    <row r="566" spans="1:25" ht="14.5">
      <c r="A566" s="109"/>
      <c r="B566" s="109"/>
      <c r="C566" s="109"/>
      <c r="D566" s="109"/>
      <c r="E566" s="109"/>
      <c r="F566" s="110"/>
      <c r="G566" s="109"/>
      <c r="H566" s="109"/>
      <c r="I566" s="109"/>
      <c r="J566" s="111"/>
      <c r="K566" s="111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</row>
    <row r="567" spans="1:25" ht="14.5">
      <c r="A567" s="109"/>
      <c r="B567" s="109"/>
      <c r="C567" s="109"/>
      <c r="D567" s="109"/>
      <c r="E567" s="109"/>
      <c r="F567" s="110"/>
      <c r="G567" s="109"/>
      <c r="H567" s="109"/>
      <c r="I567" s="109"/>
      <c r="J567" s="111"/>
      <c r="K567" s="111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</row>
    <row r="568" spans="1:25" ht="14.5">
      <c r="A568" s="109"/>
      <c r="B568" s="109"/>
      <c r="C568" s="109"/>
      <c r="D568" s="109"/>
      <c r="E568" s="109"/>
      <c r="F568" s="110"/>
      <c r="G568" s="109"/>
      <c r="H568" s="109"/>
      <c r="I568" s="109"/>
      <c r="J568" s="111"/>
      <c r="K568" s="111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</row>
    <row r="569" spans="1:25" ht="14.5">
      <c r="A569" s="109"/>
      <c r="B569" s="109"/>
      <c r="C569" s="109"/>
      <c r="D569" s="109"/>
      <c r="E569" s="109"/>
      <c r="F569" s="110"/>
      <c r="G569" s="109"/>
      <c r="H569" s="109"/>
      <c r="I569" s="109"/>
      <c r="J569" s="111"/>
      <c r="K569" s="111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</row>
    <row r="570" spans="1:25" ht="14.5">
      <c r="A570" s="109"/>
      <c r="B570" s="109"/>
      <c r="C570" s="109"/>
      <c r="D570" s="109"/>
      <c r="E570" s="109"/>
      <c r="F570" s="110"/>
      <c r="G570" s="109"/>
      <c r="H570" s="109"/>
      <c r="I570" s="109"/>
      <c r="J570" s="111"/>
      <c r="K570" s="111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</row>
    <row r="571" spans="1:25" ht="14.5">
      <c r="A571" s="109"/>
      <c r="B571" s="109"/>
      <c r="C571" s="109"/>
      <c r="D571" s="109"/>
      <c r="E571" s="109"/>
      <c r="F571" s="110"/>
      <c r="G571" s="109"/>
      <c r="H571" s="109"/>
      <c r="I571" s="109"/>
      <c r="J571" s="111"/>
      <c r="K571" s="111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</row>
    <row r="572" spans="1:25" ht="14.5">
      <c r="A572" s="109"/>
      <c r="B572" s="109"/>
      <c r="C572" s="109"/>
      <c r="D572" s="109"/>
      <c r="E572" s="109"/>
      <c r="F572" s="110"/>
      <c r="G572" s="109"/>
      <c r="H572" s="109"/>
      <c r="I572" s="109"/>
      <c r="J572" s="111"/>
      <c r="K572" s="111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</row>
    <row r="573" spans="1:25" ht="14.5">
      <c r="A573" s="109"/>
      <c r="B573" s="109"/>
      <c r="C573" s="109"/>
      <c r="D573" s="109"/>
      <c r="E573" s="109"/>
      <c r="F573" s="110"/>
      <c r="G573" s="109"/>
      <c r="H573" s="109"/>
      <c r="I573" s="109"/>
      <c r="J573" s="111"/>
      <c r="K573" s="111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</row>
    <row r="574" spans="1:25" ht="14.5">
      <c r="A574" s="109"/>
      <c r="B574" s="109"/>
      <c r="C574" s="109"/>
      <c r="D574" s="109"/>
      <c r="E574" s="109"/>
      <c r="F574" s="110"/>
      <c r="G574" s="109"/>
      <c r="H574" s="109"/>
      <c r="I574" s="109"/>
      <c r="J574" s="111"/>
      <c r="K574" s="111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</row>
    <row r="575" spans="1:25" ht="14.5">
      <c r="A575" s="109"/>
      <c r="B575" s="109"/>
      <c r="C575" s="109"/>
      <c r="D575" s="109"/>
      <c r="E575" s="109"/>
      <c r="F575" s="110"/>
      <c r="G575" s="109"/>
      <c r="H575" s="109"/>
      <c r="I575" s="109"/>
      <c r="J575" s="111"/>
      <c r="K575" s="111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</row>
    <row r="576" spans="1:25" ht="14.5">
      <c r="A576" s="109"/>
      <c r="B576" s="109"/>
      <c r="C576" s="109"/>
      <c r="D576" s="109"/>
      <c r="E576" s="109"/>
      <c r="F576" s="110"/>
      <c r="G576" s="109"/>
      <c r="H576" s="109"/>
      <c r="I576" s="109"/>
      <c r="J576" s="111"/>
      <c r="K576" s="111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</row>
    <row r="577" spans="1:25" ht="14.5">
      <c r="A577" s="109"/>
      <c r="B577" s="109"/>
      <c r="C577" s="109"/>
      <c r="D577" s="109"/>
      <c r="E577" s="109"/>
      <c r="F577" s="110"/>
      <c r="G577" s="109"/>
      <c r="H577" s="109"/>
      <c r="I577" s="109"/>
      <c r="J577" s="111"/>
      <c r="K577" s="111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</row>
    <row r="578" spans="1:25" ht="14.5">
      <c r="A578" s="109"/>
      <c r="B578" s="109"/>
      <c r="C578" s="109"/>
      <c r="D578" s="109"/>
      <c r="E578" s="109"/>
      <c r="F578" s="110"/>
      <c r="G578" s="109"/>
      <c r="H578" s="109"/>
      <c r="I578" s="109"/>
      <c r="J578" s="111"/>
      <c r="K578" s="111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</row>
    <row r="579" spans="1:25" ht="14.5">
      <c r="A579" s="109"/>
      <c r="B579" s="109"/>
      <c r="C579" s="109"/>
      <c r="D579" s="109"/>
      <c r="E579" s="109"/>
      <c r="F579" s="110"/>
      <c r="G579" s="109"/>
      <c r="H579" s="109"/>
      <c r="I579" s="109"/>
      <c r="J579" s="111"/>
      <c r="K579" s="111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</row>
    <row r="580" spans="1:25" ht="14.5">
      <c r="A580" s="109"/>
      <c r="B580" s="109"/>
      <c r="C580" s="109"/>
      <c r="D580" s="109"/>
      <c r="E580" s="109"/>
      <c r="F580" s="110"/>
      <c r="G580" s="109"/>
      <c r="H580" s="109"/>
      <c r="I580" s="109"/>
      <c r="J580" s="111"/>
      <c r="K580" s="111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</row>
    <row r="581" spans="1:25" ht="14.5">
      <c r="A581" s="109"/>
      <c r="B581" s="109"/>
      <c r="C581" s="109"/>
      <c r="D581" s="109"/>
      <c r="E581" s="109"/>
      <c r="F581" s="110"/>
      <c r="G581" s="109"/>
      <c r="H581" s="109"/>
      <c r="I581" s="109"/>
      <c r="J581" s="111"/>
      <c r="K581" s="111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</row>
    <row r="582" spans="1:25" ht="14.5">
      <c r="A582" s="109"/>
      <c r="B582" s="109"/>
      <c r="C582" s="109"/>
      <c r="D582" s="109"/>
      <c r="E582" s="109"/>
      <c r="F582" s="110"/>
      <c r="G582" s="109"/>
      <c r="H582" s="109"/>
      <c r="I582" s="109"/>
      <c r="J582" s="111"/>
      <c r="K582" s="111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</row>
    <row r="583" spans="1:25" ht="14.5">
      <c r="A583" s="109"/>
      <c r="B583" s="109"/>
      <c r="C583" s="109"/>
      <c r="D583" s="109"/>
      <c r="E583" s="109"/>
      <c r="F583" s="110"/>
      <c r="G583" s="109"/>
      <c r="H583" s="109"/>
      <c r="I583" s="109"/>
      <c r="J583" s="111"/>
      <c r="K583" s="111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</row>
    <row r="584" spans="1:25" ht="14.5">
      <c r="A584" s="109"/>
      <c r="B584" s="109"/>
      <c r="C584" s="109"/>
      <c r="D584" s="109"/>
      <c r="E584" s="109"/>
      <c r="F584" s="110"/>
      <c r="G584" s="109"/>
      <c r="H584" s="109"/>
      <c r="I584" s="109"/>
      <c r="J584" s="111"/>
      <c r="K584" s="111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</row>
    <row r="585" spans="1:25" ht="14.5">
      <c r="A585" s="109"/>
      <c r="B585" s="109"/>
      <c r="C585" s="109"/>
      <c r="D585" s="109"/>
      <c r="E585" s="109"/>
      <c r="F585" s="110"/>
      <c r="G585" s="109"/>
      <c r="H585" s="109"/>
      <c r="I585" s="109"/>
      <c r="J585" s="111"/>
      <c r="K585" s="111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</row>
    <row r="586" spans="1:25" ht="14.5">
      <c r="A586" s="109"/>
      <c r="B586" s="109"/>
      <c r="C586" s="109"/>
      <c r="D586" s="109"/>
      <c r="E586" s="109"/>
      <c r="F586" s="110"/>
      <c r="G586" s="109"/>
      <c r="H586" s="109"/>
      <c r="I586" s="109"/>
      <c r="J586" s="111"/>
      <c r="K586" s="111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</row>
    <row r="587" spans="1:25" ht="14.5">
      <c r="A587" s="109"/>
      <c r="B587" s="109"/>
      <c r="C587" s="109"/>
      <c r="D587" s="109"/>
      <c r="E587" s="109"/>
      <c r="F587" s="110"/>
      <c r="G587" s="109"/>
      <c r="H587" s="109"/>
      <c r="I587" s="109"/>
      <c r="J587" s="111"/>
      <c r="K587" s="111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</row>
    <row r="588" spans="1:25" ht="14.5">
      <c r="A588" s="109"/>
      <c r="B588" s="109"/>
      <c r="C588" s="109"/>
      <c r="D588" s="109"/>
      <c r="E588" s="109"/>
      <c r="F588" s="110"/>
      <c r="G588" s="109"/>
      <c r="H588" s="109"/>
      <c r="I588" s="109"/>
      <c r="J588" s="111"/>
      <c r="K588" s="111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</row>
    <row r="589" spans="1:25" ht="14.5">
      <c r="A589" s="109"/>
      <c r="B589" s="109"/>
      <c r="C589" s="109"/>
      <c r="D589" s="109"/>
      <c r="E589" s="109"/>
      <c r="F589" s="110"/>
      <c r="G589" s="109"/>
      <c r="H589" s="109"/>
      <c r="I589" s="109"/>
      <c r="J589" s="111"/>
      <c r="K589" s="111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</row>
    <row r="590" spans="1:25" ht="14.5">
      <c r="A590" s="109"/>
      <c r="B590" s="109"/>
      <c r="C590" s="109"/>
      <c r="D590" s="109"/>
      <c r="E590" s="109"/>
      <c r="F590" s="110"/>
      <c r="G590" s="109"/>
      <c r="H590" s="109"/>
      <c r="I590" s="109"/>
      <c r="J590" s="111"/>
      <c r="K590" s="111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</row>
    <row r="591" spans="1:25" ht="14.5">
      <c r="A591" s="109"/>
      <c r="B591" s="109"/>
      <c r="C591" s="109"/>
      <c r="D591" s="109"/>
      <c r="E591" s="109"/>
      <c r="F591" s="110"/>
      <c r="G591" s="109"/>
      <c r="H591" s="109"/>
      <c r="I591" s="109"/>
      <c r="J591" s="111"/>
      <c r="K591" s="111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</row>
    <row r="592" spans="1:25" ht="14.5">
      <c r="A592" s="109"/>
      <c r="B592" s="109"/>
      <c r="C592" s="109"/>
      <c r="D592" s="109"/>
      <c r="E592" s="109"/>
      <c r="F592" s="110"/>
      <c r="G592" s="109"/>
      <c r="H592" s="109"/>
      <c r="I592" s="109"/>
      <c r="J592" s="111"/>
      <c r="K592" s="111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</row>
    <row r="593" spans="1:25" ht="14.5">
      <c r="A593" s="109"/>
      <c r="B593" s="109"/>
      <c r="C593" s="109"/>
      <c r="D593" s="109"/>
      <c r="E593" s="109"/>
      <c r="F593" s="110"/>
      <c r="G593" s="109"/>
      <c r="H593" s="109"/>
      <c r="I593" s="109"/>
      <c r="J593" s="111"/>
      <c r="K593" s="111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</row>
    <row r="594" spans="1:25" ht="14.5">
      <c r="A594" s="109"/>
      <c r="B594" s="109"/>
      <c r="C594" s="109"/>
      <c r="D594" s="109"/>
      <c r="E594" s="109"/>
      <c r="F594" s="110"/>
      <c r="G594" s="109"/>
      <c r="H594" s="109"/>
      <c r="I594" s="109"/>
      <c r="J594" s="111"/>
      <c r="K594" s="111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</row>
    <row r="595" spans="1:25" ht="14.5">
      <c r="A595" s="109"/>
      <c r="B595" s="109"/>
      <c r="C595" s="109"/>
      <c r="D595" s="109"/>
      <c r="E595" s="109"/>
      <c r="F595" s="110"/>
      <c r="G595" s="109"/>
      <c r="H595" s="109"/>
      <c r="I595" s="109"/>
      <c r="J595" s="111"/>
      <c r="K595" s="111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</row>
    <row r="596" spans="1:25" ht="14.5">
      <c r="A596" s="109"/>
      <c r="B596" s="109"/>
      <c r="C596" s="109"/>
      <c r="D596" s="109"/>
      <c r="E596" s="109"/>
      <c r="F596" s="110"/>
      <c r="G596" s="109"/>
      <c r="H596" s="109"/>
      <c r="I596" s="109"/>
      <c r="J596" s="111"/>
      <c r="K596" s="111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</row>
    <row r="597" spans="1:25" ht="14.5">
      <c r="A597" s="109"/>
      <c r="B597" s="109"/>
      <c r="C597" s="109"/>
      <c r="D597" s="109"/>
      <c r="E597" s="109"/>
      <c r="F597" s="110"/>
      <c r="G597" s="109"/>
      <c r="H597" s="109"/>
      <c r="I597" s="109"/>
      <c r="J597" s="111"/>
      <c r="K597" s="111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</row>
    <row r="598" spans="1:25" ht="14.5">
      <c r="A598" s="109"/>
      <c r="B598" s="109"/>
      <c r="C598" s="109"/>
      <c r="D598" s="109"/>
      <c r="E598" s="109"/>
      <c r="F598" s="110"/>
      <c r="G598" s="109"/>
      <c r="H598" s="109"/>
      <c r="I598" s="109"/>
      <c r="J598" s="111"/>
      <c r="K598" s="111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</row>
    <row r="599" spans="1:25" ht="14.5">
      <c r="A599" s="109"/>
      <c r="B599" s="109"/>
      <c r="C599" s="109"/>
      <c r="D599" s="109"/>
      <c r="E599" s="109"/>
      <c r="F599" s="110"/>
      <c r="G599" s="109"/>
      <c r="H599" s="109"/>
      <c r="I599" s="109"/>
      <c r="J599" s="111"/>
      <c r="K599" s="111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</row>
    <row r="600" spans="1:25" ht="14.5">
      <c r="A600" s="109"/>
      <c r="B600" s="109"/>
      <c r="C600" s="109"/>
      <c r="D600" s="109"/>
      <c r="E600" s="109"/>
      <c r="F600" s="110"/>
      <c r="G600" s="109"/>
      <c r="H600" s="109"/>
      <c r="I600" s="109"/>
      <c r="J600" s="111"/>
      <c r="K600" s="111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</row>
    <row r="601" spans="1:25" ht="14.5">
      <c r="A601" s="109"/>
      <c r="B601" s="109"/>
      <c r="C601" s="109"/>
      <c r="D601" s="109"/>
      <c r="E601" s="109"/>
      <c r="F601" s="110"/>
      <c r="G601" s="109"/>
      <c r="H601" s="109"/>
      <c r="I601" s="109"/>
      <c r="J601" s="111"/>
      <c r="K601" s="111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</row>
    <row r="602" spans="1:25" ht="14.5">
      <c r="A602" s="109"/>
      <c r="B602" s="109"/>
      <c r="C602" s="109"/>
      <c r="D602" s="109"/>
      <c r="E602" s="109"/>
      <c r="F602" s="110"/>
      <c r="G602" s="109"/>
      <c r="H602" s="109"/>
      <c r="I602" s="109"/>
      <c r="J602" s="111"/>
      <c r="K602" s="111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</row>
    <row r="603" spans="1:25" ht="14.5">
      <c r="A603" s="109"/>
      <c r="B603" s="109"/>
      <c r="C603" s="109"/>
      <c r="D603" s="109"/>
      <c r="E603" s="109"/>
      <c r="F603" s="110"/>
      <c r="G603" s="109"/>
      <c r="H603" s="109"/>
      <c r="I603" s="109"/>
      <c r="J603" s="111"/>
      <c r="K603" s="111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</row>
    <row r="604" spans="1:25" ht="14.5">
      <c r="A604" s="109"/>
      <c r="B604" s="109"/>
      <c r="C604" s="109"/>
      <c r="D604" s="109"/>
      <c r="E604" s="109"/>
      <c r="F604" s="110"/>
      <c r="G604" s="109"/>
      <c r="H604" s="109"/>
      <c r="I604" s="109"/>
      <c r="J604" s="111"/>
      <c r="K604" s="111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</row>
    <row r="605" spans="1:25" ht="14.5">
      <c r="A605" s="109"/>
      <c r="B605" s="109"/>
      <c r="C605" s="109"/>
      <c r="D605" s="109"/>
      <c r="E605" s="109"/>
      <c r="F605" s="110"/>
      <c r="G605" s="109"/>
      <c r="H605" s="109"/>
      <c r="I605" s="109"/>
      <c r="J605" s="111"/>
      <c r="K605" s="111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</row>
    <row r="606" spans="1:25" ht="14.5">
      <c r="A606" s="109"/>
      <c r="B606" s="109"/>
      <c r="C606" s="109"/>
      <c r="D606" s="109"/>
      <c r="E606" s="109"/>
      <c r="F606" s="110"/>
      <c r="G606" s="109"/>
      <c r="H606" s="109"/>
      <c r="I606" s="109"/>
      <c r="J606" s="111"/>
      <c r="K606" s="111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</row>
    <row r="607" spans="1:25" ht="14.5">
      <c r="A607" s="109"/>
      <c r="B607" s="109"/>
      <c r="C607" s="109"/>
      <c r="D607" s="109"/>
      <c r="E607" s="109"/>
      <c r="F607" s="110"/>
      <c r="G607" s="109"/>
      <c r="H607" s="109"/>
      <c r="I607" s="109"/>
      <c r="J607" s="111"/>
      <c r="K607" s="111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</row>
    <row r="608" spans="1:25" ht="14.5">
      <c r="A608" s="109"/>
      <c r="B608" s="109"/>
      <c r="C608" s="109"/>
      <c r="D608" s="109"/>
      <c r="E608" s="109"/>
      <c r="F608" s="110"/>
      <c r="G608" s="109"/>
      <c r="H608" s="109"/>
      <c r="I608" s="109"/>
      <c r="J608" s="111"/>
      <c r="K608" s="111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</row>
    <row r="609" spans="1:25" ht="14.5">
      <c r="A609" s="109"/>
      <c r="B609" s="109"/>
      <c r="C609" s="109"/>
      <c r="D609" s="109"/>
      <c r="E609" s="109"/>
      <c r="F609" s="110"/>
      <c r="G609" s="109"/>
      <c r="H609" s="109"/>
      <c r="I609" s="109"/>
      <c r="J609" s="111"/>
      <c r="K609" s="111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</row>
    <row r="610" spans="1:25" ht="14.5">
      <c r="A610" s="109"/>
      <c r="B610" s="109"/>
      <c r="C610" s="109"/>
      <c r="D610" s="109"/>
      <c r="E610" s="109"/>
      <c r="F610" s="110"/>
      <c r="G610" s="109"/>
      <c r="H610" s="109"/>
      <c r="I610" s="109"/>
      <c r="J610" s="111"/>
      <c r="K610" s="111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</row>
    <row r="611" spans="1:25" ht="14.5">
      <c r="A611" s="109"/>
      <c r="B611" s="109"/>
      <c r="C611" s="109"/>
      <c r="D611" s="109"/>
      <c r="E611" s="109"/>
      <c r="F611" s="110"/>
      <c r="G611" s="109"/>
      <c r="H611" s="109"/>
      <c r="I611" s="109"/>
      <c r="J611" s="111"/>
      <c r="K611" s="111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</row>
    <row r="612" spans="1:25" ht="14.5">
      <c r="A612" s="109"/>
      <c r="B612" s="109"/>
      <c r="C612" s="109"/>
      <c r="D612" s="109"/>
      <c r="E612" s="109"/>
      <c r="F612" s="110"/>
      <c r="G612" s="109"/>
      <c r="H612" s="109"/>
      <c r="I612" s="109"/>
      <c r="J612" s="111"/>
      <c r="K612" s="111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</row>
    <row r="613" spans="1:25" ht="14.5">
      <c r="A613" s="109"/>
      <c r="B613" s="109"/>
      <c r="C613" s="109"/>
      <c r="D613" s="109"/>
      <c r="E613" s="109"/>
      <c r="F613" s="110"/>
      <c r="G613" s="109"/>
      <c r="H613" s="109"/>
      <c r="I613" s="109"/>
      <c r="J613" s="111"/>
      <c r="K613" s="111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</row>
    <row r="614" spans="1:25" ht="14.5">
      <c r="A614" s="109"/>
      <c r="B614" s="109"/>
      <c r="C614" s="109"/>
      <c r="D614" s="109"/>
      <c r="E614" s="109"/>
      <c r="F614" s="110"/>
      <c r="G614" s="109"/>
      <c r="H614" s="109"/>
      <c r="I614" s="109"/>
      <c r="J614" s="111"/>
      <c r="K614" s="111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</row>
    <row r="615" spans="1:25" ht="14.5">
      <c r="A615" s="109"/>
      <c r="B615" s="109"/>
      <c r="C615" s="109"/>
      <c r="D615" s="109"/>
      <c r="E615" s="109"/>
      <c r="F615" s="110"/>
      <c r="G615" s="109"/>
      <c r="H615" s="109"/>
      <c r="I615" s="109"/>
      <c r="J615" s="111"/>
      <c r="K615" s="111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</row>
    <row r="616" spans="1:25" ht="14.5">
      <c r="A616" s="109"/>
      <c r="B616" s="109"/>
      <c r="C616" s="109"/>
      <c r="D616" s="109"/>
      <c r="E616" s="109"/>
      <c r="F616" s="110"/>
      <c r="G616" s="109"/>
      <c r="H616" s="109"/>
      <c r="I616" s="109"/>
      <c r="J616" s="111"/>
      <c r="K616" s="111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</row>
    <row r="617" spans="1:25" ht="14.5">
      <c r="A617" s="109"/>
      <c r="B617" s="109"/>
      <c r="C617" s="109"/>
      <c r="D617" s="109"/>
      <c r="E617" s="109"/>
      <c r="F617" s="110"/>
      <c r="G617" s="109"/>
      <c r="H617" s="109"/>
      <c r="I617" s="109"/>
      <c r="J617" s="111"/>
      <c r="K617" s="111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</row>
    <row r="618" spans="1:25" ht="14.5">
      <c r="A618" s="109"/>
      <c r="B618" s="109"/>
      <c r="C618" s="109"/>
      <c r="D618" s="109"/>
      <c r="E618" s="109"/>
      <c r="F618" s="110"/>
      <c r="G618" s="109"/>
      <c r="H618" s="109"/>
      <c r="I618" s="109"/>
      <c r="J618" s="111"/>
      <c r="K618" s="111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</row>
    <row r="619" spans="1:25" ht="14.5">
      <c r="A619" s="109"/>
      <c r="B619" s="109"/>
      <c r="C619" s="109"/>
      <c r="D619" s="109"/>
      <c r="E619" s="109"/>
      <c r="F619" s="110"/>
      <c r="G619" s="109"/>
      <c r="H619" s="109"/>
      <c r="I619" s="109"/>
      <c r="J619" s="111"/>
      <c r="K619" s="111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</row>
    <row r="620" spans="1:25" ht="14.5">
      <c r="A620" s="109"/>
      <c r="B620" s="109"/>
      <c r="C620" s="109"/>
      <c r="D620" s="109"/>
      <c r="E620" s="109"/>
      <c r="F620" s="110"/>
      <c r="G620" s="109"/>
      <c r="H620" s="109"/>
      <c r="I620" s="109"/>
      <c r="J620" s="111"/>
      <c r="K620" s="111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</row>
    <row r="621" spans="1:25" ht="14.5">
      <c r="A621" s="109"/>
      <c r="B621" s="109"/>
      <c r="C621" s="109"/>
      <c r="D621" s="109"/>
      <c r="E621" s="109"/>
      <c r="F621" s="110"/>
      <c r="G621" s="109"/>
      <c r="H621" s="109"/>
      <c r="I621" s="109"/>
      <c r="J621" s="111"/>
      <c r="K621" s="111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</row>
    <row r="622" spans="1:25" ht="14.5">
      <c r="A622" s="109"/>
      <c r="B622" s="109"/>
      <c r="C622" s="109"/>
      <c r="D622" s="109"/>
      <c r="E622" s="109"/>
      <c r="F622" s="110"/>
      <c r="G622" s="109"/>
      <c r="H622" s="109"/>
      <c r="I622" s="109"/>
      <c r="J622" s="111"/>
      <c r="K622" s="111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</row>
    <row r="623" spans="1:25" ht="14.5">
      <c r="A623" s="109"/>
      <c r="B623" s="109"/>
      <c r="C623" s="109"/>
      <c r="D623" s="109"/>
      <c r="E623" s="109"/>
      <c r="F623" s="110"/>
      <c r="G623" s="109"/>
      <c r="H623" s="109"/>
      <c r="I623" s="109"/>
      <c r="J623" s="111"/>
      <c r="K623" s="111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</row>
    <row r="624" spans="1:25" ht="14.5">
      <c r="A624" s="109"/>
      <c r="B624" s="109"/>
      <c r="C624" s="109"/>
      <c r="D624" s="109"/>
      <c r="E624" s="109"/>
      <c r="F624" s="110"/>
      <c r="G624" s="109"/>
      <c r="H624" s="109"/>
      <c r="I624" s="109"/>
      <c r="J624" s="111"/>
      <c r="K624" s="111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</row>
    <row r="625" spans="1:25" ht="14.5">
      <c r="A625" s="109"/>
      <c r="B625" s="109"/>
      <c r="C625" s="109"/>
      <c r="D625" s="109"/>
      <c r="E625" s="109"/>
      <c r="F625" s="110"/>
      <c r="G625" s="109"/>
      <c r="H625" s="109"/>
      <c r="I625" s="109"/>
      <c r="J625" s="111"/>
      <c r="K625" s="111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</row>
    <row r="626" spans="1:25" ht="14.5">
      <c r="A626" s="109"/>
      <c r="B626" s="109"/>
      <c r="C626" s="109"/>
      <c r="D626" s="109"/>
      <c r="E626" s="109"/>
      <c r="F626" s="110"/>
      <c r="G626" s="109"/>
      <c r="H626" s="109"/>
      <c r="I626" s="109"/>
      <c r="J626" s="111"/>
      <c r="K626" s="111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</row>
    <row r="627" spans="1:25" ht="14.5">
      <c r="A627" s="109"/>
      <c r="B627" s="109"/>
      <c r="C627" s="109"/>
      <c r="D627" s="109"/>
      <c r="E627" s="109"/>
      <c r="F627" s="110"/>
      <c r="G627" s="109"/>
      <c r="H627" s="109"/>
      <c r="I627" s="109"/>
      <c r="J627" s="111"/>
      <c r="K627" s="111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</row>
    <row r="628" spans="1:25" ht="14.5">
      <c r="A628" s="109"/>
      <c r="B628" s="109"/>
      <c r="C628" s="109"/>
      <c r="D628" s="109"/>
      <c r="E628" s="109"/>
      <c r="F628" s="110"/>
      <c r="G628" s="109"/>
      <c r="H628" s="109"/>
      <c r="I628" s="109"/>
      <c r="J628" s="111"/>
      <c r="K628" s="111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</row>
    <row r="629" spans="1:25" ht="14.5">
      <c r="A629" s="109"/>
      <c r="B629" s="109"/>
      <c r="C629" s="109"/>
      <c r="D629" s="109"/>
      <c r="E629" s="109"/>
      <c r="F629" s="110"/>
      <c r="G629" s="109"/>
      <c r="H629" s="109"/>
      <c r="I629" s="109"/>
      <c r="J629" s="111"/>
      <c r="K629" s="111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</row>
    <row r="630" spans="1:25" ht="14.5">
      <c r="A630" s="109"/>
      <c r="B630" s="109"/>
      <c r="C630" s="109"/>
      <c r="D630" s="109"/>
      <c r="E630" s="109"/>
      <c r="F630" s="110"/>
      <c r="G630" s="109"/>
      <c r="H630" s="109"/>
      <c r="I630" s="109"/>
      <c r="J630" s="111"/>
      <c r="K630" s="111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</row>
    <row r="631" spans="1:25" ht="14.5">
      <c r="A631" s="109"/>
      <c r="B631" s="109"/>
      <c r="C631" s="109"/>
      <c r="D631" s="109"/>
      <c r="E631" s="109"/>
      <c r="F631" s="110"/>
      <c r="G631" s="109"/>
      <c r="H631" s="109"/>
      <c r="I631" s="109"/>
      <c r="J631" s="111"/>
      <c r="K631" s="111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</row>
    <row r="632" spans="1:25" ht="14.5">
      <c r="A632" s="109"/>
      <c r="B632" s="109"/>
      <c r="C632" s="109"/>
      <c r="D632" s="109"/>
      <c r="E632" s="109"/>
      <c r="F632" s="110"/>
      <c r="G632" s="109"/>
      <c r="H632" s="109"/>
      <c r="I632" s="109"/>
      <c r="J632" s="111"/>
      <c r="K632" s="111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</row>
    <row r="633" spans="1:25" ht="14.5">
      <c r="A633" s="109"/>
      <c r="B633" s="109"/>
      <c r="C633" s="109"/>
      <c r="D633" s="109"/>
      <c r="E633" s="109"/>
      <c r="F633" s="110"/>
      <c r="G633" s="109"/>
      <c r="H633" s="109"/>
      <c r="I633" s="109"/>
      <c r="J633" s="111"/>
      <c r="K633" s="111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</row>
    <row r="634" spans="1:25" ht="14.5">
      <c r="A634" s="109"/>
      <c r="B634" s="109"/>
      <c r="C634" s="109"/>
      <c r="D634" s="109"/>
      <c r="E634" s="109"/>
      <c r="F634" s="110"/>
      <c r="G634" s="109"/>
      <c r="H634" s="109"/>
      <c r="I634" s="109"/>
      <c r="J634" s="111"/>
      <c r="K634" s="111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</row>
    <row r="635" spans="1:25" ht="14.5">
      <c r="A635" s="109"/>
      <c r="B635" s="109"/>
      <c r="C635" s="109"/>
      <c r="D635" s="109"/>
      <c r="E635" s="109"/>
      <c r="F635" s="110"/>
      <c r="G635" s="109"/>
      <c r="H635" s="109"/>
      <c r="I635" s="109"/>
      <c r="J635" s="111"/>
      <c r="K635" s="111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</row>
    <row r="636" spans="1:25" ht="14.5">
      <c r="A636" s="109"/>
      <c r="B636" s="109"/>
      <c r="C636" s="109"/>
      <c r="D636" s="109"/>
      <c r="E636" s="109"/>
      <c r="F636" s="110"/>
      <c r="G636" s="109"/>
      <c r="H636" s="109"/>
      <c r="I636" s="109"/>
      <c r="J636" s="111"/>
      <c r="K636" s="111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</row>
    <row r="637" spans="1:25" ht="14.5">
      <c r="A637" s="109"/>
      <c r="B637" s="109"/>
      <c r="C637" s="109"/>
      <c r="D637" s="109"/>
      <c r="E637" s="109"/>
      <c r="F637" s="110"/>
      <c r="G637" s="109"/>
      <c r="H637" s="109"/>
      <c r="I637" s="109"/>
      <c r="J637" s="111"/>
      <c r="K637" s="111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</row>
    <row r="638" spans="1:25" ht="14.5">
      <c r="A638" s="109"/>
      <c r="B638" s="109"/>
      <c r="C638" s="109"/>
      <c r="D638" s="109"/>
      <c r="E638" s="109"/>
      <c r="F638" s="110"/>
      <c r="G638" s="109"/>
      <c r="H638" s="109"/>
      <c r="I638" s="109"/>
      <c r="J638" s="111"/>
      <c r="K638" s="111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</row>
    <row r="639" spans="1:25" ht="14.5">
      <c r="A639" s="109"/>
      <c r="B639" s="109"/>
      <c r="C639" s="109"/>
      <c r="D639" s="109"/>
      <c r="E639" s="109"/>
      <c r="F639" s="110"/>
      <c r="G639" s="109"/>
      <c r="H639" s="109"/>
      <c r="I639" s="109"/>
      <c r="J639" s="111"/>
      <c r="K639" s="111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</row>
    <row r="640" spans="1:25" ht="14.5">
      <c r="A640" s="109"/>
      <c r="B640" s="109"/>
      <c r="C640" s="109"/>
      <c r="D640" s="109"/>
      <c r="E640" s="109"/>
      <c r="F640" s="110"/>
      <c r="G640" s="109"/>
      <c r="H640" s="109"/>
      <c r="I640" s="109"/>
      <c r="J640" s="111"/>
      <c r="K640" s="111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</row>
    <row r="641" spans="1:25" ht="14.5">
      <c r="A641" s="109"/>
      <c r="B641" s="109"/>
      <c r="C641" s="109"/>
      <c r="D641" s="109"/>
      <c r="E641" s="109"/>
      <c r="F641" s="110"/>
      <c r="G641" s="109"/>
      <c r="H641" s="109"/>
      <c r="I641" s="109"/>
      <c r="J641" s="111"/>
      <c r="K641" s="111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</row>
    <row r="642" spans="1:25" ht="14.5">
      <c r="A642" s="109"/>
      <c r="B642" s="109"/>
      <c r="C642" s="109"/>
      <c r="D642" s="109"/>
      <c r="E642" s="109"/>
      <c r="F642" s="110"/>
      <c r="G642" s="109"/>
      <c r="H642" s="109"/>
      <c r="I642" s="109"/>
      <c r="J642" s="111"/>
      <c r="K642" s="111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</row>
    <row r="643" spans="1:25" ht="14.5">
      <c r="A643" s="109"/>
      <c r="B643" s="109"/>
      <c r="C643" s="109"/>
      <c r="D643" s="109"/>
      <c r="E643" s="109"/>
      <c r="F643" s="110"/>
      <c r="G643" s="109"/>
      <c r="H643" s="109"/>
      <c r="I643" s="109"/>
      <c r="J643" s="111"/>
      <c r="K643" s="111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</row>
    <row r="644" spans="1:25" ht="14.5">
      <c r="A644" s="109"/>
      <c r="B644" s="109"/>
      <c r="C644" s="109"/>
      <c r="D644" s="109"/>
      <c r="E644" s="109"/>
      <c r="F644" s="110"/>
      <c r="G644" s="109"/>
      <c r="H644" s="109"/>
      <c r="I644" s="109"/>
      <c r="J644" s="111"/>
      <c r="K644" s="111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</row>
    <row r="645" spans="1:25" ht="14.5">
      <c r="A645" s="109"/>
      <c r="B645" s="109"/>
      <c r="C645" s="109"/>
      <c r="D645" s="109"/>
      <c r="E645" s="109"/>
      <c r="F645" s="110"/>
      <c r="G645" s="109"/>
      <c r="H645" s="109"/>
      <c r="I645" s="109"/>
      <c r="J645" s="111"/>
      <c r="K645" s="111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</row>
    <row r="646" spans="1:25" ht="14.5">
      <c r="A646" s="109"/>
      <c r="B646" s="109"/>
      <c r="C646" s="109"/>
      <c r="D646" s="109"/>
      <c r="E646" s="109"/>
      <c r="F646" s="110"/>
      <c r="G646" s="109"/>
      <c r="H646" s="109"/>
      <c r="I646" s="109"/>
      <c r="J646" s="111"/>
      <c r="K646" s="111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</row>
    <row r="647" spans="1:25" ht="14.5">
      <c r="A647" s="109"/>
      <c r="B647" s="109"/>
      <c r="C647" s="109"/>
      <c r="D647" s="109"/>
      <c r="E647" s="109"/>
      <c r="F647" s="110"/>
      <c r="G647" s="109"/>
      <c r="H647" s="109"/>
      <c r="I647" s="109"/>
      <c r="J647" s="111"/>
      <c r="K647" s="111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</row>
    <row r="648" spans="1:25" ht="14.5">
      <c r="A648" s="109"/>
      <c r="B648" s="109"/>
      <c r="C648" s="109"/>
      <c r="D648" s="109"/>
      <c r="E648" s="109"/>
      <c r="F648" s="110"/>
      <c r="G648" s="109"/>
      <c r="H648" s="109"/>
      <c r="I648" s="109"/>
      <c r="J648" s="111"/>
      <c r="K648" s="111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</row>
    <row r="649" spans="1:25" ht="14.5">
      <c r="A649" s="109"/>
      <c r="B649" s="109"/>
      <c r="C649" s="109"/>
      <c r="D649" s="109"/>
      <c r="E649" s="109"/>
      <c r="F649" s="110"/>
      <c r="G649" s="109"/>
      <c r="H649" s="109"/>
      <c r="I649" s="109"/>
      <c r="J649" s="111"/>
      <c r="K649" s="111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</row>
    <row r="650" spans="1:25" ht="14.5">
      <c r="A650" s="109"/>
      <c r="B650" s="109"/>
      <c r="C650" s="109"/>
      <c r="D650" s="109"/>
      <c r="E650" s="109"/>
      <c r="F650" s="110"/>
      <c r="G650" s="109"/>
      <c r="H650" s="109"/>
      <c r="I650" s="109"/>
      <c r="J650" s="111"/>
      <c r="K650" s="111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</row>
    <row r="651" spans="1:25" ht="14.5">
      <c r="A651" s="109"/>
      <c r="B651" s="109"/>
      <c r="C651" s="109"/>
      <c r="D651" s="109"/>
      <c r="E651" s="109"/>
      <c r="F651" s="110"/>
      <c r="G651" s="109"/>
      <c r="H651" s="109"/>
      <c r="I651" s="109"/>
      <c r="J651" s="111"/>
      <c r="K651" s="111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</row>
    <row r="652" spans="1:25" ht="14.5">
      <c r="A652" s="109"/>
      <c r="B652" s="109"/>
      <c r="C652" s="109"/>
      <c r="D652" s="109"/>
      <c r="E652" s="109"/>
      <c r="F652" s="110"/>
      <c r="G652" s="109"/>
      <c r="H652" s="109"/>
      <c r="I652" s="109"/>
      <c r="J652" s="111"/>
      <c r="K652" s="111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</row>
    <row r="653" spans="1:25" ht="14.5">
      <c r="A653" s="109"/>
      <c r="B653" s="109"/>
      <c r="C653" s="109"/>
      <c r="D653" s="109"/>
      <c r="E653" s="109"/>
      <c r="F653" s="110"/>
      <c r="G653" s="109"/>
      <c r="H653" s="109"/>
      <c r="I653" s="109"/>
      <c r="J653" s="111"/>
      <c r="K653" s="111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</row>
    <row r="654" spans="1:25" ht="14.5">
      <c r="A654" s="109"/>
      <c r="B654" s="109"/>
      <c r="C654" s="109"/>
      <c r="D654" s="109"/>
      <c r="E654" s="109"/>
      <c r="F654" s="110"/>
      <c r="G654" s="109"/>
      <c r="H654" s="109"/>
      <c r="I654" s="109"/>
      <c r="J654" s="111"/>
      <c r="K654" s="111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</row>
    <row r="655" spans="1:25" ht="14.5">
      <c r="A655" s="109"/>
      <c r="B655" s="109"/>
      <c r="C655" s="109"/>
      <c r="D655" s="109"/>
      <c r="E655" s="109"/>
      <c r="F655" s="110"/>
      <c r="G655" s="109"/>
      <c r="H655" s="109"/>
      <c r="I655" s="109"/>
      <c r="J655" s="111"/>
      <c r="K655" s="111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</row>
    <row r="656" spans="1:25" ht="14.5">
      <c r="A656" s="109"/>
      <c r="B656" s="109"/>
      <c r="C656" s="109"/>
      <c r="D656" s="109"/>
      <c r="E656" s="109"/>
      <c r="F656" s="110"/>
      <c r="G656" s="109"/>
      <c r="H656" s="109"/>
      <c r="I656" s="109"/>
      <c r="J656" s="111"/>
      <c r="K656" s="111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</row>
    <row r="657" spans="1:25" ht="14.5">
      <c r="A657" s="109"/>
      <c r="B657" s="109"/>
      <c r="C657" s="109"/>
      <c r="D657" s="109"/>
      <c r="E657" s="109"/>
      <c r="F657" s="110"/>
      <c r="G657" s="109"/>
      <c r="H657" s="109"/>
      <c r="I657" s="109"/>
      <c r="J657" s="111"/>
      <c r="K657" s="111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</row>
    <row r="658" spans="1:25" ht="14.5">
      <c r="A658" s="109"/>
      <c r="B658" s="109"/>
      <c r="C658" s="109"/>
      <c r="D658" s="109"/>
      <c r="E658" s="109"/>
      <c r="F658" s="110"/>
      <c r="G658" s="109"/>
      <c r="H658" s="109"/>
      <c r="I658" s="109"/>
      <c r="J658" s="111"/>
      <c r="K658" s="111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</row>
    <row r="659" spans="1:25" ht="14.5">
      <c r="A659" s="109"/>
      <c r="B659" s="109"/>
      <c r="C659" s="109"/>
      <c r="D659" s="109"/>
      <c r="E659" s="109"/>
      <c r="F659" s="110"/>
      <c r="G659" s="109"/>
      <c r="H659" s="109"/>
      <c r="I659" s="109"/>
      <c r="J659" s="111"/>
      <c r="K659" s="111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</row>
    <row r="660" spans="1:25" ht="14.5">
      <c r="A660" s="109"/>
      <c r="B660" s="109"/>
      <c r="C660" s="109"/>
      <c r="D660" s="109"/>
      <c r="E660" s="109"/>
      <c r="F660" s="110"/>
      <c r="G660" s="109"/>
      <c r="H660" s="109"/>
      <c r="I660" s="109"/>
      <c r="J660" s="111"/>
      <c r="K660" s="111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</row>
    <row r="661" spans="1:25" ht="14.5">
      <c r="A661" s="109"/>
      <c r="B661" s="109"/>
      <c r="C661" s="109"/>
      <c r="D661" s="109"/>
      <c r="E661" s="109"/>
      <c r="F661" s="110"/>
      <c r="G661" s="109"/>
      <c r="H661" s="109"/>
      <c r="I661" s="109"/>
      <c r="J661" s="111"/>
      <c r="K661" s="111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</row>
    <row r="662" spans="1:25" ht="14.5">
      <c r="A662" s="109"/>
      <c r="B662" s="109"/>
      <c r="C662" s="109"/>
      <c r="D662" s="109"/>
      <c r="E662" s="109"/>
      <c r="F662" s="110"/>
      <c r="G662" s="109"/>
      <c r="H662" s="109"/>
      <c r="I662" s="109"/>
      <c r="J662" s="111"/>
      <c r="K662" s="111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</row>
    <row r="663" spans="1:25" ht="14.5">
      <c r="A663" s="109"/>
      <c r="B663" s="109"/>
      <c r="C663" s="109"/>
      <c r="D663" s="109"/>
      <c r="E663" s="109"/>
      <c r="F663" s="110"/>
      <c r="G663" s="109"/>
      <c r="H663" s="109"/>
      <c r="I663" s="109"/>
      <c r="J663" s="111"/>
      <c r="K663" s="111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</row>
    <row r="664" spans="1:25" ht="14.5">
      <c r="A664" s="109"/>
      <c r="B664" s="109"/>
      <c r="C664" s="109"/>
      <c r="D664" s="109"/>
      <c r="E664" s="109"/>
      <c r="F664" s="110"/>
      <c r="G664" s="109"/>
      <c r="H664" s="109"/>
      <c r="I664" s="109"/>
      <c r="J664" s="111"/>
      <c r="K664" s="111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</row>
    <row r="665" spans="1:25" ht="14.5">
      <c r="A665" s="109"/>
      <c r="B665" s="109"/>
      <c r="C665" s="109"/>
      <c r="D665" s="109"/>
      <c r="E665" s="109"/>
      <c r="F665" s="110"/>
      <c r="G665" s="109"/>
      <c r="H665" s="109"/>
      <c r="I665" s="109"/>
      <c r="J665" s="111"/>
      <c r="K665" s="111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</row>
    <row r="666" spans="1:25" ht="14.5">
      <c r="A666" s="109"/>
      <c r="B666" s="109"/>
      <c r="C666" s="109"/>
      <c r="D666" s="109"/>
      <c r="E666" s="109"/>
      <c r="F666" s="110"/>
      <c r="G666" s="109"/>
      <c r="H666" s="109"/>
      <c r="I666" s="109"/>
      <c r="J666" s="111"/>
      <c r="K666" s="111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</row>
    <row r="667" spans="1:25" ht="14.5">
      <c r="A667" s="109"/>
      <c r="B667" s="109"/>
      <c r="C667" s="109"/>
      <c r="D667" s="109"/>
      <c r="E667" s="109"/>
      <c r="F667" s="110"/>
      <c r="G667" s="109"/>
      <c r="H667" s="109"/>
      <c r="I667" s="109"/>
      <c r="J667" s="111"/>
      <c r="K667" s="111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</row>
    <row r="668" spans="1:25" ht="14.5">
      <c r="A668" s="109"/>
      <c r="B668" s="109"/>
      <c r="C668" s="109"/>
      <c r="D668" s="109"/>
      <c r="E668" s="109"/>
      <c r="F668" s="110"/>
      <c r="G668" s="109"/>
      <c r="H668" s="109"/>
      <c r="I668" s="109"/>
      <c r="J668" s="111"/>
      <c r="K668" s="111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</row>
    <row r="669" spans="1:25" ht="14.5">
      <c r="A669" s="109"/>
      <c r="B669" s="109"/>
      <c r="C669" s="109"/>
      <c r="D669" s="109"/>
      <c r="E669" s="109"/>
      <c r="F669" s="110"/>
      <c r="G669" s="109"/>
      <c r="H669" s="109"/>
      <c r="I669" s="109"/>
      <c r="J669" s="111"/>
      <c r="K669" s="111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</row>
    <row r="670" spans="1:25" ht="14.5">
      <c r="A670" s="109"/>
      <c r="B670" s="109"/>
      <c r="C670" s="109"/>
      <c r="D670" s="109"/>
      <c r="E670" s="109"/>
      <c r="F670" s="110"/>
      <c r="G670" s="109"/>
      <c r="H670" s="109"/>
      <c r="I670" s="109"/>
      <c r="J670" s="111"/>
      <c r="K670" s="111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</row>
    <row r="671" spans="1:25" ht="14.5">
      <c r="A671" s="109"/>
      <c r="B671" s="109"/>
      <c r="C671" s="109"/>
      <c r="D671" s="109"/>
      <c r="E671" s="109"/>
      <c r="F671" s="110"/>
      <c r="G671" s="109"/>
      <c r="H671" s="109"/>
      <c r="I671" s="109"/>
      <c r="J671" s="111"/>
      <c r="K671" s="111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</row>
    <row r="672" spans="1:25" ht="14.5">
      <c r="A672" s="109"/>
      <c r="B672" s="109"/>
      <c r="C672" s="109"/>
      <c r="D672" s="109"/>
      <c r="E672" s="109"/>
      <c r="F672" s="110"/>
      <c r="G672" s="109"/>
      <c r="H672" s="109"/>
      <c r="I672" s="109"/>
      <c r="J672" s="111"/>
      <c r="K672" s="111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</row>
    <row r="673" spans="1:25" ht="14.5">
      <c r="A673" s="109"/>
      <c r="B673" s="109"/>
      <c r="C673" s="109"/>
      <c r="D673" s="109"/>
      <c r="E673" s="109"/>
      <c r="F673" s="110"/>
      <c r="G673" s="109"/>
      <c r="H673" s="109"/>
      <c r="I673" s="109"/>
      <c r="J673" s="111"/>
      <c r="K673" s="111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</row>
    <row r="674" spans="1:25" ht="14.5">
      <c r="A674" s="109"/>
      <c r="B674" s="109"/>
      <c r="C674" s="109"/>
      <c r="D674" s="109"/>
      <c r="E674" s="109"/>
      <c r="F674" s="110"/>
      <c r="G674" s="109"/>
      <c r="H674" s="109"/>
      <c r="I674" s="109"/>
      <c r="J674" s="111"/>
      <c r="K674" s="111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</row>
    <row r="675" spans="1:25" ht="14.5">
      <c r="A675" s="109"/>
      <c r="B675" s="109"/>
      <c r="C675" s="109"/>
      <c r="D675" s="109"/>
      <c r="E675" s="109"/>
      <c r="F675" s="110"/>
      <c r="G675" s="109"/>
      <c r="H675" s="109"/>
      <c r="I675" s="109"/>
      <c r="J675" s="111"/>
      <c r="K675" s="111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</row>
    <row r="676" spans="1:25" ht="14.5">
      <c r="A676" s="109"/>
      <c r="B676" s="109"/>
      <c r="C676" s="109"/>
      <c r="D676" s="109"/>
      <c r="E676" s="109"/>
      <c r="F676" s="110"/>
      <c r="G676" s="109"/>
      <c r="H676" s="109"/>
      <c r="I676" s="109"/>
      <c r="J676" s="111"/>
      <c r="K676" s="111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</row>
    <row r="677" spans="1:25" ht="14.5">
      <c r="A677" s="109"/>
      <c r="B677" s="109"/>
      <c r="C677" s="109"/>
      <c r="D677" s="109"/>
      <c r="E677" s="109"/>
      <c r="F677" s="110"/>
      <c r="G677" s="109"/>
      <c r="H677" s="109"/>
      <c r="I677" s="109"/>
      <c r="J677" s="111"/>
      <c r="K677" s="111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</row>
    <row r="678" spans="1:25" ht="14.5">
      <c r="A678" s="109"/>
      <c r="B678" s="109"/>
      <c r="C678" s="109"/>
      <c r="D678" s="109"/>
      <c r="E678" s="109"/>
      <c r="F678" s="110"/>
      <c r="G678" s="109"/>
      <c r="H678" s="109"/>
      <c r="I678" s="109"/>
      <c r="J678" s="111"/>
      <c r="K678" s="111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</row>
    <row r="679" spans="1:25" ht="14.5">
      <c r="A679" s="109"/>
      <c r="B679" s="109"/>
      <c r="C679" s="109"/>
      <c r="D679" s="109"/>
      <c r="E679" s="109"/>
      <c r="F679" s="110"/>
      <c r="G679" s="109"/>
      <c r="H679" s="109"/>
      <c r="I679" s="109"/>
      <c r="J679" s="111"/>
      <c r="K679" s="111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</row>
    <row r="680" spans="1:25" ht="14.5">
      <c r="A680" s="109"/>
      <c r="B680" s="109"/>
      <c r="C680" s="109"/>
      <c r="D680" s="109"/>
      <c r="E680" s="109"/>
      <c r="F680" s="110"/>
      <c r="G680" s="109"/>
      <c r="H680" s="109"/>
      <c r="I680" s="109"/>
      <c r="J680" s="111"/>
      <c r="K680" s="111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</row>
    <row r="681" spans="1:25" ht="14.5">
      <c r="A681" s="109"/>
      <c r="B681" s="109"/>
      <c r="C681" s="109"/>
      <c r="D681" s="109"/>
      <c r="E681" s="109"/>
      <c r="F681" s="110"/>
      <c r="G681" s="109"/>
      <c r="H681" s="109"/>
      <c r="I681" s="109"/>
      <c r="J681" s="111"/>
      <c r="K681" s="111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</row>
    <row r="682" spans="1:25" ht="14.5">
      <c r="A682" s="109"/>
      <c r="B682" s="109"/>
      <c r="C682" s="109"/>
      <c r="D682" s="109"/>
      <c r="E682" s="109"/>
      <c r="F682" s="110"/>
      <c r="G682" s="109"/>
      <c r="H682" s="109"/>
      <c r="I682" s="109"/>
      <c r="J682" s="111"/>
      <c r="K682" s="111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</row>
    <row r="683" spans="1:25" ht="14.5">
      <c r="A683" s="109"/>
      <c r="B683" s="109"/>
      <c r="C683" s="109"/>
      <c r="D683" s="109"/>
      <c r="E683" s="109"/>
      <c r="F683" s="110"/>
      <c r="G683" s="109"/>
      <c r="H683" s="109"/>
      <c r="I683" s="109"/>
      <c r="J683" s="111"/>
      <c r="K683" s="111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</row>
    <row r="684" spans="1:25" ht="14.5">
      <c r="A684" s="109"/>
      <c r="B684" s="109"/>
      <c r="C684" s="109"/>
      <c r="D684" s="109"/>
      <c r="E684" s="109"/>
      <c r="F684" s="110"/>
      <c r="G684" s="109"/>
      <c r="H684" s="109"/>
      <c r="I684" s="109"/>
      <c r="J684" s="111"/>
      <c r="K684" s="111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</row>
    <row r="685" spans="1:25" ht="14.5">
      <c r="A685" s="109"/>
      <c r="B685" s="109"/>
      <c r="C685" s="109"/>
      <c r="D685" s="109"/>
      <c r="E685" s="109"/>
      <c r="F685" s="110"/>
      <c r="G685" s="109"/>
      <c r="H685" s="109"/>
      <c r="I685" s="109"/>
      <c r="J685" s="111"/>
      <c r="K685" s="111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</row>
    <row r="686" spans="1:25" ht="14.5">
      <c r="A686" s="109"/>
      <c r="B686" s="109"/>
      <c r="C686" s="109"/>
      <c r="D686" s="109"/>
      <c r="E686" s="109"/>
      <c r="F686" s="110"/>
      <c r="G686" s="109"/>
      <c r="H686" s="109"/>
      <c r="I686" s="109"/>
      <c r="J686" s="111"/>
      <c r="K686" s="111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</row>
    <row r="687" spans="1:25" ht="14.5">
      <c r="A687" s="109"/>
      <c r="B687" s="109"/>
      <c r="C687" s="109"/>
      <c r="D687" s="109"/>
      <c r="E687" s="109"/>
      <c r="F687" s="110"/>
      <c r="G687" s="109"/>
      <c r="H687" s="109"/>
      <c r="I687" s="109"/>
      <c r="J687" s="111"/>
      <c r="K687" s="111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</row>
    <row r="688" spans="1:25" ht="14.5">
      <c r="A688" s="109"/>
      <c r="B688" s="109"/>
      <c r="C688" s="109"/>
      <c r="D688" s="109"/>
      <c r="E688" s="109"/>
      <c r="F688" s="110"/>
      <c r="G688" s="109"/>
      <c r="H688" s="109"/>
      <c r="I688" s="109"/>
      <c r="J688" s="111"/>
      <c r="K688" s="111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</row>
    <row r="689" spans="1:25" ht="14.5">
      <c r="A689" s="109"/>
      <c r="B689" s="109"/>
      <c r="C689" s="109"/>
      <c r="D689" s="109"/>
      <c r="E689" s="109"/>
      <c r="F689" s="110"/>
      <c r="G689" s="109"/>
      <c r="H689" s="109"/>
      <c r="I689" s="109"/>
      <c r="J689" s="111"/>
      <c r="K689" s="111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</row>
    <row r="690" spans="1:25" ht="14.5">
      <c r="A690" s="109"/>
      <c r="B690" s="109"/>
      <c r="C690" s="109"/>
      <c r="D690" s="109"/>
      <c r="E690" s="109"/>
      <c r="F690" s="110"/>
      <c r="G690" s="109"/>
      <c r="H690" s="109"/>
      <c r="I690" s="109"/>
      <c r="J690" s="111"/>
      <c r="K690" s="111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</row>
    <row r="691" spans="1:25" ht="14.5">
      <c r="A691" s="109"/>
      <c r="B691" s="109"/>
      <c r="C691" s="109"/>
      <c r="D691" s="109"/>
      <c r="E691" s="109"/>
      <c r="F691" s="110"/>
      <c r="G691" s="109"/>
      <c r="H691" s="109"/>
      <c r="I691" s="109"/>
      <c r="J691" s="111"/>
      <c r="K691" s="111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</row>
    <row r="692" spans="1:25" ht="14.5">
      <c r="A692" s="109"/>
      <c r="B692" s="109"/>
      <c r="C692" s="109"/>
      <c r="D692" s="109"/>
      <c r="E692" s="109"/>
      <c r="F692" s="110"/>
      <c r="G692" s="109"/>
      <c r="H692" s="109"/>
      <c r="I692" s="109"/>
      <c r="J692" s="111"/>
      <c r="K692" s="111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</row>
    <row r="693" spans="1:25" ht="14.5">
      <c r="A693" s="109"/>
      <c r="B693" s="109"/>
      <c r="C693" s="109"/>
      <c r="D693" s="109"/>
      <c r="E693" s="109"/>
      <c r="F693" s="110"/>
      <c r="G693" s="109"/>
      <c r="H693" s="109"/>
      <c r="I693" s="109"/>
      <c r="J693" s="111"/>
      <c r="K693" s="111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</row>
    <row r="694" spans="1:25" ht="14.5">
      <c r="A694" s="109"/>
      <c r="B694" s="109"/>
      <c r="C694" s="109"/>
      <c r="D694" s="109"/>
      <c r="E694" s="109"/>
      <c r="F694" s="110"/>
      <c r="G694" s="109"/>
      <c r="H694" s="109"/>
      <c r="I694" s="109"/>
      <c r="J694" s="111"/>
      <c r="K694" s="111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</row>
    <row r="695" spans="1:25" ht="14.5">
      <c r="A695" s="109"/>
      <c r="B695" s="109"/>
      <c r="C695" s="109"/>
      <c r="D695" s="109"/>
      <c r="E695" s="109"/>
      <c r="F695" s="110"/>
      <c r="G695" s="109"/>
      <c r="H695" s="109"/>
      <c r="I695" s="109"/>
      <c r="J695" s="111"/>
      <c r="K695" s="111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</row>
    <row r="696" spans="1:25" ht="14.5">
      <c r="A696" s="109"/>
      <c r="B696" s="109"/>
      <c r="C696" s="109"/>
      <c r="D696" s="109"/>
      <c r="E696" s="109"/>
      <c r="F696" s="110"/>
      <c r="G696" s="109"/>
      <c r="H696" s="109"/>
      <c r="I696" s="109"/>
      <c r="J696" s="111"/>
      <c r="K696" s="111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</row>
    <row r="697" spans="1:25" ht="14.5">
      <c r="A697" s="109"/>
      <c r="B697" s="109"/>
      <c r="C697" s="109"/>
      <c r="D697" s="109"/>
      <c r="E697" s="109"/>
      <c r="F697" s="110"/>
      <c r="G697" s="109"/>
      <c r="H697" s="109"/>
      <c r="I697" s="109"/>
      <c r="J697" s="111"/>
      <c r="K697" s="111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</row>
    <row r="698" spans="1:25" ht="14.5">
      <c r="A698" s="109"/>
      <c r="B698" s="109"/>
      <c r="C698" s="109"/>
      <c r="D698" s="109"/>
      <c r="E698" s="109"/>
      <c r="F698" s="110"/>
      <c r="G698" s="109"/>
      <c r="H698" s="109"/>
      <c r="I698" s="109"/>
      <c r="J698" s="111"/>
      <c r="K698" s="111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</row>
    <row r="699" spans="1:25" ht="14.5">
      <c r="A699" s="109"/>
      <c r="B699" s="109"/>
      <c r="C699" s="109"/>
      <c r="D699" s="109"/>
      <c r="E699" s="109"/>
      <c r="F699" s="110"/>
      <c r="G699" s="109"/>
      <c r="H699" s="109"/>
      <c r="I699" s="109"/>
      <c r="J699" s="111"/>
      <c r="K699" s="111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</row>
    <row r="700" spans="1:25" ht="14.5">
      <c r="A700" s="109"/>
      <c r="B700" s="109"/>
      <c r="C700" s="109"/>
      <c r="D700" s="109"/>
      <c r="E700" s="109"/>
      <c r="F700" s="110"/>
      <c r="G700" s="109"/>
      <c r="H700" s="109"/>
      <c r="I700" s="109"/>
      <c r="J700" s="111"/>
      <c r="K700" s="111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</row>
    <row r="701" spans="1:25" ht="14.5">
      <c r="A701" s="109"/>
      <c r="B701" s="109"/>
      <c r="C701" s="109"/>
      <c r="D701" s="109"/>
      <c r="E701" s="109"/>
      <c r="F701" s="110"/>
      <c r="G701" s="109"/>
      <c r="H701" s="109"/>
      <c r="I701" s="109"/>
      <c r="J701" s="111"/>
      <c r="K701" s="111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</row>
    <row r="702" spans="1:25" ht="14.5">
      <c r="A702" s="109"/>
      <c r="B702" s="109"/>
      <c r="C702" s="109"/>
      <c r="D702" s="109"/>
      <c r="E702" s="109"/>
      <c r="F702" s="110"/>
      <c r="G702" s="109"/>
      <c r="H702" s="109"/>
      <c r="I702" s="109"/>
      <c r="J702" s="111"/>
      <c r="K702" s="111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</row>
    <row r="703" spans="1:25" ht="14.5">
      <c r="A703" s="109"/>
      <c r="B703" s="109"/>
      <c r="C703" s="109"/>
      <c r="D703" s="109"/>
      <c r="E703" s="109"/>
      <c r="F703" s="110"/>
      <c r="G703" s="109"/>
      <c r="H703" s="109"/>
      <c r="I703" s="109"/>
      <c r="J703" s="111"/>
      <c r="K703" s="111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</row>
    <row r="704" spans="1:25" ht="14.5">
      <c r="A704" s="109"/>
      <c r="B704" s="109"/>
      <c r="C704" s="109"/>
      <c r="D704" s="109"/>
      <c r="E704" s="109"/>
      <c r="F704" s="110"/>
      <c r="G704" s="109"/>
      <c r="H704" s="109"/>
      <c r="I704" s="109"/>
      <c r="J704" s="111"/>
      <c r="K704" s="111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</row>
    <row r="705" spans="1:25" ht="14.5">
      <c r="A705" s="109"/>
      <c r="B705" s="109"/>
      <c r="C705" s="109"/>
      <c r="D705" s="109"/>
      <c r="E705" s="109"/>
      <c r="F705" s="110"/>
      <c r="G705" s="109"/>
      <c r="H705" s="109"/>
      <c r="I705" s="109"/>
      <c r="J705" s="111"/>
      <c r="K705" s="111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</row>
    <row r="706" spans="1:25" ht="14.5">
      <c r="A706" s="109"/>
      <c r="B706" s="109"/>
      <c r="C706" s="109"/>
      <c r="D706" s="109"/>
      <c r="E706" s="109"/>
      <c r="F706" s="110"/>
      <c r="G706" s="109"/>
      <c r="H706" s="109"/>
      <c r="I706" s="109"/>
      <c r="J706" s="111"/>
      <c r="K706" s="111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</row>
    <row r="707" spans="1:25" ht="14.5">
      <c r="A707" s="109"/>
      <c r="B707" s="109"/>
      <c r="C707" s="109"/>
      <c r="D707" s="109"/>
      <c r="E707" s="109"/>
      <c r="F707" s="110"/>
      <c r="G707" s="109"/>
      <c r="H707" s="109"/>
      <c r="I707" s="109"/>
      <c r="J707" s="111"/>
      <c r="K707" s="111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</row>
    <row r="708" spans="1:25" ht="14.5">
      <c r="A708" s="109"/>
      <c r="B708" s="109"/>
      <c r="C708" s="109"/>
      <c r="D708" s="109"/>
      <c r="E708" s="109"/>
      <c r="F708" s="110"/>
      <c r="G708" s="109"/>
      <c r="H708" s="109"/>
      <c r="I708" s="109"/>
      <c r="J708" s="111"/>
      <c r="K708" s="111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</row>
    <row r="709" spans="1:25" ht="14.5">
      <c r="A709" s="109"/>
      <c r="B709" s="109"/>
      <c r="C709" s="109"/>
      <c r="D709" s="109"/>
      <c r="E709" s="109"/>
      <c r="F709" s="110"/>
      <c r="G709" s="109"/>
      <c r="H709" s="109"/>
      <c r="I709" s="109"/>
      <c r="J709" s="111"/>
      <c r="K709" s="111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</row>
    <row r="710" spans="1:25" ht="14.5">
      <c r="A710" s="109"/>
      <c r="B710" s="109"/>
      <c r="C710" s="109"/>
      <c r="D710" s="109"/>
      <c r="E710" s="109"/>
      <c r="F710" s="110"/>
      <c r="G710" s="109"/>
      <c r="H710" s="109"/>
      <c r="I710" s="109"/>
      <c r="J710" s="111"/>
      <c r="K710" s="111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</row>
    <row r="711" spans="1:25" ht="14.5">
      <c r="A711" s="109"/>
      <c r="B711" s="109"/>
      <c r="C711" s="109"/>
      <c r="D711" s="109"/>
      <c r="E711" s="109"/>
      <c r="F711" s="110"/>
      <c r="G711" s="109"/>
      <c r="H711" s="109"/>
      <c r="I711" s="109"/>
      <c r="J711" s="111"/>
      <c r="K711" s="111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</row>
    <row r="712" spans="1:25" ht="14.5">
      <c r="A712" s="109"/>
      <c r="B712" s="109"/>
      <c r="C712" s="109"/>
      <c r="D712" s="109"/>
      <c r="E712" s="109"/>
      <c r="F712" s="110"/>
      <c r="G712" s="109"/>
      <c r="H712" s="109"/>
      <c r="I712" s="109"/>
      <c r="J712" s="111"/>
      <c r="K712" s="111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</row>
    <row r="713" spans="1:25" ht="14.5">
      <c r="A713" s="109"/>
      <c r="B713" s="109"/>
      <c r="C713" s="109"/>
      <c r="D713" s="109"/>
      <c r="E713" s="109"/>
      <c r="F713" s="110"/>
      <c r="G713" s="109"/>
      <c r="H713" s="109"/>
      <c r="I713" s="109"/>
      <c r="J713" s="111"/>
      <c r="K713" s="111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</row>
    <row r="714" spans="1:25" ht="14.5">
      <c r="A714" s="109"/>
      <c r="B714" s="109"/>
      <c r="C714" s="109"/>
      <c r="D714" s="109"/>
      <c r="E714" s="109"/>
      <c r="F714" s="110"/>
      <c r="G714" s="109"/>
      <c r="H714" s="109"/>
      <c r="I714" s="109"/>
      <c r="J714" s="111"/>
      <c r="K714" s="111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</row>
    <row r="715" spans="1:25" ht="14.5">
      <c r="A715" s="109"/>
      <c r="B715" s="109"/>
      <c r="C715" s="109"/>
      <c r="D715" s="109"/>
      <c r="E715" s="109"/>
      <c r="F715" s="110"/>
      <c r="G715" s="109"/>
      <c r="H715" s="109"/>
      <c r="I715" s="109"/>
      <c r="J715" s="111"/>
      <c r="K715" s="111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</row>
    <row r="716" spans="1:25" ht="14.5">
      <c r="A716" s="109"/>
      <c r="B716" s="109"/>
      <c r="C716" s="109"/>
      <c r="D716" s="109"/>
      <c r="E716" s="109"/>
      <c r="F716" s="110"/>
      <c r="G716" s="109"/>
      <c r="H716" s="109"/>
      <c r="I716" s="109"/>
      <c r="J716" s="111"/>
      <c r="K716" s="111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</row>
    <row r="717" spans="1:25" ht="14.5">
      <c r="A717" s="109"/>
      <c r="B717" s="109"/>
      <c r="C717" s="109"/>
      <c r="D717" s="109"/>
      <c r="E717" s="109"/>
      <c r="F717" s="110"/>
      <c r="G717" s="109"/>
      <c r="H717" s="109"/>
      <c r="I717" s="109"/>
      <c r="J717" s="111"/>
      <c r="K717" s="111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</row>
    <row r="718" spans="1:25" ht="14.5">
      <c r="A718" s="109"/>
      <c r="B718" s="109"/>
      <c r="C718" s="109"/>
      <c r="D718" s="109"/>
      <c r="E718" s="109"/>
      <c r="F718" s="110"/>
      <c r="G718" s="109"/>
      <c r="H718" s="109"/>
      <c r="I718" s="109"/>
      <c r="J718" s="111"/>
      <c r="K718" s="111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</row>
    <row r="719" spans="1:25" ht="14.5">
      <c r="A719" s="109"/>
      <c r="B719" s="109"/>
      <c r="C719" s="109"/>
      <c r="D719" s="109"/>
      <c r="E719" s="109"/>
      <c r="F719" s="110"/>
      <c r="G719" s="109"/>
      <c r="H719" s="109"/>
      <c r="I719" s="109"/>
      <c r="J719" s="111"/>
      <c r="K719" s="111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</row>
    <row r="720" spans="1:25" ht="14.5">
      <c r="A720" s="109"/>
      <c r="B720" s="109"/>
      <c r="C720" s="109"/>
      <c r="D720" s="109"/>
      <c r="E720" s="109"/>
      <c r="F720" s="110"/>
      <c r="G720" s="109"/>
      <c r="H720" s="109"/>
      <c r="I720" s="109"/>
      <c r="J720" s="111"/>
      <c r="K720" s="111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</row>
    <row r="721" spans="1:25" ht="14.5">
      <c r="A721" s="109"/>
      <c r="B721" s="109"/>
      <c r="C721" s="109"/>
      <c r="D721" s="109"/>
      <c r="E721" s="109"/>
      <c r="F721" s="110"/>
      <c r="G721" s="109"/>
      <c r="H721" s="109"/>
      <c r="I721" s="109"/>
      <c r="J721" s="111"/>
      <c r="K721" s="111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</row>
    <row r="722" spans="1:25" ht="14.5">
      <c r="A722" s="109"/>
      <c r="B722" s="109"/>
      <c r="C722" s="109"/>
      <c r="D722" s="109"/>
      <c r="E722" s="109"/>
      <c r="F722" s="110"/>
      <c r="G722" s="109"/>
      <c r="H722" s="109"/>
      <c r="I722" s="109"/>
      <c r="J722" s="111"/>
      <c r="K722" s="111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</row>
    <row r="723" spans="1:25" ht="14.5">
      <c r="A723" s="109"/>
      <c r="B723" s="109"/>
      <c r="C723" s="109"/>
      <c r="D723" s="109"/>
      <c r="E723" s="109"/>
      <c r="F723" s="110"/>
      <c r="G723" s="109"/>
      <c r="H723" s="109"/>
      <c r="I723" s="109"/>
      <c r="J723" s="111"/>
      <c r="K723" s="111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</row>
    <row r="724" spans="1:25" ht="14.5">
      <c r="A724" s="109"/>
      <c r="B724" s="109"/>
      <c r="C724" s="109"/>
      <c r="D724" s="109"/>
      <c r="E724" s="109"/>
      <c r="F724" s="110"/>
      <c r="G724" s="109"/>
      <c r="H724" s="109"/>
      <c r="I724" s="109"/>
      <c r="J724" s="111"/>
      <c r="K724" s="111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</row>
    <row r="725" spans="1:25" ht="14.5">
      <c r="A725" s="109"/>
      <c r="B725" s="109"/>
      <c r="C725" s="109"/>
      <c r="D725" s="109"/>
      <c r="E725" s="109"/>
      <c r="F725" s="110"/>
      <c r="G725" s="109"/>
      <c r="H725" s="109"/>
      <c r="I725" s="109"/>
      <c r="J725" s="111"/>
      <c r="K725" s="111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</row>
    <row r="726" spans="1:25" ht="14.5">
      <c r="A726" s="109"/>
      <c r="B726" s="109"/>
      <c r="C726" s="109"/>
      <c r="D726" s="109"/>
      <c r="E726" s="109"/>
      <c r="F726" s="110"/>
      <c r="G726" s="109"/>
      <c r="H726" s="109"/>
      <c r="I726" s="109"/>
      <c r="J726" s="111"/>
      <c r="K726" s="111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</row>
    <row r="727" spans="1:25" ht="14.5">
      <c r="A727" s="109"/>
      <c r="B727" s="109"/>
      <c r="C727" s="109"/>
      <c r="D727" s="109"/>
      <c r="E727" s="109"/>
      <c r="F727" s="110"/>
      <c r="G727" s="109"/>
      <c r="H727" s="109"/>
      <c r="I727" s="109"/>
      <c r="J727" s="111"/>
      <c r="K727" s="111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</row>
    <row r="728" spans="1:25" ht="14.5">
      <c r="A728" s="109"/>
      <c r="B728" s="109"/>
      <c r="C728" s="109"/>
      <c r="D728" s="109"/>
      <c r="E728" s="109"/>
      <c r="F728" s="110"/>
      <c r="G728" s="109"/>
      <c r="H728" s="109"/>
      <c r="I728" s="109"/>
      <c r="J728" s="111"/>
      <c r="K728" s="111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</row>
    <row r="729" spans="1:25" ht="14.5">
      <c r="A729" s="109"/>
      <c r="B729" s="109"/>
      <c r="C729" s="109"/>
      <c r="D729" s="109"/>
      <c r="E729" s="109"/>
      <c r="F729" s="110"/>
      <c r="G729" s="109"/>
      <c r="H729" s="109"/>
      <c r="I729" s="109"/>
      <c r="J729" s="111"/>
      <c r="K729" s="111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</row>
    <row r="730" spans="1:25" ht="14.5">
      <c r="A730" s="109"/>
      <c r="B730" s="109"/>
      <c r="C730" s="109"/>
      <c r="D730" s="109"/>
      <c r="E730" s="109"/>
      <c r="F730" s="110"/>
      <c r="G730" s="109"/>
      <c r="H730" s="109"/>
      <c r="I730" s="109"/>
      <c r="J730" s="111"/>
      <c r="K730" s="111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</row>
    <row r="731" spans="1:25" ht="14.5">
      <c r="A731" s="109"/>
      <c r="B731" s="109"/>
      <c r="C731" s="109"/>
      <c r="D731" s="109"/>
      <c r="E731" s="109"/>
      <c r="F731" s="110"/>
      <c r="G731" s="109"/>
      <c r="H731" s="109"/>
      <c r="I731" s="109"/>
      <c r="J731" s="111"/>
      <c r="K731" s="111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</row>
    <row r="732" spans="1:25" ht="14.5">
      <c r="A732" s="109"/>
      <c r="B732" s="109"/>
      <c r="C732" s="109"/>
      <c r="D732" s="109"/>
      <c r="E732" s="109"/>
      <c r="F732" s="110"/>
      <c r="G732" s="109"/>
      <c r="H732" s="109"/>
      <c r="I732" s="109"/>
      <c r="J732" s="111"/>
      <c r="K732" s="111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</row>
    <row r="733" spans="1:25" ht="14.5">
      <c r="A733" s="109"/>
      <c r="B733" s="109"/>
      <c r="C733" s="109"/>
      <c r="D733" s="109"/>
      <c r="E733" s="109"/>
      <c r="F733" s="110"/>
      <c r="G733" s="109"/>
      <c r="H733" s="109"/>
      <c r="I733" s="109"/>
      <c r="J733" s="111"/>
      <c r="K733" s="111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</row>
    <row r="734" spans="1:25" ht="14.5">
      <c r="A734" s="109"/>
      <c r="B734" s="109"/>
      <c r="C734" s="109"/>
      <c r="D734" s="109"/>
      <c r="E734" s="109"/>
      <c r="F734" s="110"/>
      <c r="G734" s="109"/>
      <c r="H734" s="109"/>
      <c r="I734" s="109"/>
      <c r="J734" s="111"/>
      <c r="K734" s="111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</row>
    <row r="735" spans="1:25" ht="14.5">
      <c r="A735" s="109"/>
      <c r="B735" s="109"/>
      <c r="C735" s="109"/>
      <c r="D735" s="109"/>
      <c r="E735" s="109"/>
      <c r="F735" s="110"/>
      <c r="G735" s="109"/>
      <c r="H735" s="109"/>
      <c r="I735" s="109"/>
      <c r="J735" s="111"/>
      <c r="K735" s="111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</row>
    <row r="736" spans="1:25" ht="14.5">
      <c r="A736" s="109"/>
      <c r="B736" s="109"/>
      <c r="C736" s="109"/>
      <c r="D736" s="109"/>
      <c r="E736" s="109"/>
      <c r="F736" s="110"/>
      <c r="G736" s="109"/>
      <c r="H736" s="109"/>
      <c r="I736" s="109"/>
      <c r="J736" s="111"/>
      <c r="K736" s="111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</row>
    <row r="737" spans="1:25" ht="14.5">
      <c r="A737" s="109"/>
      <c r="B737" s="109"/>
      <c r="C737" s="109"/>
      <c r="D737" s="109"/>
      <c r="E737" s="109"/>
      <c r="F737" s="110"/>
      <c r="G737" s="109"/>
      <c r="H737" s="109"/>
      <c r="I737" s="109"/>
      <c r="J737" s="111"/>
      <c r="K737" s="111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</row>
    <row r="738" spans="1:25" ht="14.5">
      <c r="A738" s="109"/>
      <c r="B738" s="109"/>
      <c r="C738" s="109"/>
      <c r="D738" s="109"/>
      <c r="E738" s="109"/>
      <c r="F738" s="110"/>
      <c r="G738" s="109"/>
      <c r="H738" s="109"/>
      <c r="I738" s="109"/>
      <c r="J738" s="111"/>
      <c r="K738" s="111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</row>
    <row r="739" spans="1:25" ht="14.5">
      <c r="A739" s="109"/>
      <c r="B739" s="109"/>
      <c r="C739" s="109"/>
      <c r="D739" s="109"/>
      <c r="E739" s="109"/>
      <c r="F739" s="110"/>
      <c r="G739" s="109"/>
      <c r="H739" s="109"/>
      <c r="I739" s="109"/>
      <c r="J739" s="111"/>
      <c r="K739" s="111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</row>
    <row r="740" spans="1:25" ht="14.5">
      <c r="A740" s="109"/>
      <c r="B740" s="109"/>
      <c r="C740" s="109"/>
      <c r="D740" s="109"/>
      <c r="E740" s="109"/>
      <c r="F740" s="110"/>
      <c r="G740" s="109"/>
      <c r="H740" s="109"/>
      <c r="I740" s="109"/>
      <c r="J740" s="111"/>
      <c r="K740" s="111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</row>
    <row r="741" spans="1:25" ht="14.5">
      <c r="A741" s="109"/>
      <c r="B741" s="109"/>
      <c r="C741" s="109"/>
      <c r="D741" s="109"/>
      <c r="E741" s="109"/>
      <c r="F741" s="110"/>
      <c r="G741" s="109"/>
      <c r="H741" s="109"/>
      <c r="I741" s="109"/>
      <c r="J741" s="111"/>
      <c r="K741" s="111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</row>
    <row r="742" spans="1:25" ht="14.5">
      <c r="A742" s="109"/>
      <c r="B742" s="109"/>
      <c r="C742" s="109"/>
      <c r="D742" s="109"/>
      <c r="E742" s="109"/>
      <c r="F742" s="110"/>
      <c r="G742" s="109"/>
      <c r="H742" s="109"/>
      <c r="I742" s="109"/>
      <c r="J742" s="111"/>
      <c r="K742" s="111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</row>
    <row r="743" spans="1:25" ht="14.5">
      <c r="A743" s="109"/>
      <c r="B743" s="109"/>
      <c r="C743" s="109"/>
      <c r="D743" s="109"/>
      <c r="E743" s="109"/>
      <c r="F743" s="110"/>
      <c r="G743" s="109"/>
      <c r="H743" s="109"/>
      <c r="I743" s="109"/>
      <c r="J743" s="111"/>
      <c r="K743" s="111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</row>
    <row r="744" spans="1:25" ht="14.5">
      <c r="A744" s="109"/>
      <c r="B744" s="109"/>
      <c r="C744" s="109"/>
      <c r="D744" s="109"/>
      <c r="E744" s="109"/>
      <c r="F744" s="110"/>
      <c r="G744" s="109"/>
      <c r="H744" s="109"/>
      <c r="I744" s="109"/>
      <c r="J744" s="111"/>
      <c r="K744" s="111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</row>
    <row r="745" spans="1:25" ht="14.5">
      <c r="A745" s="109"/>
      <c r="B745" s="109"/>
      <c r="C745" s="109"/>
      <c r="D745" s="109"/>
      <c r="E745" s="109"/>
      <c r="F745" s="110"/>
      <c r="G745" s="109"/>
      <c r="H745" s="109"/>
      <c r="I745" s="109"/>
      <c r="J745" s="111"/>
      <c r="K745" s="111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</row>
    <row r="746" spans="1:25" ht="14.5">
      <c r="A746" s="109"/>
      <c r="B746" s="109"/>
      <c r="C746" s="109"/>
      <c r="D746" s="109"/>
      <c r="E746" s="109"/>
      <c r="F746" s="110"/>
      <c r="G746" s="109"/>
      <c r="H746" s="109"/>
      <c r="I746" s="109"/>
      <c r="J746" s="111"/>
      <c r="K746" s="111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</row>
    <row r="747" spans="1:25" ht="14.5">
      <c r="A747" s="109"/>
      <c r="B747" s="109"/>
      <c r="C747" s="109"/>
      <c r="D747" s="109"/>
      <c r="E747" s="109"/>
      <c r="F747" s="110"/>
      <c r="G747" s="109"/>
      <c r="H747" s="109"/>
      <c r="I747" s="109"/>
      <c r="J747" s="111"/>
      <c r="K747" s="111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</row>
    <row r="748" spans="1:25" ht="14.5">
      <c r="A748" s="109"/>
      <c r="B748" s="109"/>
      <c r="C748" s="109"/>
      <c r="D748" s="109"/>
      <c r="E748" s="109"/>
      <c r="F748" s="110"/>
      <c r="G748" s="109"/>
      <c r="H748" s="109"/>
      <c r="I748" s="109"/>
      <c r="J748" s="111"/>
      <c r="K748" s="111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</row>
    <row r="749" spans="1:25" ht="14.5">
      <c r="A749" s="109"/>
      <c r="B749" s="109"/>
      <c r="C749" s="109"/>
      <c r="D749" s="109"/>
      <c r="E749" s="109"/>
      <c r="F749" s="110"/>
      <c r="G749" s="109"/>
      <c r="H749" s="109"/>
      <c r="I749" s="109"/>
      <c r="J749" s="111"/>
      <c r="K749" s="111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</row>
    <row r="750" spans="1:25" ht="14.5">
      <c r="A750" s="109"/>
      <c r="B750" s="109"/>
      <c r="C750" s="109"/>
      <c r="D750" s="109"/>
      <c r="E750" s="109"/>
      <c r="F750" s="110"/>
      <c r="G750" s="109"/>
      <c r="H750" s="109"/>
      <c r="I750" s="109"/>
      <c r="J750" s="111"/>
      <c r="K750" s="111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</row>
    <row r="751" spans="1:25" ht="14.5">
      <c r="A751" s="109"/>
      <c r="B751" s="109"/>
      <c r="C751" s="109"/>
      <c r="D751" s="109"/>
      <c r="E751" s="109"/>
      <c r="F751" s="110"/>
      <c r="G751" s="109"/>
      <c r="H751" s="109"/>
      <c r="I751" s="109"/>
      <c r="J751" s="111"/>
      <c r="K751" s="111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</row>
    <row r="752" spans="1:25" ht="14.5">
      <c r="A752" s="109"/>
      <c r="B752" s="109"/>
      <c r="C752" s="109"/>
      <c r="D752" s="109"/>
      <c r="E752" s="109"/>
      <c r="F752" s="110"/>
      <c r="G752" s="109"/>
      <c r="H752" s="109"/>
      <c r="I752" s="109"/>
      <c r="J752" s="111"/>
      <c r="K752" s="111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</row>
    <row r="753" spans="1:25" ht="14.5">
      <c r="A753" s="109"/>
      <c r="B753" s="109"/>
      <c r="C753" s="109"/>
      <c r="D753" s="109"/>
      <c r="E753" s="109"/>
      <c r="F753" s="110"/>
      <c r="G753" s="109"/>
      <c r="H753" s="109"/>
      <c r="I753" s="109"/>
      <c r="J753" s="111"/>
      <c r="K753" s="111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</row>
    <row r="754" spans="1:25" ht="14.5">
      <c r="A754" s="109"/>
      <c r="B754" s="109"/>
      <c r="C754" s="109"/>
      <c r="D754" s="109"/>
      <c r="E754" s="109"/>
      <c r="F754" s="110"/>
      <c r="G754" s="109"/>
      <c r="H754" s="109"/>
      <c r="I754" s="109"/>
      <c r="J754" s="111"/>
      <c r="K754" s="111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</row>
    <row r="755" spans="1:25" ht="14.5">
      <c r="A755" s="109"/>
      <c r="B755" s="109"/>
      <c r="C755" s="109"/>
      <c r="D755" s="109"/>
      <c r="E755" s="109"/>
      <c r="F755" s="110"/>
      <c r="G755" s="109"/>
      <c r="H755" s="109"/>
      <c r="I755" s="109"/>
      <c r="J755" s="111"/>
      <c r="K755" s="111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</row>
    <row r="756" spans="1:25" ht="14.5">
      <c r="A756" s="109"/>
      <c r="B756" s="109"/>
      <c r="C756" s="109"/>
      <c r="D756" s="109"/>
      <c r="E756" s="109"/>
      <c r="F756" s="110"/>
      <c r="G756" s="109"/>
      <c r="H756" s="109"/>
      <c r="I756" s="109"/>
      <c r="J756" s="111"/>
      <c r="K756" s="111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</row>
    <row r="757" spans="1:25" ht="14.5">
      <c r="A757" s="109"/>
      <c r="B757" s="109"/>
      <c r="C757" s="109"/>
      <c r="D757" s="109"/>
      <c r="E757" s="109"/>
      <c r="F757" s="110"/>
      <c r="G757" s="109"/>
      <c r="H757" s="109"/>
      <c r="I757" s="109"/>
      <c r="J757" s="111"/>
      <c r="K757" s="111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</row>
    <row r="758" spans="1:25" ht="14.5">
      <c r="A758" s="109"/>
      <c r="B758" s="109"/>
      <c r="C758" s="109"/>
      <c r="D758" s="109"/>
      <c r="E758" s="109"/>
      <c r="F758" s="110"/>
      <c r="G758" s="109"/>
      <c r="H758" s="109"/>
      <c r="I758" s="109"/>
      <c r="J758" s="111"/>
      <c r="K758" s="111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</row>
    <row r="759" spans="1:25" ht="14.5">
      <c r="A759" s="109"/>
      <c r="B759" s="109"/>
      <c r="C759" s="109"/>
      <c r="D759" s="109"/>
      <c r="E759" s="109"/>
      <c r="F759" s="110"/>
      <c r="G759" s="109"/>
      <c r="H759" s="109"/>
      <c r="I759" s="109"/>
      <c r="J759" s="111"/>
      <c r="K759" s="111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</row>
    <row r="760" spans="1:25" ht="14.5">
      <c r="A760" s="109"/>
      <c r="B760" s="109"/>
      <c r="C760" s="109"/>
      <c r="D760" s="109"/>
      <c r="E760" s="109"/>
      <c r="F760" s="110"/>
      <c r="G760" s="109"/>
      <c r="H760" s="109"/>
      <c r="I760" s="109"/>
      <c r="J760" s="111"/>
      <c r="K760" s="111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</row>
    <row r="761" spans="1:25" ht="14.5">
      <c r="A761" s="109"/>
      <c r="B761" s="109"/>
      <c r="C761" s="109"/>
      <c r="D761" s="109"/>
      <c r="E761" s="109"/>
      <c r="F761" s="110"/>
      <c r="G761" s="109"/>
      <c r="H761" s="109"/>
      <c r="I761" s="109"/>
      <c r="J761" s="111"/>
      <c r="K761" s="111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</row>
    <row r="762" spans="1:25" ht="14.5">
      <c r="A762" s="109"/>
      <c r="B762" s="109"/>
      <c r="C762" s="109"/>
      <c r="D762" s="109"/>
      <c r="E762" s="109"/>
      <c r="F762" s="110"/>
      <c r="G762" s="109"/>
      <c r="H762" s="109"/>
      <c r="I762" s="109"/>
      <c r="J762" s="111"/>
      <c r="K762" s="111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</row>
    <row r="763" spans="1:25" ht="14.5">
      <c r="A763" s="109"/>
      <c r="B763" s="109"/>
      <c r="C763" s="109"/>
      <c r="D763" s="109"/>
      <c r="E763" s="109"/>
      <c r="F763" s="110"/>
      <c r="G763" s="109"/>
      <c r="H763" s="109"/>
      <c r="I763" s="109"/>
      <c r="J763" s="111"/>
      <c r="K763" s="111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</row>
    <row r="764" spans="1:25" ht="14.5">
      <c r="A764" s="109"/>
      <c r="B764" s="109"/>
      <c r="C764" s="109"/>
      <c r="D764" s="109"/>
      <c r="E764" s="109"/>
      <c r="F764" s="110"/>
      <c r="G764" s="109"/>
      <c r="H764" s="109"/>
      <c r="I764" s="109"/>
      <c r="J764" s="111"/>
      <c r="K764" s="111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</row>
    <row r="765" spans="1:25" ht="14.5">
      <c r="A765" s="109"/>
      <c r="B765" s="109"/>
      <c r="C765" s="109"/>
      <c r="D765" s="109"/>
      <c r="E765" s="109"/>
      <c r="F765" s="110"/>
      <c r="G765" s="109"/>
      <c r="H765" s="109"/>
      <c r="I765" s="109"/>
      <c r="J765" s="111"/>
      <c r="K765" s="111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</row>
    <row r="766" spans="1:25" ht="14.5">
      <c r="A766" s="109"/>
      <c r="B766" s="109"/>
      <c r="C766" s="109"/>
      <c r="D766" s="109"/>
      <c r="E766" s="109"/>
      <c r="F766" s="110"/>
      <c r="G766" s="109"/>
      <c r="H766" s="109"/>
      <c r="I766" s="109"/>
      <c r="J766" s="111"/>
      <c r="K766" s="111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</row>
    <row r="767" spans="1:25" ht="14.5">
      <c r="A767" s="109"/>
      <c r="B767" s="109"/>
      <c r="C767" s="109"/>
      <c r="D767" s="109"/>
      <c r="E767" s="109"/>
      <c r="F767" s="110"/>
      <c r="G767" s="109"/>
      <c r="H767" s="109"/>
      <c r="I767" s="109"/>
      <c r="J767" s="111"/>
      <c r="K767" s="111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</row>
    <row r="768" spans="1:25" ht="14.5">
      <c r="A768" s="109"/>
      <c r="B768" s="109"/>
      <c r="C768" s="109"/>
      <c r="D768" s="109"/>
      <c r="E768" s="109"/>
      <c r="F768" s="110"/>
      <c r="G768" s="109"/>
      <c r="H768" s="109"/>
      <c r="I768" s="109"/>
      <c r="J768" s="111"/>
      <c r="K768" s="111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</row>
    <row r="769" spans="1:25" ht="14.5">
      <c r="A769" s="109"/>
      <c r="B769" s="109"/>
      <c r="C769" s="109"/>
      <c r="D769" s="109"/>
      <c r="E769" s="109"/>
      <c r="F769" s="110"/>
      <c r="G769" s="109"/>
      <c r="H769" s="109"/>
      <c r="I769" s="109"/>
      <c r="J769" s="111"/>
      <c r="K769" s="111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</row>
    <row r="770" spans="1:25" ht="14.5">
      <c r="A770" s="109"/>
      <c r="B770" s="109"/>
      <c r="C770" s="109"/>
      <c r="D770" s="109"/>
      <c r="E770" s="109"/>
      <c r="F770" s="110"/>
      <c r="G770" s="109"/>
      <c r="H770" s="109"/>
      <c r="I770" s="109"/>
      <c r="J770" s="111"/>
      <c r="K770" s="111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</row>
    <row r="771" spans="1:25" ht="14.5">
      <c r="A771" s="109"/>
      <c r="B771" s="109"/>
      <c r="C771" s="109"/>
      <c r="D771" s="109"/>
      <c r="E771" s="109"/>
      <c r="F771" s="110"/>
      <c r="G771" s="109"/>
      <c r="H771" s="109"/>
      <c r="I771" s="109"/>
      <c r="J771" s="111"/>
      <c r="K771" s="111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</row>
    <row r="772" spans="1:25" ht="14.5">
      <c r="A772" s="109"/>
      <c r="B772" s="109"/>
      <c r="C772" s="109"/>
      <c r="D772" s="109"/>
      <c r="E772" s="109"/>
      <c r="F772" s="110"/>
      <c r="G772" s="109"/>
      <c r="H772" s="109"/>
      <c r="I772" s="109"/>
      <c r="J772" s="111"/>
      <c r="K772" s="111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</row>
    <row r="773" spans="1:25" ht="14.5">
      <c r="A773" s="109"/>
      <c r="B773" s="109"/>
      <c r="C773" s="109"/>
      <c r="D773" s="109"/>
      <c r="E773" s="109"/>
      <c r="F773" s="110"/>
      <c r="G773" s="109"/>
      <c r="H773" s="109"/>
      <c r="I773" s="109"/>
      <c r="J773" s="111"/>
      <c r="K773" s="111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</row>
    <row r="774" spans="1:25" ht="14.5">
      <c r="A774" s="109"/>
      <c r="B774" s="109"/>
      <c r="C774" s="109"/>
      <c r="D774" s="109"/>
      <c r="E774" s="109"/>
      <c r="F774" s="110"/>
      <c r="G774" s="109"/>
      <c r="H774" s="109"/>
      <c r="I774" s="109"/>
      <c r="J774" s="111"/>
      <c r="K774" s="111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</row>
    <row r="775" spans="1:25" ht="14.5">
      <c r="A775" s="109"/>
      <c r="B775" s="109"/>
      <c r="C775" s="109"/>
      <c r="D775" s="109"/>
      <c r="E775" s="109"/>
      <c r="F775" s="110"/>
      <c r="G775" s="109"/>
      <c r="H775" s="109"/>
      <c r="I775" s="109"/>
      <c r="J775" s="111"/>
      <c r="K775" s="111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</row>
    <row r="776" spans="1:25" ht="14.5">
      <c r="A776" s="109"/>
      <c r="B776" s="109"/>
      <c r="C776" s="109"/>
      <c r="D776" s="109"/>
      <c r="E776" s="109"/>
      <c r="F776" s="110"/>
      <c r="G776" s="109"/>
      <c r="H776" s="109"/>
      <c r="I776" s="109"/>
      <c r="J776" s="111"/>
      <c r="K776" s="111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</row>
    <row r="777" spans="1:25" ht="14.5">
      <c r="A777" s="109"/>
      <c r="B777" s="109"/>
      <c r="C777" s="109"/>
      <c r="D777" s="109"/>
      <c r="E777" s="109"/>
      <c r="F777" s="110"/>
      <c r="G777" s="109"/>
      <c r="H777" s="109"/>
      <c r="I777" s="109"/>
      <c r="J777" s="111"/>
      <c r="K777" s="111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</row>
    <row r="778" spans="1:25" ht="14.5">
      <c r="A778" s="109"/>
      <c r="B778" s="109"/>
      <c r="C778" s="109"/>
      <c r="D778" s="109"/>
      <c r="E778" s="109"/>
      <c r="F778" s="110"/>
      <c r="G778" s="109"/>
      <c r="H778" s="109"/>
      <c r="I778" s="109"/>
      <c r="J778" s="111"/>
      <c r="K778" s="111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</row>
    <row r="779" spans="1:25" ht="14.5">
      <c r="A779" s="109"/>
      <c r="B779" s="109"/>
      <c r="C779" s="109"/>
      <c r="D779" s="109"/>
      <c r="E779" s="109"/>
      <c r="F779" s="110"/>
      <c r="G779" s="109"/>
      <c r="H779" s="109"/>
      <c r="I779" s="109"/>
      <c r="J779" s="111"/>
      <c r="K779" s="111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</row>
    <row r="780" spans="1:25" ht="14.5">
      <c r="A780" s="109"/>
      <c r="B780" s="109"/>
      <c r="C780" s="109"/>
      <c r="D780" s="109"/>
      <c r="E780" s="109"/>
      <c r="F780" s="110"/>
      <c r="G780" s="109"/>
      <c r="H780" s="109"/>
      <c r="I780" s="109"/>
      <c r="J780" s="111"/>
      <c r="K780" s="111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</row>
    <row r="781" spans="1:25" ht="14.5">
      <c r="A781" s="109"/>
      <c r="B781" s="109"/>
      <c r="C781" s="109"/>
      <c r="D781" s="109"/>
      <c r="E781" s="109"/>
      <c r="F781" s="110"/>
      <c r="G781" s="109"/>
      <c r="H781" s="109"/>
      <c r="I781" s="109"/>
      <c r="J781" s="111"/>
      <c r="K781" s="111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</row>
    <row r="782" spans="1:25" ht="14.5">
      <c r="A782" s="109"/>
      <c r="B782" s="109"/>
      <c r="C782" s="109"/>
      <c r="D782" s="109"/>
      <c r="E782" s="109"/>
      <c r="F782" s="110"/>
      <c r="G782" s="109"/>
      <c r="H782" s="109"/>
      <c r="I782" s="109"/>
      <c r="J782" s="111"/>
      <c r="K782" s="111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</row>
    <row r="783" spans="1:25" ht="14.5">
      <c r="A783" s="109"/>
      <c r="B783" s="109"/>
      <c r="C783" s="109"/>
      <c r="D783" s="109"/>
      <c r="E783" s="109"/>
      <c r="F783" s="110"/>
      <c r="G783" s="109"/>
      <c r="H783" s="109"/>
      <c r="I783" s="109"/>
      <c r="J783" s="111"/>
      <c r="K783" s="111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</row>
    <row r="784" spans="1:25" ht="14.5">
      <c r="A784" s="109"/>
      <c r="B784" s="109"/>
      <c r="C784" s="109"/>
      <c r="D784" s="109"/>
      <c r="E784" s="109"/>
      <c r="F784" s="110"/>
      <c r="G784" s="109"/>
      <c r="H784" s="109"/>
      <c r="I784" s="109"/>
      <c r="J784" s="111"/>
      <c r="K784" s="111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</row>
    <row r="785" spans="1:25" ht="14.5">
      <c r="A785" s="109"/>
      <c r="B785" s="109"/>
      <c r="C785" s="109"/>
      <c r="D785" s="109"/>
      <c r="E785" s="109"/>
      <c r="F785" s="110"/>
      <c r="G785" s="109"/>
      <c r="H785" s="109"/>
      <c r="I785" s="109"/>
      <c r="J785" s="111"/>
      <c r="K785" s="111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</row>
    <row r="786" spans="1:25" ht="14.5">
      <c r="A786" s="109"/>
      <c r="B786" s="109"/>
      <c r="C786" s="109"/>
      <c r="D786" s="109"/>
      <c r="E786" s="109"/>
      <c r="F786" s="110"/>
      <c r="G786" s="109"/>
      <c r="H786" s="109"/>
      <c r="I786" s="109"/>
      <c r="J786" s="111"/>
      <c r="K786" s="111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</row>
    <row r="787" spans="1:25" ht="14.5">
      <c r="A787" s="109"/>
      <c r="B787" s="109"/>
      <c r="C787" s="109"/>
      <c r="D787" s="109"/>
      <c r="E787" s="109"/>
      <c r="F787" s="110"/>
      <c r="G787" s="109"/>
      <c r="H787" s="109"/>
      <c r="I787" s="109"/>
      <c r="J787" s="111"/>
      <c r="K787" s="111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</row>
    <row r="788" spans="1:25" ht="14.5">
      <c r="A788" s="109"/>
      <c r="B788" s="109"/>
      <c r="C788" s="109"/>
      <c r="D788" s="109"/>
      <c r="E788" s="109"/>
      <c r="F788" s="110"/>
      <c r="G788" s="109"/>
      <c r="H788" s="109"/>
      <c r="I788" s="109"/>
      <c r="J788" s="111"/>
      <c r="K788" s="111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</row>
    <row r="789" spans="1:25" ht="14.5">
      <c r="A789" s="109"/>
      <c r="B789" s="109"/>
      <c r="C789" s="109"/>
      <c r="D789" s="109"/>
      <c r="E789" s="109"/>
      <c r="F789" s="110"/>
      <c r="G789" s="109"/>
      <c r="H789" s="109"/>
      <c r="I789" s="109"/>
      <c r="J789" s="111"/>
      <c r="K789" s="111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</row>
    <row r="790" spans="1:25" ht="14.5">
      <c r="A790" s="109"/>
      <c r="B790" s="109"/>
      <c r="C790" s="109"/>
      <c r="D790" s="109"/>
      <c r="E790" s="109"/>
      <c r="F790" s="110"/>
      <c r="G790" s="109"/>
      <c r="H790" s="109"/>
      <c r="I790" s="109"/>
      <c r="J790" s="111"/>
      <c r="K790" s="111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</row>
    <row r="791" spans="1:25" ht="14.5">
      <c r="A791" s="109"/>
      <c r="B791" s="109"/>
      <c r="C791" s="109"/>
      <c r="D791" s="109"/>
      <c r="E791" s="109"/>
      <c r="F791" s="110"/>
      <c r="G791" s="109"/>
      <c r="H791" s="109"/>
      <c r="I791" s="109"/>
      <c r="J791" s="111"/>
      <c r="K791" s="111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</row>
    <row r="792" spans="1:25" ht="14.5">
      <c r="A792" s="109"/>
      <c r="B792" s="109"/>
      <c r="C792" s="109"/>
      <c r="D792" s="109"/>
      <c r="E792" s="109"/>
      <c r="F792" s="110"/>
      <c r="G792" s="109"/>
      <c r="H792" s="109"/>
      <c r="I792" s="109"/>
      <c r="J792" s="111"/>
      <c r="K792" s="111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</row>
    <row r="793" spans="1:25" ht="14.5">
      <c r="A793" s="109"/>
      <c r="B793" s="109"/>
      <c r="C793" s="109"/>
      <c r="D793" s="109"/>
      <c r="E793" s="109"/>
      <c r="F793" s="110"/>
      <c r="G793" s="109"/>
      <c r="H793" s="109"/>
      <c r="I793" s="109"/>
      <c r="J793" s="111"/>
      <c r="K793" s="111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</row>
    <row r="794" spans="1:25" ht="14.5">
      <c r="A794" s="109"/>
      <c r="B794" s="109"/>
      <c r="C794" s="109"/>
      <c r="D794" s="109"/>
      <c r="E794" s="109"/>
      <c r="F794" s="110"/>
      <c r="G794" s="109"/>
      <c r="H794" s="109"/>
      <c r="I794" s="109"/>
      <c r="J794" s="111"/>
      <c r="K794" s="111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</row>
    <row r="795" spans="1:25" ht="14.5">
      <c r="A795" s="109"/>
      <c r="B795" s="109"/>
      <c r="C795" s="109"/>
      <c r="D795" s="109"/>
      <c r="E795" s="109"/>
      <c r="F795" s="110"/>
      <c r="G795" s="109"/>
      <c r="H795" s="109"/>
      <c r="I795" s="109"/>
      <c r="J795" s="111"/>
      <c r="K795" s="111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</row>
    <row r="796" spans="1:25" ht="14.5">
      <c r="A796" s="109"/>
      <c r="B796" s="109"/>
      <c r="C796" s="109"/>
      <c r="D796" s="109"/>
      <c r="E796" s="109"/>
      <c r="F796" s="110"/>
      <c r="G796" s="109"/>
      <c r="H796" s="109"/>
      <c r="I796" s="109"/>
      <c r="J796" s="111"/>
      <c r="K796" s="111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</row>
    <row r="797" spans="1:25" ht="14.5">
      <c r="A797" s="109"/>
      <c r="B797" s="109"/>
      <c r="C797" s="109"/>
      <c r="D797" s="109"/>
      <c r="E797" s="109"/>
      <c r="F797" s="110"/>
      <c r="G797" s="109"/>
      <c r="H797" s="109"/>
      <c r="I797" s="109"/>
      <c r="J797" s="111"/>
      <c r="K797" s="111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</row>
    <row r="798" spans="1:25" ht="14.5">
      <c r="A798" s="109"/>
      <c r="B798" s="109"/>
      <c r="C798" s="109"/>
      <c r="D798" s="109"/>
      <c r="E798" s="109"/>
      <c r="F798" s="110"/>
      <c r="G798" s="109"/>
      <c r="H798" s="109"/>
      <c r="I798" s="109"/>
      <c r="J798" s="111"/>
      <c r="K798" s="111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</row>
    <row r="799" spans="1:25" ht="14.5">
      <c r="A799" s="109"/>
      <c r="B799" s="109"/>
      <c r="C799" s="109"/>
      <c r="D799" s="109"/>
      <c r="E799" s="109"/>
      <c r="F799" s="110"/>
      <c r="G799" s="109"/>
      <c r="H799" s="109"/>
      <c r="I799" s="109"/>
      <c r="J799" s="111"/>
      <c r="K799" s="111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</row>
    <row r="800" spans="1:25" ht="14.5">
      <c r="A800" s="109"/>
      <c r="B800" s="109"/>
      <c r="C800" s="109"/>
      <c r="D800" s="109"/>
      <c r="E800" s="109"/>
      <c r="F800" s="110"/>
      <c r="G800" s="109"/>
      <c r="H800" s="109"/>
      <c r="I800" s="109"/>
      <c r="J800" s="111"/>
      <c r="K800" s="111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</row>
    <row r="801" spans="1:25" ht="14.5">
      <c r="A801" s="109"/>
      <c r="B801" s="109"/>
      <c r="C801" s="109"/>
      <c r="D801" s="109"/>
      <c r="E801" s="109"/>
      <c r="F801" s="110"/>
      <c r="G801" s="109"/>
      <c r="H801" s="109"/>
      <c r="I801" s="109"/>
      <c r="J801" s="111"/>
      <c r="K801" s="111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</row>
    <row r="802" spans="1:25" ht="14.5">
      <c r="A802" s="109"/>
      <c r="B802" s="109"/>
      <c r="C802" s="109"/>
      <c r="D802" s="109"/>
      <c r="E802" s="109"/>
      <c r="F802" s="110"/>
      <c r="G802" s="109"/>
      <c r="H802" s="109"/>
      <c r="I802" s="109"/>
      <c r="J802" s="111"/>
      <c r="K802" s="111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</row>
    <row r="803" spans="1:25" ht="14.5">
      <c r="A803" s="109"/>
      <c r="B803" s="109"/>
      <c r="C803" s="109"/>
      <c r="D803" s="109"/>
      <c r="E803" s="109"/>
      <c r="F803" s="110"/>
      <c r="G803" s="109"/>
      <c r="H803" s="109"/>
      <c r="I803" s="109"/>
      <c r="J803" s="111"/>
      <c r="K803" s="111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</row>
    <row r="804" spans="1:25" ht="14.5">
      <c r="A804" s="109"/>
      <c r="B804" s="109"/>
      <c r="C804" s="109"/>
      <c r="D804" s="109"/>
      <c r="E804" s="109"/>
      <c r="F804" s="110"/>
      <c r="G804" s="109"/>
      <c r="H804" s="109"/>
      <c r="I804" s="109"/>
      <c r="J804" s="111"/>
      <c r="K804" s="111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</row>
    <row r="805" spans="1:25" ht="14.5">
      <c r="A805" s="109"/>
      <c r="B805" s="109"/>
      <c r="C805" s="109"/>
      <c r="D805" s="109"/>
      <c r="E805" s="109"/>
      <c r="F805" s="110"/>
      <c r="G805" s="109"/>
      <c r="H805" s="109"/>
      <c r="I805" s="109"/>
      <c r="J805" s="111"/>
      <c r="K805" s="111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</row>
    <row r="806" spans="1:25" ht="14.5">
      <c r="A806" s="109"/>
      <c r="B806" s="109"/>
      <c r="C806" s="109"/>
      <c r="D806" s="109"/>
      <c r="E806" s="109"/>
      <c r="F806" s="110"/>
      <c r="G806" s="109"/>
      <c r="H806" s="109"/>
      <c r="I806" s="109"/>
      <c r="J806" s="111"/>
      <c r="K806" s="111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</row>
    <row r="807" spans="1:25" ht="14.5">
      <c r="A807" s="109"/>
      <c r="B807" s="109"/>
      <c r="C807" s="109"/>
      <c r="D807" s="109"/>
      <c r="E807" s="109"/>
      <c r="F807" s="110"/>
      <c r="G807" s="109"/>
      <c r="H807" s="109"/>
      <c r="I807" s="109"/>
      <c r="J807" s="111"/>
      <c r="K807" s="111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</row>
    <row r="808" spans="1:25" ht="14.5">
      <c r="A808" s="109"/>
      <c r="B808" s="109"/>
      <c r="C808" s="109"/>
      <c r="D808" s="109"/>
      <c r="E808" s="109"/>
      <c r="F808" s="110"/>
      <c r="G808" s="109"/>
      <c r="H808" s="109"/>
      <c r="I808" s="109"/>
      <c r="J808" s="111"/>
      <c r="K808" s="111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</row>
    <row r="809" spans="1:25" ht="14.5">
      <c r="A809" s="109"/>
      <c r="B809" s="109"/>
      <c r="C809" s="109"/>
      <c r="D809" s="109"/>
      <c r="E809" s="109"/>
      <c r="F809" s="110"/>
      <c r="G809" s="109"/>
      <c r="H809" s="109"/>
      <c r="I809" s="109"/>
      <c r="J809" s="111"/>
      <c r="K809" s="111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</row>
    <row r="810" spans="1:25" ht="14.5">
      <c r="A810" s="109"/>
      <c r="B810" s="109"/>
      <c r="C810" s="109"/>
      <c r="D810" s="109"/>
      <c r="E810" s="109"/>
      <c r="F810" s="110"/>
      <c r="G810" s="109"/>
      <c r="H810" s="109"/>
      <c r="I810" s="109"/>
      <c r="J810" s="111"/>
      <c r="K810" s="111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</row>
    <row r="811" spans="1:25" ht="14.5">
      <c r="A811" s="109"/>
      <c r="B811" s="109"/>
      <c r="C811" s="109"/>
      <c r="D811" s="109"/>
      <c r="E811" s="109"/>
      <c r="F811" s="110"/>
      <c r="G811" s="109"/>
      <c r="H811" s="109"/>
      <c r="I811" s="109"/>
      <c r="J811" s="111"/>
      <c r="K811" s="111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</row>
    <row r="812" spans="1:25" ht="14.5">
      <c r="A812" s="109"/>
      <c r="B812" s="109"/>
      <c r="C812" s="109"/>
      <c r="D812" s="109"/>
      <c r="E812" s="109"/>
      <c r="F812" s="110"/>
      <c r="G812" s="109"/>
      <c r="H812" s="109"/>
      <c r="I812" s="109"/>
      <c r="J812" s="111"/>
      <c r="K812" s="111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</row>
    <row r="813" spans="1:25" ht="14.5">
      <c r="A813" s="109"/>
      <c r="B813" s="109"/>
      <c r="C813" s="109"/>
      <c r="D813" s="109"/>
      <c r="E813" s="109"/>
      <c r="F813" s="110"/>
      <c r="G813" s="109"/>
      <c r="H813" s="109"/>
      <c r="I813" s="109"/>
      <c r="J813" s="111"/>
      <c r="K813" s="111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</row>
    <row r="814" spans="1:25" ht="14.5">
      <c r="A814" s="109"/>
      <c r="B814" s="109"/>
      <c r="C814" s="109"/>
      <c r="D814" s="109"/>
      <c r="E814" s="109"/>
      <c r="F814" s="110"/>
      <c r="G814" s="109"/>
      <c r="H814" s="109"/>
      <c r="I814" s="109"/>
      <c r="J814" s="111"/>
      <c r="K814" s="111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</row>
    <row r="815" spans="1:25" ht="14.5">
      <c r="A815" s="109"/>
      <c r="B815" s="109"/>
      <c r="C815" s="109"/>
      <c r="D815" s="109"/>
      <c r="E815" s="109"/>
      <c r="F815" s="110"/>
      <c r="G815" s="109"/>
      <c r="H815" s="109"/>
      <c r="I815" s="109"/>
      <c r="J815" s="111"/>
      <c r="K815" s="111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</row>
    <row r="816" spans="1:25" ht="14.5">
      <c r="A816" s="109"/>
      <c r="B816" s="109"/>
      <c r="C816" s="109"/>
      <c r="D816" s="109"/>
      <c r="E816" s="109"/>
      <c r="F816" s="110"/>
      <c r="G816" s="109"/>
      <c r="H816" s="109"/>
      <c r="I816" s="109"/>
      <c r="J816" s="111"/>
      <c r="K816" s="111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</row>
    <row r="817" spans="1:25" ht="14.5">
      <c r="A817" s="109"/>
      <c r="B817" s="109"/>
      <c r="C817" s="109"/>
      <c r="D817" s="109"/>
      <c r="E817" s="109"/>
      <c r="F817" s="110"/>
      <c r="G817" s="109"/>
      <c r="H817" s="109"/>
      <c r="I817" s="109"/>
      <c r="J817" s="111"/>
      <c r="K817" s="111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</row>
    <row r="818" spans="1:25" ht="14.5">
      <c r="A818" s="109"/>
      <c r="B818" s="109"/>
      <c r="C818" s="109"/>
      <c r="D818" s="109"/>
      <c r="E818" s="109"/>
      <c r="F818" s="110"/>
      <c r="G818" s="109"/>
      <c r="H818" s="109"/>
      <c r="I818" s="109"/>
      <c r="J818" s="111"/>
      <c r="K818" s="111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</row>
    <row r="819" spans="1:25" ht="14.5">
      <c r="A819" s="109"/>
      <c r="B819" s="109"/>
      <c r="C819" s="109"/>
      <c r="D819" s="109"/>
      <c r="E819" s="109"/>
      <c r="F819" s="110"/>
      <c r="G819" s="109"/>
      <c r="H819" s="109"/>
      <c r="I819" s="109"/>
      <c r="J819" s="111"/>
      <c r="K819" s="111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</row>
    <row r="820" spans="1:25" ht="14.5">
      <c r="A820" s="109"/>
      <c r="B820" s="109"/>
      <c r="C820" s="109"/>
      <c r="D820" s="109"/>
      <c r="E820" s="109"/>
      <c r="F820" s="110"/>
      <c r="G820" s="109"/>
      <c r="H820" s="109"/>
      <c r="I820" s="109"/>
      <c r="J820" s="111"/>
      <c r="K820" s="111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</row>
    <row r="821" spans="1:25" ht="14.5">
      <c r="A821" s="109"/>
      <c r="B821" s="109"/>
      <c r="C821" s="109"/>
      <c r="D821" s="109"/>
      <c r="E821" s="109"/>
      <c r="F821" s="110"/>
      <c r="G821" s="109"/>
      <c r="H821" s="109"/>
      <c r="I821" s="109"/>
      <c r="J821" s="111"/>
      <c r="K821" s="111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</row>
    <row r="822" spans="1:25" ht="14.5">
      <c r="A822" s="109"/>
      <c r="B822" s="109"/>
      <c r="C822" s="109"/>
      <c r="D822" s="109"/>
      <c r="E822" s="109"/>
      <c r="F822" s="110"/>
      <c r="G822" s="109"/>
      <c r="H822" s="109"/>
      <c r="I822" s="109"/>
      <c r="J822" s="111"/>
      <c r="K822" s="111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</row>
    <row r="823" spans="1:25" ht="14.5">
      <c r="A823" s="109"/>
      <c r="B823" s="109"/>
      <c r="C823" s="109"/>
      <c r="D823" s="109"/>
      <c r="E823" s="109"/>
      <c r="F823" s="110"/>
      <c r="G823" s="109"/>
      <c r="H823" s="109"/>
      <c r="I823" s="109"/>
      <c r="J823" s="111"/>
      <c r="K823" s="111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</row>
    <row r="824" spans="1:25" ht="14.5">
      <c r="A824" s="109"/>
      <c r="B824" s="109"/>
      <c r="C824" s="109"/>
      <c r="D824" s="109"/>
      <c r="E824" s="109"/>
      <c r="F824" s="110"/>
      <c r="G824" s="109"/>
      <c r="H824" s="109"/>
      <c r="I824" s="109"/>
      <c r="J824" s="111"/>
      <c r="K824" s="111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</row>
    <row r="825" spans="1:25" ht="14.5">
      <c r="A825" s="109"/>
      <c r="B825" s="109"/>
      <c r="C825" s="109"/>
      <c r="D825" s="109"/>
      <c r="E825" s="109"/>
      <c r="F825" s="110"/>
      <c r="G825" s="109"/>
      <c r="H825" s="109"/>
      <c r="I825" s="109"/>
      <c r="J825" s="111"/>
      <c r="K825" s="111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</row>
    <row r="826" spans="1:25" ht="14.5">
      <c r="A826" s="109"/>
      <c r="B826" s="109"/>
      <c r="C826" s="109"/>
      <c r="D826" s="109"/>
      <c r="E826" s="109"/>
      <c r="F826" s="110"/>
      <c r="G826" s="109"/>
      <c r="H826" s="109"/>
      <c r="I826" s="109"/>
      <c r="J826" s="111"/>
      <c r="K826" s="111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</row>
    <row r="827" spans="1:25" ht="14.5">
      <c r="A827" s="109"/>
      <c r="B827" s="109"/>
      <c r="C827" s="109"/>
      <c r="D827" s="109"/>
      <c r="E827" s="109"/>
      <c r="F827" s="110"/>
      <c r="G827" s="109"/>
      <c r="H827" s="109"/>
      <c r="I827" s="109"/>
      <c r="J827" s="111"/>
      <c r="K827" s="111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</row>
    <row r="828" spans="1:25" ht="14.5">
      <c r="A828" s="109"/>
      <c r="B828" s="109"/>
      <c r="C828" s="109"/>
      <c r="D828" s="109"/>
      <c r="E828" s="109"/>
      <c r="F828" s="110"/>
      <c r="G828" s="109"/>
      <c r="H828" s="109"/>
      <c r="I828" s="109"/>
      <c r="J828" s="111"/>
      <c r="K828" s="111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</row>
    <row r="829" spans="1:25" ht="14.5">
      <c r="A829" s="109"/>
      <c r="B829" s="109"/>
      <c r="C829" s="109"/>
      <c r="D829" s="109"/>
      <c r="E829" s="109"/>
      <c r="F829" s="110"/>
      <c r="G829" s="109"/>
      <c r="H829" s="109"/>
      <c r="I829" s="109"/>
      <c r="J829" s="111"/>
      <c r="K829" s="111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</row>
    <row r="830" spans="1:25" ht="14.5">
      <c r="A830" s="109"/>
      <c r="B830" s="109"/>
      <c r="C830" s="109"/>
      <c r="D830" s="109"/>
      <c r="E830" s="109"/>
      <c r="F830" s="110"/>
      <c r="G830" s="109"/>
      <c r="H830" s="109"/>
      <c r="I830" s="109"/>
      <c r="J830" s="111"/>
      <c r="K830" s="111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</row>
    <row r="831" spans="1:25" ht="14.5">
      <c r="A831" s="109"/>
      <c r="B831" s="109"/>
      <c r="C831" s="109"/>
      <c r="D831" s="109"/>
      <c r="E831" s="109"/>
      <c r="F831" s="110"/>
      <c r="G831" s="109"/>
      <c r="H831" s="109"/>
      <c r="I831" s="109"/>
      <c r="J831" s="111"/>
      <c r="K831" s="111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</row>
    <row r="832" spans="1:25" ht="14.5">
      <c r="A832" s="109"/>
      <c r="B832" s="109"/>
      <c r="C832" s="109"/>
      <c r="D832" s="109"/>
      <c r="E832" s="109"/>
      <c r="F832" s="110"/>
      <c r="G832" s="109"/>
      <c r="H832" s="109"/>
      <c r="I832" s="109"/>
      <c r="J832" s="111"/>
      <c r="K832" s="111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</row>
    <row r="833" spans="1:25" ht="14.5">
      <c r="A833" s="109"/>
      <c r="B833" s="109"/>
      <c r="C833" s="109"/>
      <c r="D833" s="109"/>
      <c r="E833" s="109"/>
      <c r="F833" s="110"/>
      <c r="G833" s="109"/>
      <c r="H833" s="109"/>
      <c r="I833" s="109"/>
      <c r="J833" s="111"/>
      <c r="K833" s="111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</row>
    <row r="834" spans="1:25" ht="14.5">
      <c r="A834" s="109"/>
      <c r="B834" s="109"/>
      <c r="C834" s="109"/>
      <c r="D834" s="109"/>
      <c r="E834" s="109"/>
      <c r="F834" s="110"/>
      <c r="G834" s="109"/>
      <c r="H834" s="109"/>
      <c r="I834" s="109"/>
      <c r="J834" s="111"/>
      <c r="K834" s="111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</row>
    <row r="835" spans="1:25" ht="14.5">
      <c r="A835" s="109"/>
      <c r="B835" s="109"/>
      <c r="C835" s="109"/>
      <c r="D835" s="109"/>
      <c r="E835" s="109"/>
      <c r="F835" s="110"/>
      <c r="G835" s="109"/>
      <c r="H835" s="109"/>
      <c r="I835" s="109"/>
      <c r="J835" s="111"/>
      <c r="K835" s="111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</row>
    <row r="836" spans="1:25" ht="14.5">
      <c r="A836" s="109"/>
      <c r="B836" s="109"/>
      <c r="C836" s="109"/>
      <c r="D836" s="109"/>
      <c r="E836" s="109"/>
      <c r="F836" s="110"/>
      <c r="G836" s="109"/>
      <c r="H836" s="109"/>
      <c r="I836" s="109"/>
      <c r="J836" s="111"/>
      <c r="K836" s="111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</row>
    <row r="837" spans="1:25" ht="14.5">
      <c r="A837" s="109"/>
      <c r="B837" s="109"/>
      <c r="C837" s="109"/>
      <c r="D837" s="109"/>
      <c r="E837" s="109"/>
      <c r="F837" s="110"/>
      <c r="G837" s="109"/>
      <c r="H837" s="109"/>
      <c r="I837" s="109"/>
      <c r="J837" s="111"/>
      <c r="K837" s="111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</row>
    <row r="838" spans="1:25" ht="14.5">
      <c r="A838" s="109"/>
      <c r="B838" s="109"/>
      <c r="C838" s="109"/>
      <c r="D838" s="109"/>
      <c r="E838" s="109"/>
      <c r="F838" s="110"/>
      <c r="G838" s="109"/>
      <c r="H838" s="109"/>
      <c r="I838" s="109"/>
      <c r="J838" s="111"/>
      <c r="K838" s="111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</row>
    <row r="839" spans="1:25" ht="14.5">
      <c r="A839" s="109"/>
      <c r="B839" s="109"/>
      <c r="C839" s="109"/>
      <c r="D839" s="109"/>
      <c r="E839" s="109"/>
      <c r="F839" s="110"/>
      <c r="G839" s="109"/>
      <c r="H839" s="109"/>
      <c r="I839" s="109"/>
      <c r="J839" s="111"/>
      <c r="K839" s="111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</row>
    <row r="840" spans="1:25" ht="14.5">
      <c r="A840" s="109"/>
      <c r="B840" s="109"/>
      <c r="C840" s="109"/>
      <c r="D840" s="109"/>
      <c r="E840" s="109"/>
      <c r="F840" s="110"/>
      <c r="G840" s="109"/>
      <c r="H840" s="109"/>
      <c r="I840" s="109"/>
      <c r="J840" s="111"/>
      <c r="K840" s="111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</row>
    <row r="841" spans="1:25" ht="14.5">
      <c r="A841" s="109"/>
      <c r="B841" s="109"/>
      <c r="C841" s="109"/>
      <c r="D841" s="109"/>
      <c r="E841" s="109"/>
      <c r="F841" s="110"/>
      <c r="G841" s="109"/>
      <c r="H841" s="109"/>
      <c r="I841" s="109"/>
      <c r="J841" s="111"/>
      <c r="K841" s="111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</row>
    <row r="842" spans="1:25" ht="14.5">
      <c r="A842" s="109"/>
      <c r="B842" s="109"/>
      <c r="C842" s="109"/>
      <c r="D842" s="109"/>
      <c r="E842" s="109"/>
      <c r="F842" s="110"/>
      <c r="G842" s="109"/>
      <c r="H842" s="109"/>
      <c r="I842" s="109"/>
      <c r="J842" s="111"/>
      <c r="K842" s="111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</row>
    <row r="843" spans="1:25" ht="14.5">
      <c r="A843" s="109"/>
      <c r="B843" s="109"/>
      <c r="C843" s="109"/>
      <c r="D843" s="109"/>
      <c r="E843" s="109"/>
      <c r="F843" s="110"/>
      <c r="G843" s="109"/>
      <c r="H843" s="109"/>
      <c r="I843" s="109"/>
      <c r="J843" s="111"/>
      <c r="K843" s="111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</row>
    <row r="844" spans="1:25" ht="14.5">
      <c r="A844" s="109"/>
      <c r="B844" s="109"/>
      <c r="C844" s="109"/>
      <c r="D844" s="109"/>
      <c r="E844" s="109"/>
      <c r="F844" s="110"/>
      <c r="G844" s="109"/>
      <c r="H844" s="109"/>
      <c r="I844" s="109"/>
      <c r="J844" s="111"/>
      <c r="K844" s="111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</row>
    <row r="845" spans="1:25" ht="14.5">
      <c r="A845" s="109"/>
      <c r="B845" s="109"/>
      <c r="C845" s="109"/>
      <c r="D845" s="109"/>
      <c r="E845" s="109"/>
      <c r="F845" s="110"/>
      <c r="G845" s="109"/>
      <c r="H845" s="109"/>
      <c r="I845" s="109"/>
      <c r="J845" s="111"/>
      <c r="K845" s="111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</row>
    <row r="846" spans="1:25" ht="14.5">
      <c r="A846" s="109"/>
      <c r="B846" s="109"/>
      <c r="C846" s="109"/>
      <c r="D846" s="109"/>
      <c r="E846" s="109"/>
      <c r="F846" s="110"/>
      <c r="G846" s="109"/>
      <c r="H846" s="109"/>
      <c r="I846" s="109"/>
      <c r="J846" s="111"/>
      <c r="K846" s="111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</row>
    <row r="847" spans="1:25" ht="14.5">
      <c r="A847" s="109"/>
      <c r="B847" s="109"/>
      <c r="C847" s="109"/>
      <c r="D847" s="109"/>
      <c r="E847" s="109"/>
      <c r="F847" s="110"/>
      <c r="G847" s="109"/>
      <c r="H847" s="109"/>
      <c r="I847" s="109"/>
      <c r="J847" s="111"/>
      <c r="K847" s="111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</row>
    <row r="848" spans="1:25" ht="14.5">
      <c r="A848" s="109"/>
      <c r="B848" s="109"/>
      <c r="C848" s="109"/>
      <c r="D848" s="109"/>
      <c r="E848" s="109"/>
      <c r="F848" s="110"/>
      <c r="G848" s="109"/>
      <c r="H848" s="109"/>
      <c r="I848" s="109"/>
      <c r="J848" s="111"/>
      <c r="K848" s="111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</row>
    <row r="849" spans="1:25" ht="14.5">
      <c r="A849" s="109"/>
      <c r="B849" s="109"/>
      <c r="C849" s="109"/>
      <c r="D849" s="109"/>
      <c r="E849" s="109"/>
      <c r="F849" s="110"/>
      <c r="G849" s="109"/>
      <c r="H849" s="109"/>
      <c r="I849" s="109"/>
      <c r="J849" s="111"/>
      <c r="K849" s="111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</row>
    <row r="850" spans="1:25" ht="14.5">
      <c r="A850" s="109"/>
      <c r="B850" s="109"/>
      <c r="C850" s="109"/>
      <c r="D850" s="109"/>
      <c r="E850" s="109"/>
      <c r="F850" s="110"/>
      <c r="G850" s="109"/>
      <c r="H850" s="109"/>
      <c r="I850" s="109"/>
      <c r="J850" s="111"/>
      <c r="K850" s="111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</row>
    <row r="851" spans="1:25" ht="14.5">
      <c r="A851" s="109"/>
      <c r="B851" s="109"/>
      <c r="C851" s="109"/>
      <c r="D851" s="109"/>
      <c r="E851" s="109"/>
      <c r="F851" s="110"/>
      <c r="G851" s="109"/>
      <c r="H851" s="109"/>
      <c r="I851" s="109"/>
      <c r="J851" s="111"/>
      <c r="K851" s="111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</row>
    <row r="852" spans="1:25" ht="14.5">
      <c r="A852" s="109"/>
      <c r="B852" s="109"/>
      <c r="C852" s="109"/>
      <c r="D852" s="109"/>
      <c r="E852" s="109"/>
      <c r="F852" s="110"/>
      <c r="G852" s="109"/>
      <c r="H852" s="109"/>
      <c r="I852" s="109"/>
      <c r="J852" s="111"/>
      <c r="K852" s="111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</row>
    <row r="853" spans="1:25" ht="14.5">
      <c r="A853" s="109"/>
      <c r="B853" s="109"/>
      <c r="C853" s="109"/>
      <c r="D853" s="109"/>
      <c r="E853" s="109"/>
      <c r="F853" s="110"/>
      <c r="G853" s="109"/>
      <c r="H853" s="109"/>
      <c r="I853" s="109"/>
      <c r="J853" s="111"/>
      <c r="K853" s="111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</row>
    <row r="854" spans="1:25" ht="14.5">
      <c r="A854" s="109"/>
      <c r="B854" s="109"/>
      <c r="C854" s="109"/>
      <c r="D854" s="109"/>
      <c r="E854" s="109"/>
      <c r="F854" s="110"/>
      <c r="G854" s="109"/>
      <c r="H854" s="109"/>
      <c r="I854" s="109"/>
      <c r="J854" s="111"/>
      <c r="K854" s="111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</row>
    <row r="855" spans="1:25" ht="14.5">
      <c r="A855" s="109"/>
      <c r="B855" s="109"/>
      <c r="C855" s="109"/>
      <c r="D855" s="109"/>
      <c r="E855" s="109"/>
      <c r="F855" s="110"/>
      <c r="G855" s="109"/>
      <c r="H855" s="109"/>
      <c r="I855" s="109"/>
      <c r="J855" s="111"/>
      <c r="K855" s="111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</row>
    <row r="856" spans="1:25" ht="14.5">
      <c r="A856" s="109"/>
      <c r="B856" s="109"/>
      <c r="C856" s="109"/>
      <c r="D856" s="109"/>
      <c r="E856" s="109"/>
      <c r="F856" s="110"/>
      <c r="G856" s="109"/>
      <c r="H856" s="109"/>
      <c r="I856" s="109"/>
      <c r="J856" s="111"/>
      <c r="K856" s="111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</row>
    <row r="857" spans="1:25" ht="14.5">
      <c r="A857" s="109"/>
      <c r="B857" s="109"/>
      <c r="C857" s="109"/>
      <c r="D857" s="109"/>
      <c r="E857" s="109"/>
      <c r="F857" s="110"/>
      <c r="G857" s="109"/>
      <c r="H857" s="109"/>
      <c r="I857" s="109"/>
      <c r="J857" s="111"/>
      <c r="K857" s="111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</row>
    <row r="858" spans="1:25" ht="14.5">
      <c r="A858" s="109"/>
      <c r="B858" s="109"/>
      <c r="C858" s="109"/>
      <c r="D858" s="109"/>
      <c r="E858" s="109"/>
      <c r="F858" s="110"/>
      <c r="G858" s="109"/>
      <c r="H858" s="109"/>
      <c r="I858" s="109"/>
      <c r="J858" s="111"/>
      <c r="K858" s="111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</row>
    <row r="859" spans="1:25" ht="14.5">
      <c r="A859" s="109"/>
      <c r="B859" s="109"/>
      <c r="C859" s="109"/>
      <c r="D859" s="109"/>
      <c r="E859" s="109"/>
      <c r="F859" s="110"/>
      <c r="G859" s="109"/>
      <c r="H859" s="109"/>
      <c r="I859" s="109"/>
      <c r="J859" s="111"/>
      <c r="K859" s="111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</row>
    <row r="860" spans="1:25" ht="14.5">
      <c r="A860" s="109"/>
      <c r="B860" s="109"/>
      <c r="C860" s="109"/>
      <c r="D860" s="109"/>
      <c r="E860" s="109"/>
      <c r="F860" s="110"/>
      <c r="G860" s="109"/>
      <c r="H860" s="109"/>
      <c r="I860" s="109"/>
      <c r="J860" s="111"/>
      <c r="K860" s="111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</row>
    <row r="861" spans="1:25" ht="14.5">
      <c r="A861" s="109"/>
      <c r="B861" s="109"/>
      <c r="C861" s="109"/>
      <c r="D861" s="109"/>
      <c r="E861" s="109"/>
      <c r="F861" s="110"/>
      <c r="G861" s="109"/>
      <c r="H861" s="109"/>
      <c r="I861" s="109"/>
      <c r="J861" s="111"/>
      <c r="K861" s="111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</row>
    <row r="862" spans="1:25" ht="14.5">
      <c r="A862" s="109"/>
      <c r="B862" s="109"/>
      <c r="C862" s="109"/>
      <c r="D862" s="109"/>
      <c r="E862" s="109"/>
      <c r="F862" s="110"/>
      <c r="G862" s="109"/>
      <c r="H862" s="109"/>
      <c r="I862" s="109"/>
      <c r="J862" s="111"/>
      <c r="K862" s="111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</row>
    <row r="863" spans="1:25" ht="14.5">
      <c r="A863" s="109"/>
      <c r="B863" s="109"/>
      <c r="C863" s="109"/>
      <c r="D863" s="109"/>
      <c r="E863" s="109"/>
      <c r="F863" s="110"/>
      <c r="G863" s="109"/>
      <c r="H863" s="109"/>
      <c r="I863" s="109"/>
      <c r="J863" s="111"/>
      <c r="K863" s="111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</row>
    <row r="864" spans="1:25" ht="14.5">
      <c r="A864" s="109"/>
      <c r="B864" s="109"/>
      <c r="C864" s="109"/>
      <c r="D864" s="109"/>
      <c r="E864" s="109"/>
      <c r="F864" s="110"/>
      <c r="G864" s="109"/>
      <c r="H864" s="109"/>
      <c r="I864" s="109"/>
      <c r="J864" s="111"/>
      <c r="K864" s="111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</row>
    <row r="865" spans="1:25" ht="14.5">
      <c r="A865" s="109"/>
      <c r="B865" s="109"/>
      <c r="C865" s="109"/>
      <c r="D865" s="109"/>
      <c r="E865" s="109"/>
      <c r="F865" s="110"/>
      <c r="G865" s="109"/>
      <c r="H865" s="109"/>
      <c r="I865" s="109"/>
      <c r="J865" s="111"/>
      <c r="K865" s="111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</row>
    <row r="866" spans="1:25" ht="14.5">
      <c r="A866" s="109"/>
      <c r="B866" s="109"/>
      <c r="C866" s="109"/>
      <c r="D866" s="109"/>
      <c r="E866" s="109"/>
      <c r="F866" s="110"/>
      <c r="G866" s="109"/>
      <c r="H866" s="109"/>
      <c r="I866" s="109"/>
      <c r="J866" s="111"/>
      <c r="K866" s="111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</row>
    <row r="867" spans="1:25" ht="14.5">
      <c r="A867" s="109"/>
      <c r="B867" s="109"/>
      <c r="C867" s="109"/>
      <c r="D867" s="109"/>
      <c r="E867" s="109"/>
      <c r="F867" s="110"/>
      <c r="G867" s="109"/>
      <c r="H867" s="109"/>
      <c r="I867" s="109"/>
      <c r="J867" s="111"/>
      <c r="K867" s="111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</row>
    <row r="868" spans="1:25" ht="14.5">
      <c r="A868" s="109"/>
      <c r="B868" s="109"/>
      <c r="C868" s="109"/>
      <c r="D868" s="109"/>
      <c r="E868" s="109"/>
      <c r="F868" s="110"/>
      <c r="G868" s="109"/>
      <c r="H868" s="109"/>
      <c r="I868" s="109"/>
      <c r="J868" s="111"/>
      <c r="K868" s="111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</row>
    <row r="869" spans="1:25" ht="14.5">
      <c r="A869" s="109"/>
      <c r="B869" s="109"/>
      <c r="C869" s="109"/>
      <c r="D869" s="109"/>
      <c r="E869" s="109"/>
      <c r="F869" s="110"/>
      <c r="G869" s="109"/>
      <c r="H869" s="109"/>
      <c r="I869" s="109"/>
      <c r="J869" s="111"/>
      <c r="K869" s="111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</row>
    <row r="870" spans="1:25" ht="14.5">
      <c r="A870" s="109"/>
      <c r="B870" s="109"/>
      <c r="C870" s="109"/>
      <c r="D870" s="109"/>
      <c r="E870" s="109"/>
      <c r="F870" s="110"/>
      <c r="G870" s="109"/>
      <c r="H870" s="109"/>
      <c r="I870" s="109"/>
      <c r="J870" s="111"/>
      <c r="K870" s="111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</row>
    <row r="871" spans="1:25" ht="14.5">
      <c r="A871" s="109"/>
      <c r="B871" s="109"/>
      <c r="C871" s="109"/>
      <c r="D871" s="109"/>
      <c r="E871" s="109"/>
      <c r="F871" s="110"/>
      <c r="G871" s="109"/>
      <c r="H871" s="109"/>
      <c r="I871" s="109"/>
      <c r="J871" s="111"/>
      <c r="K871" s="111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</row>
    <row r="872" spans="1:25" ht="14.5">
      <c r="A872" s="109"/>
      <c r="B872" s="109"/>
      <c r="C872" s="109"/>
      <c r="D872" s="109"/>
      <c r="E872" s="109"/>
      <c r="F872" s="110"/>
      <c r="G872" s="109"/>
      <c r="H872" s="109"/>
      <c r="I872" s="109"/>
      <c r="J872" s="111"/>
      <c r="K872" s="111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</row>
    <row r="873" spans="1:25" ht="14.5">
      <c r="A873" s="109"/>
      <c r="B873" s="109"/>
      <c r="C873" s="109"/>
      <c r="D873" s="109"/>
      <c r="E873" s="109"/>
      <c r="F873" s="110"/>
      <c r="G873" s="109"/>
      <c r="H873" s="109"/>
      <c r="I873" s="109"/>
      <c r="J873" s="111"/>
      <c r="K873" s="111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</row>
    <row r="874" spans="1:25" ht="14.5">
      <c r="A874" s="109"/>
      <c r="B874" s="109"/>
      <c r="C874" s="109"/>
      <c r="D874" s="109"/>
      <c r="E874" s="109"/>
      <c r="F874" s="110"/>
      <c r="G874" s="109"/>
      <c r="H874" s="109"/>
      <c r="I874" s="109"/>
      <c r="J874" s="111"/>
      <c r="K874" s="111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</row>
    <row r="875" spans="1:25" ht="14.5">
      <c r="A875" s="109"/>
      <c r="B875" s="109"/>
      <c r="C875" s="109"/>
      <c r="D875" s="109"/>
      <c r="E875" s="109"/>
      <c r="F875" s="110"/>
      <c r="G875" s="109"/>
      <c r="H875" s="109"/>
      <c r="I875" s="109"/>
      <c r="J875" s="111"/>
      <c r="K875" s="111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</row>
    <row r="876" spans="1:25" ht="14.5">
      <c r="A876" s="109"/>
      <c r="B876" s="109"/>
      <c r="C876" s="109"/>
      <c r="D876" s="109"/>
      <c r="E876" s="109"/>
      <c r="F876" s="110"/>
      <c r="G876" s="109"/>
      <c r="H876" s="109"/>
      <c r="I876" s="109"/>
      <c r="J876" s="111"/>
      <c r="K876" s="111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</row>
    <row r="877" spans="1:25" ht="14.5">
      <c r="A877" s="109"/>
      <c r="B877" s="109"/>
      <c r="C877" s="109"/>
      <c r="D877" s="109"/>
      <c r="E877" s="109"/>
      <c r="F877" s="110"/>
      <c r="G877" s="109"/>
      <c r="H877" s="109"/>
      <c r="I877" s="109"/>
      <c r="J877" s="111"/>
      <c r="K877" s="111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</row>
    <row r="878" spans="1:25" ht="14.5">
      <c r="A878" s="109"/>
      <c r="B878" s="109"/>
      <c r="C878" s="109"/>
      <c r="D878" s="109"/>
      <c r="E878" s="109"/>
      <c r="F878" s="110"/>
      <c r="G878" s="109"/>
      <c r="H878" s="109"/>
      <c r="I878" s="109"/>
      <c r="J878" s="111"/>
      <c r="K878" s="111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</row>
    <row r="879" spans="1:25" ht="14.5">
      <c r="A879" s="109"/>
      <c r="B879" s="109"/>
      <c r="C879" s="109"/>
      <c r="D879" s="109"/>
      <c r="E879" s="109"/>
      <c r="F879" s="110"/>
      <c r="G879" s="109"/>
      <c r="H879" s="109"/>
      <c r="I879" s="109"/>
      <c r="J879" s="111"/>
      <c r="K879" s="111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</row>
    <row r="880" spans="1:25" ht="14.5">
      <c r="A880" s="109"/>
      <c r="B880" s="109"/>
      <c r="C880" s="109"/>
      <c r="D880" s="109"/>
      <c r="E880" s="109"/>
      <c r="F880" s="110"/>
      <c r="G880" s="109"/>
      <c r="H880" s="109"/>
      <c r="I880" s="109"/>
      <c r="J880" s="111"/>
      <c r="K880" s="111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</row>
    <row r="881" spans="1:25" ht="14.5">
      <c r="A881" s="109"/>
      <c r="B881" s="109"/>
      <c r="C881" s="109"/>
      <c r="D881" s="109"/>
      <c r="E881" s="109"/>
      <c r="F881" s="110"/>
      <c r="G881" s="109"/>
      <c r="H881" s="109"/>
      <c r="I881" s="109"/>
      <c r="J881" s="111"/>
      <c r="K881" s="111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</row>
    <row r="882" spans="1:25" ht="14.5">
      <c r="A882" s="109"/>
      <c r="B882" s="109"/>
      <c r="C882" s="109"/>
      <c r="D882" s="109"/>
      <c r="E882" s="109"/>
      <c r="F882" s="110"/>
      <c r="G882" s="109"/>
      <c r="H882" s="109"/>
      <c r="I882" s="109"/>
      <c r="J882" s="111"/>
      <c r="K882" s="111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</row>
    <row r="883" spans="1:25" ht="14.5">
      <c r="A883" s="109"/>
      <c r="B883" s="109"/>
      <c r="C883" s="109"/>
      <c r="D883" s="109"/>
      <c r="E883" s="109"/>
      <c r="F883" s="110"/>
      <c r="G883" s="109"/>
      <c r="H883" s="109"/>
      <c r="I883" s="109"/>
      <c r="J883" s="111"/>
      <c r="K883" s="111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</row>
    <row r="884" spans="1:25" ht="14.5">
      <c r="A884" s="109"/>
      <c r="B884" s="109"/>
      <c r="C884" s="109"/>
      <c r="D884" s="109"/>
      <c r="E884" s="109"/>
      <c r="F884" s="110"/>
      <c r="G884" s="109"/>
      <c r="H884" s="109"/>
      <c r="I884" s="109"/>
      <c r="J884" s="111"/>
      <c r="K884" s="111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</row>
    <row r="885" spans="1:25" ht="14.5">
      <c r="A885" s="109"/>
      <c r="B885" s="109"/>
      <c r="C885" s="109"/>
      <c r="D885" s="109"/>
      <c r="E885" s="109"/>
      <c r="F885" s="110"/>
      <c r="G885" s="109"/>
      <c r="H885" s="109"/>
      <c r="I885" s="109"/>
      <c r="J885" s="111"/>
      <c r="K885" s="111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</row>
    <row r="886" spans="1:25" ht="14.5">
      <c r="A886" s="109"/>
      <c r="B886" s="109"/>
      <c r="C886" s="109"/>
      <c r="D886" s="109"/>
      <c r="E886" s="109"/>
      <c r="F886" s="110"/>
      <c r="G886" s="109"/>
      <c r="H886" s="109"/>
      <c r="I886" s="109"/>
      <c r="J886" s="111"/>
      <c r="K886" s="111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</row>
    <row r="887" spans="1:25" ht="14.5">
      <c r="A887" s="109"/>
      <c r="B887" s="109"/>
      <c r="C887" s="109"/>
      <c r="D887" s="109"/>
      <c r="E887" s="109"/>
      <c r="F887" s="110"/>
      <c r="G887" s="109"/>
      <c r="H887" s="109"/>
      <c r="I887" s="109"/>
      <c r="J887" s="111"/>
      <c r="K887" s="111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</row>
    <row r="888" spans="1:25" ht="14.5">
      <c r="A888" s="109"/>
      <c r="B888" s="109"/>
      <c r="C888" s="109"/>
      <c r="D888" s="109"/>
      <c r="E888" s="109"/>
      <c r="F888" s="110"/>
      <c r="G888" s="109"/>
      <c r="H888" s="109"/>
      <c r="I888" s="109"/>
      <c r="J888" s="111"/>
      <c r="K888" s="111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</row>
    <row r="889" spans="1:25" ht="14.5">
      <c r="A889" s="109"/>
      <c r="B889" s="109"/>
      <c r="C889" s="109"/>
      <c r="D889" s="109"/>
      <c r="E889" s="109"/>
      <c r="F889" s="110"/>
      <c r="G889" s="109"/>
      <c r="H889" s="109"/>
      <c r="I889" s="109"/>
      <c r="J889" s="111"/>
      <c r="K889" s="111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</row>
    <row r="890" spans="1:25" ht="14.5">
      <c r="A890" s="109"/>
      <c r="B890" s="109"/>
      <c r="C890" s="109"/>
      <c r="D890" s="109"/>
      <c r="E890" s="109"/>
      <c r="F890" s="110"/>
      <c r="G890" s="109"/>
      <c r="H890" s="109"/>
      <c r="I890" s="109"/>
      <c r="J890" s="111"/>
      <c r="K890" s="111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</row>
    <row r="891" spans="1:25" ht="14.5">
      <c r="A891" s="109"/>
      <c r="B891" s="109"/>
      <c r="C891" s="109"/>
      <c r="D891" s="109"/>
      <c r="E891" s="109"/>
      <c r="F891" s="110"/>
      <c r="G891" s="109"/>
      <c r="H891" s="109"/>
      <c r="I891" s="109"/>
      <c r="J891" s="111"/>
      <c r="K891" s="111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</row>
    <row r="892" spans="1:25" ht="14.5">
      <c r="A892" s="109"/>
      <c r="B892" s="109"/>
      <c r="C892" s="109"/>
      <c r="D892" s="109"/>
      <c r="E892" s="109"/>
      <c r="F892" s="110"/>
      <c r="G892" s="109"/>
      <c r="H892" s="109"/>
      <c r="I892" s="109"/>
      <c r="J892" s="111"/>
      <c r="K892" s="111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</row>
    <row r="893" spans="1:25" ht="14.5">
      <c r="A893" s="109"/>
      <c r="B893" s="109"/>
      <c r="C893" s="109"/>
      <c r="D893" s="109"/>
      <c r="E893" s="109"/>
      <c r="F893" s="110"/>
      <c r="G893" s="109"/>
      <c r="H893" s="109"/>
      <c r="I893" s="109"/>
      <c r="J893" s="111"/>
      <c r="K893" s="111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</row>
    <row r="894" spans="1:25" ht="14.5">
      <c r="A894" s="109"/>
      <c r="B894" s="109"/>
      <c r="C894" s="109"/>
      <c r="D894" s="109"/>
      <c r="E894" s="109"/>
      <c r="F894" s="110"/>
      <c r="G894" s="109"/>
      <c r="H894" s="109"/>
      <c r="I894" s="109"/>
      <c r="J894" s="111"/>
      <c r="K894" s="111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</row>
    <row r="895" spans="1:25" ht="14.5">
      <c r="A895" s="109"/>
      <c r="B895" s="109"/>
      <c r="C895" s="109"/>
      <c r="D895" s="109"/>
      <c r="E895" s="109"/>
      <c r="F895" s="110"/>
      <c r="G895" s="109"/>
      <c r="H895" s="109"/>
      <c r="I895" s="109"/>
      <c r="J895" s="111"/>
      <c r="K895" s="111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</row>
    <row r="896" spans="1:25" ht="14.5">
      <c r="A896" s="109"/>
      <c r="B896" s="109"/>
      <c r="C896" s="109"/>
      <c r="D896" s="109"/>
      <c r="E896" s="109"/>
      <c r="F896" s="110"/>
      <c r="G896" s="109"/>
      <c r="H896" s="109"/>
      <c r="I896" s="109"/>
      <c r="J896" s="111"/>
      <c r="K896" s="111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</row>
    <row r="897" spans="1:25" ht="14.5">
      <c r="A897" s="109"/>
      <c r="B897" s="109"/>
      <c r="C897" s="109"/>
      <c r="D897" s="109"/>
      <c r="E897" s="109"/>
      <c r="F897" s="110"/>
      <c r="G897" s="109"/>
      <c r="H897" s="109"/>
      <c r="I897" s="109"/>
      <c r="J897" s="111"/>
      <c r="K897" s="111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</row>
    <row r="898" spans="1:25" ht="14.5">
      <c r="A898" s="109"/>
      <c r="B898" s="109"/>
      <c r="C898" s="109"/>
      <c r="D898" s="109"/>
      <c r="E898" s="109"/>
      <c r="F898" s="110"/>
      <c r="G898" s="109"/>
      <c r="H898" s="109"/>
      <c r="I898" s="109"/>
      <c r="J898" s="111"/>
      <c r="K898" s="111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</row>
    <row r="899" spans="1:25" ht="14.5">
      <c r="A899" s="109"/>
      <c r="B899" s="109"/>
      <c r="C899" s="109"/>
      <c r="D899" s="109"/>
      <c r="E899" s="109"/>
      <c r="F899" s="110"/>
      <c r="G899" s="109"/>
      <c r="H899" s="109"/>
      <c r="I899" s="109"/>
      <c r="J899" s="111"/>
      <c r="K899" s="111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</row>
    <row r="900" spans="1:25" ht="14.5">
      <c r="A900" s="109"/>
      <c r="B900" s="109"/>
      <c r="C900" s="109"/>
      <c r="D900" s="109"/>
      <c r="E900" s="109"/>
      <c r="F900" s="110"/>
      <c r="G900" s="109"/>
      <c r="H900" s="109"/>
      <c r="I900" s="109"/>
      <c r="J900" s="111"/>
      <c r="K900" s="111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</row>
    <row r="901" spans="1:25" ht="14.5">
      <c r="A901" s="109"/>
      <c r="B901" s="109"/>
      <c r="C901" s="109"/>
      <c r="D901" s="109"/>
      <c r="E901" s="109"/>
      <c r="F901" s="110"/>
      <c r="G901" s="109"/>
      <c r="H901" s="109"/>
      <c r="I901" s="109"/>
      <c r="J901" s="111"/>
      <c r="K901" s="111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</row>
    <row r="902" spans="1:25" ht="14.5">
      <c r="A902" s="109"/>
      <c r="B902" s="109"/>
      <c r="C902" s="109"/>
      <c r="D902" s="109"/>
      <c r="E902" s="109"/>
      <c r="F902" s="110"/>
      <c r="G902" s="109"/>
      <c r="H902" s="109"/>
      <c r="I902" s="109"/>
      <c r="J902" s="111"/>
      <c r="K902" s="111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</row>
    <row r="903" spans="1:25" ht="14.5">
      <c r="A903" s="109"/>
      <c r="B903" s="109"/>
      <c r="C903" s="109"/>
      <c r="D903" s="109"/>
      <c r="E903" s="109"/>
      <c r="F903" s="110"/>
      <c r="G903" s="109"/>
      <c r="H903" s="109"/>
      <c r="I903" s="109"/>
      <c r="J903" s="111"/>
      <c r="K903" s="111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</row>
    <row r="904" spans="1:25" ht="14.5">
      <c r="A904" s="109"/>
      <c r="B904" s="109"/>
      <c r="C904" s="109"/>
      <c r="D904" s="109"/>
      <c r="E904" s="109"/>
      <c r="F904" s="110"/>
      <c r="G904" s="109"/>
      <c r="H904" s="109"/>
      <c r="I904" s="109"/>
      <c r="J904" s="111"/>
      <c r="K904" s="111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</row>
    <row r="905" spans="1:25" ht="14.5">
      <c r="A905" s="109"/>
      <c r="B905" s="109"/>
      <c r="C905" s="109"/>
      <c r="D905" s="109"/>
      <c r="E905" s="109"/>
      <c r="F905" s="110"/>
      <c r="G905" s="109"/>
      <c r="H905" s="109"/>
      <c r="I905" s="109"/>
      <c r="J905" s="111"/>
      <c r="K905" s="111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</row>
    <row r="906" spans="1:25" ht="14.5">
      <c r="A906" s="109"/>
      <c r="B906" s="109"/>
      <c r="C906" s="109"/>
      <c r="D906" s="109"/>
      <c r="E906" s="109"/>
      <c r="F906" s="110"/>
      <c r="G906" s="109"/>
      <c r="H906" s="109"/>
      <c r="I906" s="109"/>
      <c r="J906" s="111"/>
      <c r="K906" s="111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</row>
    <row r="907" spans="1:25" ht="14.5">
      <c r="A907" s="109"/>
      <c r="B907" s="109"/>
      <c r="C907" s="109"/>
      <c r="D907" s="109"/>
      <c r="E907" s="109"/>
      <c r="F907" s="110"/>
      <c r="G907" s="109"/>
      <c r="H907" s="109"/>
      <c r="I907" s="109"/>
      <c r="J907" s="111"/>
      <c r="K907" s="111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</row>
    <row r="908" spans="1:25" ht="14.5">
      <c r="A908" s="109"/>
      <c r="B908" s="109"/>
      <c r="C908" s="109"/>
      <c r="D908" s="109"/>
      <c r="E908" s="109"/>
      <c r="F908" s="110"/>
      <c r="G908" s="109"/>
      <c r="H908" s="109"/>
      <c r="I908" s="109"/>
      <c r="J908" s="111"/>
      <c r="K908" s="111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</row>
    <row r="909" spans="1:25" ht="14.5">
      <c r="A909" s="109"/>
      <c r="B909" s="109"/>
      <c r="C909" s="109"/>
      <c r="D909" s="109"/>
      <c r="E909" s="109"/>
      <c r="F909" s="110"/>
      <c r="G909" s="109"/>
      <c r="H909" s="109"/>
      <c r="I909" s="109"/>
      <c r="J909" s="111"/>
      <c r="K909" s="111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</row>
    <row r="910" spans="1:25" ht="14.5">
      <c r="A910" s="109"/>
      <c r="B910" s="109"/>
      <c r="C910" s="109"/>
      <c r="D910" s="109"/>
      <c r="E910" s="109"/>
      <c r="F910" s="110"/>
      <c r="G910" s="109"/>
      <c r="H910" s="109"/>
      <c r="I910" s="109"/>
      <c r="J910" s="111"/>
      <c r="K910" s="111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</row>
    <row r="911" spans="1:25" ht="14.5">
      <c r="A911" s="109"/>
      <c r="B911" s="109"/>
      <c r="C911" s="109"/>
      <c r="D911" s="109"/>
      <c r="E911" s="109"/>
      <c r="F911" s="110"/>
      <c r="G911" s="109"/>
      <c r="H911" s="109"/>
      <c r="I911" s="109"/>
      <c r="J911" s="111"/>
      <c r="K911" s="111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</row>
    <row r="912" spans="1:25" ht="14.5">
      <c r="A912" s="109"/>
      <c r="B912" s="109"/>
      <c r="C912" s="109"/>
      <c r="D912" s="109"/>
      <c r="E912" s="109"/>
      <c r="F912" s="110"/>
      <c r="G912" s="109"/>
      <c r="H912" s="109"/>
      <c r="I912" s="109"/>
      <c r="J912" s="111"/>
      <c r="K912" s="111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</row>
    <row r="913" spans="1:25" ht="14.5">
      <c r="A913" s="109"/>
      <c r="B913" s="109"/>
      <c r="C913" s="109"/>
      <c r="D913" s="109"/>
      <c r="E913" s="109"/>
      <c r="F913" s="110"/>
      <c r="G913" s="109"/>
      <c r="H913" s="109"/>
      <c r="I913" s="109"/>
      <c r="J913" s="111"/>
      <c r="K913" s="111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</row>
    <row r="914" spans="1:25" ht="14.5">
      <c r="A914" s="109"/>
      <c r="B914" s="109"/>
      <c r="C914" s="109"/>
      <c r="D914" s="109"/>
      <c r="E914" s="109"/>
      <c r="F914" s="110"/>
      <c r="G914" s="109"/>
      <c r="H914" s="109"/>
      <c r="I914" s="109"/>
      <c r="J914" s="111"/>
      <c r="K914" s="111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</row>
    <row r="915" spans="1:25" ht="14.5">
      <c r="A915" s="109"/>
      <c r="B915" s="109"/>
      <c r="C915" s="109"/>
      <c r="D915" s="109"/>
      <c r="E915" s="109"/>
      <c r="F915" s="110"/>
      <c r="G915" s="109"/>
      <c r="H915" s="109"/>
      <c r="I915" s="109"/>
      <c r="J915" s="111"/>
      <c r="K915" s="111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</row>
    <row r="916" spans="1:25" ht="14.5">
      <c r="A916" s="109"/>
      <c r="B916" s="109"/>
      <c r="C916" s="109"/>
      <c r="D916" s="109"/>
      <c r="E916" s="109"/>
      <c r="F916" s="110"/>
      <c r="G916" s="109"/>
      <c r="H916" s="109"/>
      <c r="I916" s="109"/>
      <c r="J916" s="111"/>
      <c r="K916" s="111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</row>
    <row r="917" spans="1:25" ht="14.5">
      <c r="A917" s="109"/>
      <c r="B917" s="109"/>
      <c r="C917" s="109"/>
      <c r="D917" s="109"/>
      <c r="E917" s="109"/>
      <c r="F917" s="110"/>
      <c r="G917" s="109"/>
      <c r="H917" s="109"/>
      <c r="I917" s="109"/>
      <c r="J917" s="111"/>
      <c r="K917" s="111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</row>
    <row r="918" spans="1:25" ht="14.5">
      <c r="A918" s="109"/>
      <c r="B918" s="109"/>
      <c r="C918" s="109"/>
      <c r="D918" s="109"/>
      <c r="E918" s="109"/>
      <c r="F918" s="110"/>
      <c r="G918" s="109"/>
      <c r="H918" s="109"/>
      <c r="I918" s="109"/>
      <c r="J918" s="111"/>
      <c r="K918" s="111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</row>
    <row r="919" spans="1:25" ht="14.5">
      <c r="A919" s="109"/>
      <c r="B919" s="109"/>
      <c r="C919" s="109"/>
      <c r="D919" s="109"/>
      <c r="E919" s="109"/>
      <c r="F919" s="110"/>
      <c r="G919" s="109"/>
      <c r="H919" s="109"/>
      <c r="I919" s="109"/>
      <c r="J919" s="111"/>
      <c r="K919" s="111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</row>
    <row r="920" spans="1:25" ht="14.5">
      <c r="A920" s="109"/>
      <c r="B920" s="109"/>
      <c r="C920" s="109"/>
      <c r="D920" s="109"/>
      <c r="E920" s="109"/>
      <c r="F920" s="110"/>
      <c r="G920" s="109"/>
      <c r="H920" s="109"/>
      <c r="I920" s="109"/>
      <c r="J920" s="111"/>
      <c r="K920" s="111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</row>
    <row r="921" spans="1:25" ht="14.5">
      <c r="A921" s="109"/>
      <c r="B921" s="109"/>
      <c r="C921" s="109"/>
      <c r="D921" s="109"/>
      <c r="E921" s="109"/>
      <c r="F921" s="110"/>
      <c r="G921" s="109"/>
      <c r="H921" s="109"/>
      <c r="I921" s="109"/>
      <c r="J921" s="111"/>
      <c r="K921" s="111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</row>
    <row r="922" spans="1:25" ht="14.5">
      <c r="A922" s="109"/>
      <c r="B922" s="109"/>
      <c r="C922" s="109"/>
      <c r="D922" s="109"/>
      <c r="E922" s="109"/>
      <c r="F922" s="110"/>
      <c r="G922" s="109"/>
      <c r="H922" s="109"/>
      <c r="I922" s="109"/>
      <c r="J922" s="111"/>
      <c r="K922" s="111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</row>
    <row r="923" spans="1:25" ht="14.5">
      <c r="A923" s="109"/>
      <c r="B923" s="109"/>
      <c r="C923" s="109"/>
      <c r="D923" s="109"/>
      <c r="E923" s="109"/>
      <c r="F923" s="110"/>
      <c r="G923" s="109"/>
      <c r="H923" s="109"/>
      <c r="I923" s="109"/>
      <c r="J923" s="111"/>
      <c r="K923" s="111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</row>
    <row r="924" spans="1:25" ht="14.5">
      <c r="A924" s="109"/>
      <c r="B924" s="109"/>
      <c r="C924" s="109"/>
      <c r="D924" s="109"/>
      <c r="E924" s="109"/>
      <c r="F924" s="110"/>
      <c r="G924" s="109"/>
      <c r="H924" s="109"/>
      <c r="I924" s="109"/>
      <c r="J924" s="111"/>
      <c r="K924" s="111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</row>
    <row r="925" spans="1:25" ht="14.5">
      <c r="A925" s="109"/>
      <c r="B925" s="109"/>
      <c r="C925" s="109"/>
      <c r="D925" s="109"/>
      <c r="E925" s="109"/>
      <c r="F925" s="110"/>
      <c r="G925" s="109"/>
      <c r="H925" s="109"/>
      <c r="I925" s="109"/>
      <c r="J925" s="111"/>
      <c r="K925" s="111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</row>
    <row r="926" spans="1:25" ht="14.5">
      <c r="A926" s="109"/>
      <c r="B926" s="109"/>
      <c r="C926" s="109"/>
      <c r="D926" s="109"/>
      <c r="E926" s="109"/>
      <c r="F926" s="110"/>
      <c r="G926" s="109"/>
      <c r="H926" s="109"/>
      <c r="I926" s="109"/>
      <c r="J926" s="111"/>
      <c r="K926" s="111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</row>
    <row r="927" spans="1:25" ht="14.5">
      <c r="A927" s="109"/>
      <c r="B927" s="109"/>
      <c r="C927" s="109"/>
      <c r="D927" s="109"/>
      <c r="E927" s="109"/>
      <c r="F927" s="110"/>
      <c r="G927" s="109"/>
      <c r="H927" s="109"/>
      <c r="I927" s="109"/>
      <c r="J927" s="111"/>
      <c r="K927" s="111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</row>
    <row r="928" spans="1:25" ht="14.5">
      <c r="A928" s="109"/>
      <c r="B928" s="109"/>
      <c r="C928" s="109"/>
      <c r="D928" s="109"/>
      <c r="E928" s="109"/>
      <c r="F928" s="110"/>
      <c r="G928" s="109"/>
      <c r="H928" s="109"/>
      <c r="I928" s="109"/>
      <c r="J928" s="111"/>
      <c r="K928" s="111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</row>
    <row r="929" spans="1:25" ht="14.5">
      <c r="A929" s="109"/>
      <c r="B929" s="109"/>
      <c r="C929" s="109"/>
      <c r="D929" s="109"/>
      <c r="E929" s="109"/>
      <c r="F929" s="110"/>
      <c r="G929" s="109"/>
      <c r="H929" s="109"/>
      <c r="I929" s="109"/>
      <c r="J929" s="111"/>
      <c r="K929" s="111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</row>
    <row r="930" spans="1:25" ht="14.5">
      <c r="A930" s="109"/>
      <c r="B930" s="109"/>
      <c r="C930" s="109"/>
      <c r="D930" s="109"/>
      <c r="E930" s="109"/>
      <c r="F930" s="110"/>
      <c r="G930" s="109"/>
      <c r="H930" s="109"/>
      <c r="I930" s="109"/>
      <c r="J930" s="111"/>
      <c r="K930" s="111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</row>
    <row r="931" spans="1:25" ht="14.5">
      <c r="A931" s="109"/>
      <c r="B931" s="109"/>
      <c r="C931" s="109"/>
      <c r="D931" s="109"/>
      <c r="E931" s="109"/>
      <c r="F931" s="110"/>
      <c r="G931" s="109"/>
      <c r="H931" s="109"/>
      <c r="I931" s="109"/>
      <c r="J931" s="111"/>
      <c r="K931" s="111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</row>
    <row r="932" spans="1:25" ht="14.5">
      <c r="A932" s="109"/>
      <c r="B932" s="109"/>
      <c r="C932" s="109"/>
      <c r="D932" s="109"/>
      <c r="E932" s="109"/>
      <c r="F932" s="110"/>
      <c r="G932" s="109"/>
      <c r="H932" s="109"/>
      <c r="I932" s="109"/>
      <c r="J932" s="111"/>
      <c r="K932" s="111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</row>
    <row r="933" spans="1:25" ht="14.5">
      <c r="A933" s="109"/>
      <c r="B933" s="109"/>
      <c r="C933" s="109"/>
      <c r="D933" s="109"/>
      <c r="E933" s="109"/>
      <c r="F933" s="110"/>
      <c r="G933" s="109"/>
      <c r="H933" s="109"/>
      <c r="I933" s="109"/>
      <c r="J933" s="111"/>
      <c r="K933" s="111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</row>
    <row r="934" spans="1:25" ht="14.5">
      <c r="A934" s="109"/>
      <c r="B934" s="109"/>
      <c r="C934" s="109"/>
      <c r="D934" s="109"/>
      <c r="E934" s="109"/>
      <c r="F934" s="110"/>
      <c r="G934" s="109"/>
      <c r="H934" s="109"/>
      <c r="I934" s="109"/>
      <c r="J934" s="111"/>
      <c r="K934" s="111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</row>
    <row r="935" spans="1:25" ht="14.5">
      <c r="A935" s="109"/>
      <c r="B935" s="109"/>
      <c r="C935" s="109"/>
      <c r="D935" s="109"/>
      <c r="E935" s="109"/>
      <c r="F935" s="110"/>
      <c r="G935" s="109"/>
      <c r="H935" s="109"/>
      <c r="I935" s="109"/>
      <c r="J935" s="111"/>
      <c r="K935" s="111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</row>
    <row r="936" spans="1:25" ht="14.5">
      <c r="A936" s="109"/>
      <c r="B936" s="109"/>
      <c r="C936" s="109"/>
      <c r="D936" s="109"/>
      <c r="E936" s="109"/>
      <c r="F936" s="110"/>
      <c r="G936" s="109"/>
      <c r="H936" s="109"/>
      <c r="I936" s="109"/>
      <c r="J936" s="111"/>
      <c r="K936" s="111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</row>
    <row r="937" spans="1:25" ht="14.5">
      <c r="A937" s="109"/>
      <c r="B937" s="109"/>
      <c r="C937" s="109"/>
      <c r="D937" s="109"/>
      <c r="E937" s="109"/>
      <c r="F937" s="110"/>
      <c r="G937" s="109"/>
      <c r="H937" s="109"/>
      <c r="I937" s="109"/>
      <c r="J937" s="111"/>
      <c r="K937" s="111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</row>
    <row r="938" spans="1:25" ht="14.5">
      <c r="A938" s="109"/>
      <c r="B938" s="109"/>
      <c r="C938" s="109"/>
      <c r="D938" s="109"/>
      <c r="E938" s="109"/>
      <c r="F938" s="110"/>
      <c r="G938" s="109"/>
      <c r="H938" s="109"/>
      <c r="I938" s="109"/>
      <c r="J938" s="111"/>
      <c r="K938" s="111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</row>
    <row r="939" spans="1:25" ht="14.5">
      <c r="A939" s="109"/>
      <c r="B939" s="109"/>
      <c r="C939" s="109"/>
      <c r="D939" s="109"/>
      <c r="E939" s="109"/>
      <c r="F939" s="110"/>
      <c r="G939" s="109"/>
      <c r="H939" s="109"/>
      <c r="I939" s="109"/>
      <c r="J939" s="111"/>
      <c r="K939" s="111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</row>
    <row r="940" spans="1:25" ht="14.5">
      <c r="A940" s="109"/>
      <c r="B940" s="109"/>
      <c r="C940" s="109"/>
      <c r="D940" s="109"/>
      <c r="E940" s="109"/>
      <c r="F940" s="110"/>
      <c r="G940" s="109"/>
      <c r="H940" s="109"/>
      <c r="I940" s="109"/>
      <c r="J940" s="111"/>
      <c r="K940" s="111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</row>
    <row r="941" spans="1:25" ht="14.5">
      <c r="A941" s="109"/>
      <c r="B941" s="109"/>
      <c r="C941" s="109"/>
      <c r="D941" s="109"/>
      <c r="E941" s="109"/>
      <c r="F941" s="110"/>
      <c r="G941" s="109"/>
      <c r="H941" s="109"/>
      <c r="I941" s="109"/>
      <c r="J941" s="111"/>
      <c r="K941" s="111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</row>
    <row r="942" spans="1:25" ht="14.5">
      <c r="A942" s="109"/>
      <c r="B942" s="109"/>
      <c r="C942" s="109"/>
      <c r="D942" s="109"/>
      <c r="E942" s="109"/>
      <c r="F942" s="110"/>
      <c r="G942" s="109"/>
      <c r="H942" s="109"/>
      <c r="I942" s="109"/>
      <c r="J942" s="111"/>
      <c r="K942" s="111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</row>
    <row r="943" spans="1:25" ht="14.5">
      <c r="A943" s="109"/>
      <c r="B943" s="109"/>
      <c r="C943" s="109"/>
      <c r="D943" s="109"/>
      <c r="E943" s="109"/>
      <c r="F943" s="110"/>
      <c r="G943" s="109"/>
      <c r="H943" s="109"/>
      <c r="I943" s="109"/>
      <c r="J943" s="111"/>
      <c r="K943" s="111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</row>
    <row r="944" spans="1:25" ht="14.5">
      <c r="A944" s="109"/>
      <c r="B944" s="109"/>
      <c r="C944" s="109"/>
      <c r="D944" s="109"/>
      <c r="E944" s="109"/>
      <c r="F944" s="110"/>
      <c r="G944" s="109"/>
      <c r="H944" s="109"/>
      <c r="I944" s="109"/>
      <c r="J944" s="111"/>
      <c r="K944" s="111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</row>
    <row r="945" spans="1:25" ht="14.5">
      <c r="A945" s="109"/>
      <c r="B945" s="109"/>
      <c r="C945" s="109"/>
      <c r="D945" s="109"/>
      <c r="E945" s="109"/>
      <c r="F945" s="110"/>
      <c r="G945" s="109"/>
      <c r="H945" s="109"/>
      <c r="I945" s="109"/>
      <c r="J945" s="111"/>
      <c r="K945" s="111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</row>
    <row r="946" spans="1:25" ht="14.5">
      <c r="A946" s="109"/>
      <c r="B946" s="109"/>
      <c r="C946" s="109"/>
      <c r="D946" s="109"/>
      <c r="E946" s="109"/>
      <c r="F946" s="110"/>
      <c r="G946" s="109"/>
      <c r="H946" s="109"/>
      <c r="I946" s="109"/>
      <c r="J946" s="111"/>
      <c r="K946" s="111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</row>
    <row r="947" spans="1:25" ht="14.5">
      <c r="A947" s="109"/>
      <c r="B947" s="109"/>
      <c r="C947" s="109"/>
      <c r="D947" s="109"/>
      <c r="E947" s="109"/>
      <c r="F947" s="110"/>
      <c r="G947" s="109"/>
      <c r="H947" s="109"/>
      <c r="I947" s="109"/>
      <c r="J947" s="111"/>
      <c r="K947" s="111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</row>
    <row r="948" spans="1:25" ht="14.5">
      <c r="A948" s="109"/>
      <c r="B948" s="109"/>
      <c r="C948" s="109"/>
      <c r="D948" s="109"/>
      <c r="E948" s="109"/>
      <c r="F948" s="110"/>
      <c r="G948" s="109"/>
      <c r="H948" s="109"/>
      <c r="I948" s="109"/>
      <c r="J948" s="111"/>
      <c r="K948" s="111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</row>
    <row r="949" spans="1:25" ht="14.5">
      <c r="A949" s="109"/>
      <c r="B949" s="109"/>
      <c r="C949" s="109"/>
      <c r="D949" s="109"/>
      <c r="E949" s="109"/>
      <c r="F949" s="110"/>
      <c r="G949" s="109"/>
      <c r="H949" s="109"/>
      <c r="I949" s="109"/>
      <c r="J949" s="111"/>
      <c r="K949" s="111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</row>
    <row r="950" spans="1:25" ht="14.5">
      <c r="A950" s="109"/>
      <c r="B950" s="109"/>
      <c r="C950" s="109"/>
      <c r="D950" s="109"/>
      <c r="E950" s="109"/>
      <c r="F950" s="110"/>
      <c r="G950" s="109"/>
      <c r="H950" s="109"/>
      <c r="I950" s="109"/>
      <c r="J950" s="111"/>
      <c r="K950" s="111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</row>
    <row r="951" spans="1:25" ht="14.5">
      <c r="A951" s="109"/>
      <c r="B951" s="109"/>
      <c r="C951" s="109"/>
      <c r="D951" s="109"/>
      <c r="E951" s="109"/>
      <c r="F951" s="110"/>
      <c r="G951" s="109"/>
      <c r="H951" s="109"/>
      <c r="I951" s="109"/>
      <c r="J951" s="111"/>
      <c r="K951" s="111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</row>
    <row r="952" spans="1:25" ht="14.5">
      <c r="A952" s="109"/>
      <c r="B952" s="109"/>
      <c r="C952" s="109"/>
      <c r="D952" s="109"/>
      <c r="E952" s="109"/>
      <c r="F952" s="110"/>
      <c r="G952" s="109"/>
      <c r="H952" s="109"/>
      <c r="I952" s="109"/>
      <c r="J952" s="111"/>
      <c r="K952" s="111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</row>
    <row r="953" spans="1:25" ht="14.5">
      <c r="A953" s="109"/>
      <c r="B953" s="109"/>
      <c r="C953" s="109"/>
      <c r="D953" s="109"/>
      <c r="E953" s="109"/>
      <c r="F953" s="110"/>
      <c r="G953" s="109"/>
      <c r="H953" s="109"/>
      <c r="I953" s="109"/>
      <c r="J953" s="111"/>
      <c r="K953" s="111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</row>
    <row r="954" spans="1:25" ht="14.5">
      <c r="A954" s="109"/>
      <c r="B954" s="109"/>
      <c r="C954" s="109"/>
      <c r="D954" s="109"/>
      <c r="E954" s="109"/>
      <c r="F954" s="110"/>
      <c r="G954" s="109"/>
      <c r="H954" s="109"/>
      <c r="I954" s="109"/>
      <c r="J954" s="111"/>
      <c r="K954" s="111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</row>
    <row r="955" spans="1:25" ht="14.5">
      <c r="A955" s="109"/>
      <c r="B955" s="109"/>
      <c r="C955" s="109"/>
      <c r="D955" s="109"/>
      <c r="E955" s="109"/>
      <c r="F955" s="110"/>
      <c r="G955" s="109"/>
      <c r="H955" s="109"/>
      <c r="I955" s="109"/>
      <c r="J955" s="111"/>
      <c r="K955" s="111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</row>
    <row r="956" spans="1:25" ht="14.5">
      <c r="A956" s="109"/>
      <c r="B956" s="109"/>
      <c r="C956" s="109"/>
      <c r="D956" s="109"/>
      <c r="E956" s="109"/>
      <c r="F956" s="110"/>
      <c r="G956" s="109"/>
      <c r="H956" s="109"/>
      <c r="I956" s="109"/>
      <c r="J956" s="111"/>
      <c r="K956" s="111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</row>
    <row r="957" spans="1:25" ht="14.5">
      <c r="A957" s="109"/>
      <c r="B957" s="109"/>
      <c r="C957" s="109"/>
      <c r="D957" s="109"/>
      <c r="E957" s="109"/>
      <c r="F957" s="110"/>
      <c r="G957" s="109"/>
      <c r="H957" s="109"/>
      <c r="I957" s="109"/>
      <c r="J957" s="111"/>
      <c r="K957" s="111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</row>
    <row r="958" spans="1:25" ht="14.5">
      <c r="A958" s="109"/>
      <c r="B958" s="109"/>
      <c r="C958" s="109"/>
      <c r="D958" s="109"/>
      <c r="E958" s="109"/>
      <c r="F958" s="110"/>
      <c r="G958" s="109"/>
      <c r="H958" s="109"/>
      <c r="I958" s="109"/>
      <c r="J958" s="111"/>
      <c r="K958" s="111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</row>
    <row r="959" spans="1:25" ht="14.5">
      <c r="A959" s="109"/>
      <c r="B959" s="109"/>
      <c r="C959" s="109"/>
      <c r="D959" s="109"/>
      <c r="E959" s="109"/>
      <c r="F959" s="110"/>
      <c r="G959" s="109"/>
      <c r="H959" s="109"/>
      <c r="I959" s="109"/>
      <c r="J959" s="111"/>
      <c r="K959" s="111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</row>
    <row r="960" spans="1:25" ht="14.5">
      <c r="A960" s="109"/>
      <c r="B960" s="109"/>
      <c r="C960" s="109"/>
      <c r="D960" s="109"/>
      <c r="E960" s="109"/>
      <c r="F960" s="110"/>
      <c r="G960" s="109"/>
      <c r="H960" s="109"/>
      <c r="I960" s="109"/>
      <c r="J960" s="111"/>
      <c r="K960" s="111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</row>
    <row r="961" spans="1:25" ht="14.5">
      <c r="A961" s="109"/>
      <c r="B961" s="109"/>
      <c r="C961" s="109"/>
      <c r="D961" s="109"/>
      <c r="E961" s="109"/>
      <c r="F961" s="110"/>
      <c r="G961" s="109"/>
      <c r="H961" s="109"/>
      <c r="I961" s="109"/>
      <c r="J961" s="111"/>
      <c r="K961" s="111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</row>
    <row r="962" spans="1:25" ht="14.5">
      <c r="A962" s="109"/>
      <c r="B962" s="109"/>
      <c r="C962" s="109"/>
      <c r="D962" s="109"/>
      <c r="E962" s="109"/>
      <c r="F962" s="110"/>
      <c r="G962" s="109"/>
      <c r="H962" s="109"/>
      <c r="I962" s="109"/>
      <c r="J962" s="111"/>
      <c r="K962" s="111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</row>
    <row r="963" spans="1:25" ht="14.5">
      <c r="A963" s="109"/>
      <c r="B963" s="109"/>
      <c r="C963" s="109"/>
      <c r="D963" s="109"/>
      <c r="E963" s="109"/>
      <c r="F963" s="110"/>
      <c r="G963" s="109"/>
      <c r="H963" s="109"/>
      <c r="I963" s="109"/>
      <c r="J963" s="111"/>
      <c r="K963" s="111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</row>
    <row r="964" spans="1:25" ht="14.5">
      <c r="A964" s="109"/>
      <c r="B964" s="109"/>
      <c r="C964" s="109"/>
      <c r="D964" s="109"/>
      <c r="E964" s="109"/>
      <c r="F964" s="110"/>
      <c r="G964" s="109"/>
      <c r="H964" s="109"/>
      <c r="I964" s="109"/>
      <c r="J964" s="111"/>
      <c r="K964" s="111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</row>
    <row r="965" spans="1:25" ht="14.5">
      <c r="A965" s="109"/>
      <c r="B965" s="109"/>
      <c r="C965" s="109"/>
      <c r="D965" s="109"/>
      <c r="E965" s="109"/>
      <c r="F965" s="110"/>
      <c r="G965" s="109"/>
      <c r="H965" s="109"/>
      <c r="I965" s="109"/>
      <c r="J965" s="111"/>
      <c r="K965" s="111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</row>
    <row r="966" spans="1:25" ht="14.5">
      <c r="A966" s="109"/>
      <c r="B966" s="109"/>
      <c r="C966" s="109"/>
      <c r="D966" s="109"/>
      <c r="E966" s="109"/>
      <c r="F966" s="110"/>
      <c r="G966" s="109"/>
      <c r="H966" s="109"/>
      <c r="I966" s="109"/>
      <c r="J966" s="111"/>
      <c r="K966" s="111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</row>
    <row r="967" spans="1:25" ht="14.5">
      <c r="A967" s="109"/>
      <c r="B967" s="109"/>
      <c r="C967" s="109"/>
      <c r="D967" s="109"/>
      <c r="E967" s="109"/>
      <c r="F967" s="110"/>
      <c r="G967" s="109"/>
      <c r="H967" s="109"/>
      <c r="I967" s="109"/>
      <c r="J967" s="111"/>
      <c r="K967" s="111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</row>
    <row r="968" spans="1:25" ht="14.5">
      <c r="A968" s="109"/>
      <c r="B968" s="109"/>
      <c r="C968" s="109"/>
      <c r="D968" s="109"/>
      <c r="E968" s="109"/>
      <c r="F968" s="110"/>
      <c r="G968" s="109"/>
      <c r="H968" s="109"/>
      <c r="I968" s="109"/>
      <c r="J968" s="111"/>
      <c r="K968" s="111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</row>
    <row r="969" spans="1:25" ht="14.5">
      <c r="A969" s="109"/>
      <c r="B969" s="109"/>
      <c r="C969" s="109"/>
      <c r="D969" s="109"/>
      <c r="E969" s="109"/>
      <c r="F969" s="110"/>
      <c r="G969" s="109"/>
      <c r="H969" s="109"/>
      <c r="I969" s="109"/>
      <c r="J969" s="111"/>
      <c r="K969" s="111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</row>
    <row r="970" spans="1:25" ht="14.5">
      <c r="A970" s="109"/>
      <c r="B970" s="109"/>
      <c r="C970" s="109"/>
      <c r="D970" s="109"/>
      <c r="E970" s="109"/>
      <c r="F970" s="110"/>
      <c r="G970" s="109"/>
      <c r="H970" s="109"/>
      <c r="I970" s="109"/>
      <c r="J970" s="111"/>
      <c r="K970" s="111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</row>
    <row r="971" spans="1:25" ht="14.5">
      <c r="A971" s="109"/>
      <c r="B971" s="109"/>
      <c r="C971" s="109"/>
      <c r="D971" s="109"/>
      <c r="E971" s="109"/>
      <c r="F971" s="110"/>
      <c r="G971" s="109"/>
      <c r="H971" s="109"/>
      <c r="I971" s="109"/>
      <c r="J971" s="111"/>
      <c r="K971" s="111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</row>
    <row r="972" spans="1:25" ht="14.5">
      <c r="A972" s="109"/>
      <c r="B972" s="109"/>
      <c r="C972" s="109"/>
      <c r="D972" s="109"/>
      <c r="E972" s="109"/>
      <c r="F972" s="110"/>
      <c r="G972" s="109"/>
      <c r="H972" s="109"/>
      <c r="I972" s="109"/>
      <c r="J972" s="111"/>
      <c r="K972" s="111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</row>
    <row r="973" spans="1:25" ht="14.5">
      <c r="A973" s="109"/>
      <c r="B973" s="109"/>
      <c r="C973" s="109"/>
      <c r="D973" s="109"/>
      <c r="E973" s="109"/>
      <c r="F973" s="110"/>
      <c r="G973" s="109"/>
      <c r="H973" s="109"/>
      <c r="I973" s="109"/>
      <c r="J973" s="111"/>
      <c r="K973" s="111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</row>
    <row r="974" spans="1:25" ht="14.5">
      <c r="A974" s="109"/>
      <c r="B974" s="109"/>
      <c r="C974" s="109"/>
      <c r="D974" s="109"/>
      <c r="E974" s="109"/>
      <c r="F974" s="110"/>
      <c r="G974" s="109"/>
      <c r="H974" s="109"/>
      <c r="I974" s="109"/>
      <c r="J974" s="111"/>
      <c r="K974" s="111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</row>
    <row r="975" spans="1:25" ht="14.5">
      <c r="A975" s="109"/>
      <c r="B975" s="109"/>
      <c r="C975" s="109"/>
      <c r="D975" s="109"/>
      <c r="E975" s="109"/>
      <c r="F975" s="110"/>
      <c r="G975" s="109"/>
      <c r="H975" s="109"/>
      <c r="I975" s="109"/>
      <c r="J975" s="111"/>
      <c r="K975" s="111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</row>
    <row r="976" spans="1:25" ht="14.5">
      <c r="A976" s="109"/>
      <c r="B976" s="109"/>
      <c r="C976" s="109"/>
      <c r="D976" s="109"/>
      <c r="E976" s="109"/>
      <c r="F976" s="110"/>
      <c r="G976" s="109"/>
      <c r="H976" s="109"/>
      <c r="I976" s="109"/>
      <c r="J976" s="111"/>
      <c r="K976" s="111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</row>
    <row r="977" spans="1:25" ht="14.5">
      <c r="A977" s="109"/>
      <c r="B977" s="109"/>
      <c r="C977" s="109"/>
      <c r="D977" s="109"/>
      <c r="E977" s="109"/>
      <c r="F977" s="110"/>
      <c r="G977" s="109"/>
      <c r="H977" s="109"/>
      <c r="I977" s="109"/>
      <c r="J977" s="111"/>
      <c r="K977" s="111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</row>
    <row r="978" spans="1:25" ht="14.5">
      <c r="A978" s="109"/>
      <c r="B978" s="109"/>
      <c r="C978" s="109"/>
      <c r="D978" s="109"/>
      <c r="E978" s="109"/>
      <c r="F978" s="110"/>
      <c r="G978" s="109"/>
      <c r="H978" s="109"/>
      <c r="I978" s="109"/>
      <c r="J978" s="111"/>
      <c r="K978" s="111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</row>
    <row r="979" spans="1:25" ht="14.5">
      <c r="A979" s="109"/>
      <c r="B979" s="109"/>
      <c r="C979" s="109"/>
      <c r="D979" s="109"/>
      <c r="E979" s="109"/>
      <c r="F979" s="110"/>
      <c r="G979" s="109"/>
      <c r="H979" s="109"/>
      <c r="I979" s="109"/>
      <c r="J979" s="111"/>
      <c r="K979" s="111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</row>
    <row r="980" spans="1:25" ht="14.5">
      <c r="A980" s="109"/>
      <c r="B980" s="109"/>
      <c r="C980" s="109"/>
      <c r="D980" s="109"/>
      <c r="E980" s="109"/>
      <c r="F980" s="110"/>
      <c r="G980" s="109"/>
      <c r="H980" s="109"/>
      <c r="I980" s="109"/>
      <c r="J980" s="111"/>
      <c r="K980" s="111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</row>
    <row r="981" spans="1:25" ht="14.5">
      <c r="A981" s="109"/>
      <c r="B981" s="109"/>
      <c r="C981" s="109"/>
      <c r="D981" s="109"/>
      <c r="E981" s="109"/>
      <c r="F981" s="110"/>
      <c r="G981" s="109"/>
      <c r="H981" s="109"/>
      <c r="I981" s="109"/>
      <c r="J981" s="111"/>
      <c r="K981" s="111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</row>
    <row r="982" spans="1:25" ht="14.5">
      <c r="A982" s="109"/>
      <c r="B982" s="109"/>
      <c r="C982" s="109"/>
      <c r="D982" s="109"/>
      <c r="E982" s="109"/>
      <c r="F982" s="110"/>
      <c r="G982" s="109"/>
      <c r="H982" s="109"/>
      <c r="I982" s="109"/>
      <c r="J982" s="111"/>
      <c r="K982" s="111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</row>
    <row r="983" spans="1:25" ht="14.5">
      <c r="A983" s="109"/>
      <c r="B983" s="109"/>
      <c r="C983" s="109"/>
      <c r="D983" s="109"/>
      <c r="E983" s="109"/>
      <c r="F983" s="110"/>
      <c r="G983" s="109"/>
      <c r="H983" s="109"/>
      <c r="I983" s="109"/>
      <c r="J983" s="111"/>
      <c r="K983" s="111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</row>
    <row r="984" spans="1:25" ht="14.5">
      <c r="A984" s="109"/>
      <c r="B984" s="109"/>
      <c r="C984" s="109"/>
      <c r="D984" s="109"/>
      <c r="E984" s="109"/>
      <c r="F984" s="110"/>
      <c r="G984" s="109"/>
      <c r="H984" s="109"/>
      <c r="I984" s="109"/>
      <c r="J984" s="111"/>
      <c r="K984" s="111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</row>
    <row r="985" spans="1:25" ht="14.5">
      <c r="A985" s="109"/>
      <c r="B985" s="109"/>
      <c r="C985" s="109"/>
      <c r="D985" s="109"/>
      <c r="E985" s="109"/>
      <c r="F985" s="110"/>
      <c r="G985" s="109"/>
      <c r="H985" s="109"/>
      <c r="I985" s="109"/>
      <c r="J985" s="111"/>
      <c r="K985" s="111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</row>
    <row r="986" spans="1:25" ht="14.5">
      <c r="A986" s="109"/>
      <c r="B986" s="109"/>
      <c r="C986" s="109"/>
      <c r="D986" s="109"/>
      <c r="E986" s="109"/>
      <c r="F986" s="110"/>
      <c r="G986" s="109"/>
      <c r="H986" s="109"/>
      <c r="I986" s="109"/>
      <c r="J986" s="111"/>
      <c r="K986" s="111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</row>
    <row r="987" spans="1:25" ht="14.5">
      <c r="A987" s="109"/>
      <c r="B987" s="109"/>
      <c r="C987" s="109"/>
      <c r="D987" s="109"/>
      <c r="E987" s="109"/>
      <c r="F987" s="110"/>
      <c r="G987" s="109"/>
      <c r="H987" s="109"/>
      <c r="I987" s="109"/>
      <c r="J987" s="111"/>
      <c r="K987" s="111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</row>
    <row r="988" spans="1:25" ht="14.5">
      <c r="A988" s="109"/>
      <c r="B988" s="109"/>
      <c r="C988" s="109"/>
      <c r="D988" s="109"/>
      <c r="E988" s="109"/>
      <c r="F988" s="110"/>
      <c r="G988" s="109"/>
      <c r="H988" s="109"/>
      <c r="I988" s="109"/>
      <c r="J988" s="111"/>
      <c r="K988" s="111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</row>
    <row r="989" spans="1:25" ht="14.5">
      <c r="A989" s="109"/>
      <c r="B989" s="109"/>
      <c r="C989" s="109"/>
      <c r="D989" s="109"/>
      <c r="E989" s="109"/>
      <c r="F989" s="110"/>
      <c r="G989" s="109"/>
      <c r="H989" s="109"/>
      <c r="I989" s="109"/>
      <c r="J989" s="111"/>
      <c r="K989" s="111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</row>
    <row r="990" spans="1:25" ht="14.5">
      <c r="A990" s="109"/>
      <c r="B990" s="109"/>
      <c r="C990" s="109"/>
      <c r="D990" s="109"/>
      <c r="E990" s="109"/>
      <c r="F990" s="110"/>
      <c r="G990" s="109"/>
      <c r="H990" s="109"/>
      <c r="I990" s="109"/>
      <c r="J990" s="111"/>
      <c r="K990" s="111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</row>
    <row r="991" spans="1:25" ht="14.5">
      <c r="A991" s="109"/>
      <c r="B991" s="109"/>
      <c r="C991" s="109"/>
      <c r="D991" s="109"/>
      <c r="E991" s="109"/>
      <c r="F991" s="110"/>
      <c r="G991" s="109"/>
      <c r="H991" s="109"/>
      <c r="I991" s="109"/>
      <c r="J991" s="111"/>
      <c r="K991" s="111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</row>
    <row r="992" spans="1:25" ht="14.5">
      <c r="A992" s="109"/>
      <c r="B992" s="109"/>
      <c r="C992" s="109"/>
      <c r="D992" s="109"/>
      <c r="E992" s="109"/>
      <c r="F992" s="110"/>
      <c r="G992" s="109"/>
      <c r="H992" s="109"/>
      <c r="I992" s="109"/>
      <c r="J992" s="111"/>
      <c r="K992" s="111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</row>
    <row r="993" spans="1:25" ht="14.5">
      <c r="A993" s="109"/>
      <c r="B993" s="109"/>
      <c r="C993" s="109"/>
      <c r="D993" s="109"/>
      <c r="E993" s="109"/>
      <c r="F993" s="110"/>
      <c r="G993" s="109"/>
      <c r="H993" s="109"/>
      <c r="I993" s="109"/>
      <c r="J993" s="111"/>
      <c r="K993" s="111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</row>
    <row r="994" spans="1:25" ht="14.5">
      <c r="A994" s="109"/>
      <c r="B994" s="109"/>
      <c r="C994" s="109"/>
      <c r="D994" s="109"/>
      <c r="E994" s="109"/>
      <c r="F994" s="110"/>
      <c r="G994" s="109"/>
      <c r="H994" s="109"/>
      <c r="I994" s="109"/>
      <c r="J994" s="111"/>
      <c r="K994" s="111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</row>
    <row r="995" spans="1:25" ht="14.5">
      <c r="A995" s="109"/>
      <c r="B995" s="109"/>
      <c r="C995" s="109"/>
      <c r="D995" s="109"/>
      <c r="E995" s="109"/>
      <c r="F995" s="110"/>
      <c r="G995" s="109"/>
      <c r="H995" s="109"/>
      <c r="I995" s="109"/>
      <c r="J995" s="111"/>
      <c r="K995" s="111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</row>
    <row r="996" spans="1:25" ht="14.5">
      <c r="A996" s="109"/>
      <c r="B996" s="109"/>
      <c r="C996" s="109"/>
      <c r="D996" s="109"/>
      <c r="E996" s="109"/>
      <c r="F996" s="110"/>
      <c r="G996" s="109"/>
      <c r="H996" s="109"/>
      <c r="I996" s="109"/>
      <c r="J996" s="111"/>
      <c r="K996" s="111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</row>
    <row r="997" spans="1:25" ht="14.5">
      <c r="A997" s="109"/>
      <c r="B997" s="109"/>
      <c r="C997" s="109"/>
      <c r="D997" s="109"/>
      <c r="E997" s="109"/>
      <c r="F997" s="110"/>
      <c r="G997" s="109"/>
      <c r="H997" s="109"/>
      <c r="I997" s="109"/>
      <c r="J997" s="111"/>
      <c r="K997" s="111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</row>
    <row r="998" spans="1:25" ht="14.5">
      <c r="A998" s="109"/>
      <c r="B998" s="109"/>
      <c r="C998" s="109"/>
      <c r="D998" s="109"/>
      <c r="E998" s="109"/>
      <c r="F998" s="110"/>
      <c r="G998" s="109"/>
      <c r="H998" s="109"/>
      <c r="I998" s="109"/>
      <c r="J998" s="111"/>
      <c r="K998" s="111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</row>
    <row r="999" spans="1:25" ht="14.5">
      <c r="A999" s="109"/>
      <c r="B999" s="109"/>
      <c r="C999" s="109"/>
      <c r="D999" s="109"/>
      <c r="E999" s="109"/>
      <c r="F999" s="110"/>
      <c r="G999" s="109"/>
      <c r="H999" s="109"/>
      <c r="I999" s="109"/>
      <c r="J999" s="111"/>
      <c r="K999" s="111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</row>
    <row r="1000" spans="1:25" ht="14.5">
      <c r="A1000" s="109"/>
      <c r="B1000" s="109"/>
      <c r="C1000" s="109"/>
      <c r="D1000" s="109"/>
      <c r="E1000" s="109"/>
      <c r="F1000" s="110"/>
      <c r="G1000" s="109"/>
      <c r="H1000" s="109"/>
      <c r="I1000" s="109"/>
      <c r="J1000" s="111"/>
      <c r="K1000" s="111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</row>
  </sheetData>
  <autoFilter ref="A3:K96" xr:uid="{00000000-0009-0000-0000-000006000000}">
    <sortState xmlns:xlrd2="http://schemas.microsoft.com/office/spreadsheetml/2017/richdata2" ref="A4:K96">
      <sortCondition ref="A3:A96"/>
    </sortState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X988"/>
  <sheetViews>
    <sheetView topLeftCell="A69" workbookViewId="0">
      <selection activeCell="C55" sqref="C55"/>
    </sheetView>
  </sheetViews>
  <sheetFormatPr defaultColWidth="14.453125" defaultRowHeight="15" customHeight="1"/>
  <cols>
    <col min="2" max="2" width="18.08984375" customWidth="1"/>
    <col min="3" max="3" width="34.6328125" customWidth="1"/>
    <col min="4" max="4" width="16.54296875" customWidth="1"/>
    <col min="8" max="8" width="20.54296875" customWidth="1"/>
    <col min="9" max="9" width="29.08984375" customWidth="1"/>
  </cols>
  <sheetData>
    <row r="1" spans="1:24" ht="14.5">
      <c r="A1" s="132" t="s">
        <v>0</v>
      </c>
      <c r="B1" s="109" t="s">
        <v>376</v>
      </c>
      <c r="C1" s="109"/>
      <c r="D1" s="109"/>
      <c r="E1" s="109"/>
      <c r="F1" s="110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</row>
    <row r="2" spans="1:24" ht="14.5">
      <c r="A2" s="133" t="s">
        <v>2</v>
      </c>
      <c r="B2" s="134" t="s">
        <v>377</v>
      </c>
      <c r="C2" s="113"/>
      <c r="D2" s="134" t="s">
        <v>322</v>
      </c>
      <c r="E2" s="113"/>
      <c r="F2" s="114"/>
      <c r="G2" s="113"/>
      <c r="H2" s="113"/>
      <c r="I2" s="113"/>
      <c r="J2" s="115" t="s">
        <v>323</v>
      </c>
      <c r="K2" s="115" t="s">
        <v>324</v>
      </c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</row>
    <row r="3" spans="1:24" ht="15.5">
      <c r="A3" s="116" t="s">
        <v>6</v>
      </c>
      <c r="B3" s="117" t="s">
        <v>7</v>
      </c>
      <c r="C3" s="117" t="s">
        <v>8</v>
      </c>
      <c r="D3" s="117" t="s">
        <v>9</v>
      </c>
      <c r="E3" s="117" t="s">
        <v>10</v>
      </c>
      <c r="F3" s="118" t="s">
        <v>293</v>
      </c>
      <c r="G3" s="117" t="s">
        <v>13</v>
      </c>
      <c r="H3" s="119" t="s">
        <v>325</v>
      </c>
      <c r="I3" s="135" t="s">
        <v>326</v>
      </c>
      <c r="J3" s="120" t="s">
        <v>12</v>
      </c>
      <c r="K3" s="120" t="s">
        <v>12</v>
      </c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</row>
    <row r="4" spans="1:24" ht="15.5">
      <c r="A4" s="121">
        <v>1</v>
      </c>
      <c r="B4" s="122" t="s">
        <v>382</v>
      </c>
      <c r="C4" s="16" t="s">
        <v>383</v>
      </c>
      <c r="D4" s="122">
        <v>6</v>
      </c>
      <c r="E4" s="124">
        <f>SUM(18.2+13.2)</f>
        <v>31.4</v>
      </c>
      <c r="F4" s="125">
        <f t="shared" ref="F4:F35" si="0">E4/3.14</f>
        <v>10</v>
      </c>
      <c r="G4" s="126"/>
      <c r="H4" s="126"/>
      <c r="I4" s="126"/>
      <c r="J4" s="127">
        <f t="shared" ref="J4:J35" si="1">8.9857+0.0035*(F4)^2*(D4)</f>
        <v>11.085699999999999</v>
      </c>
      <c r="K4" s="128">
        <f t="shared" ref="K4:K35" si="2">0.0673*(I4*F4^2*D4)^0.976</f>
        <v>0</v>
      </c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</row>
    <row r="5" spans="1:24" ht="15.5">
      <c r="A5" s="121">
        <v>1</v>
      </c>
      <c r="B5" s="129" t="s">
        <v>128</v>
      </c>
      <c r="C5" s="16" t="s">
        <v>129</v>
      </c>
      <c r="D5" s="129">
        <v>7</v>
      </c>
      <c r="E5" s="125">
        <v>25.4</v>
      </c>
      <c r="F5" s="125">
        <f t="shared" si="0"/>
        <v>8.0891719745222925</v>
      </c>
      <c r="G5" s="126"/>
      <c r="H5" s="126"/>
      <c r="I5" s="51">
        <f>AVERAGE(0.25,0.41)</f>
        <v>0.32999999999999996</v>
      </c>
      <c r="J5" s="127">
        <f t="shared" si="1"/>
        <v>10.588850229218224</v>
      </c>
      <c r="K5" s="128">
        <f t="shared" si="2"/>
        <v>9.0183917852956181</v>
      </c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</row>
    <row r="6" spans="1:24" ht="15.5">
      <c r="A6" s="121">
        <v>1</v>
      </c>
      <c r="B6" s="122" t="s">
        <v>389</v>
      </c>
      <c r="C6" s="16" t="s">
        <v>300</v>
      </c>
      <c r="D6" s="122">
        <v>5</v>
      </c>
      <c r="E6" s="125">
        <v>19.399999999999999</v>
      </c>
      <c r="F6" s="125">
        <f t="shared" si="0"/>
        <v>6.1783439490445851</v>
      </c>
      <c r="G6" s="126"/>
      <c r="H6" s="126"/>
      <c r="I6" s="51">
        <f>AVERAGE(0.62,0.71)</f>
        <v>0.66500000000000004</v>
      </c>
      <c r="J6" s="127">
        <f t="shared" si="1"/>
        <v>9.6537088441721775</v>
      </c>
      <c r="K6" s="128">
        <f t="shared" si="2"/>
        <v>7.6044186459015721</v>
      </c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</row>
    <row r="7" spans="1:24" ht="15.5">
      <c r="A7" s="121">
        <v>1</v>
      </c>
      <c r="B7" s="122" t="s">
        <v>389</v>
      </c>
      <c r="C7" s="16" t="s">
        <v>300</v>
      </c>
      <c r="D7" s="122">
        <v>5.5</v>
      </c>
      <c r="E7" s="125">
        <f>SUM(24.3+14.1+13.2+8.3)</f>
        <v>59.899999999999991</v>
      </c>
      <c r="F7" s="125">
        <f t="shared" si="0"/>
        <v>19.076433121019104</v>
      </c>
      <c r="G7" s="126"/>
      <c r="H7" s="126"/>
      <c r="I7" s="51">
        <f>AVERAGE(0.62,0.71)</f>
        <v>0.66500000000000004</v>
      </c>
      <c r="J7" s="127">
        <f t="shared" si="1"/>
        <v>15.990973286948757</v>
      </c>
      <c r="K7" s="128">
        <f t="shared" si="2"/>
        <v>75.372593510058977</v>
      </c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</row>
    <row r="8" spans="1:24" ht="15.5">
      <c r="A8" s="121">
        <v>1</v>
      </c>
      <c r="B8" s="129" t="s">
        <v>389</v>
      </c>
      <c r="C8" s="16" t="s">
        <v>300</v>
      </c>
      <c r="D8" s="129">
        <v>4.5</v>
      </c>
      <c r="E8" s="125">
        <v>14.5</v>
      </c>
      <c r="F8" s="125">
        <f t="shared" si="0"/>
        <v>4.6178343949044587</v>
      </c>
      <c r="G8" s="126"/>
      <c r="H8" s="126"/>
      <c r="I8" s="51">
        <f>AVERAGE(0.62,0.71)</f>
        <v>0.66500000000000004</v>
      </c>
      <c r="J8" s="127">
        <f t="shared" si="1"/>
        <v>9.3215592133555116</v>
      </c>
      <c r="K8" s="128">
        <f t="shared" si="2"/>
        <v>3.8869420945565589</v>
      </c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</row>
    <row r="9" spans="1:24" ht="15.5">
      <c r="A9" s="121">
        <v>1</v>
      </c>
      <c r="B9" s="122" t="s">
        <v>388</v>
      </c>
      <c r="C9" s="16" t="s">
        <v>237</v>
      </c>
      <c r="D9" s="122">
        <v>3</v>
      </c>
      <c r="E9" s="125">
        <v>8.3000000000000007</v>
      </c>
      <c r="F9" s="125">
        <f t="shared" si="0"/>
        <v>2.6433121019108281</v>
      </c>
      <c r="G9" s="126"/>
      <c r="H9" s="126"/>
      <c r="I9" s="51">
        <f>AVERAGE(0.8,1)</f>
        <v>0.9</v>
      </c>
      <c r="J9" s="127">
        <f t="shared" si="1"/>
        <v>9.0590645381151358</v>
      </c>
      <c r="K9" s="128">
        <f t="shared" si="2"/>
        <v>1.1832046324294028</v>
      </c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</row>
    <row r="10" spans="1:24" ht="15.5">
      <c r="A10" s="121">
        <v>1</v>
      </c>
      <c r="B10" s="129" t="s">
        <v>384</v>
      </c>
      <c r="C10" s="16" t="s">
        <v>341</v>
      </c>
      <c r="D10" s="129">
        <v>6</v>
      </c>
      <c r="E10" s="125">
        <f>SUM(20.3+20.2+16.4)</f>
        <v>56.9</v>
      </c>
      <c r="F10" s="125">
        <f t="shared" si="0"/>
        <v>18.121019108280255</v>
      </c>
      <c r="G10" s="126"/>
      <c r="H10" s="126"/>
      <c r="I10" s="126"/>
      <c r="J10" s="127">
        <f t="shared" si="1"/>
        <v>15.881498003975821</v>
      </c>
      <c r="K10" s="128">
        <f t="shared" si="2"/>
        <v>0</v>
      </c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</row>
    <row r="11" spans="1:24" ht="15.5">
      <c r="A11" s="121">
        <v>1</v>
      </c>
      <c r="B11" s="129" t="s">
        <v>387</v>
      </c>
      <c r="C11" s="16" t="s">
        <v>232</v>
      </c>
      <c r="D11" s="129">
        <v>6</v>
      </c>
      <c r="E11" s="125">
        <f>SUM(16.5+20.5+28.3+17.2)</f>
        <v>82.5</v>
      </c>
      <c r="F11" s="125">
        <f t="shared" si="0"/>
        <v>26.273885350318469</v>
      </c>
      <c r="G11" s="126"/>
      <c r="H11" s="126"/>
      <c r="I11" s="51">
        <v>0.62</v>
      </c>
      <c r="J11" s="127">
        <f t="shared" si="1"/>
        <v>23.482358079435272</v>
      </c>
      <c r="K11" s="128">
        <f t="shared" si="2"/>
        <v>143.14507422559663</v>
      </c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</row>
    <row r="12" spans="1:24" ht="15.5">
      <c r="A12" s="121">
        <v>1</v>
      </c>
      <c r="B12" s="129" t="s">
        <v>387</v>
      </c>
      <c r="C12" s="16" t="s">
        <v>232</v>
      </c>
      <c r="D12" s="129">
        <v>6.5</v>
      </c>
      <c r="E12" s="125">
        <f>SUM(31.7+21.3+18.4+17.5+19.5)</f>
        <v>108.4</v>
      </c>
      <c r="F12" s="125">
        <f t="shared" si="0"/>
        <v>34.522292993630572</v>
      </c>
      <c r="G12" s="126"/>
      <c r="H12" s="126"/>
      <c r="I12" s="51">
        <v>0.62</v>
      </c>
      <c r="J12" s="127">
        <f t="shared" si="1"/>
        <v>36.098893232991195</v>
      </c>
      <c r="K12" s="128">
        <f t="shared" si="2"/>
        <v>263.7322713494886</v>
      </c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</row>
    <row r="13" spans="1:24" ht="15.5">
      <c r="A13" s="121">
        <v>1</v>
      </c>
      <c r="B13" s="122" t="s">
        <v>387</v>
      </c>
      <c r="C13" s="16" t="s">
        <v>232</v>
      </c>
      <c r="D13" s="122">
        <v>7</v>
      </c>
      <c r="E13" s="124">
        <f>SUM(18.6+19.5+18.6+25.3+23.2+22.4)</f>
        <v>127.6</v>
      </c>
      <c r="F13" s="125">
        <f t="shared" si="0"/>
        <v>40.636942675159233</v>
      </c>
      <c r="G13" s="126"/>
      <c r="H13" s="126"/>
      <c r="I13" s="51">
        <v>0.62</v>
      </c>
      <c r="J13" s="127">
        <f t="shared" si="1"/>
        <v>49.444047194612352</v>
      </c>
      <c r="K13" s="128">
        <f t="shared" si="2"/>
        <v>389.77940075494695</v>
      </c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</row>
    <row r="14" spans="1:24" ht="15.5">
      <c r="A14" s="121">
        <v>1</v>
      </c>
      <c r="B14" s="129" t="s">
        <v>387</v>
      </c>
      <c r="C14" s="16" t="s">
        <v>232</v>
      </c>
      <c r="D14" s="129">
        <v>6</v>
      </c>
      <c r="E14" s="125">
        <f>SUM(30.4+18.3+25.5+21.3+21.6+17.4)</f>
        <v>134.5</v>
      </c>
      <c r="F14" s="125">
        <f t="shared" si="0"/>
        <v>42.834394904458598</v>
      </c>
      <c r="G14" s="126"/>
      <c r="H14" s="126"/>
      <c r="I14" s="51">
        <v>0.62</v>
      </c>
      <c r="J14" s="127">
        <f t="shared" si="1"/>
        <v>47.516193123453284</v>
      </c>
      <c r="K14" s="128">
        <f t="shared" si="2"/>
        <v>371.64149593847253</v>
      </c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</row>
    <row r="15" spans="1:24" ht="15.5">
      <c r="A15" s="121">
        <v>1</v>
      </c>
      <c r="B15" s="129" t="s">
        <v>387</v>
      </c>
      <c r="C15" s="16" t="s">
        <v>232</v>
      </c>
      <c r="D15" s="122">
        <v>6</v>
      </c>
      <c r="E15" s="124">
        <f>SUM(20.2+12.9+14.5+16.3+25.4+20.4+25.3+18.5+19.6+14.7+18.6+26.6+20.2)</f>
        <v>253.2</v>
      </c>
      <c r="F15" s="125">
        <f t="shared" si="0"/>
        <v>80.636942675159233</v>
      </c>
      <c r="G15" s="126"/>
      <c r="H15" s="126"/>
      <c r="I15" s="51">
        <v>0.62</v>
      </c>
      <c r="J15" s="127">
        <f t="shared" si="1"/>
        <v>145.53434700393524</v>
      </c>
      <c r="K15" s="128">
        <f t="shared" si="2"/>
        <v>1277.6722004641047</v>
      </c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</row>
    <row r="16" spans="1:24" ht="15.5">
      <c r="A16" s="121">
        <v>1</v>
      </c>
      <c r="B16" s="129" t="s">
        <v>387</v>
      </c>
      <c r="C16" s="16" t="s">
        <v>232</v>
      </c>
      <c r="D16" s="129">
        <v>5.5</v>
      </c>
      <c r="E16" s="125">
        <f>SUM(15.2+13.3+14.2+13.3+12.1+14.2+17.7+16.7+13.7+14.5+7.3+16.5)</f>
        <v>168.70000000000002</v>
      </c>
      <c r="F16" s="125">
        <f t="shared" si="0"/>
        <v>53.726114649681534</v>
      </c>
      <c r="G16" s="126"/>
      <c r="H16" s="126"/>
      <c r="I16" s="51">
        <v>0.62</v>
      </c>
      <c r="J16" s="127">
        <f t="shared" si="1"/>
        <v>64.550736360501446</v>
      </c>
      <c r="K16" s="128">
        <f t="shared" si="2"/>
        <v>531.25778387648188</v>
      </c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</row>
    <row r="17" spans="1:24" ht="15.5">
      <c r="A17" s="121">
        <v>1</v>
      </c>
      <c r="B17" s="129" t="s">
        <v>387</v>
      </c>
      <c r="C17" s="16" t="s">
        <v>232</v>
      </c>
      <c r="D17" s="129">
        <v>6.5</v>
      </c>
      <c r="E17" s="125">
        <f>SUM(20.2+29.7+26.3+31.2+23.2+30.5+20.3+33.5)</f>
        <v>214.9</v>
      </c>
      <c r="F17" s="125">
        <f t="shared" si="0"/>
        <v>68.439490445859875</v>
      </c>
      <c r="G17" s="126"/>
      <c r="H17" s="126"/>
      <c r="I17" s="51">
        <v>0.62</v>
      </c>
      <c r="J17" s="127">
        <f t="shared" si="1"/>
        <v>115.54587764412349</v>
      </c>
      <c r="K17" s="128">
        <f t="shared" si="2"/>
        <v>1003.0246339021037</v>
      </c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</row>
    <row r="18" spans="1:24" ht="15.5">
      <c r="A18" s="121">
        <v>1</v>
      </c>
      <c r="B18" s="129" t="s">
        <v>390</v>
      </c>
      <c r="C18" s="123" t="s">
        <v>471</v>
      </c>
      <c r="D18" s="129">
        <v>6</v>
      </c>
      <c r="E18" s="125">
        <v>14.6</v>
      </c>
      <c r="F18" s="125">
        <f t="shared" si="0"/>
        <v>4.6496815286624198</v>
      </c>
      <c r="G18" s="126"/>
      <c r="H18" s="126"/>
      <c r="I18" s="51">
        <f>AVERAGE(0.99,1.27)</f>
        <v>1.1299999999999999</v>
      </c>
      <c r="J18" s="127">
        <f t="shared" si="1"/>
        <v>9.4397103046776749</v>
      </c>
      <c r="K18" s="128">
        <f t="shared" si="2"/>
        <v>8.7519604594329561</v>
      </c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</row>
    <row r="19" spans="1:24" ht="15.5">
      <c r="A19" s="121">
        <v>1</v>
      </c>
      <c r="B19" s="122" t="s">
        <v>260</v>
      </c>
      <c r="C19" s="16" t="s">
        <v>261</v>
      </c>
      <c r="D19" s="122">
        <v>4.5</v>
      </c>
      <c r="E19" s="124">
        <v>16.5</v>
      </c>
      <c r="F19" s="125">
        <f t="shared" si="0"/>
        <v>5.2547770700636942</v>
      </c>
      <c r="G19" s="126"/>
      <c r="H19" s="122" t="s">
        <v>385</v>
      </c>
      <c r="I19" s="51">
        <f>AVERAGE(0.26,0.39)</f>
        <v>0.32500000000000001</v>
      </c>
      <c r="J19" s="127">
        <f t="shared" si="1"/>
        <v>9.4205997423830574</v>
      </c>
      <c r="K19" s="128">
        <f t="shared" si="2"/>
        <v>2.4869704443034735</v>
      </c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</row>
    <row r="20" spans="1:24" ht="15.5">
      <c r="A20" s="121">
        <v>1</v>
      </c>
      <c r="B20" s="122" t="s">
        <v>334</v>
      </c>
      <c r="C20" s="123" t="s">
        <v>29</v>
      </c>
      <c r="D20" s="122">
        <v>6</v>
      </c>
      <c r="E20" s="124">
        <f>SUM(5.3+17.2+12.2+12.1+15.3)</f>
        <v>62.100000000000009</v>
      </c>
      <c r="F20" s="125">
        <f t="shared" si="0"/>
        <v>19.777070063694268</v>
      </c>
      <c r="G20" s="126"/>
      <c r="H20" s="126"/>
      <c r="I20" s="51">
        <v>0.8</v>
      </c>
      <c r="J20" s="127">
        <f t="shared" si="1"/>
        <v>17.199482506389714</v>
      </c>
      <c r="K20" s="128">
        <f t="shared" si="2"/>
        <v>105.44224460571458</v>
      </c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</row>
    <row r="21" spans="1:24" ht="15.5">
      <c r="A21" s="121">
        <v>1</v>
      </c>
      <c r="B21" s="122" t="s">
        <v>334</v>
      </c>
      <c r="C21" s="123" t="s">
        <v>29</v>
      </c>
      <c r="D21" s="122">
        <v>5.5</v>
      </c>
      <c r="E21" s="124">
        <f>SUM(14.5+12+13.4+12.3+11.4+12)</f>
        <v>75.599999999999994</v>
      </c>
      <c r="F21" s="125">
        <f t="shared" si="0"/>
        <v>24.076433121019104</v>
      </c>
      <c r="G21" s="126"/>
      <c r="H21" s="126"/>
      <c r="I21" s="51">
        <v>0.8</v>
      </c>
      <c r="J21" s="127">
        <f t="shared" si="1"/>
        <v>20.144436662744937</v>
      </c>
      <c r="K21" s="128">
        <f t="shared" si="2"/>
        <v>142.19775774769371</v>
      </c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</row>
    <row r="22" spans="1:24" ht="15.5">
      <c r="A22" s="121">
        <v>1</v>
      </c>
      <c r="B22" s="129" t="s">
        <v>47</v>
      </c>
      <c r="C22" s="16" t="s">
        <v>48</v>
      </c>
      <c r="D22" s="129">
        <v>12</v>
      </c>
      <c r="E22" s="125">
        <v>53.4</v>
      </c>
      <c r="F22" s="125">
        <f t="shared" si="0"/>
        <v>17.00636942675159</v>
      </c>
      <c r="G22" s="126"/>
      <c r="H22" s="51" t="s">
        <v>386</v>
      </c>
      <c r="I22" s="51">
        <f>AVERAGE(0.54,0.58)</f>
        <v>0.56000000000000005</v>
      </c>
      <c r="J22" s="127">
        <f t="shared" si="1"/>
        <v>21.132797245324351</v>
      </c>
      <c r="K22" s="128">
        <f t="shared" si="2"/>
        <v>109.06397832818922</v>
      </c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</row>
    <row r="23" spans="1:24" ht="15.5">
      <c r="A23" s="121">
        <v>1</v>
      </c>
      <c r="B23" s="122" t="s">
        <v>47</v>
      </c>
      <c r="C23" s="16" t="s">
        <v>48</v>
      </c>
      <c r="D23" s="122">
        <v>12</v>
      </c>
      <c r="E23" s="124">
        <v>70.5</v>
      </c>
      <c r="F23" s="125">
        <f t="shared" si="0"/>
        <v>22.452229299363058</v>
      </c>
      <c r="G23" s="126"/>
      <c r="H23" s="126"/>
      <c r="I23" s="51">
        <v>0.56000000000000005</v>
      </c>
      <c r="J23" s="127">
        <f t="shared" si="1"/>
        <v>30.158009221469435</v>
      </c>
      <c r="K23" s="128">
        <f t="shared" si="2"/>
        <v>187.57975230733578</v>
      </c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</row>
    <row r="24" spans="1:24" ht="15.5">
      <c r="A24" s="121">
        <v>1</v>
      </c>
      <c r="B24" s="122" t="s">
        <v>336</v>
      </c>
      <c r="C24" s="16" t="s">
        <v>337</v>
      </c>
      <c r="D24" s="122">
        <v>6</v>
      </c>
      <c r="E24" s="125">
        <v>31.6</v>
      </c>
      <c r="F24" s="125">
        <f t="shared" si="0"/>
        <v>10.063694267515924</v>
      </c>
      <c r="G24" s="126"/>
      <c r="H24" s="126"/>
      <c r="I24" s="51">
        <v>0.46800000000000003</v>
      </c>
      <c r="J24" s="127">
        <f t="shared" si="1"/>
        <v>11.11253678851069</v>
      </c>
      <c r="K24" s="128">
        <f t="shared" si="2"/>
        <v>16.712181724987129</v>
      </c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</row>
    <row r="25" spans="1:24" ht="15.5">
      <c r="A25" s="121">
        <v>2</v>
      </c>
      <c r="B25" s="129" t="s">
        <v>318</v>
      </c>
      <c r="C25" s="16" t="s">
        <v>180</v>
      </c>
      <c r="D25" s="129">
        <v>7</v>
      </c>
      <c r="E25" s="125">
        <f>SUM(27.5+30.2+23.4+18.5+14.3+20.2)</f>
        <v>134.1</v>
      </c>
      <c r="F25" s="125">
        <f t="shared" si="0"/>
        <v>42.70700636942675</v>
      </c>
      <c r="G25" s="126"/>
      <c r="H25" s="126"/>
      <c r="I25" s="122">
        <v>0.41</v>
      </c>
      <c r="J25" s="127">
        <f t="shared" si="1"/>
        <v>53.670965629437298</v>
      </c>
      <c r="K25" s="128">
        <f t="shared" si="2"/>
        <v>286.84157386914814</v>
      </c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</row>
    <row r="26" spans="1:24" ht="15.5">
      <c r="A26" s="121">
        <v>2</v>
      </c>
      <c r="B26" s="129" t="s">
        <v>318</v>
      </c>
      <c r="C26" s="16" t="s">
        <v>180</v>
      </c>
      <c r="D26" s="129">
        <v>7</v>
      </c>
      <c r="E26" s="125">
        <v>31.5</v>
      </c>
      <c r="F26" s="125">
        <f t="shared" si="0"/>
        <v>10.031847133757962</v>
      </c>
      <c r="G26" s="126"/>
      <c r="H26" s="126"/>
      <c r="I26" s="122">
        <v>0.41</v>
      </c>
      <c r="J26" s="127">
        <f t="shared" si="1"/>
        <v>11.451329944419651</v>
      </c>
      <c r="K26" s="128">
        <f t="shared" si="2"/>
        <v>16.966932160705632</v>
      </c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</row>
    <row r="27" spans="1:24" ht="15.5">
      <c r="A27" s="121">
        <v>2</v>
      </c>
      <c r="B27" s="122" t="s">
        <v>128</v>
      </c>
      <c r="C27" s="123" t="s">
        <v>129</v>
      </c>
      <c r="D27" s="122">
        <v>6</v>
      </c>
      <c r="E27" s="124">
        <f>SUM(17.5+17.3)</f>
        <v>34.799999999999997</v>
      </c>
      <c r="F27" s="125">
        <f t="shared" si="0"/>
        <v>11.082802547770699</v>
      </c>
      <c r="G27" s="126"/>
      <c r="H27" s="126"/>
      <c r="I27" s="51">
        <f>AVERAGE(0.25,0.41)</f>
        <v>0.32999999999999996</v>
      </c>
      <c r="J27" s="127">
        <f t="shared" si="1"/>
        <v>11.565098758570326</v>
      </c>
      <c r="K27" s="128">
        <f t="shared" si="2"/>
        <v>14.345520190976721</v>
      </c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</row>
    <row r="28" spans="1:24" ht="15.5">
      <c r="A28" s="121">
        <v>2</v>
      </c>
      <c r="B28" s="122" t="s">
        <v>389</v>
      </c>
      <c r="C28" s="16" t="s">
        <v>300</v>
      </c>
      <c r="D28" s="122">
        <v>6</v>
      </c>
      <c r="E28" s="124">
        <v>30.5</v>
      </c>
      <c r="F28" s="125">
        <f t="shared" si="0"/>
        <v>9.7133757961783438</v>
      </c>
      <c r="G28" s="126"/>
      <c r="H28" s="126"/>
      <c r="I28" s="51">
        <f>AVERAGE(0.62,0.71)</f>
        <v>0.66500000000000004</v>
      </c>
      <c r="J28" s="127">
        <f t="shared" si="1"/>
        <v>10.967043056513448</v>
      </c>
      <c r="K28" s="128">
        <f t="shared" si="2"/>
        <v>21.97410643614171</v>
      </c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</row>
    <row r="29" spans="1:24" ht="15.5">
      <c r="A29" s="121">
        <v>2</v>
      </c>
      <c r="B29" s="122" t="s">
        <v>387</v>
      </c>
      <c r="C29" s="123" t="s">
        <v>232</v>
      </c>
      <c r="D29" s="122">
        <v>7</v>
      </c>
      <c r="E29" s="124">
        <f>SUM(11.2+9.7+20.5+9.3+17.7+9.4)</f>
        <v>77.800000000000011</v>
      </c>
      <c r="F29" s="125">
        <f t="shared" si="0"/>
        <v>24.777070063694271</v>
      </c>
      <c r="G29" s="126"/>
      <c r="H29" s="126"/>
      <c r="I29" s="51">
        <v>0.62</v>
      </c>
      <c r="J29" s="127">
        <f t="shared" si="1"/>
        <v>24.026328423059766</v>
      </c>
      <c r="K29" s="128">
        <f t="shared" si="2"/>
        <v>148.38518432343145</v>
      </c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</row>
    <row r="30" spans="1:24" ht="15.5">
      <c r="A30" s="121">
        <v>2</v>
      </c>
      <c r="B30" s="122" t="s">
        <v>387</v>
      </c>
      <c r="C30" s="123" t="s">
        <v>232</v>
      </c>
      <c r="D30" s="122">
        <v>7.5</v>
      </c>
      <c r="E30" s="124">
        <f>SUM(18.5+16+20.4+18.2+7.5+18.3+18.4)</f>
        <v>117.29999999999998</v>
      </c>
      <c r="F30" s="125">
        <f t="shared" si="0"/>
        <v>37.356687898089163</v>
      </c>
      <c r="G30" s="126"/>
      <c r="H30" s="126"/>
      <c r="I30" s="51">
        <v>0.62</v>
      </c>
      <c r="J30" s="127">
        <f t="shared" si="1"/>
        <v>45.618155931275084</v>
      </c>
      <c r="K30" s="128">
        <f t="shared" si="2"/>
        <v>353.7628246049336</v>
      </c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</row>
    <row r="31" spans="1:24" ht="15.5">
      <c r="A31" s="121">
        <v>2</v>
      </c>
      <c r="B31" s="122" t="s">
        <v>387</v>
      </c>
      <c r="C31" s="123" t="s">
        <v>232</v>
      </c>
      <c r="D31" s="122">
        <v>7</v>
      </c>
      <c r="E31" s="124">
        <f>SUM(19.3+18.1+15+15.6+16.3+16.3+20.5)</f>
        <v>121.1</v>
      </c>
      <c r="F31" s="125">
        <f t="shared" si="0"/>
        <v>38.566878980891715</v>
      </c>
      <c r="G31" s="126"/>
      <c r="H31" s="126"/>
      <c r="I31" s="51">
        <v>0.62</v>
      </c>
      <c r="J31" s="127">
        <f t="shared" si="1"/>
        <v>45.427101781005305</v>
      </c>
      <c r="K31" s="128">
        <f t="shared" si="2"/>
        <v>351.96196573584433</v>
      </c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</row>
    <row r="32" spans="1:24" ht="15.5">
      <c r="A32" s="121">
        <v>2</v>
      </c>
      <c r="B32" s="122" t="s">
        <v>344</v>
      </c>
      <c r="C32" s="123" t="s">
        <v>127</v>
      </c>
      <c r="D32" s="122">
        <v>9</v>
      </c>
      <c r="E32" s="124">
        <f>SUM(17.5+43.4+23.3)</f>
        <v>84.2</v>
      </c>
      <c r="F32" s="125">
        <f t="shared" si="0"/>
        <v>26.815286624203821</v>
      </c>
      <c r="G32" s="126"/>
      <c r="H32" s="126"/>
      <c r="I32" s="51">
        <f>AVERAGE(0.47,0.59)</f>
        <v>0.53</v>
      </c>
      <c r="J32" s="127">
        <f t="shared" si="1"/>
        <v>31.636077297253436</v>
      </c>
      <c r="K32" s="128">
        <f t="shared" si="2"/>
        <v>189.86789333347252</v>
      </c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</row>
    <row r="33" spans="1:24" ht="15.5">
      <c r="A33" s="121">
        <v>2</v>
      </c>
      <c r="B33" s="122" t="s">
        <v>390</v>
      </c>
      <c r="C33" s="16" t="s">
        <v>471</v>
      </c>
      <c r="D33" s="122">
        <v>5</v>
      </c>
      <c r="E33" s="124">
        <v>16.100000000000001</v>
      </c>
      <c r="F33" s="125">
        <f t="shared" si="0"/>
        <v>5.1273885350318471</v>
      </c>
      <c r="G33" s="126"/>
      <c r="H33" s="126"/>
      <c r="I33" s="51">
        <f>AVERAGE(0.99,1.27)</f>
        <v>1.1299999999999999</v>
      </c>
      <c r="J33" s="127">
        <f t="shared" si="1"/>
        <v>9.4457769808105798</v>
      </c>
      <c r="K33" s="128">
        <f t="shared" si="2"/>
        <v>8.8660828700148446</v>
      </c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</row>
    <row r="34" spans="1:24" ht="15.5">
      <c r="A34" s="121">
        <v>2</v>
      </c>
      <c r="B34" s="129" t="s">
        <v>151</v>
      </c>
      <c r="C34" s="16" t="s">
        <v>361</v>
      </c>
      <c r="D34" s="129">
        <v>6</v>
      </c>
      <c r="E34" s="125">
        <v>12.2</v>
      </c>
      <c r="F34" s="125">
        <f t="shared" si="0"/>
        <v>3.8853503184713372</v>
      </c>
      <c r="G34" s="126"/>
      <c r="H34" s="126"/>
      <c r="I34" s="51">
        <f>AVERAGE(0.55,0.7)</f>
        <v>0.625</v>
      </c>
      <c r="J34" s="127">
        <f t="shared" si="1"/>
        <v>9.3027148890421518</v>
      </c>
      <c r="K34" s="128">
        <f t="shared" si="2"/>
        <v>3.4580980100339267</v>
      </c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</row>
    <row r="35" spans="1:24" ht="15.5">
      <c r="A35" s="121">
        <v>2</v>
      </c>
      <c r="B35" s="122" t="s">
        <v>151</v>
      </c>
      <c r="C35" s="123" t="s">
        <v>361</v>
      </c>
      <c r="D35" s="122">
        <v>5</v>
      </c>
      <c r="E35" s="124">
        <f>SUM(14.5+13+12.6)</f>
        <v>40.1</v>
      </c>
      <c r="F35" s="125">
        <f t="shared" si="0"/>
        <v>12.770700636942674</v>
      </c>
      <c r="G35" s="126"/>
      <c r="H35" s="126"/>
      <c r="I35" s="51">
        <f>AVERAGE(0.55,0.7)</f>
        <v>0.625</v>
      </c>
      <c r="J35" s="127">
        <f t="shared" si="1"/>
        <v>11.839788908272141</v>
      </c>
      <c r="K35" s="128">
        <f t="shared" si="2"/>
        <v>29.533833875931634</v>
      </c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</row>
    <row r="36" spans="1:24" ht="15.5">
      <c r="A36" s="121">
        <v>2</v>
      </c>
      <c r="B36" s="122" t="s">
        <v>151</v>
      </c>
      <c r="C36" s="16" t="s">
        <v>361</v>
      </c>
      <c r="D36" s="122">
        <v>8</v>
      </c>
      <c r="E36" s="124">
        <f>SUM(21.7+14.5+17.3+22.2+17.3)</f>
        <v>93</v>
      </c>
      <c r="F36" s="125">
        <f t="shared" ref="F36:F67" si="3">E36/3.14</f>
        <v>29.617834394904456</v>
      </c>
      <c r="G36" s="126"/>
      <c r="H36" s="126"/>
      <c r="I36" s="51">
        <f>AVERAGE(0.55,0.7)</f>
        <v>0.625</v>
      </c>
      <c r="J36" s="127">
        <f t="shared" ref="J36:J67" si="4">8.9857+0.0035*(F36)^2*(D36)</f>
        <v>33.547751198831591</v>
      </c>
      <c r="K36" s="128">
        <f t="shared" ref="K36:K67" si="5">0.0673*(I36*F36^2*D36)^0.976</f>
        <v>241.36918888151308</v>
      </c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</row>
    <row r="37" spans="1:24" ht="15.5">
      <c r="A37" s="121">
        <v>2</v>
      </c>
      <c r="B37" s="122" t="s">
        <v>334</v>
      </c>
      <c r="C37" s="123" t="s">
        <v>29</v>
      </c>
      <c r="D37" s="122">
        <v>5</v>
      </c>
      <c r="E37" s="124">
        <f>SUM(12.3+12.5+8.7)</f>
        <v>33.5</v>
      </c>
      <c r="F37" s="125">
        <f t="shared" si="3"/>
        <v>10.668789808917197</v>
      </c>
      <c r="G37" s="126"/>
      <c r="H37" s="126"/>
      <c r="I37" s="51">
        <v>0.8</v>
      </c>
      <c r="J37" s="127">
        <f t="shared" si="4"/>
        <v>10.97760382976997</v>
      </c>
      <c r="K37" s="128">
        <f t="shared" si="5"/>
        <v>26.454917167393983</v>
      </c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</row>
    <row r="38" spans="1:24" ht="15.5">
      <c r="A38" s="121">
        <v>2</v>
      </c>
      <c r="B38" s="129" t="s">
        <v>334</v>
      </c>
      <c r="C38" s="123" t="s">
        <v>29</v>
      </c>
      <c r="D38" s="129">
        <v>6.5</v>
      </c>
      <c r="E38" s="125">
        <f>SUM(16.6+13.4+20.4)</f>
        <v>50.4</v>
      </c>
      <c r="F38" s="125">
        <f t="shared" si="3"/>
        <v>16.050955414012737</v>
      </c>
      <c r="G38" s="126"/>
      <c r="H38" s="126"/>
      <c r="I38" s="51">
        <v>0.8</v>
      </c>
      <c r="J38" s="127">
        <f t="shared" si="4"/>
        <v>14.846854610734713</v>
      </c>
      <c r="K38" s="128">
        <f t="shared" si="5"/>
        <v>75.852877709083941</v>
      </c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</row>
    <row r="39" spans="1:24" ht="15.5">
      <c r="A39" s="121">
        <v>2</v>
      </c>
      <c r="B39" s="122" t="s">
        <v>47</v>
      </c>
      <c r="C39" s="16" t="s">
        <v>48</v>
      </c>
      <c r="D39" s="122">
        <v>11</v>
      </c>
      <c r="E39" s="124">
        <v>90.2</v>
      </c>
      <c r="F39" s="125">
        <f t="shared" si="3"/>
        <v>28.726114649681527</v>
      </c>
      <c r="G39" s="126"/>
      <c r="H39" s="126"/>
      <c r="I39" s="51">
        <v>0.56000000000000005</v>
      </c>
      <c r="J39" s="127">
        <f t="shared" si="4"/>
        <v>40.755502020365931</v>
      </c>
      <c r="K39" s="128">
        <f t="shared" si="5"/>
        <v>278.74194590612655</v>
      </c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</row>
    <row r="40" spans="1:24" ht="15.5">
      <c r="A40" s="121">
        <v>2</v>
      </c>
      <c r="B40" s="122" t="s">
        <v>391</v>
      </c>
      <c r="C40" s="16" t="s">
        <v>91</v>
      </c>
      <c r="D40" s="122">
        <v>8</v>
      </c>
      <c r="E40" s="124">
        <f>SUM(56.6+14.5+37.7+30.4+43.3)</f>
        <v>182.5</v>
      </c>
      <c r="F40" s="125">
        <f t="shared" si="3"/>
        <v>58.121019108280251</v>
      </c>
      <c r="G40" s="126"/>
      <c r="H40" s="126" t="s">
        <v>392</v>
      </c>
      <c r="I40" s="51">
        <f>AVERAGE(0.45,0.51)</f>
        <v>0.48</v>
      </c>
      <c r="J40" s="127">
        <f t="shared" si="4"/>
        <v>103.57118014118218</v>
      </c>
      <c r="K40" s="128">
        <f t="shared" si="5"/>
        <v>695.5058480682784</v>
      </c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</row>
    <row r="41" spans="1:24" ht="15.5">
      <c r="A41" s="121">
        <v>3</v>
      </c>
      <c r="B41" s="129" t="s">
        <v>332</v>
      </c>
      <c r="C41" s="16" t="s">
        <v>21</v>
      </c>
      <c r="D41" s="129">
        <v>12</v>
      </c>
      <c r="E41" s="125">
        <f>SUM(58.3+22.3)</f>
        <v>80.599999999999994</v>
      </c>
      <c r="F41" s="125">
        <f t="shared" si="3"/>
        <v>25.668789808917193</v>
      </c>
      <c r="G41" s="126"/>
      <c r="H41" s="126"/>
      <c r="I41" s="51">
        <f>AVERAGE(0.84,1.1)</f>
        <v>0.97</v>
      </c>
      <c r="J41" s="127">
        <f t="shared" si="4"/>
        <v>36.658944350683591</v>
      </c>
      <c r="K41" s="128">
        <f t="shared" si="5"/>
        <v>416.43239010927385</v>
      </c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</row>
    <row r="42" spans="1:24" ht="15.5">
      <c r="A42" s="121">
        <v>3</v>
      </c>
      <c r="B42" s="129" t="s">
        <v>332</v>
      </c>
      <c r="C42" s="16" t="s">
        <v>21</v>
      </c>
      <c r="D42" s="122">
        <v>12</v>
      </c>
      <c r="E42" s="124">
        <v>84.2</v>
      </c>
      <c r="F42" s="125">
        <f t="shared" si="3"/>
        <v>26.815286624203821</v>
      </c>
      <c r="G42" s="126"/>
      <c r="H42" s="126"/>
      <c r="I42" s="51">
        <f>AVERAGE(0.84,1.1)</f>
        <v>0.97</v>
      </c>
      <c r="J42" s="127">
        <f t="shared" si="4"/>
        <v>39.186203063004584</v>
      </c>
      <c r="K42" s="128">
        <f t="shared" si="5"/>
        <v>453.51087171976468</v>
      </c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</row>
    <row r="43" spans="1:24" ht="15.5">
      <c r="A43" s="121">
        <v>3</v>
      </c>
      <c r="B43" s="122" t="s">
        <v>164</v>
      </c>
      <c r="C43" s="16" t="s">
        <v>204</v>
      </c>
      <c r="D43" s="122">
        <v>6</v>
      </c>
      <c r="E43" s="124">
        <v>43.3</v>
      </c>
      <c r="F43" s="125">
        <f t="shared" si="3"/>
        <v>13.789808917197451</v>
      </c>
      <c r="G43" s="126"/>
      <c r="H43" s="126"/>
      <c r="I43" s="51">
        <f>AVERAGE(0.22,0.34)</f>
        <v>0.28000000000000003</v>
      </c>
      <c r="J43" s="127">
        <f t="shared" si="4"/>
        <v>12.979035429429185</v>
      </c>
      <c r="K43" s="128">
        <f t="shared" si="5"/>
        <v>18.721240560927988</v>
      </c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</row>
    <row r="44" spans="1:24" ht="15.5">
      <c r="A44" s="121">
        <v>3</v>
      </c>
      <c r="B44" s="129" t="s">
        <v>164</v>
      </c>
      <c r="C44" s="16" t="s">
        <v>204</v>
      </c>
      <c r="D44" s="129">
        <v>5</v>
      </c>
      <c r="E44" s="125">
        <v>24.3</v>
      </c>
      <c r="F44" s="125">
        <f t="shared" si="3"/>
        <v>7.7388535031847132</v>
      </c>
      <c r="G44" s="126"/>
      <c r="H44" s="126"/>
      <c r="I44" s="51">
        <f>AVERAGE(0.22,0.34)</f>
        <v>0.28000000000000003</v>
      </c>
      <c r="J44" s="127">
        <f t="shared" si="4"/>
        <v>10.033772437015699</v>
      </c>
      <c r="K44" s="128">
        <f t="shared" si="5"/>
        <v>5.0737936439362548</v>
      </c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</row>
    <row r="45" spans="1:24" ht="15.5">
      <c r="A45" s="121">
        <v>3</v>
      </c>
      <c r="B45" s="129" t="s">
        <v>164</v>
      </c>
      <c r="C45" s="16" t="s">
        <v>204</v>
      </c>
      <c r="D45" s="129">
        <v>4.5</v>
      </c>
      <c r="E45" s="125">
        <v>23.2</v>
      </c>
      <c r="F45" s="125">
        <f t="shared" si="3"/>
        <v>7.388535031847133</v>
      </c>
      <c r="G45" s="126"/>
      <c r="H45" s="126"/>
      <c r="I45" s="51">
        <f>AVERAGE(0.22,0.34)</f>
        <v>0.28000000000000003</v>
      </c>
      <c r="J45" s="127">
        <f t="shared" si="4"/>
        <v>9.8454995861901082</v>
      </c>
      <c r="K45" s="128">
        <f t="shared" si="5"/>
        <v>4.1821787376754385</v>
      </c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</row>
    <row r="46" spans="1:24" ht="15.5">
      <c r="A46" s="121">
        <v>3</v>
      </c>
      <c r="B46" s="129" t="s">
        <v>384</v>
      </c>
      <c r="C46" s="16" t="s">
        <v>341</v>
      </c>
      <c r="D46" s="129">
        <v>6</v>
      </c>
      <c r="E46" s="125">
        <v>20.5</v>
      </c>
      <c r="F46" s="125">
        <f t="shared" si="3"/>
        <v>6.5286624203821653</v>
      </c>
      <c r="G46" s="126"/>
      <c r="H46" s="126"/>
      <c r="I46" s="126"/>
      <c r="J46" s="127">
        <f t="shared" si="4"/>
        <v>9.8807920929855158</v>
      </c>
      <c r="K46" s="128">
        <f t="shared" si="5"/>
        <v>0</v>
      </c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</row>
    <row r="47" spans="1:24" ht="15.5">
      <c r="A47" s="121">
        <v>3</v>
      </c>
      <c r="B47" s="122" t="s">
        <v>384</v>
      </c>
      <c r="C47" s="16" t="s">
        <v>341</v>
      </c>
      <c r="D47" s="122">
        <v>8</v>
      </c>
      <c r="E47" s="124">
        <v>49.6</v>
      </c>
      <c r="F47" s="125">
        <f t="shared" si="3"/>
        <v>15.796178343949045</v>
      </c>
      <c r="G47" s="126"/>
      <c r="H47" s="126"/>
      <c r="I47" s="126"/>
      <c r="J47" s="127">
        <f t="shared" si="4"/>
        <v>15.972239007667653</v>
      </c>
      <c r="K47" s="128">
        <f t="shared" si="5"/>
        <v>0</v>
      </c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</row>
    <row r="48" spans="1:24" ht="15.5">
      <c r="A48" s="121">
        <v>3</v>
      </c>
      <c r="B48" s="129" t="s">
        <v>384</v>
      </c>
      <c r="C48" s="16" t="s">
        <v>341</v>
      </c>
      <c r="D48" s="129">
        <v>8</v>
      </c>
      <c r="E48" s="136"/>
      <c r="F48" s="125">
        <f t="shared" si="3"/>
        <v>0</v>
      </c>
      <c r="G48" s="126"/>
      <c r="H48" s="126"/>
      <c r="I48" s="126"/>
      <c r="J48" s="127">
        <f t="shared" si="4"/>
        <v>8.9856999999999996</v>
      </c>
      <c r="K48" s="128">
        <f t="shared" si="5"/>
        <v>0</v>
      </c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</row>
    <row r="49" spans="1:24" ht="15.5">
      <c r="A49" s="121">
        <v>3</v>
      </c>
      <c r="B49" s="122" t="s">
        <v>384</v>
      </c>
      <c r="C49" s="16" t="s">
        <v>341</v>
      </c>
      <c r="D49" s="122">
        <v>10</v>
      </c>
      <c r="E49" s="124">
        <f>SUM(47.5+26.6+44.6)</f>
        <v>118.69999999999999</v>
      </c>
      <c r="F49" s="125">
        <f t="shared" si="3"/>
        <v>37.802547770700635</v>
      </c>
      <c r="G49" s="126"/>
      <c r="H49" s="126"/>
      <c r="I49" s="126"/>
      <c r="J49" s="127">
        <f t="shared" si="4"/>
        <v>59.001841628463623</v>
      </c>
      <c r="K49" s="128">
        <f t="shared" si="5"/>
        <v>0</v>
      </c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</row>
    <row r="50" spans="1:24" ht="15.5">
      <c r="A50" s="121">
        <v>3</v>
      </c>
      <c r="B50" s="122" t="s">
        <v>384</v>
      </c>
      <c r="C50" s="16" t="s">
        <v>341</v>
      </c>
      <c r="D50" s="122">
        <v>6.5</v>
      </c>
      <c r="E50" s="124">
        <v>27.4</v>
      </c>
      <c r="F50" s="125">
        <f t="shared" si="3"/>
        <v>8.7261146496815272</v>
      </c>
      <c r="G50" s="126"/>
      <c r="H50" s="126"/>
      <c r="I50" s="126"/>
      <c r="J50" s="127">
        <f t="shared" si="4"/>
        <v>10.718000499006044</v>
      </c>
      <c r="K50" s="128">
        <f t="shared" si="5"/>
        <v>0</v>
      </c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</row>
    <row r="51" spans="1:24" ht="15.5">
      <c r="A51" s="121">
        <v>3</v>
      </c>
      <c r="B51" s="129" t="s">
        <v>384</v>
      </c>
      <c r="C51" s="16" t="s">
        <v>341</v>
      </c>
      <c r="D51" s="122">
        <v>5</v>
      </c>
      <c r="E51" s="124">
        <v>27.5</v>
      </c>
      <c r="F51" s="125">
        <f t="shared" si="3"/>
        <v>8.7579617834394909</v>
      </c>
      <c r="G51" s="126"/>
      <c r="H51" s="126"/>
      <c r="I51" s="126"/>
      <c r="J51" s="127">
        <f t="shared" si="4"/>
        <v>10.327983155503265</v>
      </c>
      <c r="K51" s="128">
        <f t="shared" si="5"/>
        <v>0</v>
      </c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</row>
    <row r="52" spans="1:24" ht="15.5">
      <c r="A52" s="121">
        <v>3</v>
      </c>
      <c r="B52" s="122" t="s">
        <v>344</v>
      </c>
      <c r="C52" s="16" t="s">
        <v>127</v>
      </c>
      <c r="D52" s="122">
        <v>7</v>
      </c>
      <c r="E52" s="124">
        <f>SUM(30.5+27.2)</f>
        <v>57.7</v>
      </c>
      <c r="F52" s="125">
        <f t="shared" si="3"/>
        <v>18.375796178343951</v>
      </c>
      <c r="G52" s="126"/>
      <c r="H52" s="126"/>
      <c r="I52" s="51">
        <f>AVERAGE(0.47,0.59)</f>
        <v>0.53</v>
      </c>
      <c r="J52" s="127">
        <f t="shared" si="4"/>
        <v>17.258612187106984</v>
      </c>
      <c r="K52" s="128">
        <f t="shared" si="5"/>
        <v>71.04483570253629</v>
      </c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</row>
    <row r="53" spans="1:24" ht="15.5">
      <c r="A53" s="121">
        <v>3</v>
      </c>
      <c r="B53" s="129" t="s">
        <v>344</v>
      </c>
      <c r="C53" s="16" t="s">
        <v>127</v>
      </c>
      <c r="D53" s="129">
        <v>7</v>
      </c>
      <c r="E53" s="125">
        <f>SUM(19.5+31.6)</f>
        <v>51.1</v>
      </c>
      <c r="F53" s="125">
        <f t="shared" si="3"/>
        <v>16.273885350318473</v>
      </c>
      <c r="G53" s="126"/>
      <c r="H53" s="126"/>
      <c r="I53" s="51">
        <f>AVERAGE(0.47,0.59)</f>
        <v>0.53</v>
      </c>
      <c r="J53" s="127">
        <f t="shared" si="4"/>
        <v>15.4742639376851</v>
      </c>
      <c r="K53" s="128">
        <f t="shared" si="5"/>
        <v>56.047329440302207</v>
      </c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</row>
    <row r="54" spans="1:24" ht="15.5">
      <c r="A54" s="121">
        <v>3</v>
      </c>
      <c r="B54" s="129" t="s">
        <v>334</v>
      </c>
      <c r="C54" s="123" t="s">
        <v>29</v>
      </c>
      <c r="D54" s="129">
        <v>6</v>
      </c>
      <c r="E54" s="125">
        <f>SUM(11.3+12.4+11.7)</f>
        <v>35.400000000000006</v>
      </c>
      <c r="F54" s="125">
        <f t="shared" si="3"/>
        <v>11.273885350318473</v>
      </c>
      <c r="G54" s="126"/>
      <c r="H54" s="126"/>
      <c r="I54" s="51">
        <v>0.8</v>
      </c>
      <c r="J54" s="127">
        <f t="shared" si="4"/>
        <v>11.654810308734636</v>
      </c>
      <c r="K54" s="128">
        <f t="shared" si="5"/>
        <v>35.200935572711401</v>
      </c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</row>
    <row r="55" spans="1:24" ht="15.5">
      <c r="A55" s="121">
        <v>3</v>
      </c>
      <c r="B55" s="129" t="s">
        <v>334</v>
      </c>
      <c r="C55" s="123" t="s">
        <v>29</v>
      </c>
      <c r="D55" s="129">
        <v>5.5</v>
      </c>
      <c r="E55" s="125">
        <f>SUM(10.1+11.2+12.2)</f>
        <v>33.5</v>
      </c>
      <c r="F55" s="125">
        <f t="shared" si="3"/>
        <v>10.668789808917197</v>
      </c>
      <c r="G55" s="126"/>
      <c r="H55" s="126"/>
      <c r="I55" s="51">
        <v>0.8</v>
      </c>
      <c r="J55" s="127">
        <f t="shared" si="4"/>
        <v>11.176794212746966</v>
      </c>
      <c r="K55" s="128">
        <f t="shared" si="5"/>
        <v>29.033919393753369</v>
      </c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</row>
    <row r="56" spans="1:24" ht="15.5">
      <c r="A56" s="121">
        <v>4</v>
      </c>
      <c r="B56" s="129" t="s">
        <v>164</v>
      </c>
      <c r="C56" s="16" t="s">
        <v>204</v>
      </c>
      <c r="D56" s="122">
        <v>3</v>
      </c>
      <c r="E56" s="124">
        <v>21.5</v>
      </c>
      <c r="F56" s="125">
        <f t="shared" si="3"/>
        <v>6.8471337579617835</v>
      </c>
      <c r="G56" s="126"/>
      <c r="H56" s="126"/>
      <c r="I56" s="51">
        <f t="shared" ref="I56:I62" si="6">AVERAGE(0.22,0.34)</f>
        <v>0.28000000000000003</v>
      </c>
      <c r="J56" s="127">
        <f t="shared" si="4"/>
        <v>9.4779740273439081</v>
      </c>
      <c r="K56" s="128">
        <f t="shared" si="5"/>
        <v>2.4267489374276212</v>
      </c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</row>
    <row r="57" spans="1:24" ht="15.5">
      <c r="A57" s="121">
        <v>4</v>
      </c>
      <c r="B57" s="129" t="s">
        <v>164</v>
      </c>
      <c r="C57" s="16" t="s">
        <v>204</v>
      </c>
      <c r="D57" s="122">
        <v>4.5</v>
      </c>
      <c r="E57" s="124">
        <v>26.6</v>
      </c>
      <c r="F57" s="125">
        <f t="shared" si="3"/>
        <v>8.4713375796178347</v>
      </c>
      <c r="G57" s="126"/>
      <c r="H57" s="126"/>
      <c r="I57" s="51">
        <f t="shared" si="6"/>
        <v>0.28000000000000003</v>
      </c>
      <c r="J57" s="127">
        <f t="shared" si="4"/>
        <v>10.115976076108565</v>
      </c>
      <c r="K57" s="128">
        <f t="shared" si="5"/>
        <v>5.4618403046551904</v>
      </c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</row>
    <row r="58" spans="1:24" ht="15.5">
      <c r="A58" s="121">
        <v>4</v>
      </c>
      <c r="B58" s="129" t="s">
        <v>164</v>
      </c>
      <c r="C58" s="16" t="s">
        <v>204</v>
      </c>
      <c r="D58" s="122">
        <v>4.5</v>
      </c>
      <c r="E58" s="124">
        <v>35.4</v>
      </c>
      <c r="F58" s="125">
        <f t="shared" si="3"/>
        <v>11.273885350318471</v>
      </c>
      <c r="G58" s="126"/>
      <c r="H58" s="126"/>
      <c r="I58" s="51">
        <f t="shared" si="6"/>
        <v>0.28000000000000003</v>
      </c>
      <c r="J58" s="127">
        <f t="shared" si="4"/>
        <v>10.987532731550974</v>
      </c>
      <c r="K58" s="128">
        <f t="shared" si="5"/>
        <v>9.541670403099241</v>
      </c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</row>
    <row r="59" spans="1:24" ht="15.5">
      <c r="A59" s="121">
        <v>4</v>
      </c>
      <c r="B59" s="129" t="s">
        <v>164</v>
      </c>
      <c r="C59" s="16" t="s">
        <v>204</v>
      </c>
      <c r="D59" s="129">
        <v>6</v>
      </c>
      <c r="E59" s="125">
        <v>44.3</v>
      </c>
      <c r="F59" s="125">
        <f t="shared" si="3"/>
        <v>14.108280254777069</v>
      </c>
      <c r="G59" s="126"/>
      <c r="H59" s="126"/>
      <c r="I59" s="51">
        <f t="shared" si="6"/>
        <v>0.28000000000000003</v>
      </c>
      <c r="J59" s="127">
        <f t="shared" si="4"/>
        <v>13.165615006693983</v>
      </c>
      <c r="K59" s="128">
        <f t="shared" si="5"/>
        <v>19.574484055300733</v>
      </c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</row>
    <row r="60" spans="1:24" ht="15.5">
      <c r="A60" s="121">
        <v>4</v>
      </c>
      <c r="B60" s="122" t="s">
        <v>164</v>
      </c>
      <c r="C60" s="16" t="s">
        <v>204</v>
      </c>
      <c r="D60" s="122">
        <v>3</v>
      </c>
      <c r="E60" s="124">
        <v>23.2</v>
      </c>
      <c r="F60" s="125">
        <f t="shared" si="3"/>
        <v>7.388535031847133</v>
      </c>
      <c r="G60" s="126"/>
      <c r="H60" s="126"/>
      <c r="I60" s="51">
        <f t="shared" si="6"/>
        <v>0.28000000000000003</v>
      </c>
      <c r="J60" s="127">
        <f t="shared" si="4"/>
        <v>9.5588997241267393</v>
      </c>
      <c r="K60" s="128">
        <f t="shared" si="5"/>
        <v>2.815383239769901</v>
      </c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</row>
    <row r="61" spans="1:24" ht="15.5">
      <c r="A61" s="121">
        <v>4</v>
      </c>
      <c r="B61" s="122" t="s">
        <v>164</v>
      </c>
      <c r="C61" s="123" t="s">
        <v>204</v>
      </c>
      <c r="D61" s="122">
        <v>5</v>
      </c>
      <c r="E61" s="124">
        <v>32.299999999999997</v>
      </c>
      <c r="F61" s="125">
        <f t="shared" si="3"/>
        <v>10.286624203821654</v>
      </c>
      <c r="G61" s="126"/>
      <c r="H61" s="126"/>
      <c r="I61" s="51">
        <f t="shared" si="6"/>
        <v>0.28000000000000003</v>
      </c>
      <c r="J61" s="127">
        <f t="shared" si="4"/>
        <v>10.837456156436366</v>
      </c>
      <c r="K61" s="128">
        <f t="shared" si="5"/>
        <v>8.8428585394778025</v>
      </c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</row>
    <row r="62" spans="1:24" ht="15.5">
      <c r="A62" s="121">
        <v>4</v>
      </c>
      <c r="B62" s="122" t="s">
        <v>164</v>
      </c>
      <c r="C62" s="123" t="s">
        <v>204</v>
      </c>
      <c r="D62" s="122">
        <v>5</v>
      </c>
      <c r="E62" s="124">
        <v>18.5</v>
      </c>
      <c r="F62" s="125">
        <f t="shared" si="3"/>
        <v>5.8917197452229297</v>
      </c>
      <c r="G62" s="126"/>
      <c r="H62" s="126"/>
      <c r="I62" s="51">
        <f t="shared" si="6"/>
        <v>0.28000000000000003</v>
      </c>
      <c r="J62" s="127">
        <f t="shared" si="4"/>
        <v>9.5931663272343695</v>
      </c>
      <c r="K62" s="128">
        <f t="shared" si="5"/>
        <v>2.9795355247614057</v>
      </c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</row>
    <row r="63" spans="1:24" ht="15.5">
      <c r="A63" s="121">
        <v>4</v>
      </c>
      <c r="B63" s="129" t="s">
        <v>384</v>
      </c>
      <c r="C63" s="16" t="s">
        <v>341</v>
      </c>
      <c r="D63" s="122">
        <v>7</v>
      </c>
      <c r="E63" s="124">
        <v>37.5</v>
      </c>
      <c r="F63" s="125">
        <f t="shared" si="3"/>
        <v>11.942675159235668</v>
      </c>
      <c r="G63" s="126"/>
      <c r="H63" s="126"/>
      <c r="I63" s="126"/>
      <c r="J63" s="127">
        <f t="shared" si="4"/>
        <v>12.480073503996104</v>
      </c>
      <c r="K63" s="128">
        <f t="shared" si="5"/>
        <v>0</v>
      </c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</row>
    <row r="64" spans="1:24" ht="15.5">
      <c r="A64" s="121">
        <v>4</v>
      </c>
      <c r="B64" s="129" t="s">
        <v>384</v>
      </c>
      <c r="C64" s="16" t="s">
        <v>341</v>
      </c>
      <c r="D64" s="122">
        <v>8</v>
      </c>
      <c r="E64" s="124">
        <f>SUM(35.4+18.2)</f>
        <v>53.599999999999994</v>
      </c>
      <c r="F64" s="125">
        <f t="shared" si="3"/>
        <v>17.070063694267514</v>
      </c>
      <c r="G64" s="126"/>
      <c r="H64" s="126"/>
      <c r="I64" s="126"/>
      <c r="J64" s="127">
        <f t="shared" si="4"/>
        <v>17.144538086737796</v>
      </c>
      <c r="K64" s="128">
        <f t="shared" si="5"/>
        <v>0</v>
      </c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</row>
    <row r="65" spans="1:24" ht="15.5">
      <c r="A65" s="121">
        <v>4</v>
      </c>
      <c r="B65" s="122" t="s">
        <v>384</v>
      </c>
      <c r="C65" s="16" t="s">
        <v>341</v>
      </c>
      <c r="D65" s="122">
        <v>8</v>
      </c>
      <c r="E65" s="124">
        <f>SUM(41.5+27.3+19.2)</f>
        <v>88</v>
      </c>
      <c r="F65" s="125">
        <f t="shared" si="3"/>
        <v>28.025477707006367</v>
      </c>
      <c r="G65" s="126"/>
      <c r="H65" s="126"/>
      <c r="I65" s="126"/>
      <c r="J65" s="127">
        <f t="shared" si="4"/>
        <v>30.9776672197655</v>
      </c>
      <c r="K65" s="128">
        <f t="shared" si="5"/>
        <v>0</v>
      </c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</row>
    <row r="66" spans="1:24" ht="15.5">
      <c r="A66" s="121">
        <v>4</v>
      </c>
      <c r="B66" s="122" t="s">
        <v>384</v>
      </c>
      <c r="C66" s="16" t="s">
        <v>341</v>
      </c>
      <c r="D66" s="122">
        <v>8</v>
      </c>
      <c r="E66" s="124">
        <v>34.200000000000003</v>
      </c>
      <c r="F66" s="125">
        <f t="shared" si="3"/>
        <v>10.891719745222931</v>
      </c>
      <c r="G66" s="126"/>
      <c r="H66" s="126"/>
      <c r="I66" s="126"/>
      <c r="J66" s="127">
        <f t="shared" si="4"/>
        <v>12.307327652237413</v>
      </c>
      <c r="K66" s="128">
        <f t="shared" si="5"/>
        <v>0</v>
      </c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</row>
    <row r="67" spans="1:24" ht="15.5">
      <c r="A67" s="121">
        <v>4</v>
      </c>
      <c r="B67" s="129" t="s">
        <v>344</v>
      </c>
      <c r="C67" s="16" t="s">
        <v>127</v>
      </c>
      <c r="D67" s="122">
        <v>8</v>
      </c>
      <c r="E67" s="124">
        <v>45.5</v>
      </c>
      <c r="F67" s="125">
        <f t="shared" si="3"/>
        <v>14.490445859872612</v>
      </c>
      <c r="G67" s="126"/>
      <c r="H67" s="126"/>
      <c r="I67" s="51">
        <f>AVERAGE(0.47,0.59)</f>
        <v>0.53</v>
      </c>
      <c r="J67" s="127">
        <f t="shared" si="4"/>
        <v>14.86494459410118</v>
      </c>
      <c r="K67" s="128">
        <f t="shared" si="5"/>
        <v>50.904445785780204</v>
      </c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</row>
    <row r="68" spans="1:24" ht="15.5">
      <c r="A68" s="121">
        <v>4</v>
      </c>
      <c r="B68" s="122" t="s">
        <v>344</v>
      </c>
      <c r="C68" s="16" t="s">
        <v>127</v>
      </c>
      <c r="D68" s="122">
        <v>11</v>
      </c>
      <c r="E68" s="124">
        <v>50.2</v>
      </c>
      <c r="F68" s="125">
        <f t="shared" ref="F68:F95" si="7">E68/3.14</f>
        <v>15.987261146496815</v>
      </c>
      <c r="G68" s="126"/>
      <c r="H68" s="126"/>
      <c r="I68" s="51">
        <f>AVERAGE(0.47,0.59)</f>
        <v>0.53</v>
      </c>
      <c r="J68" s="127">
        <f t="shared" ref="J68:J95" si="8">8.9857+0.0035*(F68)^2*(D68)</f>
        <v>18.826011980202036</v>
      </c>
      <c r="K68" s="128">
        <f t="shared" ref="K68:K95" si="9">0.0673*(I68*F68^2*D68)^0.976</f>
        <v>84.153959860208346</v>
      </c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</row>
    <row r="69" spans="1:24" ht="15.5">
      <c r="A69" s="121">
        <v>4</v>
      </c>
      <c r="B69" s="129" t="s">
        <v>378</v>
      </c>
      <c r="C69" s="129" t="s">
        <v>107</v>
      </c>
      <c r="D69" s="129">
        <v>6.5</v>
      </c>
      <c r="E69" s="125">
        <v>31.7</v>
      </c>
      <c r="F69" s="125">
        <f t="shared" si="7"/>
        <v>10.095541401273884</v>
      </c>
      <c r="G69" s="126"/>
      <c r="H69" s="126" t="s">
        <v>379</v>
      </c>
      <c r="I69" s="51">
        <f>AVERAGE(0.56,0.7)</f>
        <v>0.63</v>
      </c>
      <c r="J69" s="127">
        <f t="shared" si="8"/>
        <v>11.304379003204996</v>
      </c>
      <c r="K69" s="128">
        <f t="shared" si="9"/>
        <v>24.301656807434771</v>
      </c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</row>
    <row r="70" spans="1:24" ht="15.5">
      <c r="A70" s="121">
        <v>4</v>
      </c>
      <c r="B70" s="129" t="s">
        <v>45</v>
      </c>
      <c r="C70" s="16" t="s">
        <v>46</v>
      </c>
      <c r="D70" s="122">
        <v>6</v>
      </c>
      <c r="E70" s="124">
        <v>19.5</v>
      </c>
      <c r="F70" s="125">
        <f t="shared" si="7"/>
        <v>6.2101910828025479</v>
      </c>
      <c r="G70" s="126"/>
      <c r="H70" s="126"/>
      <c r="I70" s="126"/>
      <c r="J70" s="127">
        <f t="shared" si="8"/>
        <v>9.7955959389833254</v>
      </c>
      <c r="K70" s="128">
        <f t="shared" si="9"/>
        <v>0</v>
      </c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</row>
    <row r="71" spans="1:24" ht="15.5">
      <c r="A71" s="121">
        <v>4</v>
      </c>
      <c r="B71" s="122" t="s">
        <v>45</v>
      </c>
      <c r="C71" s="16" t="s">
        <v>46</v>
      </c>
      <c r="D71" s="122">
        <v>6</v>
      </c>
      <c r="E71" s="124">
        <v>18.2</v>
      </c>
      <c r="F71" s="125">
        <f t="shared" si="7"/>
        <v>5.7961783439490437</v>
      </c>
      <c r="G71" s="126"/>
      <c r="H71" s="126"/>
      <c r="I71" s="126"/>
      <c r="J71" s="127">
        <f t="shared" si="8"/>
        <v>9.6912093512921409</v>
      </c>
      <c r="K71" s="128">
        <f t="shared" si="9"/>
        <v>0</v>
      </c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</row>
    <row r="72" spans="1:24" ht="15.5">
      <c r="A72" s="121">
        <v>4</v>
      </c>
      <c r="B72" s="122" t="s">
        <v>45</v>
      </c>
      <c r="C72" s="16" t="s">
        <v>46</v>
      </c>
      <c r="D72" s="122">
        <v>8</v>
      </c>
      <c r="E72" s="124">
        <f>SUM(23.4+16.2)</f>
        <v>39.599999999999994</v>
      </c>
      <c r="F72" s="125">
        <f t="shared" si="7"/>
        <v>12.611464968152864</v>
      </c>
      <c r="G72" s="126"/>
      <c r="H72" s="126"/>
      <c r="I72" s="126"/>
      <c r="J72" s="127">
        <f t="shared" si="8"/>
        <v>13.439073362002514</v>
      </c>
      <c r="K72" s="128">
        <f t="shared" si="9"/>
        <v>0</v>
      </c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</row>
    <row r="73" spans="1:24" ht="15.5">
      <c r="A73" s="121">
        <v>4</v>
      </c>
      <c r="B73" s="129" t="s">
        <v>334</v>
      </c>
      <c r="C73" s="123" t="s">
        <v>29</v>
      </c>
      <c r="D73" s="122">
        <v>6.5</v>
      </c>
      <c r="E73" s="124">
        <f>SUM(21.3+19.5+17.6)</f>
        <v>58.4</v>
      </c>
      <c r="F73" s="125">
        <f t="shared" si="7"/>
        <v>18.598726114649679</v>
      </c>
      <c r="G73" s="126"/>
      <c r="H73" s="126"/>
      <c r="I73" s="51">
        <v>0.8</v>
      </c>
      <c r="J73" s="127">
        <f t="shared" si="8"/>
        <v>16.855211947746355</v>
      </c>
      <c r="K73" s="128">
        <f t="shared" si="9"/>
        <v>101.12662937708269</v>
      </c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</row>
    <row r="74" spans="1:24" ht="15.5">
      <c r="A74" s="121">
        <v>4</v>
      </c>
      <c r="B74" s="122" t="s">
        <v>334</v>
      </c>
      <c r="C74" s="123" t="s">
        <v>29</v>
      </c>
      <c r="D74" s="122">
        <v>7.5</v>
      </c>
      <c r="E74" s="124">
        <f>SUM(14.3+17.3+11.3+13.2+15.2+22.4)</f>
        <v>93.700000000000017</v>
      </c>
      <c r="F74" s="125">
        <f t="shared" si="7"/>
        <v>29.840764331210195</v>
      </c>
      <c r="G74" s="126"/>
      <c r="H74" s="126"/>
      <c r="I74" s="51">
        <v>0.8</v>
      </c>
      <c r="J74" s="127">
        <f t="shared" si="8"/>
        <v>32.360569416609202</v>
      </c>
      <c r="K74" s="128">
        <f t="shared" si="9"/>
        <v>292.63056981431907</v>
      </c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</row>
    <row r="75" spans="1:24" ht="15.5">
      <c r="A75" s="121">
        <v>4</v>
      </c>
      <c r="B75" s="129" t="s">
        <v>47</v>
      </c>
      <c r="C75" s="16" t="s">
        <v>48</v>
      </c>
      <c r="D75" s="122">
        <v>11</v>
      </c>
      <c r="E75" s="124">
        <v>65.400000000000006</v>
      </c>
      <c r="F75" s="125">
        <f t="shared" si="7"/>
        <v>20.828025477707008</v>
      </c>
      <c r="G75" s="126"/>
      <c r="H75" s="126"/>
      <c r="I75" s="51">
        <v>0.56000000000000005</v>
      </c>
      <c r="J75" s="127">
        <f t="shared" si="8"/>
        <v>25.687255844050469</v>
      </c>
      <c r="K75" s="128">
        <f t="shared" si="9"/>
        <v>148.81507617229076</v>
      </c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</row>
    <row r="76" spans="1:24" ht="15.5">
      <c r="A76" s="121">
        <v>4</v>
      </c>
      <c r="B76" s="129" t="s">
        <v>47</v>
      </c>
      <c r="C76" s="16" t="s">
        <v>48</v>
      </c>
      <c r="D76" s="122">
        <v>12</v>
      </c>
      <c r="E76" s="124">
        <v>66.2</v>
      </c>
      <c r="F76" s="125">
        <f t="shared" si="7"/>
        <v>21.082802547770701</v>
      </c>
      <c r="G76" s="126"/>
      <c r="H76" s="126"/>
      <c r="I76" s="51">
        <v>0.56000000000000005</v>
      </c>
      <c r="J76" s="127">
        <f t="shared" si="8"/>
        <v>27.654051657268042</v>
      </c>
      <c r="K76" s="128">
        <f t="shared" si="9"/>
        <v>165.89587868357265</v>
      </c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</row>
    <row r="77" spans="1:24" ht="15.5">
      <c r="A77" s="121">
        <v>5</v>
      </c>
      <c r="B77" s="122" t="s">
        <v>332</v>
      </c>
      <c r="C77" s="16" t="s">
        <v>21</v>
      </c>
      <c r="D77" s="122">
        <v>14</v>
      </c>
      <c r="E77" s="124">
        <v>96.3</v>
      </c>
      <c r="F77" s="125">
        <f t="shared" si="7"/>
        <v>30.668789808917197</v>
      </c>
      <c r="G77" s="126"/>
      <c r="H77" s="126"/>
      <c r="I77" s="51">
        <f>AVERAGE(0.84,1.1)</f>
        <v>0.97</v>
      </c>
      <c r="J77" s="127">
        <f t="shared" si="8"/>
        <v>55.073858748833622</v>
      </c>
      <c r="K77" s="128">
        <f t="shared" si="9"/>
        <v>685.10490856760907</v>
      </c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</row>
    <row r="78" spans="1:24" ht="15.5">
      <c r="A78" s="121">
        <v>5</v>
      </c>
      <c r="B78" s="122" t="s">
        <v>332</v>
      </c>
      <c r="C78" s="16" t="s">
        <v>21</v>
      </c>
      <c r="D78" s="129">
        <v>11</v>
      </c>
      <c r="E78" s="125">
        <f>SUM(52.4+54.5+53.8+77.5)</f>
        <v>238.2</v>
      </c>
      <c r="F78" s="125">
        <f t="shared" si="7"/>
        <v>75.859872611464965</v>
      </c>
      <c r="G78" s="126"/>
      <c r="H78" s="126"/>
      <c r="I78" s="51">
        <f>AVERAGE(0.84,1.1)</f>
        <v>0.97</v>
      </c>
      <c r="J78" s="127">
        <f t="shared" si="8"/>
        <v>230.54243049616616</v>
      </c>
      <c r="K78" s="128">
        <f t="shared" si="9"/>
        <v>3171.6640126759894</v>
      </c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</row>
    <row r="79" spans="1:24" ht="15.5">
      <c r="A79" s="121">
        <v>5</v>
      </c>
      <c r="B79" s="122" t="s">
        <v>164</v>
      </c>
      <c r="C79" s="123" t="s">
        <v>204</v>
      </c>
      <c r="D79" s="122">
        <v>5</v>
      </c>
      <c r="E79" s="124">
        <v>31.3</v>
      </c>
      <c r="F79" s="125">
        <f t="shared" si="7"/>
        <v>9.968152866242038</v>
      </c>
      <c r="G79" s="126"/>
      <c r="H79" s="126"/>
      <c r="I79" s="51">
        <v>0.28000000000000003</v>
      </c>
      <c r="J79" s="127">
        <f t="shared" si="8"/>
        <v>10.724571252383463</v>
      </c>
      <c r="K79" s="128">
        <f t="shared" si="9"/>
        <v>8.3163335745970581</v>
      </c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</row>
    <row r="80" spans="1:24" ht="15.5">
      <c r="A80" s="121">
        <v>5</v>
      </c>
      <c r="B80" s="122" t="s">
        <v>384</v>
      </c>
      <c r="C80" s="16" t="s">
        <v>341</v>
      </c>
      <c r="D80" s="122">
        <v>7</v>
      </c>
      <c r="E80" s="124">
        <f>SUM(31.3+21.2)</f>
        <v>52.5</v>
      </c>
      <c r="F80" s="125">
        <f t="shared" si="7"/>
        <v>16.719745222929937</v>
      </c>
      <c r="G80" s="126"/>
      <c r="H80" s="126"/>
      <c r="I80" s="126"/>
      <c r="J80" s="127">
        <f t="shared" si="8"/>
        <v>15.834672067832365</v>
      </c>
      <c r="K80" s="128">
        <f t="shared" si="9"/>
        <v>0</v>
      </c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</row>
    <row r="81" spans="1:24" ht="15.5">
      <c r="A81" s="121">
        <v>5</v>
      </c>
      <c r="B81" s="122" t="s">
        <v>384</v>
      </c>
      <c r="C81" s="16" t="s">
        <v>341</v>
      </c>
      <c r="D81" s="122">
        <v>6.5</v>
      </c>
      <c r="E81" s="124">
        <v>27.3</v>
      </c>
      <c r="F81" s="125">
        <f t="shared" si="7"/>
        <v>8.6942675159235669</v>
      </c>
      <c r="G81" s="126"/>
      <c r="H81" s="126"/>
      <c r="I81" s="126"/>
      <c r="J81" s="127">
        <f t="shared" si="8"/>
        <v>10.705379043774595</v>
      </c>
      <c r="K81" s="128">
        <f t="shared" si="9"/>
        <v>0</v>
      </c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</row>
    <row r="82" spans="1:24" ht="15.5">
      <c r="A82" s="121">
        <v>5</v>
      </c>
      <c r="B82" s="122" t="s">
        <v>384</v>
      </c>
      <c r="C82" s="16" t="s">
        <v>341</v>
      </c>
      <c r="D82" s="129">
        <v>9</v>
      </c>
      <c r="E82" s="125">
        <f>SUM(46.7+38.4+38.3+22.4)</f>
        <v>145.79999999999998</v>
      </c>
      <c r="F82" s="125">
        <f t="shared" si="7"/>
        <v>46.43312101910827</v>
      </c>
      <c r="G82" s="126"/>
      <c r="H82" s="126"/>
      <c r="I82" s="126"/>
      <c r="J82" s="127">
        <f t="shared" si="8"/>
        <v>76.900793918617353</v>
      </c>
      <c r="K82" s="128">
        <f t="shared" si="9"/>
        <v>0</v>
      </c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</row>
    <row r="83" spans="1:24" ht="15.5">
      <c r="A83" s="121">
        <v>5</v>
      </c>
      <c r="B83" s="122" t="s">
        <v>344</v>
      </c>
      <c r="C83" s="16" t="s">
        <v>127</v>
      </c>
      <c r="D83" s="122">
        <v>12</v>
      </c>
      <c r="E83" s="124">
        <f>SUM(71.5+57.3)</f>
        <v>128.80000000000001</v>
      </c>
      <c r="F83" s="125">
        <f t="shared" si="7"/>
        <v>41.019108280254777</v>
      </c>
      <c r="G83" s="126"/>
      <c r="H83" s="126"/>
      <c r="I83" s="51">
        <f t="shared" ref="I83:I88" si="10">AVERAGE(0.47,0.59)</f>
        <v>0.53</v>
      </c>
      <c r="J83" s="127">
        <f t="shared" si="8"/>
        <v>79.653524252505164</v>
      </c>
      <c r="K83" s="128">
        <f t="shared" si="9"/>
        <v>576.4190172938537</v>
      </c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</row>
    <row r="84" spans="1:24" ht="15.5">
      <c r="A84" s="121">
        <v>5</v>
      </c>
      <c r="B84" s="122" t="s">
        <v>344</v>
      </c>
      <c r="C84" s="16" t="s">
        <v>127</v>
      </c>
      <c r="D84" s="129">
        <v>12</v>
      </c>
      <c r="E84" s="125">
        <v>75.3</v>
      </c>
      <c r="F84" s="125">
        <f t="shared" si="7"/>
        <v>23.98089171974522</v>
      </c>
      <c r="G84" s="126"/>
      <c r="H84" s="126"/>
      <c r="I84" s="51">
        <f t="shared" si="10"/>
        <v>0.53</v>
      </c>
      <c r="J84" s="127">
        <f t="shared" si="8"/>
        <v>33.139193042314083</v>
      </c>
      <c r="K84" s="128">
        <f t="shared" si="9"/>
        <v>202.15585749718744</v>
      </c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</row>
    <row r="85" spans="1:24" ht="15.5">
      <c r="A85" s="121">
        <v>5</v>
      </c>
      <c r="B85" s="122" t="s">
        <v>344</v>
      </c>
      <c r="C85" s="16" t="s">
        <v>127</v>
      </c>
      <c r="D85" s="129">
        <v>13</v>
      </c>
      <c r="E85" s="125">
        <f>SUM(61.7+68.3)</f>
        <v>130</v>
      </c>
      <c r="F85" s="125">
        <f t="shared" si="7"/>
        <v>41.401273885350314</v>
      </c>
      <c r="G85" s="126"/>
      <c r="H85" s="126"/>
      <c r="I85" s="51">
        <f t="shared" si="10"/>
        <v>0.53</v>
      </c>
      <c r="J85" s="127">
        <f t="shared" si="8"/>
        <v>86.975679309505438</v>
      </c>
      <c r="K85" s="128">
        <f t="shared" si="9"/>
        <v>634.64048835877225</v>
      </c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</row>
    <row r="86" spans="1:24" ht="15.5">
      <c r="A86" s="121">
        <v>5</v>
      </c>
      <c r="B86" s="122" t="s">
        <v>344</v>
      </c>
      <c r="C86" s="16" t="s">
        <v>127</v>
      </c>
      <c r="D86" s="122">
        <v>12</v>
      </c>
      <c r="E86" s="124">
        <f>SUM(65.5+55.3)</f>
        <v>120.8</v>
      </c>
      <c r="F86" s="125">
        <f t="shared" si="7"/>
        <v>38.471337579617831</v>
      </c>
      <c r="G86" s="126"/>
      <c r="H86" s="126"/>
      <c r="I86" s="51">
        <f t="shared" si="10"/>
        <v>0.53</v>
      </c>
      <c r="J86" s="127">
        <f t="shared" si="8"/>
        <v>71.147540236926446</v>
      </c>
      <c r="K86" s="128">
        <f t="shared" si="9"/>
        <v>508.60097896914755</v>
      </c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</row>
    <row r="87" spans="1:24" ht="15.5">
      <c r="A87" s="121">
        <v>5</v>
      </c>
      <c r="B87" s="122" t="s">
        <v>344</v>
      </c>
      <c r="C87" s="16" t="s">
        <v>127</v>
      </c>
      <c r="D87" s="129">
        <v>12</v>
      </c>
      <c r="E87" s="125">
        <v>59.3</v>
      </c>
      <c r="F87" s="125">
        <f t="shared" si="7"/>
        <v>18.885350318471335</v>
      </c>
      <c r="G87" s="126"/>
      <c r="H87" s="126"/>
      <c r="I87" s="51">
        <f t="shared" si="10"/>
        <v>0.53</v>
      </c>
      <c r="J87" s="127">
        <f t="shared" si="8"/>
        <v>23.965271179358183</v>
      </c>
      <c r="K87" s="128">
        <f t="shared" si="9"/>
        <v>126.81928417506104</v>
      </c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</row>
    <row r="88" spans="1:24" ht="15.5">
      <c r="A88" s="121">
        <v>5</v>
      </c>
      <c r="B88" s="122" t="s">
        <v>344</v>
      </c>
      <c r="C88" s="16" t="s">
        <v>127</v>
      </c>
      <c r="D88" s="122">
        <v>10</v>
      </c>
      <c r="E88" s="124">
        <v>61.4</v>
      </c>
      <c r="F88" s="125">
        <f t="shared" si="7"/>
        <v>19.554140127388536</v>
      </c>
      <c r="G88" s="126"/>
      <c r="H88" s="126"/>
      <c r="I88" s="51">
        <f t="shared" si="10"/>
        <v>0.53</v>
      </c>
      <c r="J88" s="127">
        <f t="shared" si="8"/>
        <v>22.368453864254128</v>
      </c>
      <c r="K88" s="128">
        <f t="shared" si="9"/>
        <v>113.6073161915528</v>
      </c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</row>
    <row r="89" spans="1:24" ht="15.5">
      <c r="A89" s="121">
        <v>5</v>
      </c>
      <c r="B89" s="122" t="s">
        <v>380</v>
      </c>
      <c r="C89" s="16" t="s">
        <v>381</v>
      </c>
      <c r="D89" s="122">
        <v>6</v>
      </c>
      <c r="E89" s="124">
        <v>22.3</v>
      </c>
      <c r="F89" s="125">
        <f t="shared" si="7"/>
        <v>7.1019108280254777</v>
      </c>
      <c r="G89" s="126"/>
      <c r="H89" s="126"/>
      <c r="I89" s="51">
        <v>0.54</v>
      </c>
      <c r="J89" s="127">
        <f t="shared" si="8"/>
        <v>10.044879885593735</v>
      </c>
      <c r="K89" s="128">
        <f t="shared" si="9"/>
        <v>9.7317605330509664</v>
      </c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</row>
    <row r="90" spans="1:24" ht="15.5">
      <c r="A90" s="121">
        <v>5</v>
      </c>
      <c r="B90" s="122" t="s">
        <v>334</v>
      </c>
      <c r="C90" s="123" t="s">
        <v>29</v>
      </c>
      <c r="D90" s="122">
        <v>6</v>
      </c>
      <c r="E90" s="124">
        <f>SUM(11.5+12.4+14.8+15.5)</f>
        <v>54.2</v>
      </c>
      <c r="F90" s="125">
        <f t="shared" si="7"/>
        <v>17.261146496815286</v>
      </c>
      <c r="G90" s="126"/>
      <c r="H90" s="126"/>
      <c r="I90" s="51">
        <v>0.8</v>
      </c>
      <c r="J90" s="127">
        <f t="shared" si="8"/>
        <v>15.242590746074891</v>
      </c>
      <c r="K90" s="128">
        <f t="shared" si="9"/>
        <v>80.847472294259305</v>
      </c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</row>
    <row r="91" spans="1:24" ht="15.5">
      <c r="A91" s="121">
        <v>5</v>
      </c>
      <c r="B91" s="122" t="s">
        <v>47</v>
      </c>
      <c r="C91" s="16" t="s">
        <v>48</v>
      </c>
      <c r="D91" s="122">
        <v>11</v>
      </c>
      <c r="E91" s="124">
        <v>48.5</v>
      </c>
      <c r="F91" s="125">
        <f t="shared" si="7"/>
        <v>15.445859872611464</v>
      </c>
      <c r="G91" s="126"/>
      <c r="H91" s="126"/>
      <c r="I91" s="51">
        <v>0.56000000000000005</v>
      </c>
      <c r="J91" s="127">
        <f t="shared" si="8"/>
        <v>18.170821607367436</v>
      </c>
      <c r="K91" s="128">
        <f t="shared" si="9"/>
        <v>83.024647429399465</v>
      </c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</row>
    <row r="92" spans="1:24" ht="15.5">
      <c r="A92" s="121">
        <v>5</v>
      </c>
      <c r="B92" s="122" t="s">
        <v>47</v>
      </c>
      <c r="C92" s="16" t="s">
        <v>48</v>
      </c>
      <c r="D92" s="122">
        <v>8</v>
      </c>
      <c r="E92" s="125">
        <v>47.7</v>
      </c>
      <c r="F92" s="125">
        <f t="shared" si="7"/>
        <v>15.19108280254777</v>
      </c>
      <c r="G92" s="126"/>
      <c r="H92" s="126"/>
      <c r="I92" s="51">
        <f>AVERAGE(0.54,0.58)</f>
        <v>0.56000000000000005</v>
      </c>
      <c r="J92" s="127">
        <f t="shared" si="8"/>
        <v>15.447231907988153</v>
      </c>
      <c r="K92" s="128">
        <f t="shared" si="9"/>
        <v>58.901127567016346</v>
      </c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</row>
    <row r="93" spans="1:24" ht="15.5">
      <c r="A93" s="121">
        <v>5</v>
      </c>
      <c r="B93" s="122" t="s">
        <v>47</v>
      </c>
      <c r="C93" s="16" t="s">
        <v>48</v>
      </c>
      <c r="D93" s="122">
        <v>8</v>
      </c>
      <c r="E93" s="124">
        <v>51.6</v>
      </c>
      <c r="F93" s="125">
        <f t="shared" si="7"/>
        <v>16.433121019108281</v>
      </c>
      <c r="G93" s="126"/>
      <c r="H93" s="126"/>
      <c r="I93" s="51">
        <f>AVERAGE(0.54,0.58)</f>
        <v>0.56000000000000005</v>
      </c>
      <c r="J93" s="127">
        <f t="shared" si="8"/>
        <v>16.547029060002433</v>
      </c>
      <c r="K93" s="128">
        <f t="shared" si="9"/>
        <v>68.66698048168611</v>
      </c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</row>
    <row r="94" spans="1:24" ht="15.5">
      <c r="A94" s="121">
        <v>5</v>
      </c>
      <c r="B94" s="122" t="s">
        <v>336</v>
      </c>
      <c r="C94" s="16" t="s">
        <v>337</v>
      </c>
      <c r="D94" s="122">
        <v>5</v>
      </c>
      <c r="E94" s="124">
        <v>18.3</v>
      </c>
      <c r="F94" s="125">
        <f t="shared" si="7"/>
        <v>5.8280254777070066</v>
      </c>
      <c r="G94" s="126"/>
      <c r="H94" s="126"/>
      <c r="I94" s="51">
        <v>0.46800000000000003</v>
      </c>
      <c r="J94" s="127">
        <f t="shared" si="8"/>
        <v>9.5801029169540346</v>
      </c>
      <c r="K94" s="128">
        <f t="shared" si="9"/>
        <v>4.8157906053764234</v>
      </c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</row>
    <row r="95" spans="1:24" ht="15.5">
      <c r="A95" s="121">
        <v>5</v>
      </c>
      <c r="B95" s="122" t="s">
        <v>336</v>
      </c>
      <c r="C95" s="16" t="s">
        <v>337</v>
      </c>
      <c r="D95" s="122">
        <v>7</v>
      </c>
      <c r="E95" s="124">
        <f>SUM(22.3+14.5+16.6)</f>
        <v>53.4</v>
      </c>
      <c r="F95" s="125">
        <f t="shared" si="7"/>
        <v>17.00636942675159</v>
      </c>
      <c r="G95" s="126"/>
      <c r="H95" s="126"/>
      <c r="I95" s="51">
        <v>0.46800000000000003</v>
      </c>
      <c r="J95" s="127">
        <f t="shared" si="8"/>
        <v>16.071506726439203</v>
      </c>
      <c r="K95" s="128">
        <f t="shared" si="9"/>
        <v>54.09343549881703</v>
      </c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</row>
    <row r="96" spans="1:24" ht="14.5">
      <c r="A96" s="109"/>
      <c r="B96" s="109"/>
      <c r="C96" s="109"/>
      <c r="D96" s="109"/>
      <c r="E96" s="110"/>
      <c r="F96" s="110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</row>
    <row r="97" spans="1:24" ht="14.5">
      <c r="A97" s="109"/>
      <c r="B97" s="109"/>
      <c r="C97" s="109"/>
      <c r="D97" s="109"/>
      <c r="E97" s="110"/>
      <c r="F97" s="110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</row>
    <row r="98" spans="1:24" ht="14.5">
      <c r="A98" s="109"/>
      <c r="B98" s="109"/>
      <c r="C98" s="109"/>
      <c r="D98" s="109"/>
      <c r="E98" s="110"/>
      <c r="F98" s="110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</row>
    <row r="99" spans="1:24" ht="14.5">
      <c r="A99" s="109"/>
      <c r="B99" s="109"/>
      <c r="C99" s="109"/>
      <c r="D99" s="109"/>
      <c r="E99" s="110"/>
      <c r="F99" s="110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</row>
    <row r="100" spans="1:24" ht="14.5">
      <c r="A100" s="109"/>
      <c r="B100" s="109"/>
      <c r="C100" s="109"/>
      <c r="D100" s="109"/>
      <c r="E100" s="110"/>
      <c r="F100" s="110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</row>
    <row r="101" spans="1:24" ht="14.5">
      <c r="A101" s="109"/>
      <c r="B101" s="109"/>
      <c r="C101" s="109"/>
      <c r="D101" s="109"/>
      <c r="E101" s="110"/>
      <c r="F101" s="110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</row>
    <row r="102" spans="1:24" ht="14.5">
      <c r="A102" s="109"/>
      <c r="B102" s="109"/>
      <c r="C102" s="109"/>
      <c r="D102" s="109"/>
      <c r="E102" s="110"/>
      <c r="F102" s="110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</row>
    <row r="103" spans="1:24" ht="14.5">
      <c r="A103" s="109"/>
      <c r="B103" s="109"/>
      <c r="C103" s="109"/>
      <c r="D103" s="109"/>
      <c r="E103" s="110"/>
      <c r="F103" s="110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</row>
    <row r="104" spans="1:24" ht="14.5">
      <c r="A104" s="109"/>
      <c r="B104" s="109"/>
      <c r="C104" s="109"/>
      <c r="D104" s="109"/>
      <c r="E104" s="110"/>
      <c r="F104" s="110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</row>
    <row r="105" spans="1:24" ht="14.5">
      <c r="A105" s="109"/>
      <c r="B105" s="109"/>
      <c r="C105" s="109"/>
      <c r="D105" s="109"/>
      <c r="E105" s="110"/>
      <c r="F105" s="110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</row>
    <row r="106" spans="1:24" ht="14.5">
      <c r="A106" s="109"/>
      <c r="B106" s="109"/>
      <c r="C106" s="109"/>
      <c r="D106" s="109"/>
      <c r="E106" s="110"/>
      <c r="F106" s="110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</row>
    <row r="107" spans="1:24" ht="14.5">
      <c r="A107" s="109"/>
      <c r="B107" s="109"/>
      <c r="C107" s="109"/>
      <c r="D107" s="109"/>
      <c r="E107" s="110"/>
      <c r="F107" s="110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</row>
    <row r="108" spans="1:24" ht="14.5">
      <c r="A108" s="109"/>
      <c r="B108" s="109"/>
      <c r="C108" s="109"/>
      <c r="D108" s="109"/>
      <c r="E108" s="110"/>
      <c r="F108" s="110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</row>
    <row r="109" spans="1:24" ht="14.5">
      <c r="A109" s="109"/>
      <c r="B109" s="109"/>
      <c r="C109" s="109"/>
      <c r="D109" s="109"/>
      <c r="E109" s="110"/>
      <c r="F109" s="110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</row>
    <row r="110" spans="1:24" ht="14.5">
      <c r="A110" s="109"/>
      <c r="B110" s="109"/>
      <c r="C110" s="109"/>
      <c r="D110" s="109"/>
      <c r="E110" s="110"/>
      <c r="F110" s="110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</row>
    <row r="111" spans="1:24" ht="14.5">
      <c r="A111" s="109"/>
      <c r="B111" s="109"/>
      <c r="C111" s="109"/>
      <c r="D111" s="109"/>
      <c r="E111" s="110"/>
      <c r="F111" s="110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</row>
    <row r="112" spans="1:24" ht="14.5">
      <c r="A112" s="109"/>
      <c r="B112" s="109"/>
      <c r="C112" s="109"/>
      <c r="D112" s="109"/>
      <c r="E112" s="110"/>
      <c r="F112" s="110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</row>
    <row r="113" spans="1:24" ht="14.5">
      <c r="A113" s="109"/>
      <c r="B113" s="109"/>
      <c r="C113" s="109"/>
      <c r="D113" s="109"/>
      <c r="E113" s="110"/>
      <c r="F113" s="110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</row>
    <row r="114" spans="1:24" ht="14.5">
      <c r="A114" s="109"/>
      <c r="B114" s="109"/>
      <c r="C114" s="109"/>
      <c r="D114" s="109"/>
      <c r="E114" s="110"/>
      <c r="F114" s="110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</row>
    <row r="115" spans="1:24" ht="14.5">
      <c r="A115" s="109"/>
      <c r="B115" s="109"/>
      <c r="C115" s="109"/>
      <c r="D115" s="109"/>
      <c r="E115" s="110"/>
      <c r="F115" s="110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</row>
    <row r="116" spans="1:24" ht="14.5">
      <c r="A116" s="109"/>
      <c r="B116" s="109"/>
      <c r="C116" s="109"/>
      <c r="D116" s="109"/>
      <c r="E116" s="110"/>
      <c r="F116" s="110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</row>
    <row r="117" spans="1:24" ht="14.5">
      <c r="A117" s="109"/>
      <c r="B117" s="109"/>
      <c r="C117" s="109"/>
      <c r="D117" s="109"/>
      <c r="E117" s="110"/>
      <c r="F117" s="110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</row>
    <row r="118" spans="1:24" ht="14.5">
      <c r="A118" s="109"/>
      <c r="B118" s="109"/>
      <c r="C118" s="109"/>
      <c r="D118" s="109"/>
      <c r="E118" s="110"/>
      <c r="F118" s="110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</row>
    <row r="119" spans="1:24" ht="14.5">
      <c r="A119" s="109"/>
      <c r="B119" s="109"/>
      <c r="C119" s="109"/>
      <c r="D119" s="109"/>
      <c r="E119" s="110"/>
      <c r="F119" s="110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</row>
    <row r="120" spans="1:24" ht="14.5">
      <c r="A120" s="109"/>
      <c r="B120" s="109"/>
      <c r="C120" s="109"/>
      <c r="D120" s="109"/>
      <c r="E120" s="110"/>
      <c r="F120" s="110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</row>
    <row r="121" spans="1:24" ht="14.5">
      <c r="A121" s="109"/>
      <c r="B121" s="109"/>
      <c r="C121" s="109"/>
      <c r="D121" s="109"/>
      <c r="E121" s="110"/>
      <c r="F121" s="110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</row>
    <row r="122" spans="1:24" ht="14.5">
      <c r="A122" s="109"/>
      <c r="B122" s="109"/>
      <c r="C122" s="109"/>
      <c r="D122" s="109"/>
      <c r="E122" s="110"/>
      <c r="F122" s="110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</row>
    <row r="123" spans="1:24" ht="14.5">
      <c r="A123" s="109"/>
      <c r="B123" s="109"/>
      <c r="C123" s="109"/>
      <c r="D123" s="109"/>
      <c r="E123" s="110"/>
      <c r="F123" s="110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</row>
    <row r="124" spans="1:24" ht="14.5">
      <c r="A124" s="109"/>
      <c r="B124" s="109"/>
      <c r="C124" s="109"/>
      <c r="D124" s="109"/>
      <c r="E124" s="110"/>
      <c r="F124" s="110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</row>
    <row r="125" spans="1:24" ht="14.5">
      <c r="A125" s="109"/>
      <c r="B125" s="109"/>
      <c r="C125" s="109"/>
      <c r="D125" s="109"/>
      <c r="E125" s="110"/>
      <c r="F125" s="110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</row>
    <row r="126" spans="1:24" ht="14.5">
      <c r="A126" s="109"/>
      <c r="B126" s="109"/>
      <c r="C126" s="109"/>
      <c r="D126" s="109"/>
      <c r="E126" s="110"/>
      <c r="F126" s="110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</row>
    <row r="127" spans="1:24" ht="14.5">
      <c r="A127" s="109"/>
      <c r="B127" s="109"/>
      <c r="C127" s="109"/>
      <c r="D127" s="109"/>
      <c r="E127" s="110"/>
      <c r="F127" s="110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</row>
    <row r="128" spans="1:24" ht="14.5">
      <c r="A128" s="109"/>
      <c r="B128" s="109"/>
      <c r="C128" s="109"/>
      <c r="D128" s="109"/>
      <c r="E128" s="110"/>
      <c r="F128" s="110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</row>
    <row r="129" spans="1:24" ht="14.5">
      <c r="A129" s="109"/>
      <c r="B129" s="109"/>
      <c r="C129" s="109"/>
      <c r="D129" s="109"/>
      <c r="E129" s="110"/>
      <c r="F129" s="110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</row>
    <row r="130" spans="1:24" ht="14.5">
      <c r="A130" s="109"/>
      <c r="B130" s="109"/>
      <c r="C130" s="109"/>
      <c r="D130" s="109"/>
      <c r="E130" s="110"/>
      <c r="F130" s="110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</row>
    <row r="131" spans="1:24" ht="14.5">
      <c r="A131" s="109"/>
      <c r="B131" s="109"/>
      <c r="C131" s="109"/>
      <c r="D131" s="109"/>
      <c r="E131" s="110"/>
      <c r="F131" s="110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</row>
    <row r="132" spans="1:24" ht="14.5">
      <c r="A132" s="109"/>
      <c r="B132" s="109"/>
      <c r="C132" s="109"/>
      <c r="D132" s="109"/>
      <c r="E132" s="110"/>
      <c r="F132" s="110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</row>
    <row r="133" spans="1:24" ht="14.5">
      <c r="A133" s="109"/>
      <c r="B133" s="109"/>
      <c r="C133" s="109"/>
      <c r="D133" s="109"/>
      <c r="E133" s="110"/>
      <c r="F133" s="110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</row>
    <row r="134" spans="1:24" ht="14.5">
      <c r="A134" s="109"/>
      <c r="B134" s="109"/>
      <c r="C134" s="109"/>
      <c r="D134" s="109"/>
      <c r="E134" s="110"/>
      <c r="F134" s="110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</row>
    <row r="135" spans="1:24" ht="14.5">
      <c r="A135" s="109"/>
      <c r="B135" s="109"/>
      <c r="C135" s="109"/>
      <c r="D135" s="109"/>
      <c r="E135" s="110"/>
      <c r="F135" s="110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</row>
    <row r="136" spans="1:24" ht="14.5">
      <c r="A136" s="109"/>
      <c r="B136" s="109"/>
      <c r="C136" s="109"/>
      <c r="D136" s="109"/>
      <c r="E136" s="110"/>
      <c r="F136" s="110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</row>
    <row r="137" spans="1:24" ht="14.5">
      <c r="A137" s="109"/>
      <c r="B137" s="109"/>
      <c r="C137" s="109"/>
      <c r="D137" s="109"/>
      <c r="E137" s="110"/>
      <c r="F137" s="110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</row>
    <row r="138" spans="1:24" ht="14.5">
      <c r="A138" s="109"/>
      <c r="B138" s="109"/>
      <c r="C138" s="109"/>
      <c r="D138" s="109"/>
      <c r="E138" s="110"/>
      <c r="F138" s="110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</row>
    <row r="139" spans="1:24" ht="14.5">
      <c r="A139" s="109"/>
      <c r="B139" s="109"/>
      <c r="C139" s="109"/>
      <c r="D139" s="109"/>
      <c r="E139" s="110"/>
      <c r="F139" s="110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</row>
    <row r="140" spans="1:24" ht="14.5">
      <c r="A140" s="109"/>
      <c r="B140" s="109"/>
      <c r="C140" s="109"/>
      <c r="D140" s="109"/>
      <c r="E140" s="110"/>
      <c r="F140" s="110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</row>
    <row r="141" spans="1:24" ht="14.5">
      <c r="A141" s="109"/>
      <c r="B141" s="109"/>
      <c r="C141" s="109"/>
      <c r="D141" s="109"/>
      <c r="E141" s="110"/>
      <c r="F141" s="110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</row>
    <row r="142" spans="1:24" ht="14.5">
      <c r="A142" s="109"/>
      <c r="B142" s="109"/>
      <c r="C142" s="109"/>
      <c r="D142" s="109"/>
      <c r="E142" s="110"/>
      <c r="F142" s="110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</row>
    <row r="143" spans="1:24" ht="14.5">
      <c r="A143" s="109"/>
      <c r="B143" s="109"/>
      <c r="C143" s="109"/>
      <c r="D143" s="109"/>
      <c r="E143" s="110"/>
      <c r="F143" s="110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</row>
    <row r="144" spans="1:24" ht="14.5">
      <c r="A144" s="109"/>
      <c r="B144" s="109"/>
      <c r="C144" s="109"/>
      <c r="D144" s="109"/>
      <c r="E144" s="110"/>
      <c r="F144" s="110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</row>
    <row r="145" spans="1:24" ht="14.5">
      <c r="A145" s="109"/>
      <c r="B145" s="109"/>
      <c r="C145" s="109"/>
      <c r="D145" s="109"/>
      <c r="E145" s="110"/>
      <c r="F145" s="110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</row>
    <row r="146" spans="1:24" ht="14.5">
      <c r="A146" s="109"/>
      <c r="B146" s="109"/>
      <c r="C146" s="109"/>
      <c r="D146" s="109"/>
      <c r="E146" s="110"/>
      <c r="F146" s="110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</row>
    <row r="147" spans="1:24" ht="14.5">
      <c r="A147" s="109"/>
      <c r="B147" s="109"/>
      <c r="C147" s="109"/>
      <c r="D147" s="109"/>
      <c r="E147" s="110"/>
      <c r="F147" s="110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</row>
    <row r="148" spans="1:24" ht="14.5">
      <c r="A148" s="109"/>
      <c r="B148" s="109"/>
      <c r="C148" s="109"/>
      <c r="D148" s="109"/>
      <c r="E148" s="110"/>
      <c r="F148" s="110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</row>
    <row r="149" spans="1:24" ht="14.5">
      <c r="A149" s="109"/>
      <c r="B149" s="109"/>
      <c r="C149" s="109"/>
      <c r="D149" s="109"/>
      <c r="E149" s="110"/>
      <c r="F149" s="110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</row>
    <row r="150" spans="1:24" ht="14.5">
      <c r="A150" s="109"/>
      <c r="B150" s="109"/>
      <c r="C150" s="109"/>
      <c r="D150" s="109"/>
      <c r="E150" s="110"/>
      <c r="F150" s="110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</row>
    <row r="151" spans="1:24" ht="14.5">
      <c r="A151" s="109"/>
      <c r="B151" s="109"/>
      <c r="C151" s="109"/>
      <c r="D151" s="109"/>
      <c r="E151" s="110"/>
      <c r="F151" s="110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</row>
    <row r="152" spans="1:24" ht="14.5">
      <c r="A152" s="109"/>
      <c r="B152" s="109"/>
      <c r="C152" s="109"/>
      <c r="D152" s="109"/>
      <c r="E152" s="110"/>
      <c r="F152" s="110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</row>
    <row r="153" spans="1:24" ht="14.5">
      <c r="A153" s="109"/>
      <c r="B153" s="109"/>
      <c r="C153" s="109"/>
      <c r="D153" s="109"/>
      <c r="E153" s="110"/>
      <c r="F153" s="110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</row>
    <row r="154" spans="1:24" ht="14.5">
      <c r="A154" s="109"/>
      <c r="B154" s="109"/>
      <c r="C154" s="109"/>
      <c r="D154" s="109"/>
      <c r="E154" s="110"/>
      <c r="F154" s="110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</row>
    <row r="155" spans="1:24" ht="14.5">
      <c r="A155" s="109"/>
      <c r="B155" s="109"/>
      <c r="C155" s="109"/>
      <c r="D155" s="109"/>
      <c r="E155" s="110"/>
      <c r="F155" s="110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</row>
    <row r="156" spans="1:24" ht="14.5">
      <c r="A156" s="109"/>
      <c r="B156" s="109"/>
      <c r="C156" s="109"/>
      <c r="D156" s="109"/>
      <c r="E156" s="110"/>
      <c r="F156" s="110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</row>
    <row r="157" spans="1:24" ht="14.5">
      <c r="A157" s="109"/>
      <c r="B157" s="109"/>
      <c r="C157" s="109"/>
      <c r="D157" s="109"/>
      <c r="E157" s="110"/>
      <c r="F157" s="110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</row>
    <row r="158" spans="1:24" ht="14.5">
      <c r="A158" s="109"/>
      <c r="B158" s="109"/>
      <c r="C158" s="109"/>
      <c r="D158" s="109"/>
      <c r="E158" s="110"/>
      <c r="F158" s="110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</row>
    <row r="159" spans="1:24" ht="14.5">
      <c r="A159" s="109"/>
      <c r="B159" s="109"/>
      <c r="C159" s="109"/>
      <c r="D159" s="109"/>
      <c r="E159" s="110"/>
      <c r="F159" s="110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</row>
    <row r="160" spans="1:24" ht="14.5">
      <c r="A160" s="109"/>
      <c r="B160" s="109"/>
      <c r="C160" s="109"/>
      <c r="D160" s="109"/>
      <c r="E160" s="110"/>
      <c r="F160" s="110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</row>
    <row r="161" spans="1:24" ht="14.5">
      <c r="A161" s="109"/>
      <c r="B161" s="109"/>
      <c r="C161" s="109"/>
      <c r="D161" s="109"/>
      <c r="E161" s="110"/>
      <c r="F161" s="110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</row>
    <row r="162" spans="1:24" ht="14.5">
      <c r="A162" s="109"/>
      <c r="B162" s="109"/>
      <c r="C162" s="109"/>
      <c r="D162" s="109"/>
      <c r="E162" s="110"/>
      <c r="F162" s="110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</row>
    <row r="163" spans="1:24" ht="14.5">
      <c r="A163" s="109"/>
      <c r="B163" s="109"/>
      <c r="C163" s="109"/>
      <c r="D163" s="109"/>
      <c r="E163" s="110"/>
      <c r="F163" s="110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</row>
    <row r="164" spans="1:24" ht="14.5">
      <c r="A164" s="109"/>
      <c r="B164" s="109"/>
      <c r="C164" s="109"/>
      <c r="D164" s="109"/>
      <c r="E164" s="110"/>
      <c r="F164" s="110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</row>
    <row r="165" spans="1:24" ht="14.5">
      <c r="A165" s="109"/>
      <c r="B165" s="109"/>
      <c r="C165" s="109"/>
      <c r="D165" s="109"/>
      <c r="E165" s="110"/>
      <c r="F165" s="110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</row>
    <row r="166" spans="1:24" ht="14.5">
      <c r="A166" s="109"/>
      <c r="B166" s="109"/>
      <c r="C166" s="109"/>
      <c r="D166" s="109"/>
      <c r="E166" s="110"/>
      <c r="F166" s="110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</row>
    <row r="167" spans="1:24" ht="14.5">
      <c r="A167" s="109"/>
      <c r="B167" s="109"/>
      <c r="C167" s="109"/>
      <c r="D167" s="109"/>
      <c r="E167" s="110"/>
      <c r="F167" s="110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</row>
    <row r="168" spans="1:24" ht="14.5">
      <c r="A168" s="109"/>
      <c r="B168" s="109"/>
      <c r="C168" s="109"/>
      <c r="D168" s="109"/>
      <c r="E168" s="110"/>
      <c r="F168" s="110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</row>
    <row r="169" spans="1:24" ht="14.5">
      <c r="A169" s="109"/>
      <c r="B169" s="109"/>
      <c r="C169" s="109"/>
      <c r="D169" s="109"/>
      <c r="E169" s="110"/>
      <c r="F169" s="110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</row>
    <row r="170" spans="1:24" ht="14.5">
      <c r="A170" s="109"/>
      <c r="B170" s="109"/>
      <c r="C170" s="109"/>
      <c r="D170" s="109"/>
      <c r="E170" s="110"/>
      <c r="F170" s="110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</row>
    <row r="171" spans="1:24" ht="14.5">
      <c r="A171" s="109"/>
      <c r="B171" s="109"/>
      <c r="C171" s="109"/>
      <c r="D171" s="109"/>
      <c r="E171" s="110"/>
      <c r="F171" s="110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</row>
    <row r="172" spans="1:24" ht="14.5">
      <c r="A172" s="109"/>
      <c r="B172" s="109"/>
      <c r="C172" s="109"/>
      <c r="D172" s="109"/>
      <c r="E172" s="110"/>
      <c r="F172" s="110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</row>
    <row r="173" spans="1:24" ht="14.5">
      <c r="A173" s="109"/>
      <c r="B173" s="109"/>
      <c r="C173" s="109"/>
      <c r="D173" s="109"/>
      <c r="E173" s="110"/>
      <c r="F173" s="110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</row>
    <row r="174" spans="1:24" ht="14.5">
      <c r="A174" s="109"/>
      <c r="B174" s="109"/>
      <c r="C174" s="109"/>
      <c r="D174" s="109"/>
      <c r="E174" s="110"/>
      <c r="F174" s="110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</row>
    <row r="175" spans="1:24" ht="14.5">
      <c r="A175" s="109"/>
      <c r="B175" s="109"/>
      <c r="C175" s="109"/>
      <c r="D175" s="109"/>
      <c r="E175" s="110"/>
      <c r="F175" s="110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</row>
    <row r="176" spans="1:24" ht="14.5">
      <c r="A176" s="109"/>
      <c r="B176" s="109"/>
      <c r="C176" s="109"/>
      <c r="D176" s="109"/>
      <c r="E176" s="110"/>
      <c r="F176" s="110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</row>
    <row r="177" spans="1:24" ht="14.5">
      <c r="A177" s="109"/>
      <c r="B177" s="109"/>
      <c r="C177" s="109"/>
      <c r="D177" s="109"/>
      <c r="E177" s="110"/>
      <c r="F177" s="110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</row>
    <row r="178" spans="1:24" ht="14.5">
      <c r="A178" s="109"/>
      <c r="B178" s="109"/>
      <c r="C178" s="109"/>
      <c r="D178" s="109"/>
      <c r="E178" s="110"/>
      <c r="F178" s="110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</row>
    <row r="179" spans="1:24" ht="14.5">
      <c r="A179" s="109"/>
      <c r="B179" s="109"/>
      <c r="C179" s="109"/>
      <c r="D179" s="109"/>
      <c r="E179" s="110"/>
      <c r="F179" s="110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</row>
    <row r="180" spans="1:24" ht="14.5">
      <c r="A180" s="109"/>
      <c r="B180" s="109"/>
      <c r="C180" s="109"/>
      <c r="D180" s="109"/>
      <c r="E180" s="110"/>
      <c r="F180" s="110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</row>
    <row r="181" spans="1:24" ht="14.5">
      <c r="A181" s="109"/>
      <c r="B181" s="109"/>
      <c r="C181" s="109"/>
      <c r="D181" s="109"/>
      <c r="E181" s="110"/>
      <c r="F181" s="110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</row>
    <row r="182" spans="1:24" ht="14.5">
      <c r="A182" s="109"/>
      <c r="B182" s="109"/>
      <c r="C182" s="109"/>
      <c r="D182" s="109"/>
      <c r="E182" s="110"/>
      <c r="F182" s="110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</row>
    <row r="183" spans="1:24" ht="14.5">
      <c r="A183" s="109"/>
      <c r="B183" s="109"/>
      <c r="C183" s="109"/>
      <c r="D183" s="109"/>
      <c r="E183" s="110"/>
      <c r="F183" s="110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</row>
    <row r="184" spans="1:24" ht="14.5">
      <c r="A184" s="109"/>
      <c r="B184" s="109"/>
      <c r="C184" s="109"/>
      <c r="D184" s="109"/>
      <c r="E184" s="110"/>
      <c r="F184" s="110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</row>
    <row r="185" spans="1:24" ht="14.5">
      <c r="A185" s="109"/>
      <c r="B185" s="109"/>
      <c r="C185" s="109"/>
      <c r="D185" s="109"/>
      <c r="E185" s="110"/>
      <c r="F185" s="110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</row>
    <row r="186" spans="1:24" ht="14.5">
      <c r="A186" s="109"/>
      <c r="B186" s="109"/>
      <c r="C186" s="109"/>
      <c r="D186" s="109"/>
      <c r="E186" s="110"/>
      <c r="F186" s="110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</row>
    <row r="187" spans="1:24" ht="14.5">
      <c r="A187" s="109"/>
      <c r="B187" s="109"/>
      <c r="C187" s="109"/>
      <c r="D187" s="109"/>
      <c r="E187" s="110"/>
      <c r="F187" s="110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</row>
    <row r="188" spans="1:24" ht="14.5">
      <c r="A188" s="109"/>
      <c r="B188" s="109"/>
      <c r="C188" s="109"/>
      <c r="D188" s="109"/>
      <c r="E188" s="110"/>
      <c r="F188" s="110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</row>
    <row r="189" spans="1:24" ht="14.5">
      <c r="A189" s="109"/>
      <c r="B189" s="109"/>
      <c r="C189" s="109"/>
      <c r="D189" s="109"/>
      <c r="E189" s="110"/>
      <c r="F189" s="110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</row>
    <row r="190" spans="1:24" ht="14.5">
      <c r="A190" s="109"/>
      <c r="B190" s="109"/>
      <c r="C190" s="109"/>
      <c r="D190" s="109"/>
      <c r="E190" s="110"/>
      <c r="F190" s="110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</row>
    <row r="191" spans="1:24" ht="14.5">
      <c r="A191" s="109"/>
      <c r="B191" s="109"/>
      <c r="C191" s="109"/>
      <c r="D191" s="109"/>
      <c r="E191" s="110"/>
      <c r="F191" s="110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</row>
    <row r="192" spans="1:24" ht="14.5">
      <c r="A192" s="109"/>
      <c r="B192" s="109"/>
      <c r="C192" s="109"/>
      <c r="D192" s="109"/>
      <c r="E192" s="110"/>
      <c r="F192" s="110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</row>
    <row r="193" spans="1:24" ht="14.5">
      <c r="A193" s="109"/>
      <c r="B193" s="109"/>
      <c r="C193" s="109"/>
      <c r="D193" s="109"/>
      <c r="E193" s="110"/>
      <c r="F193" s="110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</row>
    <row r="194" spans="1:24" ht="14.5">
      <c r="A194" s="109"/>
      <c r="B194" s="109"/>
      <c r="C194" s="109"/>
      <c r="D194" s="109"/>
      <c r="E194" s="110"/>
      <c r="F194" s="110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</row>
    <row r="195" spans="1:24" ht="14.5">
      <c r="A195" s="109"/>
      <c r="B195" s="109"/>
      <c r="C195" s="109"/>
      <c r="D195" s="109"/>
      <c r="E195" s="110"/>
      <c r="F195" s="110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</row>
    <row r="196" spans="1:24" ht="14.5">
      <c r="A196" s="109"/>
      <c r="B196" s="109"/>
      <c r="C196" s="109"/>
      <c r="D196" s="109"/>
      <c r="E196" s="110"/>
      <c r="F196" s="110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</row>
    <row r="197" spans="1:24" ht="14.5">
      <c r="A197" s="109"/>
      <c r="B197" s="109"/>
      <c r="C197" s="109"/>
      <c r="D197" s="109"/>
      <c r="E197" s="110"/>
      <c r="F197" s="110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</row>
    <row r="198" spans="1:24" ht="14.5">
      <c r="A198" s="109"/>
      <c r="B198" s="109"/>
      <c r="C198" s="109"/>
      <c r="D198" s="109"/>
      <c r="E198" s="110"/>
      <c r="F198" s="110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</row>
    <row r="199" spans="1:24" ht="14.5">
      <c r="A199" s="109"/>
      <c r="B199" s="109"/>
      <c r="C199" s="109"/>
      <c r="D199" s="109"/>
      <c r="E199" s="110"/>
      <c r="F199" s="110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</row>
    <row r="200" spans="1:24" ht="14.5">
      <c r="A200" s="109"/>
      <c r="B200" s="109"/>
      <c r="C200" s="109"/>
      <c r="D200" s="109"/>
      <c r="E200" s="110"/>
      <c r="F200" s="110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</row>
    <row r="201" spans="1:24" ht="14.5">
      <c r="A201" s="109"/>
      <c r="B201" s="109"/>
      <c r="C201" s="109"/>
      <c r="D201" s="109"/>
      <c r="E201" s="110"/>
      <c r="F201" s="110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</row>
    <row r="202" spans="1:24" ht="14.5">
      <c r="A202" s="109"/>
      <c r="B202" s="109"/>
      <c r="C202" s="109"/>
      <c r="D202" s="109"/>
      <c r="E202" s="110"/>
      <c r="F202" s="110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</row>
    <row r="203" spans="1:24" ht="14.5">
      <c r="A203" s="109"/>
      <c r="B203" s="109"/>
      <c r="C203" s="109"/>
      <c r="D203" s="109"/>
      <c r="E203" s="110"/>
      <c r="F203" s="110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</row>
    <row r="204" spans="1:24" ht="14.5">
      <c r="A204" s="109"/>
      <c r="B204" s="109"/>
      <c r="C204" s="109"/>
      <c r="D204" s="109"/>
      <c r="E204" s="110"/>
      <c r="F204" s="110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</row>
    <row r="205" spans="1:24" ht="14.5">
      <c r="A205" s="109"/>
      <c r="B205" s="109"/>
      <c r="C205" s="109"/>
      <c r="D205" s="109"/>
      <c r="E205" s="110"/>
      <c r="F205" s="110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</row>
    <row r="206" spans="1:24" ht="14.5">
      <c r="A206" s="109"/>
      <c r="B206" s="109"/>
      <c r="C206" s="109"/>
      <c r="D206" s="109"/>
      <c r="E206" s="110"/>
      <c r="F206" s="110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</row>
    <row r="207" spans="1:24" ht="14.5">
      <c r="A207" s="109"/>
      <c r="B207" s="109"/>
      <c r="C207" s="109"/>
      <c r="D207" s="109"/>
      <c r="E207" s="110"/>
      <c r="F207" s="110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</row>
    <row r="208" spans="1:24" ht="14.5">
      <c r="A208" s="109"/>
      <c r="B208" s="109"/>
      <c r="C208" s="109"/>
      <c r="D208" s="109"/>
      <c r="E208" s="109"/>
      <c r="F208" s="110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</row>
    <row r="209" spans="1:24" ht="14.5">
      <c r="A209" s="109"/>
      <c r="B209" s="109"/>
      <c r="C209" s="109"/>
      <c r="D209" s="109"/>
      <c r="E209" s="109"/>
      <c r="F209" s="110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</row>
    <row r="210" spans="1:24" ht="14.5">
      <c r="A210" s="109"/>
      <c r="B210" s="109"/>
      <c r="C210" s="109"/>
      <c r="D210" s="109"/>
      <c r="E210" s="109"/>
      <c r="F210" s="110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</row>
    <row r="211" spans="1:24" ht="14.5">
      <c r="A211" s="109"/>
      <c r="B211" s="109"/>
      <c r="C211" s="109"/>
      <c r="D211" s="109"/>
      <c r="E211" s="109"/>
      <c r="F211" s="110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</row>
    <row r="212" spans="1:24" ht="14.5">
      <c r="A212" s="109"/>
      <c r="B212" s="109"/>
      <c r="C212" s="109"/>
      <c r="D212" s="109"/>
      <c r="E212" s="109"/>
      <c r="F212" s="110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</row>
    <row r="213" spans="1:24" ht="14.5">
      <c r="A213" s="109"/>
      <c r="B213" s="109"/>
      <c r="C213" s="109"/>
      <c r="D213" s="109"/>
      <c r="E213" s="109"/>
      <c r="F213" s="110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</row>
    <row r="214" spans="1:24" ht="14.5">
      <c r="A214" s="109"/>
      <c r="B214" s="109"/>
      <c r="C214" s="109"/>
      <c r="D214" s="109"/>
      <c r="E214" s="109"/>
      <c r="F214" s="110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</row>
    <row r="215" spans="1:24" ht="14.5">
      <c r="A215" s="109"/>
      <c r="B215" s="109"/>
      <c r="C215" s="109"/>
      <c r="D215" s="109"/>
      <c r="E215" s="109"/>
      <c r="F215" s="110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</row>
    <row r="216" spans="1:24" ht="14.5">
      <c r="A216" s="109"/>
      <c r="B216" s="109"/>
      <c r="C216" s="109"/>
      <c r="D216" s="109"/>
      <c r="E216" s="109"/>
      <c r="F216" s="110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</row>
    <row r="217" spans="1:24" ht="14.5">
      <c r="A217" s="109"/>
      <c r="B217" s="109"/>
      <c r="C217" s="109"/>
      <c r="D217" s="109"/>
      <c r="E217" s="109"/>
      <c r="F217" s="110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</row>
    <row r="218" spans="1:24" ht="14.5">
      <c r="A218" s="109"/>
      <c r="B218" s="109"/>
      <c r="C218" s="109"/>
      <c r="D218" s="109"/>
      <c r="E218" s="109"/>
      <c r="F218" s="110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</row>
    <row r="219" spans="1:24" ht="14.5">
      <c r="A219" s="109"/>
      <c r="B219" s="109"/>
      <c r="C219" s="109"/>
      <c r="D219" s="109"/>
      <c r="E219" s="109"/>
      <c r="F219" s="110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</row>
    <row r="220" spans="1:24" ht="14.5">
      <c r="A220" s="109"/>
      <c r="B220" s="109"/>
      <c r="C220" s="109"/>
      <c r="D220" s="109"/>
      <c r="E220" s="109"/>
      <c r="F220" s="110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</row>
    <row r="221" spans="1:24" ht="14.5">
      <c r="A221" s="109"/>
      <c r="B221" s="109"/>
      <c r="C221" s="109"/>
      <c r="D221" s="109"/>
      <c r="E221" s="109"/>
      <c r="F221" s="110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</row>
    <row r="222" spans="1:24" ht="14.5">
      <c r="A222" s="109"/>
      <c r="B222" s="109"/>
      <c r="C222" s="109"/>
      <c r="D222" s="109"/>
      <c r="E222" s="109"/>
      <c r="F222" s="110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</row>
    <row r="223" spans="1:24" ht="14.5">
      <c r="A223" s="109"/>
      <c r="B223" s="109"/>
      <c r="C223" s="109"/>
      <c r="D223" s="109"/>
      <c r="E223" s="109"/>
      <c r="F223" s="110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</row>
    <row r="224" spans="1:24" ht="14.5">
      <c r="A224" s="109"/>
      <c r="B224" s="109"/>
      <c r="C224" s="109"/>
      <c r="D224" s="109"/>
      <c r="E224" s="109"/>
      <c r="F224" s="110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</row>
    <row r="225" spans="1:24" ht="14.5">
      <c r="A225" s="109"/>
      <c r="B225" s="109"/>
      <c r="C225" s="109"/>
      <c r="D225" s="109"/>
      <c r="E225" s="109"/>
      <c r="F225" s="110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</row>
    <row r="226" spans="1:24" ht="14.5">
      <c r="A226" s="109"/>
      <c r="B226" s="109"/>
      <c r="C226" s="109"/>
      <c r="D226" s="109"/>
      <c r="E226" s="109"/>
      <c r="F226" s="110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</row>
    <row r="227" spans="1:24" ht="14.5">
      <c r="A227" s="109"/>
      <c r="B227" s="109"/>
      <c r="C227" s="109"/>
      <c r="D227" s="109"/>
      <c r="E227" s="109"/>
      <c r="F227" s="110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</row>
    <row r="228" spans="1:24" ht="14.5">
      <c r="A228" s="109"/>
      <c r="B228" s="109"/>
      <c r="C228" s="109"/>
      <c r="D228" s="109"/>
      <c r="E228" s="109"/>
      <c r="F228" s="110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</row>
    <row r="229" spans="1:24" ht="14.5">
      <c r="A229" s="109"/>
      <c r="B229" s="109"/>
      <c r="C229" s="109"/>
      <c r="D229" s="109"/>
      <c r="E229" s="109"/>
      <c r="F229" s="110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</row>
    <row r="230" spans="1:24" ht="14.5">
      <c r="A230" s="109"/>
      <c r="B230" s="109"/>
      <c r="C230" s="109"/>
      <c r="D230" s="109"/>
      <c r="E230" s="109"/>
      <c r="F230" s="110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</row>
    <row r="231" spans="1:24" ht="14.5">
      <c r="A231" s="109"/>
      <c r="B231" s="109"/>
      <c r="C231" s="109"/>
      <c r="D231" s="109"/>
      <c r="E231" s="109"/>
      <c r="F231" s="110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</row>
    <row r="232" spans="1:24" ht="14.5">
      <c r="A232" s="109"/>
      <c r="B232" s="109"/>
      <c r="C232" s="109"/>
      <c r="D232" s="109"/>
      <c r="E232" s="109"/>
      <c r="F232" s="110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</row>
    <row r="233" spans="1:24" ht="14.5">
      <c r="A233" s="109"/>
      <c r="B233" s="109"/>
      <c r="C233" s="109"/>
      <c r="D233" s="109"/>
      <c r="E233" s="109"/>
      <c r="F233" s="110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</row>
    <row r="234" spans="1:24" ht="14.5">
      <c r="A234" s="109"/>
      <c r="B234" s="109"/>
      <c r="C234" s="109"/>
      <c r="D234" s="109"/>
      <c r="E234" s="109"/>
      <c r="F234" s="110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</row>
    <row r="235" spans="1:24" ht="14.5">
      <c r="A235" s="109"/>
      <c r="B235" s="109"/>
      <c r="C235" s="109"/>
      <c r="D235" s="109"/>
      <c r="E235" s="109"/>
      <c r="F235" s="110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</row>
    <row r="236" spans="1:24" ht="14.5">
      <c r="A236" s="109"/>
      <c r="B236" s="109"/>
      <c r="C236" s="109"/>
      <c r="D236" s="109"/>
      <c r="E236" s="109"/>
      <c r="F236" s="110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</row>
    <row r="237" spans="1:24" ht="14.5">
      <c r="A237" s="109"/>
      <c r="B237" s="109"/>
      <c r="C237" s="109"/>
      <c r="D237" s="109"/>
      <c r="E237" s="109"/>
      <c r="F237" s="110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</row>
    <row r="238" spans="1:24" ht="14.5">
      <c r="A238" s="109"/>
      <c r="B238" s="109"/>
      <c r="C238" s="109"/>
      <c r="D238" s="109"/>
      <c r="E238" s="109"/>
      <c r="F238" s="110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</row>
    <row r="239" spans="1:24" ht="14.5">
      <c r="A239" s="109"/>
      <c r="B239" s="109"/>
      <c r="C239" s="109"/>
      <c r="D239" s="109"/>
      <c r="E239" s="109"/>
      <c r="F239" s="110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</row>
    <row r="240" spans="1:24" ht="14.5">
      <c r="A240" s="109"/>
      <c r="B240" s="109"/>
      <c r="C240" s="109"/>
      <c r="D240" s="109"/>
      <c r="E240" s="109"/>
      <c r="F240" s="110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</row>
    <row r="241" spans="1:24" ht="14.5">
      <c r="A241" s="109"/>
      <c r="B241" s="109"/>
      <c r="C241" s="109"/>
      <c r="D241" s="109"/>
      <c r="E241" s="109"/>
      <c r="F241" s="110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</row>
    <row r="242" spans="1:24" ht="14.5">
      <c r="A242" s="109"/>
      <c r="B242" s="109"/>
      <c r="C242" s="109"/>
      <c r="D242" s="109"/>
      <c r="E242" s="109"/>
      <c r="F242" s="110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</row>
    <row r="243" spans="1:24" ht="14.5">
      <c r="A243" s="109"/>
      <c r="B243" s="109"/>
      <c r="C243" s="109"/>
      <c r="D243" s="109"/>
      <c r="E243" s="109"/>
      <c r="F243" s="110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</row>
    <row r="244" spans="1:24" ht="14.5">
      <c r="A244" s="109"/>
      <c r="B244" s="109"/>
      <c r="C244" s="109"/>
      <c r="D244" s="109"/>
      <c r="E244" s="109"/>
      <c r="F244" s="110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</row>
    <row r="245" spans="1:24" ht="14.5">
      <c r="A245" s="109"/>
      <c r="B245" s="109"/>
      <c r="C245" s="109"/>
      <c r="D245" s="109"/>
      <c r="E245" s="109"/>
      <c r="F245" s="110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</row>
    <row r="246" spans="1:24" ht="14.5">
      <c r="A246" s="109"/>
      <c r="B246" s="109"/>
      <c r="C246" s="109"/>
      <c r="D246" s="109"/>
      <c r="E246" s="109"/>
      <c r="F246" s="110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</row>
    <row r="247" spans="1:24" ht="14.5">
      <c r="A247" s="109"/>
      <c r="B247" s="109"/>
      <c r="C247" s="109"/>
      <c r="D247" s="109"/>
      <c r="E247" s="109"/>
      <c r="F247" s="110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</row>
    <row r="248" spans="1:24" ht="14.5">
      <c r="A248" s="109"/>
      <c r="B248" s="109"/>
      <c r="C248" s="109"/>
      <c r="D248" s="109"/>
      <c r="E248" s="109"/>
      <c r="F248" s="110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</row>
    <row r="249" spans="1:24" ht="14.5">
      <c r="A249" s="109"/>
      <c r="B249" s="109"/>
      <c r="C249" s="109"/>
      <c r="D249" s="109"/>
      <c r="E249" s="109"/>
      <c r="F249" s="110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</row>
    <row r="250" spans="1:24" ht="14.5">
      <c r="A250" s="109"/>
      <c r="B250" s="109"/>
      <c r="C250" s="109"/>
      <c r="D250" s="109"/>
      <c r="E250" s="109"/>
      <c r="F250" s="110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</row>
    <row r="251" spans="1:24" ht="14.5">
      <c r="A251" s="109"/>
      <c r="B251" s="109"/>
      <c r="C251" s="109"/>
      <c r="D251" s="109"/>
      <c r="E251" s="109"/>
      <c r="F251" s="110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</row>
    <row r="252" spans="1:24" ht="14.5">
      <c r="A252" s="109"/>
      <c r="B252" s="109"/>
      <c r="C252" s="109"/>
      <c r="D252" s="109"/>
      <c r="E252" s="109"/>
      <c r="F252" s="110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</row>
    <row r="253" spans="1:24" ht="14.5">
      <c r="A253" s="109"/>
      <c r="B253" s="109"/>
      <c r="C253" s="109"/>
      <c r="D253" s="109"/>
      <c r="E253" s="109"/>
      <c r="F253" s="110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</row>
    <row r="254" spans="1:24" ht="14.5">
      <c r="A254" s="109"/>
      <c r="B254" s="109"/>
      <c r="C254" s="109"/>
      <c r="D254" s="109"/>
      <c r="E254" s="109"/>
      <c r="F254" s="110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</row>
    <row r="255" spans="1:24" ht="14.5">
      <c r="A255" s="109"/>
      <c r="B255" s="109"/>
      <c r="C255" s="109"/>
      <c r="D255" s="109"/>
      <c r="E255" s="109"/>
      <c r="F255" s="110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</row>
    <row r="256" spans="1:24" ht="14.5">
      <c r="A256" s="109"/>
      <c r="B256" s="109"/>
      <c r="C256" s="109"/>
      <c r="D256" s="109"/>
      <c r="E256" s="109"/>
      <c r="F256" s="110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</row>
    <row r="257" spans="1:24" ht="14.5">
      <c r="A257" s="109"/>
      <c r="B257" s="109"/>
      <c r="C257" s="109"/>
      <c r="D257" s="109"/>
      <c r="E257" s="109"/>
      <c r="F257" s="110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</row>
    <row r="258" spans="1:24" ht="14.5">
      <c r="A258" s="109"/>
      <c r="B258" s="109"/>
      <c r="C258" s="109"/>
      <c r="D258" s="109"/>
      <c r="E258" s="109"/>
      <c r="F258" s="110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</row>
    <row r="259" spans="1:24" ht="14.5">
      <c r="A259" s="109"/>
      <c r="B259" s="109"/>
      <c r="C259" s="109"/>
      <c r="D259" s="109"/>
      <c r="E259" s="109"/>
      <c r="F259" s="110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</row>
    <row r="260" spans="1:24" ht="14.5">
      <c r="A260" s="109"/>
      <c r="B260" s="109"/>
      <c r="C260" s="109"/>
      <c r="D260" s="109"/>
      <c r="E260" s="109"/>
      <c r="F260" s="110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</row>
    <row r="261" spans="1:24" ht="14.5">
      <c r="A261" s="109"/>
      <c r="B261" s="109"/>
      <c r="C261" s="109"/>
      <c r="D261" s="109"/>
      <c r="E261" s="109"/>
      <c r="F261" s="110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</row>
    <row r="262" spans="1:24" ht="14.5">
      <c r="A262" s="109"/>
      <c r="B262" s="109"/>
      <c r="C262" s="109"/>
      <c r="D262" s="109"/>
      <c r="E262" s="109"/>
      <c r="F262" s="110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</row>
    <row r="263" spans="1:24" ht="14.5">
      <c r="A263" s="109"/>
      <c r="B263" s="109"/>
      <c r="C263" s="109"/>
      <c r="D263" s="109"/>
      <c r="E263" s="109"/>
      <c r="F263" s="110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</row>
    <row r="264" spans="1:24" ht="14.5">
      <c r="A264" s="109"/>
      <c r="B264" s="109"/>
      <c r="C264" s="109"/>
      <c r="D264" s="109"/>
      <c r="E264" s="109"/>
      <c r="F264" s="110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</row>
    <row r="265" spans="1:24" ht="14.5">
      <c r="A265" s="109"/>
      <c r="B265" s="109"/>
      <c r="C265" s="109"/>
      <c r="D265" s="109"/>
      <c r="E265" s="109"/>
      <c r="F265" s="110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</row>
    <row r="266" spans="1:24" ht="14.5">
      <c r="A266" s="109"/>
      <c r="B266" s="109"/>
      <c r="C266" s="109"/>
      <c r="D266" s="109"/>
      <c r="E266" s="109"/>
      <c r="F266" s="110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</row>
    <row r="267" spans="1:24" ht="14.5">
      <c r="A267" s="109"/>
      <c r="B267" s="109"/>
      <c r="C267" s="109"/>
      <c r="D267" s="109"/>
      <c r="E267" s="109"/>
      <c r="F267" s="110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</row>
    <row r="268" spans="1:24" ht="14.5">
      <c r="A268" s="109"/>
      <c r="B268" s="109"/>
      <c r="C268" s="109"/>
      <c r="D268" s="109"/>
      <c r="E268" s="109"/>
      <c r="F268" s="110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</row>
    <row r="269" spans="1:24" ht="14.5">
      <c r="A269" s="109"/>
      <c r="B269" s="109"/>
      <c r="C269" s="109"/>
      <c r="D269" s="109"/>
      <c r="E269" s="109"/>
      <c r="F269" s="110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</row>
    <row r="270" spans="1:24" ht="14.5">
      <c r="A270" s="109"/>
      <c r="B270" s="109"/>
      <c r="C270" s="109"/>
      <c r="D270" s="109"/>
      <c r="E270" s="109"/>
      <c r="F270" s="110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</row>
    <row r="271" spans="1:24" ht="14.5">
      <c r="A271" s="109"/>
      <c r="B271" s="109"/>
      <c r="C271" s="109"/>
      <c r="D271" s="109"/>
      <c r="E271" s="109"/>
      <c r="F271" s="110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</row>
    <row r="272" spans="1:24" ht="14.5">
      <c r="A272" s="109"/>
      <c r="B272" s="109"/>
      <c r="C272" s="109"/>
      <c r="D272" s="109"/>
      <c r="E272" s="109"/>
      <c r="F272" s="110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</row>
    <row r="273" spans="1:24" ht="14.5">
      <c r="A273" s="109"/>
      <c r="B273" s="109"/>
      <c r="C273" s="109"/>
      <c r="D273" s="109"/>
      <c r="E273" s="109"/>
      <c r="F273" s="110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</row>
    <row r="274" spans="1:24" ht="14.5">
      <c r="A274" s="109"/>
      <c r="B274" s="109"/>
      <c r="C274" s="109"/>
      <c r="D274" s="109"/>
      <c r="E274" s="109"/>
      <c r="F274" s="110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</row>
    <row r="275" spans="1:24" ht="14.5">
      <c r="A275" s="109"/>
      <c r="B275" s="109"/>
      <c r="C275" s="109"/>
      <c r="D275" s="109"/>
      <c r="E275" s="109"/>
      <c r="F275" s="110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</row>
    <row r="276" spans="1:24" ht="14.5">
      <c r="A276" s="109"/>
      <c r="B276" s="109"/>
      <c r="C276" s="109"/>
      <c r="D276" s="109"/>
      <c r="E276" s="109"/>
      <c r="F276" s="110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</row>
    <row r="277" spans="1:24" ht="14.5">
      <c r="A277" s="109"/>
      <c r="B277" s="109"/>
      <c r="C277" s="109"/>
      <c r="D277" s="109"/>
      <c r="E277" s="109"/>
      <c r="F277" s="110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</row>
    <row r="278" spans="1:24" ht="14.5">
      <c r="A278" s="109"/>
      <c r="B278" s="109"/>
      <c r="C278" s="109"/>
      <c r="D278" s="109"/>
      <c r="E278" s="109"/>
      <c r="F278" s="110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</row>
    <row r="279" spans="1:24" ht="14.5">
      <c r="A279" s="109"/>
      <c r="B279" s="109"/>
      <c r="C279" s="109"/>
      <c r="D279" s="109"/>
      <c r="E279" s="109"/>
      <c r="F279" s="110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</row>
    <row r="280" spans="1:24" ht="14.5">
      <c r="A280" s="109"/>
      <c r="B280" s="109"/>
      <c r="C280" s="109"/>
      <c r="D280" s="109"/>
      <c r="E280" s="109"/>
      <c r="F280" s="110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</row>
    <row r="281" spans="1:24" ht="14.5">
      <c r="A281" s="109"/>
      <c r="B281" s="109"/>
      <c r="C281" s="109"/>
      <c r="D281" s="109"/>
      <c r="E281" s="109"/>
      <c r="F281" s="110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</row>
    <row r="282" spans="1:24" ht="14.5">
      <c r="A282" s="109"/>
      <c r="B282" s="109"/>
      <c r="C282" s="109"/>
      <c r="D282" s="109"/>
      <c r="E282" s="109"/>
      <c r="F282" s="110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</row>
    <row r="283" spans="1:24" ht="14.5">
      <c r="A283" s="109"/>
      <c r="B283" s="109"/>
      <c r="C283" s="109"/>
      <c r="D283" s="109"/>
      <c r="E283" s="109"/>
      <c r="F283" s="110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</row>
    <row r="284" spans="1:24" ht="14.5">
      <c r="A284" s="109"/>
      <c r="B284" s="109"/>
      <c r="C284" s="109"/>
      <c r="D284" s="109"/>
      <c r="E284" s="109"/>
      <c r="F284" s="110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</row>
    <row r="285" spans="1:24" ht="14.5">
      <c r="A285" s="109"/>
      <c r="B285" s="109"/>
      <c r="C285" s="109"/>
      <c r="D285" s="109"/>
      <c r="E285" s="109"/>
      <c r="F285" s="110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</row>
    <row r="286" spans="1:24" ht="14.5">
      <c r="A286" s="109"/>
      <c r="B286" s="109"/>
      <c r="C286" s="109"/>
      <c r="D286" s="109"/>
      <c r="E286" s="109"/>
      <c r="F286" s="110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</row>
    <row r="287" spans="1:24" ht="14.5">
      <c r="A287" s="109"/>
      <c r="B287" s="109"/>
      <c r="C287" s="109"/>
      <c r="D287" s="109"/>
      <c r="E287" s="109"/>
      <c r="F287" s="110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</row>
    <row r="288" spans="1:24" ht="14.5">
      <c r="A288" s="109"/>
      <c r="B288" s="109"/>
      <c r="C288" s="109"/>
      <c r="D288" s="109"/>
      <c r="E288" s="109"/>
      <c r="F288" s="110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</row>
    <row r="289" spans="1:24" ht="14.5">
      <c r="A289" s="109"/>
      <c r="B289" s="109"/>
      <c r="C289" s="109"/>
      <c r="D289" s="109"/>
      <c r="E289" s="109"/>
      <c r="F289" s="110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</row>
    <row r="290" spans="1:24" ht="14.5">
      <c r="A290" s="109"/>
      <c r="B290" s="109"/>
      <c r="C290" s="109"/>
      <c r="D290" s="109"/>
      <c r="E290" s="109"/>
      <c r="F290" s="110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</row>
    <row r="291" spans="1:24" ht="14.5">
      <c r="A291" s="109"/>
      <c r="B291" s="109"/>
      <c r="C291" s="109"/>
      <c r="D291" s="109"/>
      <c r="E291" s="109"/>
      <c r="F291" s="110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</row>
    <row r="292" spans="1:24" ht="14.5">
      <c r="A292" s="109"/>
      <c r="B292" s="109"/>
      <c r="C292" s="109"/>
      <c r="D292" s="109"/>
      <c r="E292" s="109"/>
      <c r="F292" s="110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</row>
    <row r="293" spans="1:24" ht="14.5">
      <c r="A293" s="109"/>
      <c r="B293" s="109"/>
      <c r="C293" s="109"/>
      <c r="D293" s="109"/>
      <c r="E293" s="109"/>
      <c r="F293" s="110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</row>
    <row r="294" spans="1:24" ht="14.5">
      <c r="A294" s="109"/>
      <c r="B294" s="109"/>
      <c r="C294" s="109"/>
      <c r="D294" s="109"/>
      <c r="E294" s="109"/>
      <c r="F294" s="110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</row>
    <row r="295" spans="1:24" ht="14.5">
      <c r="A295" s="109"/>
      <c r="B295" s="109"/>
      <c r="C295" s="109"/>
      <c r="D295" s="109"/>
      <c r="E295" s="109"/>
      <c r="F295" s="110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</row>
    <row r="296" spans="1:24" ht="14.5">
      <c r="A296" s="109"/>
      <c r="B296" s="109"/>
      <c r="C296" s="109"/>
      <c r="D296" s="109"/>
      <c r="E296" s="109"/>
      <c r="F296" s="110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</row>
    <row r="297" spans="1:24" ht="14.5">
      <c r="A297" s="109"/>
      <c r="B297" s="109"/>
      <c r="C297" s="109"/>
      <c r="D297" s="109"/>
      <c r="E297" s="109"/>
      <c r="F297" s="110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</row>
    <row r="298" spans="1:24" ht="14.5">
      <c r="A298" s="109"/>
      <c r="B298" s="109"/>
      <c r="C298" s="109"/>
      <c r="D298" s="109"/>
      <c r="E298" s="109"/>
      <c r="F298" s="110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</row>
    <row r="299" spans="1:24" ht="14.5">
      <c r="A299" s="109"/>
      <c r="B299" s="109"/>
      <c r="C299" s="109"/>
      <c r="D299" s="109"/>
      <c r="E299" s="109"/>
      <c r="F299" s="110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</row>
    <row r="300" spans="1:24" ht="14.5">
      <c r="A300" s="109"/>
      <c r="B300" s="109"/>
      <c r="C300" s="109"/>
      <c r="D300" s="109"/>
      <c r="E300" s="109"/>
      <c r="F300" s="110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</row>
    <row r="301" spans="1:24" ht="14.5">
      <c r="A301" s="109"/>
      <c r="B301" s="109"/>
      <c r="C301" s="109"/>
      <c r="D301" s="109"/>
      <c r="E301" s="109"/>
      <c r="F301" s="110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</row>
    <row r="302" spans="1:24" ht="14.5">
      <c r="A302" s="109"/>
      <c r="B302" s="109"/>
      <c r="C302" s="109"/>
      <c r="D302" s="109"/>
      <c r="E302" s="109"/>
      <c r="F302" s="110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</row>
    <row r="303" spans="1:24" ht="14.5">
      <c r="A303" s="109"/>
      <c r="B303" s="109"/>
      <c r="C303" s="109"/>
      <c r="D303" s="109"/>
      <c r="E303" s="109"/>
      <c r="F303" s="110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</row>
    <row r="304" spans="1:24" ht="14.5">
      <c r="A304" s="109"/>
      <c r="B304" s="109"/>
      <c r="C304" s="109"/>
      <c r="D304" s="109"/>
      <c r="E304" s="109"/>
      <c r="F304" s="110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</row>
    <row r="305" spans="1:24" ht="14.5">
      <c r="A305" s="109"/>
      <c r="B305" s="109"/>
      <c r="C305" s="109"/>
      <c r="D305" s="109"/>
      <c r="E305" s="109"/>
      <c r="F305" s="110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</row>
    <row r="306" spans="1:24" ht="14.5">
      <c r="A306" s="109"/>
      <c r="B306" s="109"/>
      <c r="C306" s="109"/>
      <c r="D306" s="109"/>
      <c r="E306" s="109"/>
      <c r="F306" s="110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</row>
    <row r="307" spans="1:24" ht="14.5">
      <c r="A307" s="109"/>
      <c r="B307" s="109"/>
      <c r="C307" s="109"/>
      <c r="D307" s="109"/>
      <c r="E307" s="109"/>
      <c r="F307" s="110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</row>
    <row r="308" spans="1:24" ht="14.5">
      <c r="A308" s="109"/>
      <c r="B308" s="109"/>
      <c r="C308" s="109"/>
      <c r="D308" s="109"/>
      <c r="E308" s="109"/>
      <c r="F308" s="110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</row>
    <row r="309" spans="1:24" ht="14.5">
      <c r="A309" s="109"/>
      <c r="B309" s="109"/>
      <c r="C309" s="109"/>
      <c r="D309" s="109"/>
      <c r="E309" s="109"/>
      <c r="F309" s="110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</row>
    <row r="310" spans="1:24" ht="14.5">
      <c r="A310" s="109"/>
      <c r="B310" s="109"/>
      <c r="C310" s="109"/>
      <c r="D310" s="109"/>
      <c r="E310" s="109"/>
      <c r="F310" s="110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</row>
    <row r="311" spans="1:24" ht="14.5">
      <c r="A311" s="109"/>
      <c r="B311" s="109"/>
      <c r="C311" s="109"/>
      <c r="D311" s="109"/>
      <c r="E311" s="109"/>
      <c r="F311" s="110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</row>
    <row r="312" spans="1:24" ht="14.5">
      <c r="A312" s="109"/>
      <c r="B312" s="109"/>
      <c r="C312" s="109"/>
      <c r="D312" s="109"/>
      <c r="E312" s="109"/>
      <c r="F312" s="110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</row>
    <row r="313" spans="1:24" ht="14.5">
      <c r="A313" s="109"/>
      <c r="B313" s="109"/>
      <c r="C313" s="109"/>
      <c r="D313" s="109"/>
      <c r="E313" s="109"/>
      <c r="F313" s="110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</row>
    <row r="314" spans="1:24" ht="14.5">
      <c r="A314" s="109"/>
      <c r="B314" s="109"/>
      <c r="C314" s="109"/>
      <c r="D314" s="109"/>
      <c r="E314" s="109"/>
      <c r="F314" s="110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</row>
    <row r="315" spans="1:24" ht="14.5">
      <c r="A315" s="109"/>
      <c r="B315" s="109"/>
      <c r="C315" s="109"/>
      <c r="D315" s="109"/>
      <c r="E315" s="109"/>
      <c r="F315" s="110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</row>
    <row r="316" spans="1:24" ht="14.5">
      <c r="A316" s="109"/>
      <c r="B316" s="109"/>
      <c r="C316" s="109"/>
      <c r="D316" s="109"/>
      <c r="E316" s="109"/>
      <c r="F316" s="110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</row>
    <row r="317" spans="1:24" ht="14.5">
      <c r="A317" s="109"/>
      <c r="B317" s="109"/>
      <c r="C317" s="109"/>
      <c r="D317" s="109"/>
      <c r="E317" s="109"/>
      <c r="F317" s="110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</row>
    <row r="318" spans="1:24" ht="14.5">
      <c r="A318" s="109"/>
      <c r="B318" s="109"/>
      <c r="C318" s="109"/>
      <c r="D318" s="109"/>
      <c r="E318" s="109"/>
      <c r="F318" s="110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</row>
    <row r="319" spans="1:24" ht="14.5">
      <c r="A319" s="109"/>
      <c r="B319" s="109"/>
      <c r="C319" s="109"/>
      <c r="D319" s="109"/>
      <c r="E319" s="109"/>
      <c r="F319" s="110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</row>
    <row r="320" spans="1:24" ht="14.5">
      <c r="A320" s="109"/>
      <c r="B320" s="109"/>
      <c r="C320" s="109"/>
      <c r="D320" s="109"/>
      <c r="E320" s="109"/>
      <c r="F320" s="110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</row>
    <row r="321" spans="1:24" ht="14.5">
      <c r="A321" s="109"/>
      <c r="B321" s="109"/>
      <c r="C321" s="109"/>
      <c r="D321" s="109"/>
      <c r="E321" s="109"/>
      <c r="F321" s="110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</row>
    <row r="322" spans="1:24" ht="14.5">
      <c r="A322" s="109"/>
      <c r="B322" s="109"/>
      <c r="C322" s="109"/>
      <c r="D322" s="109"/>
      <c r="E322" s="109"/>
      <c r="F322" s="110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</row>
    <row r="323" spans="1:24" ht="14.5">
      <c r="A323" s="109"/>
      <c r="B323" s="109"/>
      <c r="C323" s="109"/>
      <c r="D323" s="109"/>
      <c r="E323" s="109"/>
      <c r="F323" s="110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</row>
    <row r="324" spans="1:24" ht="14.5">
      <c r="A324" s="109"/>
      <c r="B324" s="109"/>
      <c r="C324" s="109"/>
      <c r="D324" s="109"/>
      <c r="E324" s="109"/>
      <c r="F324" s="110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</row>
    <row r="325" spans="1:24" ht="14.5">
      <c r="A325" s="109"/>
      <c r="B325" s="109"/>
      <c r="C325" s="109"/>
      <c r="D325" s="109"/>
      <c r="E325" s="109"/>
      <c r="F325" s="110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</row>
    <row r="326" spans="1:24" ht="14.5">
      <c r="A326" s="109"/>
      <c r="B326" s="109"/>
      <c r="C326" s="109"/>
      <c r="D326" s="109"/>
      <c r="E326" s="109"/>
      <c r="F326" s="110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</row>
    <row r="327" spans="1:24" ht="14.5">
      <c r="A327" s="109"/>
      <c r="B327" s="109"/>
      <c r="C327" s="109"/>
      <c r="D327" s="109"/>
      <c r="E327" s="109"/>
      <c r="F327" s="110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</row>
    <row r="328" spans="1:24" ht="14.5">
      <c r="A328" s="109"/>
      <c r="B328" s="109"/>
      <c r="C328" s="109"/>
      <c r="D328" s="109"/>
      <c r="E328" s="109"/>
      <c r="F328" s="110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</row>
    <row r="329" spans="1:24" ht="14.5">
      <c r="A329" s="109"/>
      <c r="B329" s="109"/>
      <c r="C329" s="109"/>
      <c r="D329" s="109"/>
      <c r="E329" s="109"/>
      <c r="F329" s="110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</row>
    <row r="330" spans="1:24" ht="14.5">
      <c r="A330" s="109"/>
      <c r="B330" s="109"/>
      <c r="C330" s="109"/>
      <c r="D330" s="109"/>
      <c r="E330" s="109"/>
      <c r="F330" s="110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</row>
    <row r="331" spans="1:24" ht="14.5">
      <c r="A331" s="109"/>
      <c r="B331" s="109"/>
      <c r="C331" s="109"/>
      <c r="D331" s="109"/>
      <c r="E331" s="109"/>
      <c r="F331" s="110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</row>
    <row r="332" spans="1:24" ht="14.5">
      <c r="A332" s="109"/>
      <c r="B332" s="109"/>
      <c r="C332" s="109"/>
      <c r="D332" s="109"/>
      <c r="E332" s="109"/>
      <c r="F332" s="110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</row>
    <row r="333" spans="1:24" ht="14.5">
      <c r="A333" s="109"/>
      <c r="B333" s="109"/>
      <c r="C333" s="109"/>
      <c r="D333" s="109"/>
      <c r="E333" s="109"/>
      <c r="F333" s="110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</row>
    <row r="334" spans="1:24" ht="14.5">
      <c r="A334" s="109"/>
      <c r="B334" s="109"/>
      <c r="C334" s="109"/>
      <c r="D334" s="109"/>
      <c r="E334" s="109"/>
      <c r="F334" s="110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</row>
    <row r="335" spans="1:24" ht="14.5">
      <c r="A335" s="109"/>
      <c r="B335" s="109"/>
      <c r="C335" s="109"/>
      <c r="D335" s="109"/>
      <c r="E335" s="109"/>
      <c r="F335" s="110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</row>
    <row r="336" spans="1:24" ht="14.5">
      <c r="A336" s="109"/>
      <c r="B336" s="109"/>
      <c r="C336" s="109"/>
      <c r="D336" s="109"/>
      <c r="E336" s="109"/>
      <c r="F336" s="110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</row>
    <row r="337" spans="1:24" ht="14.5">
      <c r="A337" s="109"/>
      <c r="B337" s="109"/>
      <c r="C337" s="109"/>
      <c r="D337" s="109"/>
      <c r="E337" s="109"/>
      <c r="F337" s="110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</row>
    <row r="338" spans="1:24" ht="14.5">
      <c r="A338" s="109"/>
      <c r="B338" s="109"/>
      <c r="C338" s="109"/>
      <c r="D338" s="109"/>
      <c r="E338" s="109"/>
      <c r="F338" s="110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</row>
    <row r="339" spans="1:24" ht="14.5">
      <c r="A339" s="109"/>
      <c r="B339" s="109"/>
      <c r="C339" s="109"/>
      <c r="D339" s="109"/>
      <c r="E339" s="109"/>
      <c r="F339" s="110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</row>
    <row r="340" spans="1:24" ht="14.5">
      <c r="A340" s="109"/>
      <c r="B340" s="109"/>
      <c r="C340" s="109"/>
      <c r="D340" s="109"/>
      <c r="E340" s="109"/>
      <c r="F340" s="110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</row>
    <row r="341" spans="1:24" ht="14.5">
      <c r="A341" s="109"/>
      <c r="B341" s="109"/>
      <c r="C341" s="109"/>
      <c r="D341" s="109"/>
      <c r="E341" s="109"/>
      <c r="F341" s="110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</row>
    <row r="342" spans="1:24" ht="14.5">
      <c r="A342" s="109"/>
      <c r="B342" s="109"/>
      <c r="C342" s="109"/>
      <c r="D342" s="109"/>
      <c r="E342" s="109"/>
      <c r="F342" s="110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</row>
    <row r="343" spans="1:24" ht="14.5">
      <c r="A343" s="109"/>
      <c r="B343" s="109"/>
      <c r="C343" s="109"/>
      <c r="D343" s="109"/>
      <c r="E343" s="109"/>
      <c r="F343" s="110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</row>
    <row r="344" spans="1:24" ht="14.5">
      <c r="A344" s="109"/>
      <c r="B344" s="109"/>
      <c r="C344" s="109"/>
      <c r="D344" s="109"/>
      <c r="E344" s="109"/>
      <c r="F344" s="110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</row>
    <row r="345" spans="1:24" ht="14.5">
      <c r="A345" s="109"/>
      <c r="B345" s="109"/>
      <c r="C345" s="109"/>
      <c r="D345" s="109"/>
      <c r="E345" s="109"/>
      <c r="F345" s="110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</row>
    <row r="346" spans="1:24" ht="14.5">
      <c r="A346" s="109"/>
      <c r="B346" s="109"/>
      <c r="C346" s="109"/>
      <c r="D346" s="109"/>
      <c r="E346" s="109"/>
      <c r="F346" s="110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</row>
    <row r="347" spans="1:24" ht="14.5">
      <c r="A347" s="109"/>
      <c r="B347" s="109"/>
      <c r="C347" s="109"/>
      <c r="D347" s="109"/>
      <c r="E347" s="109"/>
      <c r="F347" s="110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</row>
    <row r="348" spans="1:24" ht="14.5">
      <c r="A348" s="109"/>
      <c r="B348" s="109"/>
      <c r="C348" s="109"/>
      <c r="D348" s="109"/>
      <c r="E348" s="109"/>
      <c r="F348" s="110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</row>
    <row r="349" spans="1:24" ht="14.5">
      <c r="A349" s="109"/>
      <c r="B349" s="109"/>
      <c r="C349" s="109"/>
      <c r="D349" s="109"/>
      <c r="E349" s="109"/>
      <c r="F349" s="110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</row>
    <row r="350" spans="1:24" ht="14.5">
      <c r="A350" s="109"/>
      <c r="B350" s="109"/>
      <c r="C350" s="109"/>
      <c r="D350" s="109"/>
      <c r="E350" s="109"/>
      <c r="F350" s="110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</row>
    <row r="351" spans="1:24" ht="14.5">
      <c r="A351" s="109"/>
      <c r="B351" s="109"/>
      <c r="C351" s="109"/>
      <c r="D351" s="109"/>
      <c r="E351" s="109"/>
      <c r="F351" s="110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</row>
    <row r="352" spans="1:24" ht="14.5">
      <c r="A352" s="109"/>
      <c r="B352" s="109"/>
      <c r="C352" s="109"/>
      <c r="D352" s="109"/>
      <c r="E352" s="109"/>
      <c r="F352" s="110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</row>
    <row r="353" spans="1:24" ht="14.5">
      <c r="A353" s="109"/>
      <c r="B353" s="109"/>
      <c r="C353" s="109"/>
      <c r="D353" s="109"/>
      <c r="E353" s="109"/>
      <c r="F353" s="110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</row>
    <row r="354" spans="1:24" ht="14.5">
      <c r="A354" s="109"/>
      <c r="B354" s="109"/>
      <c r="C354" s="109"/>
      <c r="D354" s="109"/>
      <c r="E354" s="109"/>
      <c r="F354" s="110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</row>
    <row r="355" spans="1:24" ht="14.5">
      <c r="A355" s="109"/>
      <c r="B355" s="109"/>
      <c r="C355" s="109"/>
      <c r="D355" s="109"/>
      <c r="E355" s="109"/>
      <c r="F355" s="110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</row>
    <row r="356" spans="1:24" ht="14.5">
      <c r="A356" s="109"/>
      <c r="B356" s="109"/>
      <c r="C356" s="109"/>
      <c r="D356" s="109"/>
      <c r="E356" s="109"/>
      <c r="F356" s="110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</row>
    <row r="357" spans="1:24" ht="14.5">
      <c r="A357" s="109"/>
      <c r="B357" s="109"/>
      <c r="C357" s="109"/>
      <c r="D357" s="109"/>
      <c r="E357" s="109"/>
      <c r="F357" s="110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</row>
    <row r="358" spans="1:24" ht="14.5">
      <c r="A358" s="109"/>
      <c r="B358" s="109"/>
      <c r="C358" s="109"/>
      <c r="D358" s="109"/>
      <c r="E358" s="109"/>
      <c r="F358" s="110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</row>
    <row r="359" spans="1:24" ht="14.5">
      <c r="A359" s="109"/>
      <c r="B359" s="109"/>
      <c r="C359" s="109"/>
      <c r="D359" s="109"/>
      <c r="E359" s="109"/>
      <c r="F359" s="110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</row>
    <row r="360" spans="1:24" ht="14.5">
      <c r="A360" s="109"/>
      <c r="B360" s="109"/>
      <c r="C360" s="109"/>
      <c r="D360" s="109"/>
      <c r="E360" s="109"/>
      <c r="F360" s="110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</row>
    <row r="361" spans="1:24" ht="14.5">
      <c r="A361" s="109"/>
      <c r="B361" s="109"/>
      <c r="C361" s="109"/>
      <c r="D361" s="109"/>
      <c r="E361" s="109"/>
      <c r="F361" s="110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</row>
    <row r="362" spans="1:24" ht="14.5">
      <c r="A362" s="109"/>
      <c r="B362" s="109"/>
      <c r="C362" s="109"/>
      <c r="D362" s="109"/>
      <c r="E362" s="109"/>
      <c r="F362" s="110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</row>
    <row r="363" spans="1:24" ht="14.5">
      <c r="A363" s="109"/>
      <c r="B363" s="109"/>
      <c r="C363" s="109"/>
      <c r="D363" s="109"/>
      <c r="E363" s="109"/>
      <c r="F363" s="110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</row>
    <row r="364" spans="1:24" ht="14.5">
      <c r="A364" s="109"/>
      <c r="B364" s="109"/>
      <c r="C364" s="109"/>
      <c r="D364" s="109"/>
      <c r="E364" s="109"/>
      <c r="F364" s="110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</row>
    <row r="365" spans="1:24" ht="14.5">
      <c r="A365" s="109"/>
      <c r="B365" s="109"/>
      <c r="C365" s="109"/>
      <c r="D365" s="109"/>
      <c r="E365" s="109"/>
      <c r="F365" s="110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</row>
    <row r="366" spans="1:24" ht="14.5">
      <c r="A366" s="109"/>
      <c r="B366" s="109"/>
      <c r="C366" s="109"/>
      <c r="D366" s="109"/>
      <c r="E366" s="109"/>
      <c r="F366" s="110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</row>
    <row r="367" spans="1:24" ht="14.5">
      <c r="A367" s="109"/>
      <c r="B367" s="109"/>
      <c r="C367" s="109"/>
      <c r="D367" s="109"/>
      <c r="E367" s="109"/>
      <c r="F367" s="110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</row>
    <row r="368" spans="1:24" ht="14.5">
      <c r="A368" s="109"/>
      <c r="B368" s="109"/>
      <c r="C368" s="109"/>
      <c r="D368" s="109"/>
      <c r="E368" s="109"/>
      <c r="F368" s="110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</row>
    <row r="369" spans="1:24" ht="14.5">
      <c r="A369" s="109"/>
      <c r="B369" s="109"/>
      <c r="C369" s="109"/>
      <c r="D369" s="109"/>
      <c r="E369" s="109"/>
      <c r="F369" s="110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</row>
    <row r="370" spans="1:24" ht="14.5">
      <c r="A370" s="109"/>
      <c r="B370" s="109"/>
      <c r="C370" s="109"/>
      <c r="D370" s="109"/>
      <c r="E370" s="109"/>
      <c r="F370" s="110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</row>
    <row r="371" spans="1:24" ht="14.5">
      <c r="A371" s="109"/>
      <c r="B371" s="109"/>
      <c r="C371" s="109"/>
      <c r="D371" s="109"/>
      <c r="E371" s="109"/>
      <c r="F371" s="110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</row>
    <row r="372" spans="1:24" ht="14.5">
      <c r="A372" s="109"/>
      <c r="B372" s="109"/>
      <c r="C372" s="109"/>
      <c r="D372" s="109"/>
      <c r="E372" s="109"/>
      <c r="F372" s="110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</row>
    <row r="373" spans="1:24" ht="14.5">
      <c r="A373" s="109"/>
      <c r="B373" s="109"/>
      <c r="C373" s="109"/>
      <c r="D373" s="109"/>
      <c r="E373" s="109"/>
      <c r="F373" s="110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</row>
    <row r="374" spans="1:24" ht="14.5">
      <c r="A374" s="109"/>
      <c r="B374" s="109"/>
      <c r="C374" s="109"/>
      <c r="D374" s="109"/>
      <c r="E374" s="109"/>
      <c r="F374" s="110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</row>
    <row r="375" spans="1:24" ht="14.5">
      <c r="A375" s="109"/>
      <c r="B375" s="109"/>
      <c r="C375" s="109"/>
      <c r="D375" s="109"/>
      <c r="E375" s="109"/>
      <c r="F375" s="110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</row>
    <row r="376" spans="1:24" ht="14.5">
      <c r="A376" s="109"/>
      <c r="B376" s="109"/>
      <c r="C376" s="109"/>
      <c r="D376" s="109"/>
      <c r="E376" s="109"/>
      <c r="F376" s="110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</row>
    <row r="377" spans="1:24" ht="14.5">
      <c r="A377" s="109"/>
      <c r="B377" s="109"/>
      <c r="C377" s="109"/>
      <c r="D377" s="109"/>
      <c r="E377" s="109"/>
      <c r="F377" s="110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</row>
    <row r="378" spans="1:24" ht="14.5">
      <c r="A378" s="109"/>
      <c r="B378" s="109"/>
      <c r="C378" s="109"/>
      <c r="D378" s="109"/>
      <c r="E378" s="109"/>
      <c r="F378" s="110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</row>
    <row r="379" spans="1:24" ht="14.5">
      <c r="A379" s="109"/>
      <c r="B379" s="109"/>
      <c r="C379" s="109"/>
      <c r="D379" s="109"/>
      <c r="E379" s="109"/>
      <c r="F379" s="110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</row>
    <row r="380" spans="1:24" ht="14.5">
      <c r="A380" s="109"/>
      <c r="B380" s="109"/>
      <c r="C380" s="109"/>
      <c r="D380" s="109"/>
      <c r="E380" s="109"/>
      <c r="F380" s="110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</row>
    <row r="381" spans="1:24" ht="14.5">
      <c r="A381" s="109"/>
      <c r="B381" s="109"/>
      <c r="C381" s="109"/>
      <c r="D381" s="109"/>
      <c r="E381" s="109"/>
      <c r="F381" s="110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</row>
    <row r="382" spans="1:24" ht="14.5">
      <c r="A382" s="109"/>
      <c r="B382" s="109"/>
      <c r="C382" s="109"/>
      <c r="D382" s="109"/>
      <c r="E382" s="109"/>
      <c r="F382" s="110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</row>
    <row r="383" spans="1:24" ht="14.5">
      <c r="A383" s="109"/>
      <c r="B383" s="109"/>
      <c r="C383" s="109"/>
      <c r="D383" s="109"/>
      <c r="E383" s="109"/>
      <c r="F383" s="110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</row>
    <row r="384" spans="1:24" ht="14.5">
      <c r="A384" s="109"/>
      <c r="B384" s="109"/>
      <c r="C384" s="109"/>
      <c r="D384" s="109"/>
      <c r="E384" s="109"/>
      <c r="F384" s="110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</row>
    <row r="385" spans="1:24" ht="14.5">
      <c r="A385" s="109"/>
      <c r="B385" s="109"/>
      <c r="C385" s="109"/>
      <c r="D385" s="109"/>
      <c r="E385" s="109"/>
      <c r="F385" s="110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</row>
    <row r="386" spans="1:24" ht="14.5">
      <c r="A386" s="109"/>
      <c r="B386" s="109"/>
      <c r="C386" s="109"/>
      <c r="D386" s="109"/>
      <c r="E386" s="109"/>
      <c r="F386" s="110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</row>
    <row r="387" spans="1:24" ht="14.5">
      <c r="A387" s="109"/>
      <c r="B387" s="109"/>
      <c r="C387" s="109"/>
      <c r="D387" s="109"/>
      <c r="E387" s="109"/>
      <c r="F387" s="110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</row>
    <row r="388" spans="1:24" ht="14.5">
      <c r="A388" s="109"/>
      <c r="B388" s="109"/>
      <c r="C388" s="109"/>
      <c r="D388" s="109"/>
      <c r="E388" s="109"/>
      <c r="F388" s="110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</row>
    <row r="389" spans="1:24" ht="14.5">
      <c r="A389" s="109"/>
      <c r="B389" s="109"/>
      <c r="C389" s="109"/>
      <c r="D389" s="109"/>
      <c r="E389" s="109"/>
      <c r="F389" s="110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</row>
    <row r="390" spans="1:24" ht="14.5">
      <c r="A390" s="109"/>
      <c r="B390" s="109"/>
      <c r="C390" s="109"/>
      <c r="D390" s="109"/>
      <c r="E390" s="109"/>
      <c r="F390" s="110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</row>
    <row r="391" spans="1:24" ht="14.5">
      <c r="A391" s="109"/>
      <c r="B391" s="109"/>
      <c r="C391" s="109"/>
      <c r="D391" s="109"/>
      <c r="E391" s="109"/>
      <c r="F391" s="110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</row>
    <row r="392" spans="1:24" ht="14.5">
      <c r="A392" s="109"/>
      <c r="B392" s="109"/>
      <c r="C392" s="109"/>
      <c r="D392" s="109"/>
      <c r="E392" s="109"/>
      <c r="F392" s="110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</row>
    <row r="393" spans="1:24" ht="14.5">
      <c r="A393" s="109"/>
      <c r="B393" s="109"/>
      <c r="C393" s="109"/>
      <c r="D393" s="109"/>
      <c r="E393" s="109"/>
      <c r="F393" s="110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</row>
    <row r="394" spans="1:24" ht="14.5">
      <c r="A394" s="109"/>
      <c r="B394" s="109"/>
      <c r="C394" s="109"/>
      <c r="D394" s="109"/>
      <c r="E394" s="109"/>
      <c r="F394" s="110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</row>
    <row r="395" spans="1:24" ht="14.5">
      <c r="A395" s="109"/>
      <c r="B395" s="109"/>
      <c r="C395" s="109"/>
      <c r="D395" s="109"/>
      <c r="E395" s="109"/>
      <c r="F395" s="110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</row>
    <row r="396" spans="1:24" ht="14.5">
      <c r="A396" s="109"/>
      <c r="B396" s="109"/>
      <c r="C396" s="109"/>
      <c r="D396" s="109"/>
      <c r="E396" s="109"/>
      <c r="F396" s="110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</row>
    <row r="397" spans="1:24" ht="14.5">
      <c r="A397" s="109"/>
      <c r="B397" s="109"/>
      <c r="C397" s="109"/>
      <c r="D397" s="109"/>
      <c r="E397" s="109"/>
      <c r="F397" s="110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</row>
    <row r="398" spans="1:24" ht="14.5">
      <c r="A398" s="109"/>
      <c r="B398" s="109"/>
      <c r="C398" s="109"/>
      <c r="D398" s="109"/>
      <c r="E398" s="109"/>
      <c r="F398" s="110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</row>
    <row r="399" spans="1:24" ht="14.5">
      <c r="A399" s="109"/>
      <c r="B399" s="109"/>
      <c r="C399" s="109"/>
      <c r="D399" s="109"/>
      <c r="E399" s="109"/>
      <c r="F399" s="110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</row>
    <row r="400" spans="1:24" ht="14.5">
      <c r="A400" s="109"/>
      <c r="B400" s="109"/>
      <c r="C400" s="109"/>
      <c r="D400" s="109"/>
      <c r="E400" s="109"/>
      <c r="F400" s="110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</row>
    <row r="401" spans="1:24" ht="14.5">
      <c r="A401" s="109"/>
      <c r="B401" s="109"/>
      <c r="C401" s="109"/>
      <c r="D401" s="109"/>
      <c r="E401" s="109"/>
      <c r="F401" s="110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</row>
    <row r="402" spans="1:24" ht="14.5">
      <c r="A402" s="109"/>
      <c r="B402" s="109"/>
      <c r="C402" s="109"/>
      <c r="D402" s="109"/>
      <c r="E402" s="109"/>
      <c r="F402" s="110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</row>
    <row r="403" spans="1:24" ht="14.5">
      <c r="A403" s="109"/>
      <c r="B403" s="109"/>
      <c r="C403" s="109"/>
      <c r="D403" s="109"/>
      <c r="E403" s="109"/>
      <c r="F403" s="110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</row>
    <row r="404" spans="1:24" ht="14.5">
      <c r="A404" s="109"/>
      <c r="B404" s="109"/>
      <c r="C404" s="109"/>
      <c r="D404" s="109"/>
      <c r="E404" s="109"/>
      <c r="F404" s="110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</row>
    <row r="405" spans="1:24" ht="14.5">
      <c r="A405" s="109"/>
      <c r="B405" s="109"/>
      <c r="C405" s="109"/>
      <c r="D405" s="109"/>
      <c r="E405" s="109"/>
      <c r="F405" s="110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</row>
    <row r="406" spans="1:24" ht="14.5">
      <c r="A406" s="109"/>
      <c r="B406" s="109"/>
      <c r="C406" s="109"/>
      <c r="D406" s="109"/>
      <c r="E406" s="109"/>
      <c r="F406" s="110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</row>
    <row r="407" spans="1:24" ht="14.5">
      <c r="A407" s="109"/>
      <c r="B407" s="109"/>
      <c r="C407" s="109"/>
      <c r="D407" s="109"/>
      <c r="E407" s="109"/>
      <c r="F407" s="110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</row>
    <row r="408" spans="1:24" ht="14.5">
      <c r="A408" s="109"/>
      <c r="B408" s="109"/>
      <c r="C408" s="109"/>
      <c r="D408" s="109"/>
      <c r="E408" s="109"/>
      <c r="F408" s="110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</row>
    <row r="409" spans="1:24" ht="14.5">
      <c r="A409" s="109"/>
      <c r="B409" s="109"/>
      <c r="C409" s="109"/>
      <c r="D409" s="109"/>
      <c r="E409" s="109"/>
      <c r="F409" s="110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</row>
    <row r="410" spans="1:24" ht="14.5">
      <c r="A410" s="109"/>
      <c r="B410" s="109"/>
      <c r="C410" s="109"/>
      <c r="D410" s="109"/>
      <c r="E410" s="109"/>
      <c r="F410" s="110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</row>
    <row r="411" spans="1:24" ht="14.5">
      <c r="A411" s="109"/>
      <c r="B411" s="109"/>
      <c r="C411" s="109"/>
      <c r="D411" s="109"/>
      <c r="E411" s="109"/>
      <c r="F411" s="110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</row>
    <row r="412" spans="1:24" ht="14.5">
      <c r="A412" s="109"/>
      <c r="B412" s="109"/>
      <c r="C412" s="109"/>
      <c r="D412" s="109"/>
      <c r="E412" s="109"/>
      <c r="F412" s="110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</row>
    <row r="413" spans="1:24" ht="14.5">
      <c r="A413" s="109"/>
      <c r="B413" s="109"/>
      <c r="C413" s="109"/>
      <c r="D413" s="109"/>
      <c r="E413" s="109"/>
      <c r="F413" s="110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</row>
    <row r="414" spans="1:24" ht="14.5">
      <c r="A414" s="109"/>
      <c r="B414" s="109"/>
      <c r="C414" s="109"/>
      <c r="D414" s="109"/>
      <c r="E414" s="109"/>
      <c r="F414" s="110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</row>
    <row r="415" spans="1:24" ht="14.5">
      <c r="A415" s="109"/>
      <c r="B415" s="109"/>
      <c r="C415" s="109"/>
      <c r="D415" s="109"/>
      <c r="E415" s="109"/>
      <c r="F415" s="110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</row>
    <row r="416" spans="1:24" ht="14.5">
      <c r="A416" s="109"/>
      <c r="B416" s="109"/>
      <c r="C416" s="109"/>
      <c r="D416" s="109"/>
      <c r="E416" s="109"/>
      <c r="F416" s="110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</row>
    <row r="417" spans="1:24" ht="14.5">
      <c r="A417" s="109"/>
      <c r="B417" s="109"/>
      <c r="C417" s="109"/>
      <c r="D417" s="109"/>
      <c r="E417" s="109"/>
      <c r="F417" s="110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</row>
    <row r="418" spans="1:24" ht="14.5">
      <c r="A418" s="109"/>
      <c r="B418" s="109"/>
      <c r="C418" s="109"/>
      <c r="D418" s="109"/>
      <c r="E418" s="109"/>
      <c r="F418" s="110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</row>
    <row r="419" spans="1:24" ht="14.5">
      <c r="A419" s="109"/>
      <c r="B419" s="109"/>
      <c r="C419" s="109"/>
      <c r="D419" s="109"/>
      <c r="E419" s="109"/>
      <c r="F419" s="110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</row>
    <row r="420" spans="1:24" ht="14.5">
      <c r="A420" s="109"/>
      <c r="B420" s="109"/>
      <c r="C420" s="109"/>
      <c r="D420" s="109"/>
      <c r="E420" s="109"/>
      <c r="F420" s="110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</row>
    <row r="421" spans="1:24" ht="14.5">
      <c r="A421" s="109"/>
      <c r="B421" s="109"/>
      <c r="C421" s="109"/>
      <c r="D421" s="109"/>
      <c r="E421" s="109"/>
      <c r="F421" s="110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</row>
    <row r="422" spans="1:24" ht="14.5">
      <c r="A422" s="109"/>
      <c r="B422" s="109"/>
      <c r="C422" s="109"/>
      <c r="D422" s="109"/>
      <c r="E422" s="109"/>
      <c r="F422" s="110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</row>
    <row r="423" spans="1:24" ht="14.5">
      <c r="A423" s="109"/>
      <c r="B423" s="109"/>
      <c r="C423" s="109"/>
      <c r="D423" s="109"/>
      <c r="E423" s="109"/>
      <c r="F423" s="110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</row>
    <row r="424" spans="1:24" ht="14.5">
      <c r="A424" s="109"/>
      <c r="B424" s="109"/>
      <c r="C424" s="109"/>
      <c r="D424" s="109"/>
      <c r="E424" s="109"/>
      <c r="F424" s="110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</row>
    <row r="425" spans="1:24" ht="14.5">
      <c r="A425" s="109"/>
      <c r="B425" s="109"/>
      <c r="C425" s="109"/>
      <c r="D425" s="109"/>
      <c r="E425" s="109"/>
      <c r="F425" s="110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</row>
    <row r="426" spans="1:24" ht="14.5">
      <c r="A426" s="109"/>
      <c r="B426" s="109"/>
      <c r="C426" s="109"/>
      <c r="D426" s="109"/>
      <c r="E426" s="109"/>
      <c r="F426" s="110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</row>
    <row r="427" spans="1:24" ht="14.5">
      <c r="A427" s="109"/>
      <c r="B427" s="109"/>
      <c r="C427" s="109"/>
      <c r="D427" s="109"/>
      <c r="E427" s="109"/>
      <c r="F427" s="110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</row>
    <row r="428" spans="1:24" ht="14.5">
      <c r="A428" s="109"/>
      <c r="B428" s="109"/>
      <c r="C428" s="109"/>
      <c r="D428" s="109"/>
      <c r="E428" s="109"/>
      <c r="F428" s="110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</row>
    <row r="429" spans="1:24" ht="14.5">
      <c r="A429" s="109"/>
      <c r="B429" s="109"/>
      <c r="C429" s="109"/>
      <c r="D429" s="109"/>
      <c r="E429" s="109"/>
      <c r="F429" s="110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</row>
    <row r="430" spans="1:24" ht="14.5">
      <c r="A430" s="109"/>
      <c r="B430" s="109"/>
      <c r="C430" s="109"/>
      <c r="D430" s="109"/>
      <c r="E430" s="109"/>
      <c r="F430" s="110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</row>
    <row r="431" spans="1:24" ht="14.5">
      <c r="A431" s="109"/>
      <c r="B431" s="109"/>
      <c r="C431" s="109"/>
      <c r="D431" s="109"/>
      <c r="E431" s="109"/>
      <c r="F431" s="110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</row>
    <row r="432" spans="1:24" ht="14.5">
      <c r="A432" s="109"/>
      <c r="B432" s="109"/>
      <c r="C432" s="109"/>
      <c r="D432" s="109"/>
      <c r="E432" s="109"/>
      <c r="F432" s="110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</row>
    <row r="433" spans="1:24" ht="14.5">
      <c r="A433" s="109"/>
      <c r="B433" s="109"/>
      <c r="C433" s="109"/>
      <c r="D433" s="109"/>
      <c r="E433" s="109"/>
      <c r="F433" s="110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</row>
    <row r="434" spans="1:24" ht="14.5">
      <c r="A434" s="109"/>
      <c r="B434" s="109"/>
      <c r="C434" s="109"/>
      <c r="D434" s="109"/>
      <c r="E434" s="109"/>
      <c r="F434" s="110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</row>
    <row r="435" spans="1:24" ht="14.5">
      <c r="A435" s="109"/>
      <c r="B435" s="109"/>
      <c r="C435" s="109"/>
      <c r="D435" s="109"/>
      <c r="E435" s="109"/>
      <c r="F435" s="110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</row>
    <row r="436" spans="1:24" ht="14.5">
      <c r="A436" s="109"/>
      <c r="B436" s="109"/>
      <c r="C436" s="109"/>
      <c r="D436" s="109"/>
      <c r="E436" s="109"/>
      <c r="F436" s="110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</row>
    <row r="437" spans="1:24" ht="14.5">
      <c r="A437" s="109"/>
      <c r="B437" s="109"/>
      <c r="C437" s="109"/>
      <c r="D437" s="109"/>
      <c r="E437" s="109"/>
      <c r="F437" s="110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</row>
    <row r="438" spans="1:24" ht="14.5">
      <c r="A438" s="109"/>
      <c r="B438" s="109"/>
      <c r="C438" s="109"/>
      <c r="D438" s="109"/>
      <c r="E438" s="109"/>
      <c r="F438" s="110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</row>
    <row r="439" spans="1:24" ht="14.5">
      <c r="A439" s="109"/>
      <c r="B439" s="109"/>
      <c r="C439" s="109"/>
      <c r="D439" s="109"/>
      <c r="E439" s="109"/>
      <c r="F439" s="110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</row>
    <row r="440" spans="1:24" ht="14.5">
      <c r="A440" s="109"/>
      <c r="B440" s="109"/>
      <c r="C440" s="109"/>
      <c r="D440" s="109"/>
      <c r="E440" s="109"/>
      <c r="F440" s="110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</row>
    <row r="441" spans="1:24" ht="14.5">
      <c r="A441" s="109"/>
      <c r="B441" s="109"/>
      <c r="C441" s="109"/>
      <c r="D441" s="109"/>
      <c r="E441" s="109"/>
      <c r="F441" s="110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</row>
    <row r="442" spans="1:24" ht="14.5">
      <c r="A442" s="109"/>
      <c r="B442" s="109"/>
      <c r="C442" s="109"/>
      <c r="D442" s="109"/>
      <c r="E442" s="109"/>
      <c r="F442" s="110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</row>
    <row r="443" spans="1:24" ht="14.5">
      <c r="A443" s="109"/>
      <c r="B443" s="109"/>
      <c r="C443" s="109"/>
      <c r="D443" s="109"/>
      <c r="E443" s="109"/>
      <c r="F443" s="110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</row>
    <row r="444" spans="1:24" ht="14.5">
      <c r="A444" s="109"/>
      <c r="B444" s="109"/>
      <c r="C444" s="109"/>
      <c r="D444" s="109"/>
      <c r="E444" s="109"/>
      <c r="F444" s="110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</row>
    <row r="445" spans="1:24" ht="14.5">
      <c r="A445" s="109"/>
      <c r="B445" s="109"/>
      <c r="C445" s="109"/>
      <c r="D445" s="109"/>
      <c r="E445" s="109"/>
      <c r="F445" s="110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</row>
    <row r="446" spans="1:24" ht="14.5">
      <c r="A446" s="109"/>
      <c r="B446" s="109"/>
      <c r="C446" s="109"/>
      <c r="D446" s="109"/>
      <c r="E446" s="109"/>
      <c r="F446" s="110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</row>
    <row r="447" spans="1:24" ht="14.5">
      <c r="A447" s="109"/>
      <c r="B447" s="109"/>
      <c r="C447" s="109"/>
      <c r="D447" s="109"/>
      <c r="E447" s="109"/>
      <c r="F447" s="110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</row>
    <row r="448" spans="1:24" ht="14.5">
      <c r="A448" s="109"/>
      <c r="B448" s="109"/>
      <c r="C448" s="109"/>
      <c r="D448" s="109"/>
      <c r="E448" s="109"/>
      <c r="F448" s="110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</row>
    <row r="449" spans="1:24" ht="14.5">
      <c r="A449" s="109"/>
      <c r="B449" s="109"/>
      <c r="C449" s="109"/>
      <c r="D449" s="109"/>
      <c r="E449" s="109"/>
      <c r="F449" s="110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</row>
    <row r="450" spans="1:24" ht="14.5">
      <c r="A450" s="109"/>
      <c r="B450" s="109"/>
      <c r="C450" s="109"/>
      <c r="D450" s="109"/>
      <c r="E450" s="109"/>
      <c r="F450" s="110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</row>
    <row r="451" spans="1:24" ht="14.5">
      <c r="A451" s="109"/>
      <c r="B451" s="109"/>
      <c r="C451" s="109"/>
      <c r="D451" s="109"/>
      <c r="E451" s="109"/>
      <c r="F451" s="110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</row>
    <row r="452" spans="1:24" ht="14.5">
      <c r="A452" s="109"/>
      <c r="B452" s="109"/>
      <c r="C452" s="109"/>
      <c r="D452" s="109"/>
      <c r="E452" s="109"/>
      <c r="F452" s="110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</row>
    <row r="453" spans="1:24" ht="14.5">
      <c r="A453" s="109"/>
      <c r="B453" s="109"/>
      <c r="C453" s="109"/>
      <c r="D453" s="109"/>
      <c r="E453" s="109"/>
      <c r="F453" s="110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</row>
    <row r="454" spans="1:24" ht="14.5">
      <c r="A454" s="109"/>
      <c r="B454" s="109"/>
      <c r="C454" s="109"/>
      <c r="D454" s="109"/>
      <c r="E454" s="109"/>
      <c r="F454" s="110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</row>
    <row r="455" spans="1:24" ht="14.5">
      <c r="A455" s="109"/>
      <c r="B455" s="109"/>
      <c r="C455" s="109"/>
      <c r="D455" s="109"/>
      <c r="E455" s="109"/>
      <c r="F455" s="110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</row>
    <row r="456" spans="1:24" ht="14.5">
      <c r="A456" s="109"/>
      <c r="B456" s="109"/>
      <c r="C456" s="109"/>
      <c r="D456" s="109"/>
      <c r="E456" s="109"/>
      <c r="F456" s="110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</row>
    <row r="457" spans="1:24" ht="14.5">
      <c r="A457" s="109"/>
      <c r="B457" s="109"/>
      <c r="C457" s="109"/>
      <c r="D457" s="109"/>
      <c r="E457" s="109"/>
      <c r="F457" s="110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</row>
    <row r="458" spans="1:24" ht="14.5">
      <c r="A458" s="109"/>
      <c r="B458" s="109"/>
      <c r="C458" s="109"/>
      <c r="D458" s="109"/>
      <c r="E458" s="109"/>
      <c r="F458" s="110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</row>
    <row r="459" spans="1:24" ht="14.5">
      <c r="A459" s="109"/>
      <c r="B459" s="109"/>
      <c r="C459" s="109"/>
      <c r="D459" s="109"/>
      <c r="E459" s="109"/>
      <c r="F459" s="110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</row>
    <row r="460" spans="1:24" ht="14.5">
      <c r="A460" s="109"/>
      <c r="B460" s="109"/>
      <c r="C460" s="109"/>
      <c r="D460" s="109"/>
      <c r="E460" s="109"/>
      <c r="F460" s="110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</row>
    <row r="461" spans="1:24" ht="14.5">
      <c r="A461" s="109"/>
      <c r="B461" s="109"/>
      <c r="C461" s="109"/>
      <c r="D461" s="109"/>
      <c r="E461" s="109"/>
      <c r="F461" s="110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</row>
    <row r="462" spans="1:24" ht="14.5">
      <c r="A462" s="109"/>
      <c r="B462" s="109"/>
      <c r="C462" s="109"/>
      <c r="D462" s="109"/>
      <c r="E462" s="109"/>
      <c r="F462" s="110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</row>
    <row r="463" spans="1:24" ht="14.5">
      <c r="A463" s="109"/>
      <c r="B463" s="109"/>
      <c r="C463" s="109"/>
      <c r="D463" s="109"/>
      <c r="E463" s="109"/>
      <c r="F463" s="110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</row>
    <row r="464" spans="1:24" ht="14.5">
      <c r="A464" s="109"/>
      <c r="B464" s="109"/>
      <c r="C464" s="109"/>
      <c r="D464" s="109"/>
      <c r="E464" s="109"/>
      <c r="F464" s="110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</row>
    <row r="465" spans="1:24" ht="14.5">
      <c r="A465" s="109"/>
      <c r="B465" s="109"/>
      <c r="C465" s="109"/>
      <c r="D465" s="109"/>
      <c r="E465" s="109"/>
      <c r="F465" s="110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</row>
    <row r="466" spans="1:24" ht="14.5">
      <c r="A466" s="109"/>
      <c r="B466" s="109"/>
      <c r="C466" s="109"/>
      <c r="D466" s="109"/>
      <c r="E466" s="109"/>
      <c r="F466" s="110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</row>
    <row r="467" spans="1:24" ht="14.5">
      <c r="A467" s="109"/>
      <c r="B467" s="109"/>
      <c r="C467" s="109"/>
      <c r="D467" s="109"/>
      <c r="E467" s="109"/>
      <c r="F467" s="110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</row>
    <row r="468" spans="1:24" ht="14.5">
      <c r="A468" s="109"/>
      <c r="B468" s="109"/>
      <c r="C468" s="109"/>
      <c r="D468" s="109"/>
      <c r="E468" s="109"/>
      <c r="F468" s="110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</row>
    <row r="469" spans="1:24" ht="14.5">
      <c r="A469" s="109"/>
      <c r="B469" s="109"/>
      <c r="C469" s="109"/>
      <c r="D469" s="109"/>
      <c r="E469" s="109"/>
      <c r="F469" s="110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</row>
    <row r="470" spans="1:24" ht="14.5">
      <c r="A470" s="109"/>
      <c r="B470" s="109"/>
      <c r="C470" s="109"/>
      <c r="D470" s="109"/>
      <c r="E470" s="109"/>
      <c r="F470" s="110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</row>
    <row r="471" spans="1:24" ht="14.5">
      <c r="A471" s="109"/>
      <c r="B471" s="109"/>
      <c r="C471" s="109"/>
      <c r="D471" s="109"/>
      <c r="E471" s="109"/>
      <c r="F471" s="110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</row>
    <row r="472" spans="1:24" ht="14.5">
      <c r="A472" s="109"/>
      <c r="B472" s="109"/>
      <c r="C472" s="109"/>
      <c r="D472" s="109"/>
      <c r="E472" s="109"/>
      <c r="F472" s="110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</row>
    <row r="473" spans="1:24" ht="14.5">
      <c r="A473" s="109"/>
      <c r="B473" s="109"/>
      <c r="C473" s="109"/>
      <c r="D473" s="109"/>
      <c r="E473" s="109"/>
      <c r="F473" s="110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</row>
    <row r="474" spans="1:24" ht="14.5">
      <c r="A474" s="109"/>
      <c r="B474" s="109"/>
      <c r="C474" s="109"/>
      <c r="D474" s="109"/>
      <c r="E474" s="109"/>
      <c r="F474" s="110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</row>
    <row r="475" spans="1:24" ht="14.5">
      <c r="A475" s="109"/>
      <c r="B475" s="109"/>
      <c r="C475" s="109"/>
      <c r="D475" s="109"/>
      <c r="E475" s="109"/>
      <c r="F475" s="110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</row>
    <row r="476" spans="1:24" ht="14.5">
      <c r="A476" s="109"/>
      <c r="B476" s="109"/>
      <c r="C476" s="109"/>
      <c r="D476" s="109"/>
      <c r="E476" s="109"/>
      <c r="F476" s="110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</row>
    <row r="477" spans="1:24" ht="14.5">
      <c r="A477" s="109"/>
      <c r="B477" s="109"/>
      <c r="C477" s="109"/>
      <c r="D477" s="109"/>
      <c r="E477" s="109"/>
      <c r="F477" s="110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</row>
    <row r="478" spans="1:24" ht="14.5">
      <c r="A478" s="109"/>
      <c r="B478" s="109"/>
      <c r="C478" s="109"/>
      <c r="D478" s="109"/>
      <c r="E478" s="109"/>
      <c r="F478" s="110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</row>
    <row r="479" spans="1:24" ht="14.5">
      <c r="A479" s="109"/>
      <c r="B479" s="109"/>
      <c r="C479" s="109"/>
      <c r="D479" s="109"/>
      <c r="E479" s="109"/>
      <c r="F479" s="110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</row>
    <row r="480" spans="1:24" ht="14.5">
      <c r="A480" s="109"/>
      <c r="B480" s="109"/>
      <c r="C480" s="109"/>
      <c r="D480" s="109"/>
      <c r="E480" s="109"/>
      <c r="F480" s="110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</row>
    <row r="481" spans="1:24" ht="14.5">
      <c r="A481" s="109"/>
      <c r="B481" s="109"/>
      <c r="C481" s="109"/>
      <c r="D481" s="109"/>
      <c r="E481" s="109"/>
      <c r="F481" s="110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</row>
    <row r="482" spans="1:24" ht="14.5">
      <c r="A482" s="109"/>
      <c r="B482" s="109"/>
      <c r="C482" s="109"/>
      <c r="D482" s="109"/>
      <c r="E482" s="109"/>
      <c r="F482" s="110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</row>
    <row r="483" spans="1:24" ht="14.5">
      <c r="A483" s="109"/>
      <c r="B483" s="109"/>
      <c r="C483" s="109"/>
      <c r="D483" s="109"/>
      <c r="E483" s="109"/>
      <c r="F483" s="110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</row>
    <row r="484" spans="1:24" ht="14.5">
      <c r="A484" s="109"/>
      <c r="B484" s="109"/>
      <c r="C484" s="109"/>
      <c r="D484" s="109"/>
      <c r="E484" s="109"/>
      <c r="F484" s="110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</row>
    <row r="485" spans="1:24" ht="14.5">
      <c r="A485" s="109"/>
      <c r="B485" s="109"/>
      <c r="C485" s="109"/>
      <c r="D485" s="109"/>
      <c r="E485" s="109"/>
      <c r="F485" s="110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</row>
    <row r="486" spans="1:24" ht="14.5">
      <c r="A486" s="109"/>
      <c r="B486" s="109"/>
      <c r="C486" s="109"/>
      <c r="D486" s="109"/>
      <c r="E486" s="109"/>
      <c r="F486" s="110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</row>
    <row r="487" spans="1:24" ht="14.5">
      <c r="A487" s="109"/>
      <c r="B487" s="109"/>
      <c r="C487" s="109"/>
      <c r="D487" s="109"/>
      <c r="E487" s="109"/>
      <c r="F487" s="110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</row>
    <row r="488" spans="1:24" ht="14.5">
      <c r="A488" s="109"/>
      <c r="B488" s="109"/>
      <c r="C488" s="109"/>
      <c r="D488" s="109"/>
      <c r="E488" s="109"/>
      <c r="F488" s="110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</row>
    <row r="489" spans="1:24" ht="14.5">
      <c r="A489" s="109"/>
      <c r="B489" s="109"/>
      <c r="C489" s="109"/>
      <c r="D489" s="109"/>
      <c r="E489" s="109"/>
      <c r="F489" s="110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</row>
    <row r="490" spans="1:24" ht="14.5">
      <c r="A490" s="109"/>
      <c r="B490" s="109"/>
      <c r="C490" s="109"/>
      <c r="D490" s="109"/>
      <c r="E490" s="109"/>
      <c r="F490" s="110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</row>
    <row r="491" spans="1:24" ht="14.5">
      <c r="A491" s="109"/>
      <c r="B491" s="109"/>
      <c r="C491" s="109"/>
      <c r="D491" s="109"/>
      <c r="E491" s="109"/>
      <c r="F491" s="110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</row>
    <row r="492" spans="1:24" ht="14.5">
      <c r="A492" s="109"/>
      <c r="B492" s="109"/>
      <c r="C492" s="109"/>
      <c r="D492" s="109"/>
      <c r="E492" s="109"/>
      <c r="F492" s="110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</row>
    <row r="493" spans="1:24" ht="14.5">
      <c r="A493" s="109"/>
      <c r="B493" s="109"/>
      <c r="C493" s="109"/>
      <c r="D493" s="109"/>
      <c r="E493" s="109"/>
      <c r="F493" s="110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</row>
    <row r="494" spans="1:24" ht="14.5">
      <c r="A494" s="109"/>
      <c r="B494" s="109"/>
      <c r="C494" s="109"/>
      <c r="D494" s="109"/>
      <c r="E494" s="109"/>
      <c r="F494" s="110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</row>
    <row r="495" spans="1:24" ht="14.5">
      <c r="A495" s="109"/>
      <c r="B495" s="109"/>
      <c r="C495" s="109"/>
      <c r="D495" s="109"/>
      <c r="E495" s="109"/>
      <c r="F495" s="110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</row>
    <row r="496" spans="1:24" ht="14.5">
      <c r="A496" s="109"/>
      <c r="B496" s="109"/>
      <c r="C496" s="109"/>
      <c r="D496" s="109"/>
      <c r="E496" s="109"/>
      <c r="F496" s="110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</row>
    <row r="497" spans="1:24" ht="14.5">
      <c r="A497" s="109"/>
      <c r="B497" s="109"/>
      <c r="C497" s="109"/>
      <c r="D497" s="109"/>
      <c r="E497" s="109"/>
      <c r="F497" s="110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</row>
    <row r="498" spans="1:24" ht="14.5">
      <c r="A498" s="109"/>
      <c r="B498" s="109"/>
      <c r="C498" s="109"/>
      <c r="D498" s="109"/>
      <c r="E498" s="109"/>
      <c r="F498" s="110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</row>
    <row r="499" spans="1:24" ht="14.5">
      <c r="A499" s="109"/>
      <c r="B499" s="109"/>
      <c r="C499" s="109"/>
      <c r="D499" s="109"/>
      <c r="E499" s="109"/>
      <c r="F499" s="110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</row>
    <row r="500" spans="1:24" ht="14.5">
      <c r="A500" s="109"/>
      <c r="B500" s="109"/>
      <c r="C500" s="109"/>
      <c r="D500" s="109"/>
      <c r="E500" s="109"/>
      <c r="F500" s="110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</row>
    <row r="501" spans="1:24" ht="14.5">
      <c r="A501" s="109"/>
      <c r="B501" s="109"/>
      <c r="C501" s="109"/>
      <c r="D501" s="109"/>
      <c r="E501" s="109"/>
      <c r="F501" s="110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</row>
    <row r="502" spans="1:24" ht="14.5">
      <c r="A502" s="109"/>
      <c r="B502" s="109"/>
      <c r="C502" s="109"/>
      <c r="D502" s="109"/>
      <c r="E502" s="109"/>
      <c r="F502" s="110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</row>
    <row r="503" spans="1:24" ht="14.5">
      <c r="A503" s="109"/>
      <c r="B503" s="109"/>
      <c r="C503" s="109"/>
      <c r="D503" s="109"/>
      <c r="E503" s="109"/>
      <c r="F503" s="110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</row>
    <row r="504" spans="1:24" ht="14.5">
      <c r="A504" s="109"/>
      <c r="B504" s="109"/>
      <c r="C504" s="109"/>
      <c r="D504" s="109"/>
      <c r="E504" s="109"/>
      <c r="F504" s="110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</row>
    <row r="505" spans="1:24" ht="14.5">
      <c r="A505" s="109"/>
      <c r="B505" s="109"/>
      <c r="C505" s="109"/>
      <c r="D505" s="109"/>
      <c r="E505" s="109"/>
      <c r="F505" s="110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</row>
    <row r="506" spans="1:24" ht="14.5">
      <c r="A506" s="109"/>
      <c r="B506" s="109"/>
      <c r="C506" s="109"/>
      <c r="D506" s="109"/>
      <c r="E506" s="109"/>
      <c r="F506" s="110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</row>
    <row r="507" spans="1:24" ht="14.5">
      <c r="A507" s="109"/>
      <c r="B507" s="109"/>
      <c r="C507" s="109"/>
      <c r="D507" s="109"/>
      <c r="E507" s="109"/>
      <c r="F507" s="110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</row>
    <row r="508" spans="1:24" ht="14.5">
      <c r="A508" s="109"/>
      <c r="B508" s="109"/>
      <c r="C508" s="109"/>
      <c r="D508" s="109"/>
      <c r="E508" s="109"/>
      <c r="F508" s="110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</row>
    <row r="509" spans="1:24" ht="14.5">
      <c r="A509" s="109"/>
      <c r="B509" s="109"/>
      <c r="C509" s="109"/>
      <c r="D509" s="109"/>
      <c r="E509" s="109"/>
      <c r="F509" s="110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</row>
    <row r="510" spans="1:24" ht="14.5">
      <c r="A510" s="109"/>
      <c r="B510" s="109"/>
      <c r="C510" s="109"/>
      <c r="D510" s="109"/>
      <c r="E510" s="109"/>
      <c r="F510" s="110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</row>
    <row r="511" spans="1:24" ht="14.5">
      <c r="A511" s="109"/>
      <c r="B511" s="109"/>
      <c r="C511" s="109"/>
      <c r="D511" s="109"/>
      <c r="E511" s="109"/>
      <c r="F511" s="110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</row>
    <row r="512" spans="1:24" ht="14.5">
      <c r="A512" s="109"/>
      <c r="B512" s="109"/>
      <c r="C512" s="109"/>
      <c r="D512" s="109"/>
      <c r="E512" s="109"/>
      <c r="F512" s="110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</row>
    <row r="513" spans="1:24" ht="14.5">
      <c r="A513" s="109"/>
      <c r="B513" s="109"/>
      <c r="C513" s="109"/>
      <c r="D513" s="109"/>
      <c r="E513" s="109"/>
      <c r="F513" s="110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</row>
    <row r="514" spans="1:24" ht="14.5">
      <c r="A514" s="109"/>
      <c r="B514" s="109"/>
      <c r="C514" s="109"/>
      <c r="D514" s="109"/>
      <c r="E514" s="109"/>
      <c r="F514" s="110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</row>
    <row r="515" spans="1:24" ht="14.5">
      <c r="A515" s="109"/>
      <c r="B515" s="109"/>
      <c r="C515" s="109"/>
      <c r="D515" s="109"/>
      <c r="E515" s="109"/>
      <c r="F515" s="110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</row>
    <row r="516" spans="1:24" ht="14.5">
      <c r="A516" s="109"/>
      <c r="B516" s="109"/>
      <c r="C516" s="109"/>
      <c r="D516" s="109"/>
      <c r="E516" s="109"/>
      <c r="F516" s="110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</row>
    <row r="517" spans="1:24" ht="14.5">
      <c r="A517" s="109"/>
      <c r="B517" s="109"/>
      <c r="C517" s="109"/>
      <c r="D517" s="109"/>
      <c r="E517" s="109"/>
      <c r="F517" s="110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</row>
    <row r="518" spans="1:24" ht="14.5">
      <c r="A518" s="109"/>
      <c r="B518" s="109"/>
      <c r="C518" s="109"/>
      <c r="D518" s="109"/>
      <c r="E518" s="109"/>
      <c r="F518" s="110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</row>
    <row r="519" spans="1:24" ht="14.5">
      <c r="A519" s="109"/>
      <c r="B519" s="109"/>
      <c r="C519" s="109"/>
      <c r="D519" s="109"/>
      <c r="E519" s="109"/>
      <c r="F519" s="110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</row>
    <row r="520" spans="1:24" ht="14.5">
      <c r="A520" s="109"/>
      <c r="B520" s="109"/>
      <c r="C520" s="109"/>
      <c r="D520" s="109"/>
      <c r="E520" s="109"/>
      <c r="F520" s="110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</row>
    <row r="521" spans="1:24" ht="14.5">
      <c r="A521" s="109"/>
      <c r="B521" s="109"/>
      <c r="C521" s="109"/>
      <c r="D521" s="109"/>
      <c r="E521" s="109"/>
      <c r="F521" s="110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</row>
    <row r="522" spans="1:24" ht="14.5">
      <c r="A522" s="109"/>
      <c r="B522" s="109"/>
      <c r="C522" s="109"/>
      <c r="D522" s="109"/>
      <c r="E522" s="109"/>
      <c r="F522" s="110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</row>
    <row r="523" spans="1:24" ht="14.5">
      <c r="A523" s="109"/>
      <c r="B523" s="109"/>
      <c r="C523" s="109"/>
      <c r="D523" s="109"/>
      <c r="E523" s="109"/>
      <c r="F523" s="110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</row>
    <row r="524" spans="1:24" ht="14.5">
      <c r="A524" s="109"/>
      <c r="B524" s="109"/>
      <c r="C524" s="109"/>
      <c r="D524" s="109"/>
      <c r="E524" s="109"/>
      <c r="F524" s="110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</row>
    <row r="525" spans="1:24" ht="14.5">
      <c r="A525" s="109"/>
      <c r="B525" s="109"/>
      <c r="C525" s="109"/>
      <c r="D525" s="109"/>
      <c r="E525" s="109"/>
      <c r="F525" s="110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</row>
    <row r="526" spans="1:24" ht="14.5">
      <c r="A526" s="109"/>
      <c r="B526" s="109"/>
      <c r="C526" s="109"/>
      <c r="D526" s="109"/>
      <c r="E526" s="109"/>
      <c r="F526" s="110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</row>
    <row r="527" spans="1:24" ht="14.5">
      <c r="A527" s="109"/>
      <c r="B527" s="109"/>
      <c r="C527" s="109"/>
      <c r="D527" s="109"/>
      <c r="E527" s="109"/>
      <c r="F527" s="110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</row>
    <row r="528" spans="1:24" ht="14.5">
      <c r="A528" s="109"/>
      <c r="B528" s="109"/>
      <c r="C528" s="109"/>
      <c r="D528" s="109"/>
      <c r="E528" s="109"/>
      <c r="F528" s="110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</row>
    <row r="529" spans="1:24" ht="14.5">
      <c r="A529" s="109"/>
      <c r="B529" s="109"/>
      <c r="C529" s="109"/>
      <c r="D529" s="109"/>
      <c r="E529" s="109"/>
      <c r="F529" s="110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</row>
    <row r="530" spans="1:24" ht="14.5">
      <c r="A530" s="109"/>
      <c r="B530" s="109"/>
      <c r="C530" s="109"/>
      <c r="D530" s="109"/>
      <c r="E530" s="109"/>
      <c r="F530" s="110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</row>
    <row r="531" spans="1:24" ht="14.5">
      <c r="A531" s="109"/>
      <c r="B531" s="109"/>
      <c r="C531" s="109"/>
      <c r="D531" s="109"/>
      <c r="E531" s="109"/>
      <c r="F531" s="110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</row>
    <row r="532" spans="1:24" ht="14.5">
      <c r="A532" s="109"/>
      <c r="B532" s="109"/>
      <c r="C532" s="109"/>
      <c r="D532" s="109"/>
      <c r="E532" s="109"/>
      <c r="F532" s="110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</row>
    <row r="533" spans="1:24" ht="14.5">
      <c r="A533" s="109"/>
      <c r="B533" s="109"/>
      <c r="C533" s="109"/>
      <c r="D533" s="109"/>
      <c r="E533" s="109"/>
      <c r="F533" s="110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</row>
    <row r="534" spans="1:24" ht="14.5">
      <c r="A534" s="109"/>
      <c r="B534" s="109"/>
      <c r="C534" s="109"/>
      <c r="D534" s="109"/>
      <c r="E534" s="109"/>
      <c r="F534" s="110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</row>
    <row r="535" spans="1:24" ht="14.5">
      <c r="A535" s="109"/>
      <c r="B535" s="109"/>
      <c r="C535" s="109"/>
      <c r="D535" s="109"/>
      <c r="E535" s="109"/>
      <c r="F535" s="110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</row>
    <row r="536" spans="1:24" ht="14.5">
      <c r="A536" s="109"/>
      <c r="B536" s="109"/>
      <c r="C536" s="109"/>
      <c r="D536" s="109"/>
      <c r="E536" s="109"/>
      <c r="F536" s="110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</row>
    <row r="537" spans="1:24" ht="14.5">
      <c r="A537" s="109"/>
      <c r="B537" s="109"/>
      <c r="C537" s="109"/>
      <c r="D537" s="109"/>
      <c r="E537" s="109"/>
      <c r="F537" s="110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</row>
    <row r="538" spans="1:24" ht="14.5">
      <c r="A538" s="109"/>
      <c r="B538" s="109"/>
      <c r="C538" s="109"/>
      <c r="D538" s="109"/>
      <c r="E538" s="109"/>
      <c r="F538" s="110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</row>
    <row r="539" spans="1:24" ht="14.5">
      <c r="A539" s="109"/>
      <c r="B539" s="109"/>
      <c r="C539" s="109"/>
      <c r="D539" s="109"/>
      <c r="E539" s="109"/>
      <c r="F539" s="110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</row>
    <row r="540" spans="1:24" ht="14.5">
      <c r="A540" s="109"/>
      <c r="B540" s="109"/>
      <c r="C540" s="109"/>
      <c r="D540" s="109"/>
      <c r="E540" s="109"/>
      <c r="F540" s="110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</row>
    <row r="541" spans="1:24" ht="14.5">
      <c r="A541" s="109"/>
      <c r="B541" s="109"/>
      <c r="C541" s="109"/>
      <c r="D541" s="109"/>
      <c r="E541" s="109"/>
      <c r="F541" s="110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</row>
    <row r="542" spans="1:24" ht="14.5">
      <c r="A542" s="109"/>
      <c r="B542" s="109"/>
      <c r="C542" s="109"/>
      <c r="D542" s="109"/>
      <c r="E542" s="109"/>
      <c r="F542" s="110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</row>
    <row r="543" spans="1:24" ht="14.5">
      <c r="A543" s="109"/>
      <c r="B543" s="109"/>
      <c r="C543" s="109"/>
      <c r="D543" s="109"/>
      <c r="E543" s="109"/>
      <c r="F543" s="110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</row>
    <row r="544" spans="1:24" ht="14.5">
      <c r="A544" s="109"/>
      <c r="B544" s="109"/>
      <c r="C544" s="109"/>
      <c r="D544" s="109"/>
      <c r="E544" s="109"/>
      <c r="F544" s="110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</row>
    <row r="545" spans="1:24" ht="14.5">
      <c r="A545" s="109"/>
      <c r="B545" s="109"/>
      <c r="C545" s="109"/>
      <c r="D545" s="109"/>
      <c r="E545" s="109"/>
      <c r="F545" s="110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</row>
    <row r="546" spans="1:24" ht="14.5">
      <c r="A546" s="109"/>
      <c r="B546" s="109"/>
      <c r="C546" s="109"/>
      <c r="D546" s="109"/>
      <c r="E546" s="109"/>
      <c r="F546" s="110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</row>
    <row r="547" spans="1:24" ht="14.5">
      <c r="A547" s="109"/>
      <c r="B547" s="109"/>
      <c r="C547" s="109"/>
      <c r="D547" s="109"/>
      <c r="E547" s="109"/>
      <c r="F547" s="110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</row>
    <row r="548" spans="1:24" ht="14.5">
      <c r="A548" s="109"/>
      <c r="B548" s="109"/>
      <c r="C548" s="109"/>
      <c r="D548" s="109"/>
      <c r="E548" s="109"/>
      <c r="F548" s="110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</row>
    <row r="549" spans="1:24" ht="14.5">
      <c r="A549" s="109"/>
      <c r="B549" s="109"/>
      <c r="C549" s="109"/>
      <c r="D549" s="109"/>
      <c r="E549" s="109"/>
      <c r="F549" s="110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</row>
    <row r="550" spans="1:24" ht="14.5">
      <c r="A550" s="109"/>
      <c r="B550" s="109"/>
      <c r="C550" s="109"/>
      <c r="D550" s="109"/>
      <c r="E550" s="109"/>
      <c r="F550" s="110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</row>
    <row r="551" spans="1:24" ht="14.5">
      <c r="A551" s="109"/>
      <c r="B551" s="109"/>
      <c r="C551" s="109"/>
      <c r="D551" s="109"/>
      <c r="E551" s="109"/>
      <c r="F551" s="110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</row>
    <row r="552" spans="1:24" ht="14.5">
      <c r="A552" s="109"/>
      <c r="B552" s="109"/>
      <c r="C552" s="109"/>
      <c r="D552" s="109"/>
      <c r="E552" s="109"/>
      <c r="F552" s="110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</row>
    <row r="553" spans="1:24" ht="14.5">
      <c r="A553" s="109"/>
      <c r="B553" s="109"/>
      <c r="C553" s="109"/>
      <c r="D553" s="109"/>
      <c r="E553" s="109"/>
      <c r="F553" s="110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</row>
    <row r="554" spans="1:24" ht="14.5">
      <c r="A554" s="109"/>
      <c r="B554" s="109"/>
      <c r="C554" s="109"/>
      <c r="D554" s="109"/>
      <c r="E554" s="109"/>
      <c r="F554" s="110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</row>
    <row r="555" spans="1:24" ht="14.5">
      <c r="A555" s="109"/>
      <c r="B555" s="109"/>
      <c r="C555" s="109"/>
      <c r="D555" s="109"/>
      <c r="E555" s="109"/>
      <c r="F555" s="110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</row>
    <row r="556" spans="1:24" ht="14.5">
      <c r="A556" s="109"/>
      <c r="B556" s="109"/>
      <c r="C556" s="109"/>
      <c r="D556" s="109"/>
      <c r="E556" s="109"/>
      <c r="F556" s="110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</row>
    <row r="557" spans="1:24" ht="14.5">
      <c r="A557" s="109"/>
      <c r="B557" s="109"/>
      <c r="C557" s="109"/>
      <c r="D557" s="109"/>
      <c r="E557" s="109"/>
      <c r="F557" s="110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</row>
    <row r="558" spans="1:24" ht="14.5">
      <c r="A558" s="109"/>
      <c r="B558" s="109"/>
      <c r="C558" s="109"/>
      <c r="D558" s="109"/>
      <c r="E558" s="109"/>
      <c r="F558" s="110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</row>
    <row r="559" spans="1:24" ht="14.5">
      <c r="A559" s="109"/>
      <c r="B559" s="109"/>
      <c r="C559" s="109"/>
      <c r="D559" s="109"/>
      <c r="E559" s="109"/>
      <c r="F559" s="110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</row>
    <row r="560" spans="1:24" ht="14.5">
      <c r="A560" s="109"/>
      <c r="B560" s="109"/>
      <c r="C560" s="109"/>
      <c r="D560" s="109"/>
      <c r="E560" s="109"/>
      <c r="F560" s="110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</row>
    <row r="561" spans="1:24" ht="14.5">
      <c r="A561" s="109"/>
      <c r="B561" s="109"/>
      <c r="C561" s="109"/>
      <c r="D561" s="109"/>
      <c r="E561" s="109"/>
      <c r="F561" s="110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</row>
    <row r="562" spans="1:24" ht="14.5">
      <c r="A562" s="109"/>
      <c r="B562" s="109"/>
      <c r="C562" s="109"/>
      <c r="D562" s="109"/>
      <c r="E562" s="109"/>
      <c r="F562" s="110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</row>
    <row r="563" spans="1:24" ht="14.5">
      <c r="A563" s="109"/>
      <c r="B563" s="109"/>
      <c r="C563" s="109"/>
      <c r="D563" s="109"/>
      <c r="E563" s="109"/>
      <c r="F563" s="110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</row>
    <row r="564" spans="1:24" ht="14.5">
      <c r="A564" s="109"/>
      <c r="B564" s="109"/>
      <c r="C564" s="109"/>
      <c r="D564" s="109"/>
      <c r="E564" s="109"/>
      <c r="F564" s="110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</row>
    <row r="565" spans="1:24" ht="14.5">
      <c r="A565" s="109"/>
      <c r="B565" s="109"/>
      <c r="C565" s="109"/>
      <c r="D565" s="109"/>
      <c r="E565" s="109"/>
      <c r="F565" s="110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</row>
    <row r="566" spans="1:24" ht="14.5">
      <c r="A566" s="109"/>
      <c r="B566" s="109"/>
      <c r="C566" s="109"/>
      <c r="D566" s="109"/>
      <c r="E566" s="109"/>
      <c r="F566" s="110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</row>
    <row r="567" spans="1:24" ht="14.5">
      <c r="A567" s="109"/>
      <c r="B567" s="109"/>
      <c r="C567" s="109"/>
      <c r="D567" s="109"/>
      <c r="E567" s="109"/>
      <c r="F567" s="110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</row>
    <row r="568" spans="1:24" ht="14.5">
      <c r="A568" s="109"/>
      <c r="B568" s="109"/>
      <c r="C568" s="109"/>
      <c r="D568" s="109"/>
      <c r="E568" s="109"/>
      <c r="F568" s="110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</row>
    <row r="569" spans="1:24" ht="14.5">
      <c r="A569" s="109"/>
      <c r="B569" s="109"/>
      <c r="C569" s="109"/>
      <c r="D569" s="109"/>
      <c r="E569" s="109"/>
      <c r="F569" s="110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</row>
    <row r="570" spans="1:24" ht="14.5">
      <c r="A570" s="109"/>
      <c r="B570" s="109"/>
      <c r="C570" s="109"/>
      <c r="D570" s="109"/>
      <c r="E570" s="109"/>
      <c r="F570" s="110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</row>
    <row r="571" spans="1:24" ht="14.5">
      <c r="A571" s="109"/>
      <c r="B571" s="109"/>
      <c r="C571" s="109"/>
      <c r="D571" s="109"/>
      <c r="E571" s="109"/>
      <c r="F571" s="110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</row>
    <row r="572" spans="1:24" ht="14.5">
      <c r="A572" s="109"/>
      <c r="B572" s="109"/>
      <c r="C572" s="109"/>
      <c r="D572" s="109"/>
      <c r="E572" s="109"/>
      <c r="F572" s="110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</row>
    <row r="573" spans="1:24" ht="14.5">
      <c r="A573" s="109"/>
      <c r="B573" s="109"/>
      <c r="C573" s="109"/>
      <c r="D573" s="109"/>
      <c r="E573" s="109"/>
      <c r="F573" s="110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</row>
    <row r="574" spans="1:24" ht="14.5">
      <c r="A574" s="109"/>
      <c r="B574" s="109"/>
      <c r="C574" s="109"/>
      <c r="D574" s="109"/>
      <c r="E574" s="109"/>
      <c r="F574" s="110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</row>
    <row r="575" spans="1:24" ht="14.5">
      <c r="A575" s="109"/>
      <c r="B575" s="109"/>
      <c r="C575" s="109"/>
      <c r="D575" s="109"/>
      <c r="E575" s="109"/>
      <c r="F575" s="110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</row>
    <row r="576" spans="1:24" ht="14.5">
      <c r="A576" s="109"/>
      <c r="B576" s="109"/>
      <c r="C576" s="109"/>
      <c r="D576" s="109"/>
      <c r="E576" s="109"/>
      <c r="F576" s="110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</row>
    <row r="577" spans="1:24" ht="14.5">
      <c r="A577" s="109"/>
      <c r="B577" s="109"/>
      <c r="C577" s="109"/>
      <c r="D577" s="109"/>
      <c r="E577" s="109"/>
      <c r="F577" s="110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</row>
    <row r="578" spans="1:24" ht="14.5">
      <c r="A578" s="109"/>
      <c r="B578" s="109"/>
      <c r="C578" s="109"/>
      <c r="D578" s="109"/>
      <c r="E578" s="109"/>
      <c r="F578" s="110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</row>
    <row r="579" spans="1:24" ht="14.5">
      <c r="A579" s="109"/>
      <c r="B579" s="109"/>
      <c r="C579" s="109"/>
      <c r="D579" s="109"/>
      <c r="E579" s="109"/>
      <c r="F579" s="110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</row>
    <row r="580" spans="1:24" ht="14.5">
      <c r="A580" s="109"/>
      <c r="B580" s="109"/>
      <c r="C580" s="109"/>
      <c r="D580" s="109"/>
      <c r="E580" s="109"/>
      <c r="F580" s="110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</row>
    <row r="581" spans="1:24" ht="14.5">
      <c r="A581" s="109"/>
      <c r="B581" s="109"/>
      <c r="C581" s="109"/>
      <c r="D581" s="109"/>
      <c r="E581" s="109"/>
      <c r="F581" s="110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</row>
    <row r="582" spans="1:24" ht="14.5">
      <c r="A582" s="109"/>
      <c r="B582" s="109"/>
      <c r="C582" s="109"/>
      <c r="D582" s="109"/>
      <c r="E582" s="109"/>
      <c r="F582" s="110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</row>
    <row r="583" spans="1:24" ht="14.5">
      <c r="A583" s="109"/>
      <c r="B583" s="109"/>
      <c r="C583" s="109"/>
      <c r="D583" s="109"/>
      <c r="E583" s="109"/>
      <c r="F583" s="110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</row>
    <row r="584" spans="1:24" ht="14.5">
      <c r="A584" s="109"/>
      <c r="B584" s="109"/>
      <c r="C584" s="109"/>
      <c r="D584" s="109"/>
      <c r="E584" s="109"/>
      <c r="F584" s="110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</row>
    <row r="585" spans="1:24" ht="14.5">
      <c r="A585" s="109"/>
      <c r="B585" s="109"/>
      <c r="C585" s="109"/>
      <c r="D585" s="109"/>
      <c r="E585" s="109"/>
      <c r="F585" s="110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</row>
    <row r="586" spans="1:24" ht="14.5">
      <c r="A586" s="109"/>
      <c r="B586" s="109"/>
      <c r="C586" s="109"/>
      <c r="D586" s="109"/>
      <c r="E586" s="109"/>
      <c r="F586" s="110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</row>
    <row r="587" spans="1:24" ht="14.5">
      <c r="A587" s="109"/>
      <c r="B587" s="109"/>
      <c r="C587" s="109"/>
      <c r="D587" s="109"/>
      <c r="E587" s="109"/>
      <c r="F587" s="110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</row>
    <row r="588" spans="1:24" ht="14.5">
      <c r="A588" s="109"/>
      <c r="B588" s="109"/>
      <c r="C588" s="109"/>
      <c r="D588" s="109"/>
      <c r="E588" s="109"/>
      <c r="F588" s="110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</row>
    <row r="589" spans="1:24" ht="14.5">
      <c r="A589" s="109"/>
      <c r="B589" s="109"/>
      <c r="C589" s="109"/>
      <c r="D589" s="109"/>
      <c r="E589" s="109"/>
      <c r="F589" s="110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</row>
    <row r="590" spans="1:24" ht="14.5">
      <c r="A590" s="109"/>
      <c r="B590" s="109"/>
      <c r="C590" s="109"/>
      <c r="D590" s="109"/>
      <c r="E590" s="109"/>
      <c r="F590" s="110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</row>
    <row r="591" spans="1:24" ht="14.5">
      <c r="A591" s="109"/>
      <c r="B591" s="109"/>
      <c r="C591" s="109"/>
      <c r="D591" s="109"/>
      <c r="E591" s="109"/>
      <c r="F591" s="110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</row>
    <row r="592" spans="1:24" ht="14.5">
      <c r="A592" s="109"/>
      <c r="B592" s="109"/>
      <c r="C592" s="109"/>
      <c r="D592" s="109"/>
      <c r="E592" s="109"/>
      <c r="F592" s="110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</row>
    <row r="593" spans="1:24" ht="14.5">
      <c r="A593" s="109"/>
      <c r="B593" s="109"/>
      <c r="C593" s="109"/>
      <c r="D593" s="109"/>
      <c r="E593" s="109"/>
      <c r="F593" s="110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</row>
    <row r="594" spans="1:24" ht="14.5">
      <c r="A594" s="109"/>
      <c r="B594" s="109"/>
      <c r="C594" s="109"/>
      <c r="D594" s="109"/>
      <c r="E594" s="109"/>
      <c r="F594" s="110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</row>
    <row r="595" spans="1:24" ht="14.5">
      <c r="A595" s="109"/>
      <c r="B595" s="109"/>
      <c r="C595" s="109"/>
      <c r="D595" s="109"/>
      <c r="E595" s="109"/>
      <c r="F595" s="110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</row>
    <row r="596" spans="1:24" ht="14.5">
      <c r="A596" s="109"/>
      <c r="B596" s="109"/>
      <c r="C596" s="109"/>
      <c r="D596" s="109"/>
      <c r="E596" s="109"/>
      <c r="F596" s="110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</row>
    <row r="597" spans="1:24" ht="14.5">
      <c r="A597" s="109"/>
      <c r="B597" s="109"/>
      <c r="C597" s="109"/>
      <c r="D597" s="109"/>
      <c r="E597" s="109"/>
      <c r="F597" s="110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</row>
    <row r="598" spans="1:24" ht="14.5">
      <c r="A598" s="109"/>
      <c r="B598" s="109"/>
      <c r="C598" s="109"/>
      <c r="D598" s="109"/>
      <c r="E598" s="109"/>
      <c r="F598" s="110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</row>
    <row r="599" spans="1:24" ht="14.5">
      <c r="A599" s="109"/>
      <c r="B599" s="109"/>
      <c r="C599" s="109"/>
      <c r="D599" s="109"/>
      <c r="E599" s="109"/>
      <c r="F599" s="110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</row>
    <row r="600" spans="1:24" ht="14.5">
      <c r="A600" s="109"/>
      <c r="B600" s="109"/>
      <c r="C600" s="109"/>
      <c r="D600" s="109"/>
      <c r="E600" s="109"/>
      <c r="F600" s="110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</row>
    <row r="601" spans="1:24" ht="14.5">
      <c r="A601" s="109"/>
      <c r="B601" s="109"/>
      <c r="C601" s="109"/>
      <c r="D601" s="109"/>
      <c r="E601" s="109"/>
      <c r="F601" s="110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</row>
    <row r="602" spans="1:24" ht="14.5">
      <c r="A602" s="109"/>
      <c r="B602" s="109"/>
      <c r="C602" s="109"/>
      <c r="D602" s="109"/>
      <c r="E602" s="109"/>
      <c r="F602" s="110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</row>
    <row r="603" spans="1:24" ht="14.5">
      <c r="A603" s="109"/>
      <c r="B603" s="109"/>
      <c r="C603" s="109"/>
      <c r="D603" s="109"/>
      <c r="E603" s="109"/>
      <c r="F603" s="110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</row>
    <row r="604" spans="1:24" ht="14.5">
      <c r="A604" s="109"/>
      <c r="B604" s="109"/>
      <c r="C604" s="109"/>
      <c r="D604" s="109"/>
      <c r="E604" s="109"/>
      <c r="F604" s="110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</row>
    <row r="605" spans="1:24" ht="14.5">
      <c r="A605" s="109"/>
      <c r="B605" s="109"/>
      <c r="C605" s="109"/>
      <c r="D605" s="109"/>
      <c r="E605" s="109"/>
      <c r="F605" s="110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</row>
    <row r="606" spans="1:24" ht="14.5">
      <c r="A606" s="109"/>
      <c r="B606" s="109"/>
      <c r="C606" s="109"/>
      <c r="D606" s="109"/>
      <c r="E606" s="109"/>
      <c r="F606" s="110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</row>
    <row r="607" spans="1:24" ht="14.5">
      <c r="A607" s="109"/>
      <c r="B607" s="109"/>
      <c r="C607" s="109"/>
      <c r="D607" s="109"/>
      <c r="E607" s="109"/>
      <c r="F607" s="110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</row>
    <row r="608" spans="1:24" ht="14.5">
      <c r="A608" s="109"/>
      <c r="B608" s="109"/>
      <c r="C608" s="109"/>
      <c r="D608" s="109"/>
      <c r="E608" s="109"/>
      <c r="F608" s="110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</row>
    <row r="609" spans="1:24" ht="14.5">
      <c r="A609" s="109"/>
      <c r="B609" s="109"/>
      <c r="C609" s="109"/>
      <c r="D609" s="109"/>
      <c r="E609" s="109"/>
      <c r="F609" s="110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</row>
    <row r="610" spans="1:24" ht="14.5">
      <c r="A610" s="109"/>
      <c r="B610" s="109"/>
      <c r="C610" s="109"/>
      <c r="D610" s="109"/>
      <c r="E610" s="109"/>
      <c r="F610" s="110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</row>
    <row r="611" spans="1:24" ht="14.5">
      <c r="A611" s="109"/>
      <c r="B611" s="109"/>
      <c r="C611" s="109"/>
      <c r="D611" s="109"/>
      <c r="E611" s="109"/>
      <c r="F611" s="110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</row>
    <row r="612" spans="1:24" ht="14.5">
      <c r="A612" s="109"/>
      <c r="B612" s="109"/>
      <c r="C612" s="109"/>
      <c r="D612" s="109"/>
      <c r="E612" s="109"/>
      <c r="F612" s="110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</row>
    <row r="613" spans="1:24" ht="14.5">
      <c r="A613" s="109"/>
      <c r="B613" s="109"/>
      <c r="C613" s="109"/>
      <c r="D613" s="109"/>
      <c r="E613" s="109"/>
      <c r="F613" s="110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</row>
    <row r="614" spans="1:24" ht="14.5">
      <c r="A614" s="109"/>
      <c r="B614" s="109"/>
      <c r="C614" s="109"/>
      <c r="D614" s="109"/>
      <c r="E614" s="109"/>
      <c r="F614" s="110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</row>
    <row r="615" spans="1:24" ht="14.5">
      <c r="A615" s="109"/>
      <c r="B615" s="109"/>
      <c r="C615" s="109"/>
      <c r="D615" s="109"/>
      <c r="E615" s="109"/>
      <c r="F615" s="110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</row>
    <row r="616" spans="1:24" ht="14.5">
      <c r="A616" s="109"/>
      <c r="B616" s="109"/>
      <c r="C616" s="109"/>
      <c r="D616" s="109"/>
      <c r="E616" s="109"/>
      <c r="F616" s="110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</row>
    <row r="617" spans="1:24" ht="14.5">
      <c r="A617" s="109"/>
      <c r="B617" s="109"/>
      <c r="C617" s="109"/>
      <c r="D617" s="109"/>
      <c r="E617" s="109"/>
      <c r="F617" s="110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</row>
    <row r="618" spans="1:24" ht="14.5">
      <c r="A618" s="109"/>
      <c r="B618" s="109"/>
      <c r="C618" s="109"/>
      <c r="D618" s="109"/>
      <c r="E618" s="109"/>
      <c r="F618" s="110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</row>
    <row r="619" spans="1:24" ht="14.5">
      <c r="A619" s="109"/>
      <c r="B619" s="109"/>
      <c r="C619" s="109"/>
      <c r="D619" s="109"/>
      <c r="E619" s="109"/>
      <c r="F619" s="110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</row>
    <row r="620" spans="1:24" ht="14.5">
      <c r="A620" s="109"/>
      <c r="B620" s="109"/>
      <c r="C620" s="109"/>
      <c r="D620" s="109"/>
      <c r="E620" s="109"/>
      <c r="F620" s="110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</row>
    <row r="621" spans="1:24" ht="14.5">
      <c r="A621" s="109"/>
      <c r="B621" s="109"/>
      <c r="C621" s="109"/>
      <c r="D621" s="109"/>
      <c r="E621" s="109"/>
      <c r="F621" s="110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</row>
    <row r="622" spans="1:24" ht="14.5">
      <c r="A622" s="109"/>
      <c r="B622" s="109"/>
      <c r="C622" s="109"/>
      <c r="D622" s="109"/>
      <c r="E622" s="109"/>
      <c r="F622" s="110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</row>
    <row r="623" spans="1:24" ht="14.5">
      <c r="A623" s="109"/>
      <c r="B623" s="109"/>
      <c r="C623" s="109"/>
      <c r="D623" s="109"/>
      <c r="E623" s="109"/>
      <c r="F623" s="110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</row>
    <row r="624" spans="1:24" ht="14.5">
      <c r="A624" s="109"/>
      <c r="B624" s="109"/>
      <c r="C624" s="109"/>
      <c r="D624" s="109"/>
      <c r="E624" s="109"/>
      <c r="F624" s="110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</row>
    <row r="625" spans="1:24" ht="14.5">
      <c r="A625" s="109"/>
      <c r="B625" s="109"/>
      <c r="C625" s="109"/>
      <c r="D625" s="109"/>
      <c r="E625" s="109"/>
      <c r="F625" s="110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</row>
    <row r="626" spans="1:24" ht="14.5">
      <c r="A626" s="109"/>
      <c r="B626" s="109"/>
      <c r="C626" s="109"/>
      <c r="D626" s="109"/>
      <c r="E626" s="109"/>
      <c r="F626" s="110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</row>
    <row r="627" spans="1:24" ht="14.5">
      <c r="A627" s="109"/>
      <c r="B627" s="109"/>
      <c r="C627" s="109"/>
      <c r="D627" s="109"/>
      <c r="E627" s="109"/>
      <c r="F627" s="110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</row>
    <row r="628" spans="1:24" ht="14.5">
      <c r="A628" s="109"/>
      <c r="B628" s="109"/>
      <c r="C628" s="109"/>
      <c r="D628" s="109"/>
      <c r="E628" s="109"/>
      <c r="F628" s="110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</row>
    <row r="629" spans="1:24" ht="14.5">
      <c r="A629" s="109"/>
      <c r="B629" s="109"/>
      <c r="C629" s="109"/>
      <c r="D629" s="109"/>
      <c r="E629" s="109"/>
      <c r="F629" s="110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</row>
    <row r="630" spans="1:24" ht="14.5">
      <c r="A630" s="109"/>
      <c r="B630" s="109"/>
      <c r="C630" s="109"/>
      <c r="D630" s="109"/>
      <c r="E630" s="109"/>
      <c r="F630" s="110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</row>
    <row r="631" spans="1:24" ht="14.5">
      <c r="A631" s="109"/>
      <c r="B631" s="109"/>
      <c r="C631" s="109"/>
      <c r="D631" s="109"/>
      <c r="E631" s="109"/>
      <c r="F631" s="110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</row>
    <row r="632" spans="1:24" ht="14.5">
      <c r="A632" s="109"/>
      <c r="B632" s="109"/>
      <c r="C632" s="109"/>
      <c r="D632" s="109"/>
      <c r="E632" s="109"/>
      <c r="F632" s="110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</row>
    <row r="633" spans="1:24" ht="14.5">
      <c r="A633" s="109"/>
      <c r="B633" s="109"/>
      <c r="C633" s="109"/>
      <c r="D633" s="109"/>
      <c r="E633" s="109"/>
      <c r="F633" s="110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</row>
    <row r="634" spans="1:24" ht="14.5">
      <c r="A634" s="109"/>
      <c r="B634" s="109"/>
      <c r="C634" s="109"/>
      <c r="D634" s="109"/>
      <c r="E634" s="109"/>
      <c r="F634" s="110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</row>
    <row r="635" spans="1:24" ht="14.5">
      <c r="A635" s="109"/>
      <c r="B635" s="109"/>
      <c r="C635" s="109"/>
      <c r="D635" s="109"/>
      <c r="E635" s="109"/>
      <c r="F635" s="110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</row>
    <row r="636" spans="1:24" ht="14.5">
      <c r="A636" s="109"/>
      <c r="B636" s="109"/>
      <c r="C636" s="109"/>
      <c r="D636" s="109"/>
      <c r="E636" s="109"/>
      <c r="F636" s="110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</row>
    <row r="637" spans="1:24" ht="14.5">
      <c r="A637" s="109"/>
      <c r="B637" s="109"/>
      <c r="C637" s="109"/>
      <c r="D637" s="109"/>
      <c r="E637" s="109"/>
      <c r="F637" s="110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</row>
    <row r="638" spans="1:24" ht="14.5">
      <c r="A638" s="109"/>
      <c r="B638" s="109"/>
      <c r="C638" s="109"/>
      <c r="D638" s="109"/>
      <c r="E638" s="109"/>
      <c r="F638" s="110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</row>
    <row r="639" spans="1:24" ht="14.5">
      <c r="A639" s="109"/>
      <c r="B639" s="109"/>
      <c r="C639" s="109"/>
      <c r="D639" s="109"/>
      <c r="E639" s="109"/>
      <c r="F639" s="110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</row>
    <row r="640" spans="1:24" ht="14.5">
      <c r="A640" s="109"/>
      <c r="B640" s="109"/>
      <c r="C640" s="109"/>
      <c r="D640" s="109"/>
      <c r="E640" s="109"/>
      <c r="F640" s="110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</row>
    <row r="641" spans="1:24" ht="14.5">
      <c r="A641" s="109"/>
      <c r="B641" s="109"/>
      <c r="C641" s="109"/>
      <c r="D641" s="109"/>
      <c r="E641" s="109"/>
      <c r="F641" s="110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</row>
    <row r="642" spans="1:24" ht="14.5">
      <c r="A642" s="109"/>
      <c r="B642" s="109"/>
      <c r="C642" s="109"/>
      <c r="D642" s="109"/>
      <c r="E642" s="109"/>
      <c r="F642" s="110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</row>
    <row r="643" spans="1:24" ht="14.5">
      <c r="A643" s="109"/>
      <c r="B643" s="109"/>
      <c r="C643" s="109"/>
      <c r="D643" s="109"/>
      <c r="E643" s="109"/>
      <c r="F643" s="110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</row>
    <row r="644" spans="1:24" ht="14.5">
      <c r="A644" s="109"/>
      <c r="B644" s="109"/>
      <c r="C644" s="109"/>
      <c r="D644" s="109"/>
      <c r="E644" s="109"/>
      <c r="F644" s="110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</row>
    <row r="645" spans="1:24" ht="14.5">
      <c r="A645" s="109"/>
      <c r="B645" s="109"/>
      <c r="C645" s="109"/>
      <c r="D645" s="109"/>
      <c r="E645" s="109"/>
      <c r="F645" s="110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</row>
    <row r="646" spans="1:24" ht="14.5">
      <c r="A646" s="109"/>
      <c r="B646" s="109"/>
      <c r="C646" s="109"/>
      <c r="D646" s="109"/>
      <c r="E646" s="109"/>
      <c r="F646" s="110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</row>
    <row r="647" spans="1:24" ht="14.5">
      <c r="A647" s="109"/>
      <c r="B647" s="109"/>
      <c r="C647" s="109"/>
      <c r="D647" s="109"/>
      <c r="E647" s="109"/>
      <c r="F647" s="110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</row>
    <row r="648" spans="1:24" ht="14.5">
      <c r="A648" s="109"/>
      <c r="B648" s="109"/>
      <c r="C648" s="109"/>
      <c r="D648" s="109"/>
      <c r="E648" s="109"/>
      <c r="F648" s="110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</row>
    <row r="649" spans="1:24" ht="14.5">
      <c r="A649" s="109"/>
      <c r="B649" s="109"/>
      <c r="C649" s="109"/>
      <c r="D649" s="109"/>
      <c r="E649" s="109"/>
      <c r="F649" s="110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</row>
    <row r="650" spans="1:24" ht="14.5">
      <c r="A650" s="109"/>
      <c r="B650" s="109"/>
      <c r="C650" s="109"/>
      <c r="D650" s="109"/>
      <c r="E650" s="109"/>
      <c r="F650" s="110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</row>
    <row r="651" spans="1:24" ht="14.5">
      <c r="A651" s="109"/>
      <c r="B651" s="109"/>
      <c r="C651" s="109"/>
      <c r="D651" s="109"/>
      <c r="E651" s="109"/>
      <c r="F651" s="110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</row>
    <row r="652" spans="1:24" ht="14.5">
      <c r="A652" s="109"/>
      <c r="B652" s="109"/>
      <c r="C652" s="109"/>
      <c r="D652" s="109"/>
      <c r="E652" s="109"/>
      <c r="F652" s="110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</row>
    <row r="653" spans="1:24" ht="14.5">
      <c r="A653" s="109"/>
      <c r="B653" s="109"/>
      <c r="C653" s="109"/>
      <c r="D653" s="109"/>
      <c r="E653" s="109"/>
      <c r="F653" s="110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</row>
    <row r="654" spans="1:24" ht="14.5">
      <c r="A654" s="109"/>
      <c r="B654" s="109"/>
      <c r="C654" s="109"/>
      <c r="D654" s="109"/>
      <c r="E654" s="109"/>
      <c r="F654" s="110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</row>
    <row r="655" spans="1:24" ht="14.5">
      <c r="A655" s="109"/>
      <c r="B655" s="109"/>
      <c r="C655" s="109"/>
      <c r="D655" s="109"/>
      <c r="E655" s="109"/>
      <c r="F655" s="110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</row>
    <row r="656" spans="1:24" ht="14.5">
      <c r="A656" s="109"/>
      <c r="B656" s="109"/>
      <c r="C656" s="109"/>
      <c r="D656" s="109"/>
      <c r="E656" s="109"/>
      <c r="F656" s="110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</row>
    <row r="657" spans="1:24" ht="14.5">
      <c r="A657" s="109"/>
      <c r="B657" s="109"/>
      <c r="C657" s="109"/>
      <c r="D657" s="109"/>
      <c r="E657" s="109"/>
      <c r="F657" s="110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</row>
    <row r="658" spans="1:24" ht="14.5">
      <c r="A658" s="109"/>
      <c r="B658" s="109"/>
      <c r="C658" s="109"/>
      <c r="D658" s="109"/>
      <c r="E658" s="109"/>
      <c r="F658" s="110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</row>
    <row r="659" spans="1:24" ht="14.5">
      <c r="A659" s="109"/>
      <c r="B659" s="109"/>
      <c r="C659" s="109"/>
      <c r="D659" s="109"/>
      <c r="E659" s="109"/>
      <c r="F659" s="110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</row>
    <row r="660" spans="1:24" ht="14.5">
      <c r="A660" s="109"/>
      <c r="B660" s="109"/>
      <c r="C660" s="109"/>
      <c r="D660" s="109"/>
      <c r="E660" s="109"/>
      <c r="F660" s="110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</row>
    <row r="661" spans="1:24" ht="14.5">
      <c r="A661" s="109"/>
      <c r="B661" s="109"/>
      <c r="C661" s="109"/>
      <c r="D661" s="109"/>
      <c r="E661" s="109"/>
      <c r="F661" s="110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</row>
    <row r="662" spans="1:24" ht="14.5">
      <c r="A662" s="109"/>
      <c r="B662" s="109"/>
      <c r="C662" s="109"/>
      <c r="D662" s="109"/>
      <c r="E662" s="109"/>
      <c r="F662" s="110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</row>
    <row r="663" spans="1:24" ht="14.5">
      <c r="A663" s="109"/>
      <c r="B663" s="109"/>
      <c r="C663" s="109"/>
      <c r="D663" s="109"/>
      <c r="E663" s="109"/>
      <c r="F663" s="110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</row>
    <row r="664" spans="1:24" ht="14.5">
      <c r="A664" s="109"/>
      <c r="B664" s="109"/>
      <c r="C664" s="109"/>
      <c r="D664" s="109"/>
      <c r="E664" s="109"/>
      <c r="F664" s="110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</row>
    <row r="665" spans="1:24" ht="14.5">
      <c r="A665" s="109"/>
      <c r="B665" s="109"/>
      <c r="C665" s="109"/>
      <c r="D665" s="109"/>
      <c r="E665" s="109"/>
      <c r="F665" s="110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</row>
    <row r="666" spans="1:24" ht="14.5">
      <c r="A666" s="109"/>
      <c r="B666" s="109"/>
      <c r="C666" s="109"/>
      <c r="D666" s="109"/>
      <c r="E666" s="109"/>
      <c r="F666" s="110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</row>
    <row r="667" spans="1:24" ht="14.5">
      <c r="A667" s="109"/>
      <c r="B667" s="109"/>
      <c r="C667" s="109"/>
      <c r="D667" s="109"/>
      <c r="E667" s="109"/>
      <c r="F667" s="110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</row>
    <row r="668" spans="1:24" ht="14.5">
      <c r="A668" s="109"/>
      <c r="B668" s="109"/>
      <c r="C668" s="109"/>
      <c r="D668" s="109"/>
      <c r="E668" s="109"/>
      <c r="F668" s="110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</row>
    <row r="669" spans="1:24" ht="14.5">
      <c r="A669" s="109"/>
      <c r="B669" s="109"/>
      <c r="C669" s="109"/>
      <c r="D669" s="109"/>
      <c r="E669" s="109"/>
      <c r="F669" s="110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</row>
    <row r="670" spans="1:24" ht="14.5">
      <c r="A670" s="109"/>
      <c r="B670" s="109"/>
      <c r="C670" s="109"/>
      <c r="D670" s="109"/>
      <c r="E670" s="109"/>
      <c r="F670" s="110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</row>
    <row r="671" spans="1:24" ht="14.5">
      <c r="A671" s="109"/>
      <c r="B671" s="109"/>
      <c r="C671" s="109"/>
      <c r="D671" s="109"/>
      <c r="E671" s="109"/>
      <c r="F671" s="110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</row>
    <row r="672" spans="1:24" ht="14.5">
      <c r="A672" s="109"/>
      <c r="B672" s="109"/>
      <c r="C672" s="109"/>
      <c r="D672" s="109"/>
      <c r="E672" s="109"/>
      <c r="F672" s="110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</row>
    <row r="673" spans="1:24" ht="14.5">
      <c r="A673" s="109"/>
      <c r="B673" s="109"/>
      <c r="C673" s="109"/>
      <c r="D673" s="109"/>
      <c r="E673" s="109"/>
      <c r="F673" s="110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</row>
    <row r="674" spans="1:24" ht="14.5">
      <c r="A674" s="109"/>
      <c r="B674" s="109"/>
      <c r="C674" s="109"/>
      <c r="D674" s="109"/>
      <c r="E674" s="109"/>
      <c r="F674" s="110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</row>
    <row r="675" spans="1:24" ht="14.5">
      <c r="A675" s="109"/>
      <c r="B675" s="109"/>
      <c r="C675" s="109"/>
      <c r="D675" s="109"/>
      <c r="E675" s="109"/>
      <c r="F675" s="110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</row>
    <row r="676" spans="1:24" ht="14.5">
      <c r="A676" s="109"/>
      <c r="B676" s="109"/>
      <c r="C676" s="109"/>
      <c r="D676" s="109"/>
      <c r="E676" s="109"/>
      <c r="F676" s="110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</row>
    <row r="677" spans="1:24" ht="14.5">
      <c r="A677" s="109"/>
      <c r="B677" s="109"/>
      <c r="C677" s="109"/>
      <c r="D677" s="109"/>
      <c r="E677" s="109"/>
      <c r="F677" s="110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</row>
    <row r="678" spans="1:24" ht="14.5">
      <c r="A678" s="109"/>
      <c r="B678" s="109"/>
      <c r="C678" s="109"/>
      <c r="D678" s="109"/>
      <c r="E678" s="109"/>
      <c r="F678" s="110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</row>
    <row r="679" spans="1:24" ht="14.5">
      <c r="A679" s="109"/>
      <c r="B679" s="109"/>
      <c r="C679" s="109"/>
      <c r="D679" s="109"/>
      <c r="E679" s="109"/>
      <c r="F679" s="110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</row>
    <row r="680" spans="1:24" ht="14.5">
      <c r="A680" s="109"/>
      <c r="B680" s="109"/>
      <c r="C680" s="109"/>
      <c r="D680" s="109"/>
      <c r="E680" s="109"/>
      <c r="F680" s="110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</row>
    <row r="681" spans="1:24" ht="14.5">
      <c r="A681" s="109"/>
      <c r="B681" s="109"/>
      <c r="C681" s="109"/>
      <c r="D681" s="109"/>
      <c r="E681" s="109"/>
      <c r="F681" s="110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</row>
    <row r="682" spans="1:24" ht="14.5">
      <c r="A682" s="109"/>
      <c r="B682" s="109"/>
      <c r="C682" s="109"/>
      <c r="D682" s="109"/>
      <c r="E682" s="109"/>
      <c r="F682" s="110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</row>
    <row r="683" spans="1:24" ht="14.5">
      <c r="A683" s="109"/>
      <c r="B683" s="109"/>
      <c r="C683" s="109"/>
      <c r="D683" s="109"/>
      <c r="E683" s="109"/>
      <c r="F683" s="110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</row>
    <row r="684" spans="1:24" ht="14.5">
      <c r="A684" s="109"/>
      <c r="B684" s="109"/>
      <c r="C684" s="109"/>
      <c r="D684" s="109"/>
      <c r="E684" s="109"/>
      <c r="F684" s="110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</row>
    <row r="685" spans="1:24" ht="14.5">
      <c r="A685" s="109"/>
      <c r="B685" s="109"/>
      <c r="C685" s="109"/>
      <c r="D685" s="109"/>
      <c r="E685" s="109"/>
      <c r="F685" s="110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</row>
    <row r="686" spans="1:24" ht="14.5">
      <c r="A686" s="109"/>
      <c r="B686" s="109"/>
      <c r="C686" s="109"/>
      <c r="D686" s="109"/>
      <c r="E686" s="109"/>
      <c r="F686" s="110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</row>
    <row r="687" spans="1:24" ht="14.5">
      <c r="A687" s="109"/>
      <c r="B687" s="109"/>
      <c r="C687" s="109"/>
      <c r="D687" s="109"/>
      <c r="E687" s="109"/>
      <c r="F687" s="110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</row>
    <row r="688" spans="1:24" ht="14.5">
      <c r="A688" s="109"/>
      <c r="B688" s="109"/>
      <c r="C688" s="109"/>
      <c r="D688" s="109"/>
      <c r="E688" s="109"/>
      <c r="F688" s="110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</row>
    <row r="689" spans="1:24" ht="14.5">
      <c r="A689" s="109"/>
      <c r="B689" s="109"/>
      <c r="C689" s="109"/>
      <c r="D689" s="109"/>
      <c r="E689" s="109"/>
      <c r="F689" s="110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</row>
    <row r="690" spans="1:24" ht="14.5">
      <c r="A690" s="109"/>
      <c r="B690" s="109"/>
      <c r="C690" s="109"/>
      <c r="D690" s="109"/>
      <c r="E690" s="109"/>
      <c r="F690" s="110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</row>
    <row r="691" spans="1:24" ht="14.5">
      <c r="A691" s="109"/>
      <c r="B691" s="109"/>
      <c r="C691" s="109"/>
      <c r="D691" s="109"/>
      <c r="E691" s="109"/>
      <c r="F691" s="110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</row>
    <row r="692" spans="1:24" ht="14.5">
      <c r="A692" s="109"/>
      <c r="B692" s="109"/>
      <c r="C692" s="109"/>
      <c r="D692" s="109"/>
      <c r="E692" s="109"/>
      <c r="F692" s="110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</row>
    <row r="693" spans="1:24" ht="14.5">
      <c r="A693" s="109"/>
      <c r="B693" s="109"/>
      <c r="C693" s="109"/>
      <c r="D693" s="109"/>
      <c r="E693" s="109"/>
      <c r="F693" s="110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</row>
    <row r="694" spans="1:24" ht="14.5">
      <c r="A694" s="109"/>
      <c r="B694" s="109"/>
      <c r="C694" s="109"/>
      <c r="D694" s="109"/>
      <c r="E694" s="109"/>
      <c r="F694" s="110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</row>
    <row r="695" spans="1:24" ht="14.5">
      <c r="A695" s="109"/>
      <c r="B695" s="109"/>
      <c r="C695" s="109"/>
      <c r="D695" s="109"/>
      <c r="E695" s="109"/>
      <c r="F695" s="110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</row>
    <row r="696" spans="1:24" ht="14.5">
      <c r="A696" s="109"/>
      <c r="B696" s="109"/>
      <c r="C696" s="109"/>
      <c r="D696" s="109"/>
      <c r="E696" s="109"/>
      <c r="F696" s="110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</row>
    <row r="697" spans="1:24" ht="14.5">
      <c r="A697" s="109"/>
      <c r="B697" s="109"/>
      <c r="C697" s="109"/>
      <c r="D697" s="109"/>
      <c r="E697" s="109"/>
      <c r="F697" s="110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</row>
    <row r="698" spans="1:24" ht="14.5">
      <c r="A698" s="109"/>
      <c r="B698" s="109"/>
      <c r="C698" s="109"/>
      <c r="D698" s="109"/>
      <c r="E698" s="109"/>
      <c r="F698" s="110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</row>
    <row r="699" spans="1:24" ht="14.5">
      <c r="A699" s="109"/>
      <c r="B699" s="109"/>
      <c r="C699" s="109"/>
      <c r="D699" s="109"/>
      <c r="E699" s="109"/>
      <c r="F699" s="110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</row>
    <row r="700" spans="1:24" ht="14.5">
      <c r="A700" s="109"/>
      <c r="B700" s="109"/>
      <c r="C700" s="109"/>
      <c r="D700" s="109"/>
      <c r="E700" s="109"/>
      <c r="F700" s="110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</row>
    <row r="701" spans="1:24" ht="14.5">
      <c r="A701" s="109"/>
      <c r="B701" s="109"/>
      <c r="C701" s="109"/>
      <c r="D701" s="109"/>
      <c r="E701" s="109"/>
      <c r="F701" s="110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</row>
    <row r="702" spans="1:24" ht="14.5">
      <c r="A702" s="109"/>
      <c r="B702" s="109"/>
      <c r="C702" s="109"/>
      <c r="D702" s="109"/>
      <c r="E702" s="109"/>
      <c r="F702" s="110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</row>
    <row r="703" spans="1:24" ht="14.5">
      <c r="A703" s="109"/>
      <c r="B703" s="109"/>
      <c r="C703" s="109"/>
      <c r="D703" s="109"/>
      <c r="E703" s="109"/>
      <c r="F703" s="110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</row>
    <row r="704" spans="1:24" ht="14.5">
      <c r="A704" s="109"/>
      <c r="B704" s="109"/>
      <c r="C704" s="109"/>
      <c r="D704" s="109"/>
      <c r="E704" s="109"/>
      <c r="F704" s="110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</row>
    <row r="705" spans="1:24" ht="14.5">
      <c r="A705" s="109"/>
      <c r="B705" s="109"/>
      <c r="C705" s="109"/>
      <c r="D705" s="109"/>
      <c r="E705" s="109"/>
      <c r="F705" s="110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</row>
    <row r="706" spans="1:24" ht="14.5">
      <c r="A706" s="109"/>
      <c r="B706" s="109"/>
      <c r="C706" s="109"/>
      <c r="D706" s="109"/>
      <c r="E706" s="109"/>
      <c r="F706" s="110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</row>
    <row r="707" spans="1:24" ht="14.5">
      <c r="A707" s="109"/>
      <c r="B707" s="109"/>
      <c r="C707" s="109"/>
      <c r="D707" s="109"/>
      <c r="E707" s="109"/>
      <c r="F707" s="110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</row>
    <row r="708" spans="1:24" ht="14.5">
      <c r="A708" s="109"/>
      <c r="B708" s="109"/>
      <c r="C708" s="109"/>
      <c r="D708" s="109"/>
      <c r="E708" s="109"/>
      <c r="F708" s="110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</row>
    <row r="709" spans="1:24" ht="14.5">
      <c r="A709" s="109"/>
      <c r="B709" s="109"/>
      <c r="C709" s="109"/>
      <c r="D709" s="109"/>
      <c r="E709" s="109"/>
      <c r="F709" s="110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</row>
    <row r="710" spans="1:24" ht="14.5">
      <c r="A710" s="109"/>
      <c r="B710" s="109"/>
      <c r="C710" s="109"/>
      <c r="D710" s="109"/>
      <c r="E710" s="109"/>
      <c r="F710" s="110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</row>
    <row r="711" spans="1:24" ht="14.5">
      <c r="A711" s="109"/>
      <c r="B711" s="109"/>
      <c r="C711" s="109"/>
      <c r="D711" s="109"/>
      <c r="E711" s="109"/>
      <c r="F711" s="110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</row>
    <row r="712" spans="1:24" ht="14.5">
      <c r="A712" s="109"/>
      <c r="B712" s="109"/>
      <c r="C712" s="109"/>
      <c r="D712" s="109"/>
      <c r="E712" s="109"/>
      <c r="F712" s="110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</row>
    <row r="713" spans="1:24" ht="14.5">
      <c r="A713" s="109"/>
      <c r="B713" s="109"/>
      <c r="C713" s="109"/>
      <c r="D713" s="109"/>
      <c r="E713" s="109"/>
      <c r="F713" s="110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</row>
    <row r="714" spans="1:24" ht="14.5">
      <c r="A714" s="109"/>
      <c r="B714" s="109"/>
      <c r="C714" s="109"/>
      <c r="D714" s="109"/>
      <c r="E714" s="109"/>
      <c r="F714" s="110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</row>
    <row r="715" spans="1:24" ht="14.5">
      <c r="A715" s="109"/>
      <c r="B715" s="109"/>
      <c r="C715" s="109"/>
      <c r="D715" s="109"/>
      <c r="E715" s="109"/>
      <c r="F715" s="110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</row>
    <row r="716" spans="1:24" ht="14.5">
      <c r="A716" s="109"/>
      <c r="B716" s="109"/>
      <c r="C716" s="109"/>
      <c r="D716" s="109"/>
      <c r="E716" s="109"/>
      <c r="F716" s="110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</row>
    <row r="717" spans="1:24" ht="14.5">
      <c r="A717" s="109"/>
      <c r="B717" s="109"/>
      <c r="C717" s="109"/>
      <c r="D717" s="109"/>
      <c r="E717" s="109"/>
      <c r="F717" s="110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</row>
    <row r="718" spans="1:24" ht="14.5">
      <c r="A718" s="109"/>
      <c r="B718" s="109"/>
      <c r="C718" s="109"/>
      <c r="D718" s="109"/>
      <c r="E718" s="109"/>
      <c r="F718" s="110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</row>
    <row r="719" spans="1:24" ht="14.5">
      <c r="A719" s="109"/>
      <c r="B719" s="109"/>
      <c r="C719" s="109"/>
      <c r="D719" s="109"/>
      <c r="E719" s="109"/>
      <c r="F719" s="110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</row>
    <row r="720" spans="1:24" ht="14.5">
      <c r="A720" s="109"/>
      <c r="B720" s="109"/>
      <c r="C720" s="109"/>
      <c r="D720" s="109"/>
      <c r="E720" s="109"/>
      <c r="F720" s="110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</row>
    <row r="721" spans="1:24" ht="14.5">
      <c r="A721" s="109"/>
      <c r="B721" s="109"/>
      <c r="C721" s="109"/>
      <c r="D721" s="109"/>
      <c r="E721" s="109"/>
      <c r="F721" s="110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</row>
    <row r="722" spans="1:24" ht="14.5">
      <c r="A722" s="109"/>
      <c r="B722" s="109"/>
      <c r="C722" s="109"/>
      <c r="D722" s="109"/>
      <c r="E722" s="109"/>
      <c r="F722" s="110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</row>
    <row r="723" spans="1:24" ht="14.5">
      <c r="A723" s="109"/>
      <c r="B723" s="109"/>
      <c r="C723" s="109"/>
      <c r="D723" s="109"/>
      <c r="E723" s="109"/>
      <c r="F723" s="110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</row>
    <row r="724" spans="1:24" ht="14.5">
      <c r="A724" s="109"/>
      <c r="B724" s="109"/>
      <c r="C724" s="109"/>
      <c r="D724" s="109"/>
      <c r="E724" s="109"/>
      <c r="F724" s="110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</row>
    <row r="725" spans="1:24" ht="14.5">
      <c r="A725" s="109"/>
      <c r="B725" s="109"/>
      <c r="C725" s="109"/>
      <c r="D725" s="109"/>
      <c r="E725" s="109"/>
      <c r="F725" s="110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</row>
    <row r="726" spans="1:24" ht="14.5">
      <c r="A726" s="109"/>
      <c r="B726" s="109"/>
      <c r="C726" s="109"/>
      <c r="D726" s="109"/>
      <c r="E726" s="109"/>
      <c r="F726" s="110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</row>
    <row r="727" spans="1:24" ht="14.5">
      <c r="A727" s="109"/>
      <c r="B727" s="109"/>
      <c r="C727" s="109"/>
      <c r="D727" s="109"/>
      <c r="E727" s="109"/>
      <c r="F727" s="110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</row>
    <row r="728" spans="1:24" ht="14.5">
      <c r="A728" s="109"/>
      <c r="B728" s="109"/>
      <c r="C728" s="109"/>
      <c r="D728" s="109"/>
      <c r="E728" s="109"/>
      <c r="F728" s="110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</row>
    <row r="729" spans="1:24" ht="14.5">
      <c r="A729" s="109"/>
      <c r="B729" s="109"/>
      <c r="C729" s="109"/>
      <c r="D729" s="109"/>
      <c r="E729" s="109"/>
      <c r="F729" s="110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</row>
    <row r="730" spans="1:24" ht="14.5">
      <c r="A730" s="109"/>
      <c r="B730" s="109"/>
      <c r="C730" s="109"/>
      <c r="D730" s="109"/>
      <c r="E730" s="109"/>
      <c r="F730" s="110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</row>
    <row r="731" spans="1:24" ht="14.5">
      <c r="A731" s="109"/>
      <c r="B731" s="109"/>
      <c r="C731" s="109"/>
      <c r="D731" s="109"/>
      <c r="E731" s="109"/>
      <c r="F731" s="110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</row>
    <row r="732" spans="1:24" ht="14.5">
      <c r="A732" s="109"/>
      <c r="B732" s="109"/>
      <c r="C732" s="109"/>
      <c r="D732" s="109"/>
      <c r="E732" s="109"/>
      <c r="F732" s="110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</row>
    <row r="733" spans="1:24" ht="14.5">
      <c r="A733" s="109"/>
      <c r="B733" s="109"/>
      <c r="C733" s="109"/>
      <c r="D733" s="109"/>
      <c r="E733" s="109"/>
      <c r="F733" s="110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</row>
    <row r="734" spans="1:24" ht="14.5">
      <c r="A734" s="109"/>
      <c r="B734" s="109"/>
      <c r="C734" s="109"/>
      <c r="D734" s="109"/>
      <c r="E734" s="109"/>
      <c r="F734" s="110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</row>
    <row r="735" spans="1:24" ht="14.5">
      <c r="A735" s="109"/>
      <c r="B735" s="109"/>
      <c r="C735" s="109"/>
      <c r="D735" s="109"/>
      <c r="E735" s="109"/>
      <c r="F735" s="110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</row>
    <row r="736" spans="1:24" ht="14.5">
      <c r="A736" s="109"/>
      <c r="B736" s="109"/>
      <c r="C736" s="109"/>
      <c r="D736" s="109"/>
      <c r="E736" s="109"/>
      <c r="F736" s="110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</row>
    <row r="737" spans="1:24" ht="14.5">
      <c r="A737" s="109"/>
      <c r="B737" s="109"/>
      <c r="C737" s="109"/>
      <c r="D737" s="109"/>
      <c r="E737" s="109"/>
      <c r="F737" s="110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</row>
    <row r="738" spans="1:24" ht="14.5">
      <c r="A738" s="109"/>
      <c r="B738" s="109"/>
      <c r="C738" s="109"/>
      <c r="D738" s="109"/>
      <c r="E738" s="109"/>
      <c r="F738" s="110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</row>
    <row r="739" spans="1:24" ht="14.5">
      <c r="A739" s="109"/>
      <c r="B739" s="109"/>
      <c r="C739" s="109"/>
      <c r="D739" s="109"/>
      <c r="E739" s="109"/>
      <c r="F739" s="110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</row>
    <row r="740" spans="1:24" ht="14.5">
      <c r="A740" s="109"/>
      <c r="B740" s="109"/>
      <c r="C740" s="109"/>
      <c r="D740" s="109"/>
      <c r="E740" s="109"/>
      <c r="F740" s="110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</row>
    <row r="741" spans="1:24" ht="14.5">
      <c r="A741" s="109"/>
      <c r="B741" s="109"/>
      <c r="C741" s="109"/>
      <c r="D741" s="109"/>
      <c r="E741" s="109"/>
      <c r="F741" s="110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</row>
    <row r="742" spans="1:24" ht="14.5">
      <c r="A742" s="109"/>
      <c r="B742" s="109"/>
      <c r="C742" s="109"/>
      <c r="D742" s="109"/>
      <c r="E742" s="109"/>
      <c r="F742" s="110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</row>
    <row r="743" spans="1:24" ht="14.5">
      <c r="A743" s="109"/>
      <c r="B743" s="109"/>
      <c r="C743" s="109"/>
      <c r="D743" s="109"/>
      <c r="E743" s="109"/>
      <c r="F743" s="110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</row>
    <row r="744" spans="1:24" ht="14.5">
      <c r="A744" s="109"/>
      <c r="B744" s="109"/>
      <c r="C744" s="109"/>
      <c r="D744" s="109"/>
      <c r="E744" s="109"/>
      <c r="F744" s="110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</row>
    <row r="745" spans="1:24" ht="14.5">
      <c r="A745" s="109"/>
      <c r="B745" s="109"/>
      <c r="C745" s="109"/>
      <c r="D745" s="109"/>
      <c r="E745" s="109"/>
      <c r="F745" s="110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</row>
    <row r="746" spans="1:24" ht="14.5">
      <c r="A746" s="109"/>
      <c r="B746" s="109"/>
      <c r="C746" s="109"/>
      <c r="D746" s="109"/>
      <c r="E746" s="109"/>
      <c r="F746" s="110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</row>
    <row r="747" spans="1:24" ht="14.5">
      <c r="A747" s="109"/>
      <c r="B747" s="109"/>
      <c r="C747" s="109"/>
      <c r="D747" s="109"/>
      <c r="E747" s="109"/>
      <c r="F747" s="110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</row>
    <row r="748" spans="1:24" ht="14.5">
      <c r="A748" s="109"/>
      <c r="B748" s="109"/>
      <c r="C748" s="109"/>
      <c r="D748" s="109"/>
      <c r="E748" s="109"/>
      <c r="F748" s="110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</row>
    <row r="749" spans="1:24" ht="14.5">
      <c r="A749" s="109"/>
      <c r="B749" s="109"/>
      <c r="C749" s="109"/>
      <c r="D749" s="109"/>
      <c r="E749" s="109"/>
      <c r="F749" s="110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</row>
    <row r="750" spans="1:24" ht="14.5">
      <c r="A750" s="109"/>
      <c r="B750" s="109"/>
      <c r="C750" s="109"/>
      <c r="D750" s="109"/>
      <c r="E750" s="109"/>
      <c r="F750" s="110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</row>
    <row r="751" spans="1:24" ht="14.5">
      <c r="A751" s="109"/>
      <c r="B751" s="109"/>
      <c r="C751" s="109"/>
      <c r="D751" s="109"/>
      <c r="E751" s="109"/>
      <c r="F751" s="110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</row>
    <row r="752" spans="1:24" ht="14.5">
      <c r="A752" s="109"/>
      <c r="B752" s="109"/>
      <c r="C752" s="109"/>
      <c r="D752" s="109"/>
      <c r="E752" s="109"/>
      <c r="F752" s="110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</row>
    <row r="753" spans="1:24" ht="14.5">
      <c r="A753" s="109"/>
      <c r="B753" s="109"/>
      <c r="C753" s="109"/>
      <c r="D753" s="109"/>
      <c r="E753" s="109"/>
      <c r="F753" s="110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</row>
    <row r="754" spans="1:24" ht="14.5">
      <c r="A754" s="109"/>
      <c r="B754" s="109"/>
      <c r="C754" s="109"/>
      <c r="D754" s="109"/>
      <c r="E754" s="109"/>
      <c r="F754" s="110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</row>
    <row r="755" spans="1:24" ht="14.5">
      <c r="A755" s="109"/>
      <c r="B755" s="109"/>
      <c r="C755" s="109"/>
      <c r="D755" s="109"/>
      <c r="E755" s="109"/>
      <c r="F755" s="110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</row>
    <row r="756" spans="1:24" ht="14.5">
      <c r="A756" s="109"/>
      <c r="B756" s="109"/>
      <c r="C756" s="109"/>
      <c r="D756" s="109"/>
      <c r="E756" s="109"/>
      <c r="F756" s="110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</row>
    <row r="757" spans="1:24" ht="14.5">
      <c r="A757" s="109"/>
      <c r="B757" s="109"/>
      <c r="C757" s="109"/>
      <c r="D757" s="109"/>
      <c r="E757" s="109"/>
      <c r="F757" s="110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</row>
    <row r="758" spans="1:24" ht="14.5">
      <c r="A758" s="109"/>
      <c r="B758" s="109"/>
      <c r="C758" s="109"/>
      <c r="D758" s="109"/>
      <c r="E758" s="109"/>
      <c r="F758" s="110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</row>
    <row r="759" spans="1:24" ht="14.5">
      <c r="A759" s="109"/>
      <c r="B759" s="109"/>
      <c r="C759" s="109"/>
      <c r="D759" s="109"/>
      <c r="E759" s="109"/>
      <c r="F759" s="110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</row>
    <row r="760" spans="1:24" ht="14.5">
      <c r="A760" s="109"/>
      <c r="B760" s="109"/>
      <c r="C760" s="109"/>
      <c r="D760" s="109"/>
      <c r="E760" s="109"/>
      <c r="F760" s="110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</row>
    <row r="761" spans="1:24" ht="14.5">
      <c r="A761" s="109"/>
      <c r="B761" s="109"/>
      <c r="C761" s="109"/>
      <c r="D761" s="109"/>
      <c r="E761" s="109"/>
      <c r="F761" s="110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</row>
    <row r="762" spans="1:24" ht="14.5">
      <c r="A762" s="109"/>
      <c r="B762" s="109"/>
      <c r="C762" s="109"/>
      <c r="D762" s="109"/>
      <c r="E762" s="109"/>
      <c r="F762" s="110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</row>
    <row r="763" spans="1:24" ht="14.5">
      <c r="A763" s="109"/>
      <c r="B763" s="109"/>
      <c r="C763" s="109"/>
      <c r="D763" s="109"/>
      <c r="E763" s="109"/>
      <c r="F763" s="110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</row>
    <row r="764" spans="1:24" ht="14.5">
      <c r="A764" s="109"/>
      <c r="B764" s="109"/>
      <c r="C764" s="109"/>
      <c r="D764" s="109"/>
      <c r="E764" s="109"/>
      <c r="F764" s="110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</row>
    <row r="765" spans="1:24" ht="14.5">
      <c r="A765" s="109"/>
      <c r="B765" s="109"/>
      <c r="C765" s="109"/>
      <c r="D765" s="109"/>
      <c r="E765" s="109"/>
      <c r="F765" s="110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</row>
    <row r="766" spans="1:24" ht="14.5">
      <c r="A766" s="109"/>
      <c r="B766" s="109"/>
      <c r="C766" s="109"/>
      <c r="D766" s="109"/>
      <c r="E766" s="109"/>
      <c r="F766" s="110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</row>
    <row r="767" spans="1:24" ht="14.5">
      <c r="A767" s="109"/>
      <c r="B767" s="109"/>
      <c r="C767" s="109"/>
      <c r="D767" s="109"/>
      <c r="E767" s="109"/>
      <c r="F767" s="110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</row>
    <row r="768" spans="1:24" ht="14.5">
      <c r="A768" s="109"/>
      <c r="B768" s="109"/>
      <c r="C768" s="109"/>
      <c r="D768" s="109"/>
      <c r="E768" s="109"/>
      <c r="F768" s="110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</row>
    <row r="769" spans="1:24" ht="14.5">
      <c r="A769" s="109"/>
      <c r="B769" s="109"/>
      <c r="C769" s="109"/>
      <c r="D769" s="109"/>
      <c r="E769" s="109"/>
      <c r="F769" s="110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</row>
    <row r="770" spans="1:24" ht="14.5">
      <c r="A770" s="109"/>
      <c r="B770" s="109"/>
      <c r="C770" s="109"/>
      <c r="D770" s="109"/>
      <c r="E770" s="109"/>
      <c r="F770" s="110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</row>
    <row r="771" spans="1:24" ht="14.5">
      <c r="A771" s="109"/>
      <c r="B771" s="109"/>
      <c r="C771" s="109"/>
      <c r="D771" s="109"/>
      <c r="E771" s="109"/>
      <c r="F771" s="110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</row>
    <row r="772" spans="1:24" ht="14.5">
      <c r="A772" s="109"/>
      <c r="B772" s="109"/>
      <c r="C772" s="109"/>
      <c r="D772" s="109"/>
      <c r="E772" s="109"/>
      <c r="F772" s="110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</row>
    <row r="773" spans="1:24" ht="14.5">
      <c r="A773" s="109"/>
      <c r="B773" s="109"/>
      <c r="C773" s="109"/>
      <c r="D773" s="109"/>
      <c r="E773" s="109"/>
      <c r="F773" s="110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</row>
    <row r="774" spans="1:24" ht="14.5">
      <c r="A774" s="109"/>
      <c r="B774" s="109"/>
      <c r="C774" s="109"/>
      <c r="D774" s="109"/>
      <c r="E774" s="109"/>
      <c r="F774" s="110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</row>
    <row r="775" spans="1:24" ht="14.5">
      <c r="A775" s="109"/>
      <c r="B775" s="109"/>
      <c r="C775" s="109"/>
      <c r="D775" s="109"/>
      <c r="E775" s="109"/>
      <c r="F775" s="110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</row>
    <row r="776" spans="1:24" ht="14.5">
      <c r="A776" s="109"/>
      <c r="B776" s="109"/>
      <c r="C776" s="109"/>
      <c r="D776" s="109"/>
      <c r="E776" s="109"/>
      <c r="F776" s="110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</row>
    <row r="777" spans="1:24" ht="14.5">
      <c r="A777" s="109"/>
      <c r="B777" s="109"/>
      <c r="C777" s="109"/>
      <c r="D777" s="109"/>
      <c r="E777" s="109"/>
      <c r="F777" s="110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</row>
    <row r="778" spans="1:24" ht="14.5">
      <c r="A778" s="109"/>
      <c r="B778" s="109"/>
      <c r="C778" s="109"/>
      <c r="D778" s="109"/>
      <c r="E778" s="109"/>
      <c r="F778" s="110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</row>
    <row r="779" spans="1:24" ht="14.5">
      <c r="A779" s="109"/>
      <c r="B779" s="109"/>
      <c r="C779" s="109"/>
      <c r="D779" s="109"/>
      <c r="E779" s="109"/>
      <c r="F779" s="110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</row>
    <row r="780" spans="1:24" ht="14.5">
      <c r="A780" s="109"/>
      <c r="B780" s="109"/>
      <c r="C780" s="109"/>
      <c r="D780" s="109"/>
      <c r="E780" s="109"/>
      <c r="F780" s="110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</row>
    <row r="781" spans="1:24" ht="14.5">
      <c r="A781" s="109"/>
      <c r="B781" s="109"/>
      <c r="C781" s="109"/>
      <c r="D781" s="109"/>
      <c r="E781" s="109"/>
      <c r="F781" s="110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</row>
    <row r="782" spans="1:24" ht="14.5">
      <c r="A782" s="109"/>
      <c r="B782" s="109"/>
      <c r="C782" s="109"/>
      <c r="D782" s="109"/>
      <c r="E782" s="109"/>
      <c r="F782" s="110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</row>
    <row r="783" spans="1:24" ht="14.5">
      <c r="A783" s="109"/>
      <c r="B783" s="109"/>
      <c r="C783" s="109"/>
      <c r="D783" s="109"/>
      <c r="E783" s="109"/>
      <c r="F783" s="110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</row>
    <row r="784" spans="1:24" ht="14.5">
      <c r="A784" s="109"/>
      <c r="B784" s="109"/>
      <c r="C784" s="109"/>
      <c r="D784" s="109"/>
      <c r="E784" s="109"/>
      <c r="F784" s="110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</row>
    <row r="785" spans="1:24" ht="14.5">
      <c r="A785" s="109"/>
      <c r="B785" s="109"/>
      <c r="C785" s="109"/>
      <c r="D785" s="109"/>
      <c r="E785" s="109"/>
      <c r="F785" s="110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</row>
    <row r="786" spans="1:24" ht="14.5">
      <c r="A786" s="109"/>
      <c r="B786" s="109"/>
      <c r="C786" s="109"/>
      <c r="D786" s="109"/>
      <c r="E786" s="109"/>
      <c r="F786" s="110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</row>
    <row r="787" spans="1:24" ht="14.5">
      <c r="A787" s="109"/>
      <c r="B787" s="109"/>
      <c r="C787" s="109"/>
      <c r="D787" s="109"/>
      <c r="E787" s="109"/>
      <c r="F787" s="110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</row>
    <row r="788" spans="1:24" ht="14.5">
      <c r="A788" s="109"/>
      <c r="B788" s="109"/>
      <c r="C788" s="109"/>
      <c r="D788" s="109"/>
      <c r="E788" s="109"/>
      <c r="F788" s="110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</row>
    <row r="789" spans="1:24" ht="14.5">
      <c r="A789" s="109"/>
      <c r="B789" s="109"/>
      <c r="C789" s="109"/>
      <c r="D789" s="109"/>
      <c r="E789" s="109"/>
      <c r="F789" s="110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</row>
    <row r="790" spans="1:24" ht="14.5">
      <c r="A790" s="109"/>
      <c r="B790" s="109"/>
      <c r="C790" s="109"/>
      <c r="D790" s="109"/>
      <c r="E790" s="109"/>
      <c r="F790" s="110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</row>
    <row r="791" spans="1:24" ht="14.5">
      <c r="A791" s="109"/>
      <c r="B791" s="109"/>
      <c r="C791" s="109"/>
      <c r="D791" s="109"/>
      <c r="E791" s="109"/>
      <c r="F791" s="110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</row>
    <row r="792" spans="1:24" ht="14.5">
      <c r="A792" s="109"/>
      <c r="B792" s="109"/>
      <c r="C792" s="109"/>
      <c r="D792" s="109"/>
      <c r="E792" s="109"/>
      <c r="F792" s="110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</row>
    <row r="793" spans="1:24" ht="14.5">
      <c r="A793" s="109"/>
      <c r="B793" s="109"/>
      <c r="C793" s="109"/>
      <c r="D793" s="109"/>
      <c r="E793" s="109"/>
      <c r="F793" s="110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</row>
    <row r="794" spans="1:24" ht="14.5">
      <c r="A794" s="109"/>
      <c r="B794" s="109"/>
      <c r="C794" s="109"/>
      <c r="D794" s="109"/>
      <c r="E794" s="109"/>
      <c r="F794" s="110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</row>
    <row r="795" spans="1:24" ht="14.5">
      <c r="A795" s="109"/>
      <c r="B795" s="109"/>
      <c r="C795" s="109"/>
      <c r="D795" s="109"/>
      <c r="E795" s="109"/>
      <c r="F795" s="110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</row>
    <row r="796" spans="1:24" ht="14.5">
      <c r="A796" s="109"/>
      <c r="B796" s="109"/>
      <c r="C796" s="109"/>
      <c r="D796" s="109"/>
      <c r="E796" s="109"/>
      <c r="F796" s="110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</row>
    <row r="797" spans="1:24" ht="14.5">
      <c r="A797" s="109"/>
      <c r="B797" s="109"/>
      <c r="C797" s="109"/>
      <c r="D797" s="109"/>
      <c r="E797" s="109"/>
      <c r="F797" s="110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</row>
    <row r="798" spans="1:24" ht="14.5">
      <c r="A798" s="109"/>
      <c r="B798" s="109"/>
      <c r="C798" s="109"/>
      <c r="D798" s="109"/>
      <c r="E798" s="109"/>
      <c r="F798" s="110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</row>
    <row r="799" spans="1:24" ht="14.5">
      <c r="A799" s="109"/>
      <c r="B799" s="109"/>
      <c r="C799" s="109"/>
      <c r="D799" s="109"/>
      <c r="E799" s="109"/>
      <c r="F799" s="110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</row>
    <row r="800" spans="1:24" ht="14.5">
      <c r="A800" s="109"/>
      <c r="B800" s="109"/>
      <c r="C800" s="109"/>
      <c r="D800" s="109"/>
      <c r="E800" s="109"/>
      <c r="F800" s="110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</row>
    <row r="801" spans="1:24" ht="14.5">
      <c r="A801" s="109"/>
      <c r="B801" s="109"/>
      <c r="C801" s="109"/>
      <c r="D801" s="109"/>
      <c r="E801" s="109"/>
      <c r="F801" s="110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</row>
    <row r="802" spans="1:24" ht="14.5">
      <c r="A802" s="109"/>
      <c r="B802" s="109"/>
      <c r="C802" s="109"/>
      <c r="D802" s="109"/>
      <c r="E802" s="109"/>
      <c r="F802" s="110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</row>
    <row r="803" spans="1:24" ht="14.5">
      <c r="A803" s="109"/>
      <c r="B803" s="109"/>
      <c r="C803" s="109"/>
      <c r="D803" s="109"/>
      <c r="E803" s="109"/>
      <c r="F803" s="110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</row>
    <row r="804" spans="1:24" ht="14.5">
      <c r="A804" s="109"/>
      <c r="B804" s="109"/>
      <c r="C804" s="109"/>
      <c r="D804" s="109"/>
      <c r="E804" s="109"/>
      <c r="F804" s="110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</row>
    <row r="805" spans="1:24" ht="14.5">
      <c r="A805" s="109"/>
      <c r="B805" s="109"/>
      <c r="C805" s="109"/>
      <c r="D805" s="109"/>
      <c r="E805" s="109"/>
      <c r="F805" s="110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</row>
    <row r="806" spans="1:24" ht="14.5">
      <c r="A806" s="109"/>
      <c r="B806" s="109"/>
      <c r="C806" s="109"/>
      <c r="D806" s="109"/>
      <c r="E806" s="109"/>
      <c r="F806" s="110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</row>
    <row r="807" spans="1:24" ht="14.5">
      <c r="A807" s="109"/>
      <c r="B807" s="109"/>
      <c r="C807" s="109"/>
      <c r="D807" s="109"/>
      <c r="E807" s="109"/>
      <c r="F807" s="110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</row>
    <row r="808" spans="1:24" ht="14.5">
      <c r="A808" s="109"/>
      <c r="B808" s="109"/>
      <c r="C808" s="109"/>
      <c r="D808" s="109"/>
      <c r="E808" s="109"/>
      <c r="F808" s="110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</row>
    <row r="809" spans="1:24" ht="14.5">
      <c r="A809" s="109"/>
      <c r="B809" s="109"/>
      <c r="C809" s="109"/>
      <c r="D809" s="109"/>
      <c r="E809" s="109"/>
      <c r="F809" s="110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</row>
    <row r="810" spans="1:24" ht="14.5">
      <c r="A810" s="109"/>
      <c r="B810" s="109"/>
      <c r="C810" s="109"/>
      <c r="D810" s="109"/>
      <c r="E810" s="109"/>
      <c r="F810" s="110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</row>
    <row r="811" spans="1:24" ht="14.5">
      <c r="A811" s="109"/>
      <c r="B811" s="109"/>
      <c r="C811" s="109"/>
      <c r="D811" s="109"/>
      <c r="E811" s="109"/>
      <c r="F811" s="110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</row>
    <row r="812" spans="1:24" ht="14.5">
      <c r="A812" s="109"/>
      <c r="B812" s="109"/>
      <c r="C812" s="109"/>
      <c r="D812" s="109"/>
      <c r="E812" s="109"/>
      <c r="F812" s="110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</row>
    <row r="813" spans="1:24" ht="14.5">
      <c r="A813" s="109"/>
      <c r="B813" s="109"/>
      <c r="C813" s="109"/>
      <c r="D813" s="109"/>
      <c r="E813" s="109"/>
      <c r="F813" s="110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</row>
    <row r="814" spans="1:24" ht="14.5">
      <c r="A814" s="109"/>
      <c r="B814" s="109"/>
      <c r="C814" s="109"/>
      <c r="D814" s="109"/>
      <c r="E814" s="109"/>
      <c r="F814" s="110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</row>
    <row r="815" spans="1:24" ht="14.5">
      <c r="A815" s="109"/>
      <c r="B815" s="109"/>
      <c r="C815" s="109"/>
      <c r="D815" s="109"/>
      <c r="E815" s="109"/>
      <c r="F815" s="110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</row>
    <row r="816" spans="1:24" ht="14.5">
      <c r="A816" s="109"/>
      <c r="B816" s="109"/>
      <c r="C816" s="109"/>
      <c r="D816" s="109"/>
      <c r="E816" s="109"/>
      <c r="F816" s="110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</row>
    <row r="817" spans="1:24" ht="14.5">
      <c r="A817" s="109"/>
      <c r="B817" s="109"/>
      <c r="C817" s="109"/>
      <c r="D817" s="109"/>
      <c r="E817" s="109"/>
      <c r="F817" s="110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</row>
    <row r="818" spans="1:24" ht="14.5">
      <c r="A818" s="109"/>
      <c r="B818" s="109"/>
      <c r="C818" s="109"/>
      <c r="D818" s="109"/>
      <c r="E818" s="109"/>
      <c r="F818" s="110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</row>
    <row r="819" spans="1:24" ht="14.5">
      <c r="A819" s="109"/>
      <c r="B819" s="109"/>
      <c r="C819" s="109"/>
      <c r="D819" s="109"/>
      <c r="E819" s="109"/>
      <c r="F819" s="110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</row>
    <row r="820" spans="1:24" ht="14.5">
      <c r="A820" s="109"/>
      <c r="B820" s="109"/>
      <c r="C820" s="109"/>
      <c r="D820" s="109"/>
      <c r="E820" s="109"/>
      <c r="F820" s="110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</row>
    <row r="821" spans="1:24" ht="14.5">
      <c r="A821" s="109"/>
      <c r="B821" s="109"/>
      <c r="C821" s="109"/>
      <c r="D821" s="109"/>
      <c r="E821" s="109"/>
      <c r="F821" s="110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</row>
    <row r="822" spans="1:24" ht="14.5">
      <c r="A822" s="109"/>
      <c r="B822" s="109"/>
      <c r="C822" s="109"/>
      <c r="D822" s="109"/>
      <c r="E822" s="109"/>
      <c r="F822" s="110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</row>
    <row r="823" spans="1:24" ht="14.5">
      <c r="A823" s="109"/>
      <c r="B823" s="109"/>
      <c r="C823" s="109"/>
      <c r="D823" s="109"/>
      <c r="E823" s="109"/>
      <c r="F823" s="110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</row>
    <row r="824" spans="1:24" ht="14.5">
      <c r="A824" s="109"/>
      <c r="B824" s="109"/>
      <c r="C824" s="109"/>
      <c r="D824" s="109"/>
      <c r="E824" s="109"/>
      <c r="F824" s="110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</row>
    <row r="825" spans="1:24" ht="14.5">
      <c r="A825" s="109"/>
      <c r="B825" s="109"/>
      <c r="C825" s="109"/>
      <c r="D825" s="109"/>
      <c r="E825" s="109"/>
      <c r="F825" s="110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</row>
    <row r="826" spans="1:24" ht="14.5">
      <c r="A826" s="109"/>
      <c r="B826" s="109"/>
      <c r="C826" s="109"/>
      <c r="D826" s="109"/>
      <c r="E826" s="109"/>
      <c r="F826" s="110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</row>
    <row r="827" spans="1:24" ht="14.5">
      <c r="A827" s="109"/>
      <c r="B827" s="109"/>
      <c r="C827" s="109"/>
      <c r="D827" s="109"/>
      <c r="E827" s="109"/>
      <c r="F827" s="110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</row>
    <row r="828" spans="1:24" ht="14.5">
      <c r="A828" s="109"/>
      <c r="B828" s="109"/>
      <c r="C828" s="109"/>
      <c r="D828" s="109"/>
      <c r="E828" s="109"/>
      <c r="F828" s="110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</row>
    <row r="829" spans="1:24" ht="14.5">
      <c r="A829" s="109"/>
      <c r="B829" s="109"/>
      <c r="C829" s="109"/>
      <c r="D829" s="109"/>
      <c r="E829" s="109"/>
      <c r="F829" s="110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</row>
    <row r="830" spans="1:24" ht="14.5">
      <c r="A830" s="109"/>
      <c r="B830" s="109"/>
      <c r="C830" s="109"/>
      <c r="D830" s="109"/>
      <c r="E830" s="109"/>
      <c r="F830" s="110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</row>
    <row r="831" spans="1:24" ht="14.5">
      <c r="A831" s="109"/>
      <c r="B831" s="109"/>
      <c r="C831" s="109"/>
      <c r="D831" s="109"/>
      <c r="E831" s="109"/>
      <c r="F831" s="110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</row>
    <row r="832" spans="1:24" ht="14.5">
      <c r="A832" s="109"/>
      <c r="B832" s="109"/>
      <c r="C832" s="109"/>
      <c r="D832" s="109"/>
      <c r="E832" s="109"/>
      <c r="F832" s="110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</row>
    <row r="833" spans="1:24" ht="14.5">
      <c r="A833" s="109"/>
      <c r="B833" s="109"/>
      <c r="C833" s="109"/>
      <c r="D833" s="109"/>
      <c r="E833" s="109"/>
      <c r="F833" s="110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</row>
    <row r="834" spans="1:24" ht="14.5">
      <c r="A834" s="109"/>
      <c r="B834" s="109"/>
      <c r="C834" s="109"/>
      <c r="D834" s="109"/>
      <c r="E834" s="109"/>
      <c r="F834" s="110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</row>
    <row r="835" spans="1:24" ht="14.5">
      <c r="A835" s="109"/>
      <c r="B835" s="109"/>
      <c r="C835" s="109"/>
      <c r="D835" s="109"/>
      <c r="E835" s="109"/>
      <c r="F835" s="110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</row>
    <row r="836" spans="1:24" ht="14.5">
      <c r="A836" s="109"/>
      <c r="B836" s="109"/>
      <c r="C836" s="109"/>
      <c r="D836" s="109"/>
      <c r="E836" s="109"/>
      <c r="F836" s="110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</row>
    <row r="837" spans="1:24" ht="14.5">
      <c r="A837" s="109"/>
      <c r="B837" s="109"/>
      <c r="C837" s="109"/>
      <c r="D837" s="109"/>
      <c r="E837" s="109"/>
      <c r="F837" s="110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</row>
    <row r="838" spans="1:24" ht="14.5">
      <c r="A838" s="109"/>
      <c r="B838" s="109"/>
      <c r="C838" s="109"/>
      <c r="D838" s="109"/>
      <c r="E838" s="109"/>
      <c r="F838" s="110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</row>
    <row r="839" spans="1:24" ht="14.5">
      <c r="A839" s="109"/>
      <c r="B839" s="109"/>
      <c r="C839" s="109"/>
      <c r="D839" s="109"/>
      <c r="E839" s="109"/>
      <c r="F839" s="110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</row>
    <row r="840" spans="1:24" ht="14.5">
      <c r="A840" s="109"/>
      <c r="B840" s="109"/>
      <c r="C840" s="109"/>
      <c r="D840" s="109"/>
      <c r="E840" s="109"/>
      <c r="F840" s="110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</row>
    <row r="841" spans="1:24" ht="14.5">
      <c r="A841" s="109"/>
      <c r="B841" s="109"/>
      <c r="C841" s="109"/>
      <c r="D841" s="109"/>
      <c r="E841" s="109"/>
      <c r="F841" s="110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</row>
    <row r="842" spans="1:24" ht="14.5">
      <c r="A842" s="109"/>
      <c r="B842" s="109"/>
      <c r="C842" s="109"/>
      <c r="D842" s="109"/>
      <c r="E842" s="109"/>
      <c r="F842" s="110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</row>
    <row r="843" spans="1:24" ht="14.5">
      <c r="A843" s="109"/>
      <c r="B843" s="109"/>
      <c r="C843" s="109"/>
      <c r="D843" s="109"/>
      <c r="E843" s="109"/>
      <c r="F843" s="110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</row>
    <row r="844" spans="1:24" ht="14.5">
      <c r="A844" s="109"/>
      <c r="B844" s="109"/>
      <c r="C844" s="109"/>
      <c r="D844" s="109"/>
      <c r="E844" s="109"/>
      <c r="F844" s="110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</row>
    <row r="845" spans="1:24" ht="14.5">
      <c r="A845" s="109"/>
      <c r="B845" s="109"/>
      <c r="C845" s="109"/>
      <c r="D845" s="109"/>
      <c r="E845" s="109"/>
      <c r="F845" s="110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</row>
    <row r="846" spans="1:24" ht="14.5">
      <c r="A846" s="109"/>
      <c r="B846" s="109"/>
      <c r="C846" s="109"/>
      <c r="D846" s="109"/>
      <c r="E846" s="109"/>
      <c r="F846" s="110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</row>
    <row r="847" spans="1:24" ht="14.5">
      <c r="A847" s="109"/>
      <c r="B847" s="109"/>
      <c r="C847" s="109"/>
      <c r="D847" s="109"/>
      <c r="E847" s="109"/>
      <c r="F847" s="110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</row>
    <row r="848" spans="1:24" ht="14.5">
      <c r="A848" s="109"/>
      <c r="B848" s="109"/>
      <c r="C848" s="109"/>
      <c r="D848" s="109"/>
      <c r="E848" s="109"/>
      <c r="F848" s="110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</row>
    <row r="849" spans="1:24" ht="14.5">
      <c r="A849" s="109"/>
      <c r="B849" s="109"/>
      <c r="C849" s="109"/>
      <c r="D849" s="109"/>
      <c r="E849" s="109"/>
      <c r="F849" s="110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</row>
    <row r="850" spans="1:24" ht="14.5">
      <c r="A850" s="109"/>
      <c r="B850" s="109"/>
      <c r="C850" s="109"/>
      <c r="D850" s="109"/>
      <c r="E850" s="109"/>
      <c r="F850" s="110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</row>
    <row r="851" spans="1:24" ht="14.5">
      <c r="A851" s="109"/>
      <c r="B851" s="109"/>
      <c r="C851" s="109"/>
      <c r="D851" s="109"/>
      <c r="E851" s="109"/>
      <c r="F851" s="110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</row>
    <row r="852" spans="1:24" ht="14.5">
      <c r="A852" s="109"/>
      <c r="B852" s="109"/>
      <c r="C852" s="109"/>
      <c r="D852" s="109"/>
      <c r="E852" s="109"/>
      <c r="F852" s="110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</row>
    <row r="853" spans="1:24" ht="14.5">
      <c r="A853" s="109"/>
      <c r="B853" s="109"/>
      <c r="C853" s="109"/>
      <c r="D853" s="109"/>
      <c r="E853" s="109"/>
      <c r="F853" s="110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</row>
    <row r="854" spans="1:24" ht="14.5">
      <c r="A854" s="109"/>
      <c r="B854" s="109"/>
      <c r="C854" s="109"/>
      <c r="D854" s="109"/>
      <c r="E854" s="109"/>
      <c r="F854" s="110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</row>
    <row r="855" spans="1:24" ht="14.5">
      <c r="A855" s="109"/>
      <c r="B855" s="109"/>
      <c r="C855" s="109"/>
      <c r="D855" s="109"/>
      <c r="E855" s="109"/>
      <c r="F855" s="110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</row>
    <row r="856" spans="1:24" ht="14.5">
      <c r="A856" s="109"/>
      <c r="B856" s="109"/>
      <c r="C856" s="109"/>
      <c r="D856" s="109"/>
      <c r="E856" s="109"/>
      <c r="F856" s="110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</row>
    <row r="857" spans="1:24" ht="14.5">
      <c r="A857" s="109"/>
      <c r="B857" s="109"/>
      <c r="C857" s="109"/>
      <c r="D857" s="109"/>
      <c r="E857" s="109"/>
      <c r="F857" s="110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</row>
    <row r="858" spans="1:24" ht="14.5">
      <c r="A858" s="109"/>
      <c r="B858" s="109"/>
      <c r="C858" s="109"/>
      <c r="D858" s="109"/>
      <c r="E858" s="109"/>
      <c r="F858" s="110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</row>
    <row r="859" spans="1:24" ht="14.5">
      <c r="A859" s="109"/>
      <c r="B859" s="109"/>
      <c r="C859" s="109"/>
      <c r="D859" s="109"/>
      <c r="E859" s="109"/>
      <c r="F859" s="110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</row>
    <row r="860" spans="1:24" ht="14.5">
      <c r="A860" s="109"/>
      <c r="B860" s="109"/>
      <c r="C860" s="109"/>
      <c r="D860" s="109"/>
      <c r="E860" s="109"/>
      <c r="F860" s="110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</row>
    <row r="861" spans="1:24" ht="14.5">
      <c r="A861" s="109"/>
      <c r="B861" s="109"/>
      <c r="C861" s="109"/>
      <c r="D861" s="109"/>
      <c r="E861" s="109"/>
      <c r="F861" s="110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</row>
    <row r="862" spans="1:24" ht="14.5">
      <c r="A862" s="109"/>
      <c r="B862" s="109"/>
      <c r="C862" s="109"/>
      <c r="D862" s="109"/>
      <c r="E862" s="109"/>
      <c r="F862" s="110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</row>
    <row r="863" spans="1:24" ht="14.5">
      <c r="A863" s="109"/>
      <c r="B863" s="109"/>
      <c r="C863" s="109"/>
      <c r="D863" s="109"/>
      <c r="E863" s="109"/>
      <c r="F863" s="110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</row>
    <row r="864" spans="1:24" ht="14.5">
      <c r="A864" s="109"/>
      <c r="B864" s="109"/>
      <c r="C864" s="109"/>
      <c r="D864" s="109"/>
      <c r="E864" s="109"/>
      <c r="F864" s="110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</row>
    <row r="865" spans="1:24" ht="14.5">
      <c r="A865" s="109"/>
      <c r="B865" s="109"/>
      <c r="C865" s="109"/>
      <c r="D865" s="109"/>
      <c r="E865" s="109"/>
      <c r="F865" s="110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</row>
    <row r="866" spans="1:24" ht="14.5">
      <c r="A866" s="109"/>
      <c r="B866" s="109"/>
      <c r="C866" s="109"/>
      <c r="D866" s="109"/>
      <c r="E866" s="109"/>
      <c r="F866" s="110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</row>
    <row r="867" spans="1:24" ht="14.5">
      <c r="A867" s="109"/>
      <c r="B867" s="109"/>
      <c r="C867" s="109"/>
      <c r="D867" s="109"/>
      <c r="E867" s="109"/>
      <c r="F867" s="110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</row>
    <row r="868" spans="1:24" ht="14.5">
      <c r="A868" s="109"/>
      <c r="B868" s="109"/>
      <c r="C868" s="109"/>
      <c r="D868" s="109"/>
      <c r="E868" s="109"/>
      <c r="F868" s="110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</row>
    <row r="869" spans="1:24" ht="14.5">
      <c r="A869" s="109"/>
      <c r="B869" s="109"/>
      <c r="C869" s="109"/>
      <c r="D869" s="109"/>
      <c r="E869" s="109"/>
      <c r="F869" s="110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</row>
    <row r="870" spans="1:24" ht="14.5">
      <c r="A870" s="109"/>
      <c r="B870" s="109"/>
      <c r="C870" s="109"/>
      <c r="D870" s="109"/>
      <c r="E870" s="109"/>
      <c r="F870" s="110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</row>
    <row r="871" spans="1:24" ht="14.5">
      <c r="A871" s="109"/>
      <c r="B871" s="109"/>
      <c r="C871" s="109"/>
      <c r="D871" s="109"/>
      <c r="E871" s="109"/>
      <c r="F871" s="110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</row>
    <row r="872" spans="1:24" ht="14.5">
      <c r="A872" s="109"/>
      <c r="B872" s="109"/>
      <c r="C872" s="109"/>
      <c r="D872" s="109"/>
      <c r="E872" s="109"/>
      <c r="F872" s="110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</row>
    <row r="873" spans="1:24" ht="14.5">
      <c r="A873" s="109"/>
      <c r="B873" s="109"/>
      <c r="C873" s="109"/>
      <c r="D873" s="109"/>
      <c r="E873" s="109"/>
      <c r="F873" s="110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</row>
    <row r="874" spans="1:24" ht="14.5">
      <c r="A874" s="109"/>
      <c r="B874" s="109"/>
      <c r="C874" s="109"/>
      <c r="D874" s="109"/>
      <c r="E874" s="109"/>
      <c r="F874" s="110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</row>
    <row r="875" spans="1:24" ht="14.5">
      <c r="A875" s="109"/>
      <c r="B875" s="109"/>
      <c r="C875" s="109"/>
      <c r="D875" s="109"/>
      <c r="E875" s="109"/>
      <c r="F875" s="110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</row>
    <row r="876" spans="1:24" ht="14.5">
      <c r="A876" s="109"/>
      <c r="B876" s="109"/>
      <c r="C876" s="109"/>
      <c r="D876" s="109"/>
      <c r="E876" s="109"/>
      <c r="F876" s="110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</row>
    <row r="877" spans="1:24" ht="14.5">
      <c r="A877" s="109"/>
      <c r="B877" s="109"/>
      <c r="C877" s="109"/>
      <c r="D877" s="109"/>
      <c r="E877" s="109"/>
      <c r="F877" s="110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</row>
    <row r="878" spans="1:24" ht="14.5">
      <c r="A878" s="109"/>
      <c r="B878" s="109"/>
      <c r="C878" s="109"/>
      <c r="D878" s="109"/>
      <c r="E878" s="109"/>
      <c r="F878" s="110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</row>
    <row r="879" spans="1:24" ht="14.5">
      <c r="A879" s="109"/>
      <c r="B879" s="109"/>
      <c r="C879" s="109"/>
      <c r="D879" s="109"/>
      <c r="E879" s="109"/>
      <c r="F879" s="110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</row>
    <row r="880" spans="1:24" ht="14.5">
      <c r="A880" s="109"/>
      <c r="B880" s="109"/>
      <c r="C880" s="109"/>
      <c r="D880" s="109"/>
      <c r="E880" s="109"/>
      <c r="F880" s="110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</row>
    <row r="881" spans="1:24" ht="14.5">
      <c r="A881" s="109"/>
      <c r="B881" s="109"/>
      <c r="C881" s="109"/>
      <c r="D881" s="109"/>
      <c r="E881" s="109"/>
      <c r="F881" s="110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</row>
    <row r="882" spans="1:24" ht="14.5">
      <c r="A882" s="109"/>
      <c r="B882" s="109"/>
      <c r="C882" s="109"/>
      <c r="D882" s="109"/>
      <c r="E882" s="109"/>
      <c r="F882" s="110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</row>
    <row r="883" spans="1:24" ht="14.5">
      <c r="A883" s="109"/>
      <c r="B883" s="109"/>
      <c r="C883" s="109"/>
      <c r="D883" s="109"/>
      <c r="E883" s="109"/>
      <c r="F883" s="110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</row>
    <row r="884" spans="1:24" ht="14.5">
      <c r="A884" s="109"/>
      <c r="B884" s="109"/>
      <c r="C884" s="109"/>
      <c r="D884" s="109"/>
      <c r="E884" s="109"/>
      <c r="F884" s="110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</row>
    <row r="885" spans="1:24" ht="14.5">
      <c r="A885" s="109"/>
      <c r="B885" s="109"/>
      <c r="C885" s="109"/>
      <c r="D885" s="109"/>
      <c r="E885" s="109"/>
      <c r="F885" s="110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</row>
    <row r="886" spans="1:24" ht="14.5">
      <c r="A886" s="109"/>
      <c r="B886" s="109"/>
      <c r="C886" s="109"/>
      <c r="D886" s="109"/>
      <c r="E886" s="109"/>
      <c r="F886" s="110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</row>
    <row r="887" spans="1:24" ht="14.5">
      <c r="A887" s="109"/>
      <c r="B887" s="109"/>
      <c r="C887" s="109"/>
      <c r="D887" s="109"/>
      <c r="E887" s="109"/>
      <c r="F887" s="110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</row>
    <row r="888" spans="1:24" ht="14.5">
      <c r="A888" s="109"/>
      <c r="B888" s="109"/>
      <c r="C888" s="109"/>
      <c r="D888" s="109"/>
      <c r="E888" s="109"/>
      <c r="F888" s="110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</row>
    <row r="889" spans="1:24" ht="14.5">
      <c r="A889" s="109"/>
      <c r="B889" s="109"/>
      <c r="C889" s="109"/>
      <c r="D889" s="109"/>
      <c r="E889" s="109"/>
      <c r="F889" s="110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</row>
    <row r="890" spans="1:24" ht="14.5">
      <c r="A890" s="109"/>
      <c r="B890" s="109"/>
      <c r="C890" s="109"/>
      <c r="D890" s="109"/>
      <c r="E890" s="109"/>
      <c r="F890" s="110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</row>
    <row r="891" spans="1:24" ht="14.5">
      <c r="A891" s="109"/>
      <c r="B891" s="109"/>
      <c r="C891" s="109"/>
      <c r="D891" s="109"/>
      <c r="E891" s="109"/>
      <c r="F891" s="110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</row>
    <row r="892" spans="1:24" ht="14.5">
      <c r="A892" s="109"/>
      <c r="B892" s="109"/>
      <c r="C892" s="109"/>
      <c r="D892" s="109"/>
      <c r="E892" s="109"/>
      <c r="F892" s="110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</row>
    <row r="893" spans="1:24" ht="14.5">
      <c r="A893" s="109"/>
      <c r="B893" s="109"/>
      <c r="C893" s="109"/>
      <c r="D893" s="109"/>
      <c r="E893" s="109"/>
      <c r="F893" s="110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</row>
    <row r="894" spans="1:24" ht="14.5">
      <c r="A894" s="109"/>
      <c r="B894" s="109"/>
      <c r="C894" s="109"/>
      <c r="D894" s="109"/>
      <c r="E894" s="109"/>
      <c r="F894" s="110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</row>
    <row r="895" spans="1:24" ht="14.5">
      <c r="A895" s="109"/>
      <c r="B895" s="109"/>
      <c r="C895" s="109"/>
      <c r="D895" s="109"/>
      <c r="E895" s="109"/>
      <c r="F895" s="110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</row>
    <row r="896" spans="1:24" ht="14.5">
      <c r="A896" s="109"/>
      <c r="B896" s="109"/>
      <c r="C896" s="109"/>
      <c r="D896" s="109"/>
      <c r="E896" s="109"/>
      <c r="F896" s="110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</row>
    <row r="897" spans="1:24" ht="14.5">
      <c r="A897" s="109"/>
      <c r="B897" s="109"/>
      <c r="C897" s="109"/>
      <c r="D897" s="109"/>
      <c r="E897" s="109"/>
      <c r="F897" s="110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</row>
    <row r="898" spans="1:24" ht="14.5">
      <c r="A898" s="109"/>
      <c r="B898" s="109"/>
      <c r="C898" s="109"/>
      <c r="D898" s="109"/>
      <c r="E898" s="109"/>
      <c r="F898" s="110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</row>
    <row r="899" spans="1:24" ht="14.5">
      <c r="A899" s="109"/>
      <c r="B899" s="109"/>
      <c r="C899" s="109"/>
      <c r="D899" s="109"/>
      <c r="E899" s="109"/>
      <c r="F899" s="110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</row>
    <row r="900" spans="1:24" ht="14.5">
      <c r="A900" s="109"/>
      <c r="B900" s="109"/>
      <c r="C900" s="109"/>
      <c r="D900" s="109"/>
      <c r="E900" s="109"/>
      <c r="F900" s="110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</row>
    <row r="901" spans="1:24" ht="14.5">
      <c r="A901" s="109"/>
      <c r="B901" s="109"/>
      <c r="C901" s="109"/>
      <c r="D901" s="109"/>
      <c r="E901" s="109"/>
      <c r="F901" s="110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</row>
    <row r="902" spans="1:24" ht="14.5">
      <c r="A902" s="109"/>
      <c r="B902" s="109"/>
      <c r="C902" s="109"/>
      <c r="D902" s="109"/>
      <c r="E902" s="109"/>
      <c r="F902" s="110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</row>
    <row r="903" spans="1:24" ht="14.5">
      <c r="A903" s="109"/>
      <c r="B903" s="109"/>
      <c r="C903" s="109"/>
      <c r="D903" s="109"/>
      <c r="E903" s="109"/>
      <c r="F903" s="110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</row>
    <row r="904" spans="1:24" ht="14.5">
      <c r="A904" s="109"/>
      <c r="B904" s="109"/>
      <c r="C904" s="109"/>
      <c r="D904" s="109"/>
      <c r="E904" s="109"/>
      <c r="F904" s="110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</row>
    <row r="905" spans="1:24" ht="14.5">
      <c r="A905" s="109"/>
      <c r="B905" s="109"/>
      <c r="C905" s="109"/>
      <c r="D905" s="109"/>
      <c r="E905" s="109"/>
      <c r="F905" s="110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</row>
    <row r="906" spans="1:24" ht="14.5">
      <c r="A906" s="109"/>
      <c r="B906" s="109"/>
      <c r="C906" s="109"/>
      <c r="D906" s="109"/>
      <c r="E906" s="109"/>
      <c r="F906" s="110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</row>
    <row r="907" spans="1:24" ht="14.5">
      <c r="A907" s="109"/>
      <c r="B907" s="109"/>
      <c r="C907" s="109"/>
      <c r="D907" s="109"/>
      <c r="E907" s="109"/>
      <c r="F907" s="110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</row>
    <row r="908" spans="1:24" ht="14.5">
      <c r="A908" s="109"/>
      <c r="B908" s="109"/>
      <c r="C908" s="109"/>
      <c r="D908" s="109"/>
      <c r="E908" s="109"/>
      <c r="F908" s="110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</row>
    <row r="909" spans="1:24" ht="14.5">
      <c r="A909" s="109"/>
      <c r="B909" s="109"/>
      <c r="C909" s="109"/>
      <c r="D909" s="109"/>
      <c r="E909" s="109"/>
      <c r="F909" s="110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</row>
    <row r="910" spans="1:24" ht="14.5">
      <c r="A910" s="109"/>
      <c r="B910" s="109"/>
      <c r="C910" s="109"/>
      <c r="D910" s="109"/>
      <c r="E910" s="109"/>
      <c r="F910" s="110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</row>
    <row r="911" spans="1:24" ht="14.5">
      <c r="A911" s="109"/>
      <c r="B911" s="109"/>
      <c r="C911" s="109"/>
      <c r="D911" s="109"/>
      <c r="E911" s="109"/>
      <c r="F911" s="110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</row>
    <row r="912" spans="1:24" ht="14.5">
      <c r="A912" s="109"/>
      <c r="B912" s="109"/>
      <c r="C912" s="109"/>
      <c r="D912" s="109"/>
      <c r="E912" s="109"/>
      <c r="F912" s="110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</row>
    <row r="913" spans="1:24" ht="14.5">
      <c r="A913" s="109"/>
      <c r="B913" s="109"/>
      <c r="C913" s="109"/>
      <c r="D913" s="109"/>
      <c r="E913" s="109"/>
      <c r="F913" s="110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</row>
    <row r="914" spans="1:24" ht="14.5">
      <c r="A914" s="109"/>
      <c r="B914" s="109"/>
      <c r="C914" s="109"/>
      <c r="D914" s="109"/>
      <c r="E914" s="109"/>
      <c r="F914" s="110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</row>
    <row r="915" spans="1:24" ht="14.5">
      <c r="A915" s="109"/>
      <c r="B915" s="109"/>
      <c r="C915" s="109"/>
      <c r="D915" s="109"/>
      <c r="E915" s="109"/>
      <c r="F915" s="110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</row>
    <row r="916" spans="1:24" ht="14.5">
      <c r="A916" s="109"/>
      <c r="B916" s="109"/>
      <c r="C916" s="109"/>
      <c r="D916" s="109"/>
      <c r="E916" s="109"/>
      <c r="F916" s="110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</row>
    <row r="917" spans="1:24" ht="14.5">
      <c r="A917" s="109"/>
      <c r="B917" s="109"/>
      <c r="C917" s="109"/>
      <c r="D917" s="109"/>
      <c r="E917" s="109"/>
      <c r="F917" s="110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</row>
    <row r="918" spans="1:24" ht="14.5">
      <c r="A918" s="109"/>
      <c r="B918" s="109"/>
      <c r="C918" s="109"/>
      <c r="D918" s="109"/>
      <c r="E918" s="109"/>
      <c r="F918" s="110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</row>
    <row r="919" spans="1:24" ht="14.5">
      <c r="A919" s="109"/>
      <c r="B919" s="109"/>
      <c r="C919" s="109"/>
      <c r="D919" s="109"/>
      <c r="E919" s="109"/>
      <c r="F919" s="110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</row>
    <row r="920" spans="1:24" ht="14.5">
      <c r="A920" s="109"/>
      <c r="B920" s="109"/>
      <c r="C920" s="109"/>
      <c r="D920" s="109"/>
      <c r="E920" s="109"/>
      <c r="F920" s="110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</row>
    <row r="921" spans="1:24" ht="14.5">
      <c r="A921" s="109"/>
      <c r="B921" s="109"/>
      <c r="C921" s="109"/>
      <c r="D921" s="109"/>
      <c r="E921" s="109"/>
      <c r="F921" s="110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</row>
    <row r="922" spans="1:24" ht="14.5">
      <c r="A922" s="109"/>
      <c r="B922" s="109"/>
      <c r="C922" s="109"/>
      <c r="D922" s="109"/>
      <c r="E922" s="109"/>
      <c r="F922" s="110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</row>
    <row r="923" spans="1:24" ht="14.5">
      <c r="A923" s="109"/>
      <c r="B923" s="109"/>
      <c r="C923" s="109"/>
      <c r="D923" s="109"/>
      <c r="E923" s="109"/>
      <c r="F923" s="110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</row>
    <row r="924" spans="1:24" ht="14.5">
      <c r="A924" s="109"/>
      <c r="B924" s="109"/>
      <c r="C924" s="109"/>
      <c r="D924" s="109"/>
      <c r="E924" s="109"/>
      <c r="F924" s="110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</row>
    <row r="925" spans="1:24" ht="14.5">
      <c r="A925" s="109"/>
      <c r="B925" s="109"/>
      <c r="C925" s="109"/>
      <c r="D925" s="109"/>
      <c r="E925" s="109"/>
      <c r="F925" s="110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</row>
    <row r="926" spans="1:24" ht="14.5">
      <c r="A926" s="109"/>
      <c r="B926" s="109"/>
      <c r="C926" s="109"/>
      <c r="D926" s="109"/>
      <c r="E926" s="109"/>
      <c r="F926" s="110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</row>
    <row r="927" spans="1:24" ht="14.5">
      <c r="A927" s="109"/>
      <c r="B927" s="109"/>
      <c r="C927" s="109"/>
      <c r="D927" s="109"/>
      <c r="E927" s="109"/>
      <c r="F927" s="110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</row>
    <row r="928" spans="1:24" ht="14.5">
      <c r="A928" s="109"/>
      <c r="B928" s="109"/>
      <c r="C928" s="109"/>
      <c r="D928" s="109"/>
      <c r="E928" s="109"/>
      <c r="F928" s="110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</row>
    <row r="929" spans="1:24" ht="14.5">
      <c r="A929" s="109"/>
      <c r="B929" s="109"/>
      <c r="C929" s="109"/>
      <c r="D929" s="109"/>
      <c r="E929" s="109"/>
      <c r="F929" s="110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</row>
    <row r="930" spans="1:24" ht="14.5">
      <c r="A930" s="109"/>
      <c r="B930" s="109"/>
      <c r="C930" s="109"/>
      <c r="D930" s="109"/>
      <c r="E930" s="109"/>
      <c r="F930" s="110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</row>
    <row r="931" spans="1:24" ht="14.5">
      <c r="A931" s="109"/>
      <c r="B931" s="109"/>
      <c r="C931" s="109"/>
      <c r="D931" s="109"/>
      <c r="E931" s="109"/>
      <c r="F931" s="110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</row>
    <row r="932" spans="1:24" ht="14.5">
      <c r="A932" s="109"/>
      <c r="B932" s="109"/>
      <c r="C932" s="109"/>
      <c r="D932" s="109"/>
      <c r="E932" s="109"/>
      <c r="F932" s="110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</row>
    <row r="933" spans="1:24" ht="14.5">
      <c r="A933" s="109"/>
      <c r="B933" s="109"/>
      <c r="C933" s="109"/>
      <c r="D933" s="109"/>
      <c r="E933" s="109"/>
      <c r="F933" s="110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</row>
    <row r="934" spans="1:24" ht="14.5">
      <c r="A934" s="109"/>
      <c r="B934" s="109"/>
      <c r="C934" s="109"/>
      <c r="D934" s="109"/>
      <c r="E934" s="109"/>
      <c r="F934" s="110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</row>
    <row r="935" spans="1:24" ht="14.5">
      <c r="A935" s="109"/>
      <c r="B935" s="109"/>
      <c r="C935" s="109"/>
      <c r="D935" s="109"/>
      <c r="E935" s="109"/>
      <c r="F935" s="110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</row>
    <row r="936" spans="1:24" ht="14.5">
      <c r="A936" s="109"/>
      <c r="B936" s="109"/>
      <c r="C936" s="109"/>
      <c r="D936" s="109"/>
      <c r="E936" s="109"/>
      <c r="F936" s="110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</row>
    <row r="937" spans="1:24" ht="14.5">
      <c r="A937" s="109"/>
      <c r="B937" s="109"/>
      <c r="C937" s="109"/>
      <c r="D937" s="109"/>
      <c r="E937" s="109"/>
      <c r="F937" s="110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</row>
    <row r="938" spans="1:24" ht="14.5">
      <c r="A938" s="109"/>
      <c r="B938" s="109"/>
      <c r="C938" s="109"/>
      <c r="D938" s="109"/>
      <c r="E938" s="109"/>
      <c r="F938" s="110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</row>
    <row r="939" spans="1:24" ht="14.5">
      <c r="A939" s="109"/>
      <c r="B939" s="109"/>
      <c r="C939" s="109"/>
      <c r="D939" s="109"/>
      <c r="E939" s="109"/>
      <c r="F939" s="110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</row>
    <row r="940" spans="1:24" ht="14.5">
      <c r="A940" s="109"/>
      <c r="B940" s="109"/>
      <c r="C940" s="109"/>
      <c r="D940" s="109"/>
      <c r="E940" s="109"/>
      <c r="F940" s="110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</row>
    <row r="941" spans="1:24" ht="14.5">
      <c r="A941" s="109"/>
      <c r="B941" s="109"/>
      <c r="C941" s="109"/>
      <c r="D941" s="109"/>
      <c r="E941" s="109"/>
      <c r="F941" s="110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</row>
    <row r="942" spans="1:24" ht="14.5">
      <c r="A942" s="109"/>
      <c r="B942" s="109"/>
      <c r="C942" s="109"/>
      <c r="D942" s="109"/>
      <c r="E942" s="109"/>
      <c r="F942" s="110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</row>
    <row r="943" spans="1:24" ht="14.5">
      <c r="A943" s="109"/>
      <c r="B943" s="109"/>
      <c r="C943" s="109"/>
      <c r="D943" s="109"/>
      <c r="E943" s="109"/>
      <c r="F943" s="110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</row>
    <row r="944" spans="1:24" ht="14.5">
      <c r="A944" s="109"/>
      <c r="B944" s="109"/>
      <c r="C944" s="109"/>
      <c r="D944" s="109"/>
      <c r="E944" s="109"/>
      <c r="F944" s="110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</row>
    <row r="945" spans="1:24" ht="14.5">
      <c r="A945" s="109"/>
      <c r="B945" s="109"/>
      <c r="C945" s="109"/>
      <c r="D945" s="109"/>
      <c r="E945" s="109"/>
      <c r="F945" s="110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</row>
    <row r="946" spans="1:24" ht="14.5">
      <c r="A946" s="109"/>
      <c r="B946" s="109"/>
      <c r="C946" s="109"/>
      <c r="D946" s="109"/>
      <c r="E946" s="109"/>
      <c r="F946" s="110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</row>
    <row r="947" spans="1:24" ht="14.5">
      <c r="A947" s="109"/>
      <c r="B947" s="109"/>
      <c r="C947" s="109"/>
      <c r="D947" s="109"/>
      <c r="E947" s="109"/>
      <c r="F947" s="110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</row>
    <row r="948" spans="1:24" ht="14.5">
      <c r="A948" s="109"/>
      <c r="B948" s="109"/>
      <c r="C948" s="109"/>
      <c r="D948" s="109"/>
      <c r="E948" s="109"/>
      <c r="F948" s="110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</row>
    <row r="949" spans="1:24" ht="14.5">
      <c r="A949" s="109"/>
      <c r="B949" s="109"/>
      <c r="C949" s="109"/>
      <c r="D949" s="109"/>
      <c r="E949" s="109"/>
      <c r="F949" s="110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</row>
    <row r="950" spans="1:24" ht="14.5">
      <c r="A950" s="109"/>
      <c r="B950" s="109"/>
      <c r="C950" s="109"/>
      <c r="D950" s="109"/>
      <c r="E950" s="109"/>
      <c r="F950" s="110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</row>
    <row r="951" spans="1:24" ht="14.5">
      <c r="A951" s="109"/>
      <c r="B951" s="109"/>
      <c r="C951" s="109"/>
      <c r="D951" s="109"/>
      <c r="E951" s="109"/>
      <c r="F951" s="110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</row>
    <row r="952" spans="1:24" ht="14.5">
      <c r="A952" s="109"/>
      <c r="B952" s="109"/>
      <c r="C952" s="109"/>
      <c r="D952" s="109"/>
      <c r="E952" s="109"/>
      <c r="F952" s="110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</row>
    <row r="953" spans="1:24" ht="14.5">
      <c r="A953" s="109"/>
      <c r="B953" s="109"/>
      <c r="C953" s="109"/>
      <c r="D953" s="109"/>
      <c r="E953" s="109"/>
      <c r="F953" s="110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</row>
    <row r="954" spans="1:24" ht="14.5">
      <c r="A954" s="109"/>
      <c r="B954" s="109"/>
      <c r="C954" s="109"/>
      <c r="D954" s="109"/>
      <c r="E954" s="109"/>
      <c r="F954" s="110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</row>
    <row r="955" spans="1:24" ht="14.5">
      <c r="A955" s="109"/>
      <c r="B955" s="109"/>
      <c r="C955" s="109"/>
      <c r="D955" s="109"/>
      <c r="E955" s="109"/>
      <c r="F955" s="110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</row>
    <row r="956" spans="1:24" ht="14.5">
      <c r="A956" s="109"/>
      <c r="B956" s="109"/>
      <c r="C956" s="109"/>
      <c r="D956" s="109"/>
      <c r="E956" s="109"/>
      <c r="F956" s="110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</row>
    <row r="957" spans="1:24" ht="14.5">
      <c r="A957" s="109"/>
      <c r="B957" s="109"/>
      <c r="C957" s="109"/>
      <c r="D957" s="109"/>
      <c r="E957" s="109"/>
      <c r="F957" s="110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</row>
    <row r="958" spans="1:24" ht="14.5">
      <c r="A958" s="109"/>
      <c r="B958" s="109"/>
      <c r="C958" s="109"/>
      <c r="D958" s="109"/>
      <c r="E958" s="109"/>
      <c r="F958" s="110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</row>
    <row r="959" spans="1:24" ht="14.5">
      <c r="A959" s="109"/>
      <c r="B959" s="109"/>
      <c r="C959" s="109"/>
      <c r="D959" s="109"/>
      <c r="E959" s="109"/>
      <c r="F959" s="110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</row>
    <row r="960" spans="1:24" ht="14.5">
      <c r="A960" s="109"/>
      <c r="B960" s="109"/>
      <c r="C960" s="109"/>
      <c r="D960" s="109"/>
      <c r="E960" s="109"/>
      <c r="F960" s="110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</row>
    <row r="961" spans="1:24" ht="14.5">
      <c r="A961" s="109"/>
      <c r="B961" s="109"/>
      <c r="C961" s="109"/>
      <c r="D961" s="109"/>
      <c r="E961" s="109"/>
      <c r="F961" s="110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</row>
    <row r="962" spans="1:24" ht="14.5">
      <c r="A962" s="109"/>
      <c r="B962" s="109"/>
      <c r="C962" s="109"/>
      <c r="D962" s="109"/>
      <c r="E962" s="109"/>
      <c r="F962" s="110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</row>
    <row r="963" spans="1:24" ht="14.5">
      <c r="A963" s="109"/>
      <c r="B963" s="109"/>
      <c r="C963" s="109"/>
      <c r="D963" s="109"/>
      <c r="E963" s="109"/>
      <c r="F963" s="110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</row>
    <row r="964" spans="1:24" ht="14.5">
      <c r="A964" s="109"/>
      <c r="B964" s="109"/>
      <c r="C964" s="109"/>
      <c r="D964" s="109"/>
      <c r="E964" s="109"/>
      <c r="F964" s="110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</row>
    <row r="965" spans="1:24" ht="14.5">
      <c r="A965" s="109"/>
      <c r="B965" s="109"/>
      <c r="C965" s="109"/>
      <c r="D965" s="109"/>
      <c r="E965" s="109"/>
      <c r="F965" s="110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</row>
    <row r="966" spans="1:24" ht="14.5">
      <c r="A966" s="109"/>
      <c r="B966" s="109"/>
      <c r="C966" s="109"/>
      <c r="D966" s="109"/>
      <c r="E966" s="109"/>
      <c r="F966" s="110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</row>
    <row r="967" spans="1:24" ht="14.5">
      <c r="A967" s="109"/>
      <c r="B967" s="109"/>
      <c r="C967" s="109"/>
      <c r="D967" s="109"/>
      <c r="E967" s="109"/>
      <c r="F967" s="110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</row>
    <row r="968" spans="1:24" ht="14.5">
      <c r="A968" s="109"/>
      <c r="B968" s="109"/>
      <c r="C968" s="109"/>
      <c r="D968" s="109"/>
      <c r="E968" s="109"/>
      <c r="F968" s="110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</row>
    <row r="969" spans="1:24" ht="14.5">
      <c r="A969" s="109"/>
      <c r="B969" s="109"/>
      <c r="C969" s="109"/>
      <c r="D969" s="109"/>
      <c r="E969" s="109"/>
      <c r="F969" s="110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</row>
    <row r="970" spans="1:24" ht="14.5">
      <c r="A970" s="109"/>
      <c r="B970" s="109"/>
      <c r="C970" s="109"/>
      <c r="D970" s="109"/>
      <c r="E970" s="109"/>
      <c r="F970" s="110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</row>
    <row r="971" spans="1:24" ht="14.5">
      <c r="A971" s="109"/>
      <c r="B971" s="109"/>
      <c r="C971" s="109"/>
      <c r="D971" s="109"/>
      <c r="E971" s="109"/>
      <c r="F971" s="110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</row>
    <row r="972" spans="1:24" ht="14.5">
      <c r="A972" s="109"/>
      <c r="B972" s="109"/>
      <c r="C972" s="109"/>
      <c r="D972" s="109"/>
      <c r="E972" s="109"/>
      <c r="F972" s="110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</row>
    <row r="973" spans="1:24" ht="14.5">
      <c r="A973" s="109"/>
      <c r="B973" s="109"/>
      <c r="C973" s="109"/>
      <c r="D973" s="109"/>
      <c r="E973" s="109"/>
      <c r="F973" s="110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</row>
    <row r="974" spans="1:24" ht="14.5">
      <c r="A974" s="109"/>
      <c r="B974" s="109"/>
      <c r="C974" s="109"/>
      <c r="D974" s="109"/>
      <c r="E974" s="109"/>
      <c r="F974" s="110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</row>
    <row r="975" spans="1:24" ht="14.5">
      <c r="A975" s="109"/>
      <c r="B975" s="109"/>
      <c r="C975" s="109"/>
      <c r="D975" s="109"/>
      <c r="E975" s="109"/>
      <c r="F975" s="110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</row>
    <row r="976" spans="1:24" ht="14.5">
      <c r="A976" s="109"/>
      <c r="B976" s="109"/>
      <c r="C976" s="109"/>
      <c r="D976" s="109"/>
      <c r="E976" s="109"/>
      <c r="F976" s="110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</row>
    <row r="977" spans="1:24" ht="14.5">
      <c r="A977" s="109"/>
      <c r="B977" s="109"/>
      <c r="C977" s="109"/>
      <c r="D977" s="109"/>
      <c r="E977" s="109"/>
      <c r="F977" s="110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</row>
    <row r="978" spans="1:24" ht="14.5">
      <c r="A978" s="109"/>
      <c r="B978" s="109"/>
      <c r="C978" s="109"/>
      <c r="D978" s="109"/>
      <c r="E978" s="109"/>
      <c r="F978" s="110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</row>
    <row r="979" spans="1:24" ht="14.5">
      <c r="A979" s="109"/>
      <c r="B979" s="109"/>
      <c r="C979" s="109"/>
      <c r="D979" s="109"/>
      <c r="E979" s="109"/>
      <c r="F979" s="110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</row>
    <row r="980" spans="1:24" ht="14.5">
      <c r="A980" s="109"/>
      <c r="B980" s="109"/>
      <c r="C980" s="109"/>
      <c r="D980" s="109"/>
      <c r="E980" s="109"/>
      <c r="F980" s="110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</row>
    <row r="981" spans="1:24" ht="14.5">
      <c r="A981" s="109"/>
      <c r="B981" s="109"/>
      <c r="C981" s="109"/>
      <c r="D981" s="109"/>
      <c r="E981" s="109"/>
      <c r="F981" s="110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</row>
    <row r="982" spans="1:24" ht="14.5">
      <c r="A982" s="109"/>
      <c r="B982" s="109"/>
      <c r="C982" s="109"/>
      <c r="D982" s="109"/>
      <c r="E982" s="109"/>
      <c r="F982" s="110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</row>
    <row r="983" spans="1:24" ht="14.5">
      <c r="A983" s="109"/>
      <c r="B983" s="109"/>
      <c r="C983" s="109"/>
      <c r="D983" s="109"/>
      <c r="E983" s="109"/>
      <c r="F983" s="110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</row>
    <row r="984" spans="1:24" ht="14.5">
      <c r="A984" s="109"/>
      <c r="B984" s="109"/>
      <c r="C984" s="109"/>
      <c r="D984" s="109"/>
      <c r="E984" s="109"/>
      <c r="F984" s="110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</row>
    <row r="985" spans="1:24" ht="14.5">
      <c r="A985" s="109"/>
      <c r="B985" s="109"/>
      <c r="C985" s="109"/>
      <c r="D985" s="109"/>
      <c r="E985" s="109"/>
      <c r="F985" s="110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</row>
    <row r="986" spans="1:24" ht="14.5">
      <c r="A986" s="109"/>
      <c r="B986" s="109"/>
      <c r="C986" s="109"/>
      <c r="D986" s="109"/>
      <c r="E986" s="109"/>
      <c r="F986" s="110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</row>
    <row r="987" spans="1:24" ht="14.5">
      <c r="A987" s="109"/>
      <c r="B987" s="109"/>
      <c r="C987" s="109"/>
      <c r="D987" s="109"/>
      <c r="E987" s="109"/>
      <c r="F987" s="110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</row>
    <row r="988" spans="1:24" ht="14.5">
      <c r="A988" s="109"/>
      <c r="B988" s="109"/>
      <c r="C988" s="109"/>
      <c r="D988" s="109"/>
      <c r="E988" s="109"/>
      <c r="F988" s="110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</row>
  </sheetData>
  <autoFilter ref="A3:K95" xr:uid="{00000000-0009-0000-0000-000007000000}">
    <sortState xmlns:xlrd2="http://schemas.microsoft.com/office/spreadsheetml/2017/richdata2" ref="A4:K95">
      <sortCondition ref="A3:A95"/>
    </sortState>
  </autoFilter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X989"/>
  <sheetViews>
    <sheetView tabSelected="1" topLeftCell="A31" workbookViewId="0">
      <selection activeCell="E39" sqref="E39"/>
    </sheetView>
  </sheetViews>
  <sheetFormatPr defaultColWidth="14.453125" defaultRowHeight="15" customHeight="1"/>
  <cols>
    <col min="2" max="2" width="16.453125" customWidth="1"/>
    <col min="3" max="3" width="34.6328125" customWidth="1"/>
    <col min="4" max="4" width="16.54296875" customWidth="1"/>
    <col min="8" max="8" width="20.54296875" customWidth="1"/>
    <col min="9" max="9" width="29.08984375" customWidth="1"/>
    <col min="10" max="10" width="31.36328125" customWidth="1"/>
    <col min="11" max="11" width="37" customWidth="1"/>
  </cols>
  <sheetData>
    <row r="1" spans="1:24">
      <c r="A1" s="132" t="s">
        <v>0</v>
      </c>
      <c r="B1" s="109" t="s">
        <v>393</v>
      </c>
      <c r="C1" s="109"/>
      <c r="D1" s="109"/>
      <c r="E1" s="109"/>
      <c r="F1" s="110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</row>
    <row r="2" spans="1:24">
      <c r="A2" s="133" t="s">
        <v>2</v>
      </c>
      <c r="B2" s="134"/>
      <c r="C2" s="113"/>
      <c r="D2" s="134" t="s">
        <v>322</v>
      </c>
      <c r="E2" s="113"/>
      <c r="F2" s="114"/>
      <c r="G2" s="113"/>
      <c r="H2" s="113"/>
      <c r="I2" s="113"/>
      <c r="J2" s="115" t="s">
        <v>323</v>
      </c>
      <c r="K2" s="115" t="s">
        <v>324</v>
      </c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</row>
    <row r="3" spans="1:24">
      <c r="A3" s="116" t="s">
        <v>6</v>
      </c>
      <c r="B3" s="117" t="s">
        <v>7</v>
      </c>
      <c r="C3" s="117" t="s">
        <v>8</v>
      </c>
      <c r="D3" s="117" t="s">
        <v>9</v>
      </c>
      <c r="E3" s="117" t="s">
        <v>10</v>
      </c>
      <c r="F3" s="118" t="s">
        <v>293</v>
      </c>
      <c r="G3" s="117" t="s">
        <v>13</v>
      </c>
      <c r="H3" s="119" t="s">
        <v>325</v>
      </c>
      <c r="I3" s="135" t="s">
        <v>326</v>
      </c>
      <c r="J3" s="120" t="s">
        <v>12</v>
      </c>
      <c r="K3" s="120" t="s">
        <v>12</v>
      </c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</row>
    <row r="4" spans="1:24">
      <c r="A4" s="121">
        <v>1</v>
      </c>
      <c r="B4" s="129" t="s">
        <v>164</v>
      </c>
      <c r="C4" s="16" t="s">
        <v>204</v>
      </c>
      <c r="D4" s="122">
        <v>2.7</v>
      </c>
      <c r="E4" s="125">
        <v>7.5</v>
      </c>
      <c r="F4" s="125">
        <f t="shared" ref="F4:F35" si="0">E4/3.14</f>
        <v>2.3885350318471334</v>
      </c>
      <c r="G4" s="126"/>
      <c r="H4" s="126"/>
      <c r="I4" s="51">
        <f>AVERAGE(0.22,0.34)</f>
        <v>0.28000000000000003</v>
      </c>
      <c r="J4" s="127">
        <f t="shared" ref="J4:J35" si="1">8.9857+0.0035*(F4)^2*(D4)</f>
        <v>9.039613191204511</v>
      </c>
      <c r="K4" s="128">
        <f t="shared" ref="K4:K35" si="2">0.0673*(I4*F4^2*D4)^0.976</f>
        <v>0.28026266652616816</v>
      </c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</row>
    <row r="5" spans="1:24">
      <c r="A5" s="121">
        <v>1</v>
      </c>
      <c r="B5" s="129" t="s">
        <v>404</v>
      </c>
      <c r="C5" s="16" t="s">
        <v>73</v>
      </c>
      <c r="D5" s="122">
        <v>6</v>
      </c>
      <c r="E5" s="125">
        <v>27.2</v>
      </c>
      <c r="F5" s="125">
        <f t="shared" si="0"/>
        <v>8.6624203821656049</v>
      </c>
      <c r="G5" s="126"/>
      <c r="H5" s="51" t="s">
        <v>405</v>
      </c>
      <c r="I5" s="51">
        <f>AVERAGE(0.58,0.66)</f>
        <v>0.62</v>
      </c>
      <c r="J5" s="127">
        <f t="shared" si="1"/>
        <v>10.56148806442452</v>
      </c>
      <c r="K5" s="128">
        <f t="shared" si="2"/>
        <v>16.4110663442031</v>
      </c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</row>
    <row r="6" spans="1:24">
      <c r="A6" s="121">
        <v>1</v>
      </c>
      <c r="B6" s="122" t="s">
        <v>404</v>
      </c>
      <c r="C6" s="16" t="s">
        <v>73</v>
      </c>
      <c r="D6" s="122">
        <v>6</v>
      </c>
      <c r="E6" s="124">
        <v>22.3</v>
      </c>
      <c r="F6" s="125">
        <f t="shared" si="0"/>
        <v>7.1019108280254777</v>
      </c>
      <c r="G6" s="126"/>
      <c r="H6" s="126"/>
      <c r="I6" s="51">
        <f>AVERAGE(0.58,0.66)</f>
        <v>0.62</v>
      </c>
      <c r="J6" s="127">
        <f t="shared" si="1"/>
        <v>10.044879885593735</v>
      </c>
      <c r="K6" s="128">
        <f t="shared" si="2"/>
        <v>11.136517226251931</v>
      </c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</row>
    <row r="7" spans="1:24">
      <c r="A7" s="121">
        <v>1</v>
      </c>
      <c r="B7" s="129" t="s">
        <v>397</v>
      </c>
      <c r="C7" s="16" t="s">
        <v>232</v>
      </c>
      <c r="D7" s="126"/>
      <c r="E7" s="125">
        <f>SUM(27.5+23.2+43.5+17.27+27.5+19.4+25.4)</f>
        <v>183.77</v>
      </c>
      <c r="F7" s="125">
        <f t="shared" si="0"/>
        <v>58.525477707006374</v>
      </c>
      <c r="G7" s="126"/>
      <c r="H7" s="126"/>
      <c r="I7" s="51">
        <v>0.62</v>
      </c>
      <c r="J7" s="127">
        <f t="shared" si="1"/>
        <v>8.9856999999999996</v>
      </c>
      <c r="K7" s="128">
        <f t="shared" si="2"/>
        <v>0</v>
      </c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</row>
    <row r="8" spans="1:24">
      <c r="A8" s="121">
        <v>1</v>
      </c>
      <c r="B8" s="129" t="s">
        <v>397</v>
      </c>
      <c r="C8" s="16" t="s">
        <v>232</v>
      </c>
      <c r="D8" s="129">
        <v>6</v>
      </c>
      <c r="E8" s="125">
        <f>SUM(19.5+20.6+24.7+24.6+25.8+20.4)</f>
        <v>135.6</v>
      </c>
      <c r="F8" s="125">
        <f t="shared" si="0"/>
        <v>43.184713375796171</v>
      </c>
      <c r="G8" s="126"/>
      <c r="H8" s="126"/>
      <c r="I8" s="51">
        <v>0.62</v>
      </c>
      <c r="J8" s="127">
        <f t="shared" si="1"/>
        <v>48.149008856343052</v>
      </c>
      <c r="K8" s="128">
        <f t="shared" si="2"/>
        <v>377.59759061290367</v>
      </c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</row>
    <row r="9" spans="1:24">
      <c r="A9" s="121">
        <v>1</v>
      </c>
      <c r="B9" s="129" t="s">
        <v>397</v>
      </c>
      <c r="C9" s="16" t="s">
        <v>232</v>
      </c>
      <c r="D9" s="129">
        <v>7</v>
      </c>
      <c r="E9" s="125">
        <f>SUM(23.3+28.4+32.2+27.3)</f>
        <v>111.2</v>
      </c>
      <c r="F9" s="125">
        <f t="shared" si="0"/>
        <v>35.414012738853501</v>
      </c>
      <c r="G9" s="126"/>
      <c r="H9" s="126"/>
      <c r="I9" s="51">
        <v>0.62</v>
      </c>
      <c r="J9" s="127">
        <f t="shared" si="1"/>
        <v>39.71243130755812</v>
      </c>
      <c r="K9" s="128">
        <f t="shared" si="2"/>
        <v>297.98534912530715</v>
      </c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</row>
    <row r="10" spans="1:24">
      <c r="A10" s="121">
        <v>1</v>
      </c>
      <c r="B10" s="122" t="s">
        <v>397</v>
      </c>
      <c r="C10" s="16" t="s">
        <v>232</v>
      </c>
      <c r="D10" s="122">
        <v>6</v>
      </c>
      <c r="E10" s="124">
        <f>SUM(14.3+16.3+21.4+19.3+16.2)</f>
        <v>87.5</v>
      </c>
      <c r="F10" s="125">
        <f t="shared" si="0"/>
        <v>27.866242038216559</v>
      </c>
      <c r="G10" s="126"/>
      <c r="H10" s="126"/>
      <c r="I10" s="51">
        <v>0.62</v>
      </c>
      <c r="J10" s="127">
        <f t="shared" si="1"/>
        <v>25.292776351981821</v>
      </c>
      <c r="K10" s="128">
        <f t="shared" si="2"/>
        <v>160.56763844287372</v>
      </c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</row>
    <row r="11" spans="1:24">
      <c r="A11" s="121">
        <v>1</v>
      </c>
      <c r="B11" s="122" t="s">
        <v>397</v>
      </c>
      <c r="C11" s="16" t="s">
        <v>232</v>
      </c>
      <c r="D11" s="122">
        <v>6</v>
      </c>
      <c r="E11" s="124">
        <f>SUM(22.27+17.6+24.2+29.4+12.4+14.3)</f>
        <v>120.17</v>
      </c>
      <c r="F11" s="125">
        <f t="shared" si="0"/>
        <v>38.270700636942671</v>
      </c>
      <c r="G11" s="126"/>
      <c r="H11" s="126"/>
      <c r="I11" s="51">
        <v>0.62</v>
      </c>
      <c r="J11" s="127">
        <f t="shared" si="1"/>
        <v>39.74327707209217</v>
      </c>
      <c r="K11" s="128">
        <f t="shared" si="2"/>
        <v>298.2773059797513</v>
      </c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</row>
    <row r="12" spans="1:24">
      <c r="A12" s="121">
        <v>1</v>
      </c>
      <c r="B12" s="129" t="s">
        <v>344</v>
      </c>
      <c r="C12" s="16" t="s">
        <v>127</v>
      </c>
      <c r="D12" s="129">
        <v>11</v>
      </c>
      <c r="E12" s="125">
        <f>SUM(50.5+71.1)</f>
        <v>121.6</v>
      </c>
      <c r="F12" s="125">
        <f t="shared" si="0"/>
        <v>38.726114649681527</v>
      </c>
      <c r="G12" s="126"/>
      <c r="H12" s="126"/>
      <c r="I12" s="51">
        <f>AVERAGE(0.47,0.59)</f>
        <v>0.53</v>
      </c>
      <c r="J12" s="127">
        <f t="shared" si="1"/>
        <v>66.724610300620711</v>
      </c>
      <c r="K12" s="128">
        <f t="shared" si="2"/>
        <v>473.25067154944514</v>
      </c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</row>
    <row r="13" spans="1:24">
      <c r="A13" s="121">
        <v>1</v>
      </c>
      <c r="B13" s="122" t="s">
        <v>47</v>
      </c>
      <c r="C13" s="16" t="s">
        <v>48</v>
      </c>
      <c r="D13" s="122">
        <v>6</v>
      </c>
      <c r="E13" s="125">
        <f>SUM(17.5+32.6)</f>
        <v>50.1</v>
      </c>
      <c r="F13" s="125">
        <f t="shared" si="0"/>
        <v>15.955414012738853</v>
      </c>
      <c r="G13" s="126"/>
      <c r="H13" s="126"/>
      <c r="I13" s="51">
        <v>0.56000000000000005</v>
      </c>
      <c r="J13" s="127">
        <f t="shared" si="1"/>
        <v>14.33177996267597</v>
      </c>
      <c r="K13" s="128">
        <f t="shared" si="2"/>
        <v>48.955192971754641</v>
      </c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</row>
    <row r="14" spans="1:24">
      <c r="A14" s="121">
        <v>1</v>
      </c>
      <c r="B14" s="122" t="s">
        <v>47</v>
      </c>
      <c r="C14" s="16" t="s">
        <v>48</v>
      </c>
      <c r="D14" s="122">
        <v>8</v>
      </c>
      <c r="E14" s="125">
        <v>44.2</v>
      </c>
      <c r="F14" s="125">
        <f t="shared" si="0"/>
        <v>14.076433121019109</v>
      </c>
      <c r="G14" s="126"/>
      <c r="H14" s="126"/>
      <c r="I14" s="51">
        <v>0.56000000000000005</v>
      </c>
      <c r="J14" s="127">
        <f t="shared" si="1"/>
        <v>14.533787143494665</v>
      </c>
      <c r="K14" s="128">
        <f t="shared" si="2"/>
        <v>50.759811730602557</v>
      </c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</row>
    <row r="15" spans="1:24">
      <c r="A15" s="121">
        <v>1</v>
      </c>
      <c r="B15" s="122" t="s">
        <v>47</v>
      </c>
      <c r="C15" s="16" t="s">
        <v>48</v>
      </c>
      <c r="D15" s="122">
        <v>7</v>
      </c>
      <c r="E15" s="124">
        <v>39.6</v>
      </c>
      <c r="F15" s="125">
        <f t="shared" si="0"/>
        <v>12.611464968152866</v>
      </c>
      <c r="G15" s="126"/>
      <c r="H15" s="126"/>
      <c r="I15" s="51">
        <v>0.56000000000000005</v>
      </c>
      <c r="J15" s="127">
        <f t="shared" si="1"/>
        <v>12.8824016917522</v>
      </c>
      <c r="K15" s="128">
        <f t="shared" si="2"/>
        <v>35.954776670720371</v>
      </c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</row>
    <row r="16" spans="1:24">
      <c r="A16" s="121">
        <v>1</v>
      </c>
      <c r="B16" s="122" t="s">
        <v>47</v>
      </c>
      <c r="C16" s="16" t="s">
        <v>48</v>
      </c>
      <c r="D16" s="129">
        <v>7</v>
      </c>
      <c r="E16" s="125">
        <v>35.6</v>
      </c>
      <c r="F16" s="125">
        <f t="shared" si="0"/>
        <v>11.337579617834395</v>
      </c>
      <c r="G16" s="126"/>
      <c r="H16" s="126"/>
      <c r="I16" s="51">
        <v>0.56000000000000005</v>
      </c>
      <c r="J16" s="127">
        <f t="shared" si="1"/>
        <v>12.134947433972981</v>
      </c>
      <c r="K16" s="128">
        <f t="shared" si="2"/>
        <v>29.206935302546274</v>
      </c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</row>
    <row r="17" spans="1:24">
      <c r="A17" s="121">
        <v>1</v>
      </c>
      <c r="B17" s="122" t="s">
        <v>47</v>
      </c>
      <c r="C17" s="16" t="s">
        <v>48</v>
      </c>
      <c r="D17" s="129">
        <v>7</v>
      </c>
      <c r="E17" s="124">
        <v>43.5</v>
      </c>
      <c r="F17" s="125">
        <f t="shared" si="0"/>
        <v>13.853503184713375</v>
      </c>
      <c r="G17" s="126"/>
      <c r="H17" s="126"/>
      <c r="I17" s="51">
        <v>0.56000000000000005</v>
      </c>
      <c r="J17" s="127">
        <f t="shared" si="1"/>
        <v>13.687728986977159</v>
      </c>
      <c r="K17" s="128">
        <f t="shared" si="2"/>
        <v>43.19033992925317</v>
      </c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</row>
    <row r="18" spans="1:24">
      <c r="A18" s="121">
        <v>1</v>
      </c>
      <c r="B18" s="122" t="s">
        <v>47</v>
      </c>
      <c r="C18" s="16" t="s">
        <v>48</v>
      </c>
      <c r="D18" s="122">
        <v>7</v>
      </c>
      <c r="E18" s="125">
        <v>44.3</v>
      </c>
      <c r="F18" s="125">
        <f t="shared" si="0"/>
        <v>14.108280254777069</v>
      </c>
      <c r="G18" s="126"/>
      <c r="H18" s="126"/>
      <c r="I18" s="51">
        <v>0.56000000000000005</v>
      </c>
      <c r="J18" s="127">
        <f t="shared" si="1"/>
        <v>13.862267507809646</v>
      </c>
      <c r="K18" s="128">
        <f t="shared" si="2"/>
        <v>44.754392482582148</v>
      </c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</row>
    <row r="19" spans="1:24">
      <c r="A19" s="121">
        <v>1</v>
      </c>
      <c r="B19" s="122" t="s">
        <v>47</v>
      </c>
      <c r="C19" s="16" t="s">
        <v>48</v>
      </c>
      <c r="D19" s="129">
        <v>8</v>
      </c>
      <c r="E19" s="124">
        <v>38.4</v>
      </c>
      <c r="F19" s="125">
        <f t="shared" si="0"/>
        <v>12.229299363057324</v>
      </c>
      <c r="G19" s="126"/>
      <c r="H19" s="126"/>
      <c r="I19" s="51">
        <v>0.56000000000000005</v>
      </c>
      <c r="J19" s="127">
        <f t="shared" si="1"/>
        <v>13.173261361515678</v>
      </c>
      <c r="K19" s="128">
        <f t="shared" si="2"/>
        <v>38.571833447071654</v>
      </c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</row>
    <row r="20" spans="1:24">
      <c r="A20" s="121">
        <v>1</v>
      </c>
      <c r="B20" s="122" t="s">
        <v>47</v>
      </c>
      <c r="C20" s="16" t="s">
        <v>48</v>
      </c>
      <c r="D20" s="122">
        <v>8</v>
      </c>
      <c r="E20" s="125">
        <v>41.3</v>
      </c>
      <c r="F20" s="125">
        <f t="shared" si="0"/>
        <v>13.152866242038215</v>
      </c>
      <c r="G20" s="126"/>
      <c r="H20" s="126"/>
      <c r="I20" s="51">
        <v>0.56000000000000005</v>
      </c>
      <c r="J20" s="127">
        <f t="shared" si="1"/>
        <v>13.829640930666557</v>
      </c>
      <c r="K20" s="128">
        <f t="shared" si="2"/>
        <v>44.462126881070112</v>
      </c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</row>
    <row r="21" spans="1:24">
      <c r="A21" s="121">
        <v>1</v>
      </c>
      <c r="B21" s="122" t="s">
        <v>47</v>
      </c>
      <c r="C21" s="16" t="s">
        <v>48</v>
      </c>
      <c r="D21" s="129">
        <v>8</v>
      </c>
      <c r="E21" s="124">
        <v>44.2</v>
      </c>
      <c r="F21" s="125">
        <f t="shared" si="0"/>
        <v>14.076433121019109</v>
      </c>
      <c r="G21" s="126"/>
      <c r="H21" s="126"/>
      <c r="I21" s="51">
        <v>0.56000000000000005</v>
      </c>
      <c r="J21" s="127">
        <f t="shared" si="1"/>
        <v>14.533787143494665</v>
      </c>
      <c r="K21" s="128">
        <f t="shared" si="2"/>
        <v>50.759811730602557</v>
      </c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</row>
    <row r="22" spans="1:24">
      <c r="A22" s="121">
        <v>1</v>
      </c>
      <c r="B22" s="122" t="s">
        <v>401</v>
      </c>
      <c r="C22" s="16" t="s">
        <v>402</v>
      </c>
      <c r="D22" s="122">
        <v>8</v>
      </c>
      <c r="E22" s="125">
        <f>SUM(37.7+15.7)</f>
        <v>53.400000000000006</v>
      </c>
      <c r="F22" s="125">
        <f t="shared" si="0"/>
        <v>17.006369426751593</v>
      </c>
      <c r="G22" s="126"/>
      <c r="H22" s="126"/>
      <c r="I22" s="126"/>
      <c r="J22" s="127">
        <f t="shared" si="1"/>
        <v>17.083764830216236</v>
      </c>
      <c r="K22" s="128">
        <f t="shared" si="2"/>
        <v>0</v>
      </c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</row>
    <row r="23" spans="1:24">
      <c r="A23" s="121">
        <v>1</v>
      </c>
      <c r="B23" s="122" t="s">
        <v>401</v>
      </c>
      <c r="C23" s="16" t="s">
        <v>402</v>
      </c>
      <c r="D23" s="122">
        <v>5</v>
      </c>
      <c r="E23" s="124">
        <f>SUM(24.5+21.3)</f>
        <v>45.8</v>
      </c>
      <c r="F23" s="125">
        <f t="shared" si="0"/>
        <v>14.585987261146496</v>
      </c>
      <c r="G23" s="126"/>
      <c r="H23" s="126"/>
      <c r="I23" s="126"/>
      <c r="J23" s="127">
        <f t="shared" si="1"/>
        <v>12.708842926690737</v>
      </c>
      <c r="K23" s="128">
        <f t="shared" si="2"/>
        <v>0</v>
      </c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</row>
    <row r="24" spans="1:24">
      <c r="A24" s="121">
        <v>1</v>
      </c>
      <c r="B24" s="122" t="s">
        <v>401</v>
      </c>
      <c r="C24" s="16" t="s">
        <v>402</v>
      </c>
      <c r="D24" s="122">
        <v>6</v>
      </c>
      <c r="E24" s="124">
        <v>15.6</v>
      </c>
      <c r="F24" s="125">
        <f t="shared" si="0"/>
        <v>4.968152866242038</v>
      </c>
      <c r="G24" s="126"/>
      <c r="H24" s="126"/>
      <c r="I24" s="126"/>
      <c r="J24" s="127">
        <f t="shared" si="1"/>
        <v>9.5040334009493286</v>
      </c>
      <c r="K24" s="128">
        <f t="shared" si="2"/>
        <v>0</v>
      </c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</row>
    <row r="25" spans="1:24">
      <c r="A25" s="121">
        <v>2</v>
      </c>
      <c r="B25" s="122" t="s">
        <v>286</v>
      </c>
      <c r="C25" s="16" t="s">
        <v>287</v>
      </c>
      <c r="D25" s="126"/>
      <c r="E25" s="124">
        <f>SUM(22.3+37.3)</f>
        <v>59.599999999999994</v>
      </c>
      <c r="F25" s="125">
        <f t="shared" si="0"/>
        <v>18.98089171974522</v>
      </c>
      <c r="G25" s="126"/>
      <c r="H25" s="122" t="s">
        <v>407</v>
      </c>
      <c r="I25" s="51">
        <f>AVERAGE(0.5,0.7)</f>
        <v>0.6</v>
      </c>
      <c r="J25" s="127">
        <f t="shared" si="1"/>
        <v>8.9856999999999996</v>
      </c>
      <c r="K25" s="128">
        <f t="shared" si="2"/>
        <v>0</v>
      </c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</row>
    <row r="26" spans="1:24">
      <c r="A26" s="121">
        <v>2</v>
      </c>
      <c r="B26" s="122" t="s">
        <v>404</v>
      </c>
      <c r="C26" s="16" t="s">
        <v>73</v>
      </c>
      <c r="D26" s="122">
        <v>8</v>
      </c>
      <c r="E26" s="124">
        <v>32.5</v>
      </c>
      <c r="F26" s="125">
        <f t="shared" si="0"/>
        <v>10.350318471337578</v>
      </c>
      <c r="G26" s="126"/>
      <c r="H26" s="126"/>
      <c r="I26" s="51">
        <f>AVERAGE(0.58,0.66)</f>
        <v>0.62</v>
      </c>
      <c r="J26" s="127">
        <f t="shared" si="1"/>
        <v>11.985314588827132</v>
      </c>
      <c r="K26" s="128">
        <f t="shared" si="2"/>
        <v>30.760601823114634</v>
      </c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</row>
    <row r="27" spans="1:24">
      <c r="A27" s="121">
        <v>2</v>
      </c>
      <c r="B27" s="122" t="s">
        <v>404</v>
      </c>
      <c r="C27" s="16" t="s">
        <v>73</v>
      </c>
      <c r="D27" s="122">
        <v>8</v>
      </c>
      <c r="E27" s="124">
        <v>20.6</v>
      </c>
      <c r="F27" s="125">
        <f t="shared" si="0"/>
        <v>6.5605095541401273</v>
      </c>
      <c r="G27" s="126"/>
      <c r="H27" s="126"/>
      <c r="I27" s="51">
        <f>AVERAGE(0.58,0.66)</f>
        <v>0.62</v>
      </c>
      <c r="J27" s="127">
        <f t="shared" si="1"/>
        <v>10.190827997078989</v>
      </c>
      <c r="K27" s="128">
        <f t="shared" si="2"/>
        <v>12.631860520538776</v>
      </c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</row>
    <row r="28" spans="1:24">
      <c r="A28" s="121">
        <v>2</v>
      </c>
      <c r="B28" s="122" t="s">
        <v>404</v>
      </c>
      <c r="C28" s="16" t="s">
        <v>73</v>
      </c>
      <c r="D28" s="122">
        <v>9</v>
      </c>
      <c r="E28" s="124">
        <v>32.700000000000003</v>
      </c>
      <c r="F28" s="125">
        <f t="shared" si="0"/>
        <v>10.414012738853504</v>
      </c>
      <c r="G28" s="126"/>
      <c r="H28" s="126"/>
      <c r="I28" s="51">
        <f>AVERAGE(0.58,0.66)</f>
        <v>0.62</v>
      </c>
      <c r="J28" s="127">
        <f t="shared" si="1"/>
        <v>12.401927331737596</v>
      </c>
      <c r="K28" s="128">
        <f t="shared" si="2"/>
        <v>34.923726829126025</v>
      </c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</row>
    <row r="29" spans="1:24">
      <c r="A29" s="121">
        <v>2</v>
      </c>
      <c r="B29" s="122" t="s">
        <v>397</v>
      </c>
      <c r="C29" s="16" t="s">
        <v>232</v>
      </c>
      <c r="D29" s="122">
        <v>5</v>
      </c>
      <c r="E29" s="124">
        <f>SUM(13.4+14.2+14.7+15.5+16.3+13.2)</f>
        <v>87.3</v>
      </c>
      <c r="F29" s="125">
        <f t="shared" si="0"/>
        <v>27.802547770700635</v>
      </c>
      <c r="G29" s="126"/>
      <c r="H29" s="126"/>
      <c r="I29" s="51">
        <v>0.62</v>
      </c>
      <c r="J29" s="127">
        <f t="shared" si="1"/>
        <v>22.512879094486589</v>
      </c>
      <c r="K29" s="128">
        <f t="shared" si="2"/>
        <v>133.79417565490078</v>
      </c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</row>
    <row r="30" spans="1:24">
      <c r="A30" s="121">
        <v>2</v>
      </c>
      <c r="B30" s="122" t="s">
        <v>397</v>
      </c>
      <c r="C30" s="16" t="s">
        <v>232</v>
      </c>
      <c r="D30" s="122">
        <v>7</v>
      </c>
      <c r="E30" s="124">
        <f>SUM(33.4+26.8+24.4+31.2+42.3+36.4)</f>
        <v>194.5</v>
      </c>
      <c r="F30" s="125">
        <f t="shared" si="0"/>
        <v>61.942675159235669</v>
      </c>
      <c r="G30" s="126"/>
      <c r="H30" s="126"/>
      <c r="I30" s="51">
        <v>0.62</v>
      </c>
      <c r="J30" s="127">
        <f t="shared" si="1"/>
        <v>102.9896276441235</v>
      </c>
      <c r="K30" s="128">
        <f t="shared" si="2"/>
        <v>887.50219827155559</v>
      </c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</row>
    <row r="31" spans="1:24">
      <c r="A31" s="121">
        <v>2</v>
      </c>
      <c r="B31" s="122" t="s">
        <v>397</v>
      </c>
      <c r="C31" s="16" t="s">
        <v>232</v>
      </c>
      <c r="D31" s="122">
        <v>7</v>
      </c>
      <c r="E31" s="124">
        <f>SUM(19.4+22.3+30+38.2+22.3+26.5+27.2)</f>
        <v>185.9</v>
      </c>
      <c r="F31" s="125">
        <f t="shared" si="0"/>
        <v>59.203821656050955</v>
      </c>
      <c r="G31" s="126"/>
      <c r="H31" s="126"/>
      <c r="I31" s="51">
        <v>0.62</v>
      </c>
      <c r="J31" s="127">
        <f t="shared" si="1"/>
        <v>94.860466217696441</v>
      </c>
      <c r="K31" s="128">
        <f t="shared" si="2"/>
        <v>812.51565238313765</v>
      </c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</row>
    <row r="32" spans="1:24">
      <c r="A32" s="121">
        <v>2</v>
      </c>
      <c r="B32" s="122" t="s">
        <v>397</v>
      </c>
      <c r="C32" s="16" t="s">
        <v>232</v>
      </c>
      <c r="D32" s="122">
        <v>7</v>
      </c>
      <c r="E32" s="124">
        <f>SUM(18.4+17.6+31.4+24.2+25.7+29.3+28.8+26.7)</f>
        <v>202.10000000000002</v>
      </c>
      <c r="F32" s="125">
        <f t="shared" si="0"/>
        <v>64.363057324840767</v>
      </c>
      <c r="G32" s="126"/>
      <c r="H32" s="126"/>
      <c r="I32" s="51">
        <v>0.62</v>
      </c>
      <c r="J32" s="127">
        <f t="shared" si="1"/>
        <v>110.47947713091808</v>
      </c>
      <c r="K32" s="128">
        <f t="shared" si="2"/>
        <v>956.45339084204284</v>
      </c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</row>
    <row r="33" spans="1:24">
      <c r="A33" s="121">
        <v>2</v>
      </c>
      <c r="B33" s="122" t="s">
        <v>397</v>
      </c>
      <c r="C33" s="16" t="s">
        <v>232</v>
      </c>
      <c r="D33" s="122">
        <v>7</v>
      </c>
      <c r="E33" s="124">
        <f>SUM(19.3+22.2+21.3+20.4+25.5)</f>
        <v>108.69999999999999</v>
      </c>
      <c r="F33" s="125">
        <f t="shared" si="0"/>
        <v>34.617834394904456</v>
      </c>
      <c r="G33" s="126"/>
      <c r="H33" s="126"/>
      <c r="I33" s="51">
        <v>0.62</v>
      </c>
      <c r="J33" s="127">
        <f t="shared" si="1"/>
        <v>38.346364225729239</v>
      </c>
      <c r="K33" s="128">
        <f t="shared" si="2"/>
        <v>285.04828817745454</v>
      </c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</row>
    <row r="34" spans="1:24">
      <c r="A34" s="121">
        <v>2</v>
      </c>
      <c r="B34" s="122" t="s">
        <v>397</v>
      </c>
      <c r="C34" s="16" t="s">
        <v>232</v>
      </c>
      <c r="D34" s="129">
        <v>7</v>
      </c>
      <c r="E34" s="125">
        <f>SUM(29.9+17.6+35.5+22.2+24.4+28.8+25.4)</f>
        <v>183.8</v>
      </c>
      <c r="F34" s="125">
        <f t="shared" si="0"/>
        <v>58.535031847133759</v>
      </c>
      <c r="G34" s="126"/>
      <c r="H34" s="126"/>
      <c r="I34" s="51">
        <v>0.62</v>
      </c>
      <c r="J34" s="127">
        <f t="shared" si="1"/>
        <v>92.931273856951591</v>
      </c>
      <c r="K34" s="128">
        <f t="shared" si="2"/>
        <v>794.69557893949002</v>
      </c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</row>
    <row r="35" spans="1:24">
      <c r="A35" s="121">
        <v>3</v>
      </c>
      <c r="B35" s="129" t="s">
        <v>164</v>
      </c>
      <c r="C35" s="137" t="s">
        <v>204</v>
      </c>
      <c r="D35" s="122">
        <v>5</v>
      </c>
      <c r="E35" s="124">
        <v>30.5</v>
      </c>
      <c r="F35" s="125">
        <f t="shared" si="0"/>
        <v>9.7133757961783438</v>
      </c>
      <c r="G35" s="126"/>
      <c r="H35" s="126"/>
      <c r="I35" s="51">
        <f>AVERAGE(0.22,0.34)</f>
        <v>0.28000000000000003</v>
      </c>
      <c r="J35" s="127">
        <f t="shared" si="1"/>
        <v>10.636819213761207</v>
      </c>
      <c r="K35" s="128">
        <f t="shared" si="2"/>
        <v>7.9064702368175244</v>
      </c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</row>
    <row r="36" spans="1:24">
      <c r="A36" s="121">
        <v>3</v>
      </c>
      <c r="B36" s="122" t="s">
        <v>286</v>
      </c>
      <c r="C36" s="16" t="s">
        <v>287</v>
      </c>
      <c r="D36" s="122">
        <v>8</v>
      </c>
      <c r="E36" s="124">
        <v>31.5</v>
      </c>
      <c r="F36" s="125">
        <f t="shared" ref="F36:F67" si="3">E36/3.14</f>
        <v>10.031847133757962</v>
      </c>
      <c r="G36" s="126"/>
      <c r="H36" s="126"/>
      <c r="I36" s="51">
        <f>AVERAGE(0.5,0.7)</f>
        <v>0.6</v>
      </c>
      <c r="J36" s="127">
        <f t="shared" ref="J36:J67" si="4">8.9857+0.0035*(F36)^2*(D36)</f>
        <v>11.80356279362246</v>
      </c>
      <c r="K36" s="128">
        <f t="shared" ref="K36:K67" si="5">0.0673*(I36*F36^2*D36)^0.976</f>
        <v>28.028640925377413</v>
      </c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</row>
    <row r="37" spans="1:24">
      <c r="A37" s="121">
        <v>3</v>
      </c>
      <c r="B37" s="129" t="s">
        <v>404</v>
      </c>
      <c r="C37" s="16" t="s">
        <v>73</v>
      </c>
      <c r="D37" s="129">
        <v>5</v>
      </c>
      <c r="E37" s="125">
        <v>12.6</v>
      </c>
      <c r="F37" s="125">
        <f t="shared" si="3"/>
        <v>4.0127388535031843</v>
      </c>
      <c r="G37" s="126"/>
      <c r="H37" s="126"/>
      <c r="I37" s="51">
        <f>AVERAGE(0.58,0.66)</f>
        <v>0.62</v>
      </c>
      <c r="J37" s="127">
        <f t="shared" si="4"/>
        <v>9.2674862793622452</v>
      </c>
      <c r="K37" s="128">
        <f t="shared" si="5"/>
        <v>3.0584452355524583</v>
      </c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</row>
    <row r="38" spans="1:24">
      <c r="A38" s="121">
        <v>3</v>
      </c>
      <c r="B38" s="129" t="s">
        <v>404</v>
      </c>
      <c r="C38" s="16" t="s">
        <v>73</v>
      </c>
      <c r="D38" s="122">
        <v>4</v>
      </c>
      <c r="E38" s="124">
        <v>8.4</v>
      </c>
      <c r="F38" s="125">
        <f t="shared" si="3"/>
        <v>2.6751592356687897</v>
      </c>
      <c r="G38" s="126"/>
      <c r="H38" s="126"/>
      <c r="I38" s="51">
        <f>AVERAGE(0.58,0.66)</f>
        <v>0.62</v>
      </c>
      <c r="J38" s="127">
        <f t="shared" si="4"/>
        <v>9.0858906771065762</v>
      </c>
      <c r="K38" s="128">
        <f t="shared" si="5"/>
        <v>1.1147728885599459</v>
      </c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</row>
    <row r="39" spans="1:24">
      <c r="A39" s="121">
        <v>3</v>
      </c>
      <c r="B39" s="122" t="s">
        <v>397</v>
      </c>
      <c r="C39" s="16" t="s">
        <v>232</v>
      </c>
      <c r="D39" s="122">
        <v>6</v>
      </c>
      <c r="E39" s="124">
        <f>SUM(20.3+20.7+21.5+22.8+27+19.3)</f>
        <v>131.6</v>
      </c>
      <c r="F39" s="125">
        <f t="shared" si="3"/>
        <v>41.910828025477706</v>
      </c>
      <c r="G39" s="126"/>
      <c r="H39" s="126"/>
      <c r="I39" s="51">
        <v>0.62</v>
      </c>
      <c r="J39" s="127">
        <f t="shared" si="4"/>
        <v>45.872567621404521</v>
      </c>
      <c r="K39" s="128">
        <f t="shared" si="5"/>
        <v>356.16053611347621</v>
      </c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</row>
    <row r="40" spans="1:24">
      <c r="A40" s="121">
        <v>3</v>
      </c>
      <c r="B40" s="122" t="s">
        <v>397</v>
      </c>
      <c r="C40" s="16" t="s">
        <v>232</v>
      </c>
      <c r="D40" s="122">
        <v>6</v>
      </c>
      <c r="E40" s="124">
        <f>SUM(28.4+37.5+25.5+30.2+22.4)</f>
        <v>144</v>
      </c>
      <c r="F40" s="125">
        <f t="shared" si="3"/>
        <v>45.859872611464965</v>
      </c>
      <c r="G40" s="126"/>
      <c r="H40" s="126"/>
      <c r="I40" s="51">
        <v>0.62</v>
      </c>
      <c r="J40" s="127">
        <f t="shared" si="4"/>
        <v>53.151386234735689</v>
      </c>
      <c r="K40" s="128">
        <f t="shared" si="5"/>
        <v>424.6018529473186</v>
      </c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</row>
    <row r="41" spans="1:24">
      <c r="A41" s="121">
        <v>3</v>
      </c>
      <c r="B41" s="122" t="s">
        <v>397</v>
      </c>
      <c r="C41" s="16" t="s">
        <v>232</v>
      </c>
      <c r="D41" s="122">
        <v>6</v>
      </c>
      <c r="E41" s="124">
        <f>SUM(19.6+23.4+16.3+22.2+34.5+23.3+22.8+20.5)</f>
        <v>182.60000000000002</v>
      </c>
      <c r="F41" s="125">
        <f t="shared" si="3"/>
        <v>58.152866242038222</v>
      </c>
      <c r="G41" s="126"/>
      <c r="H41" s="126"/>
      <c r="I41" s="51">
        <v>0.62</v>
      </c>
      <c r="J41" s="127">
        <f t="shared" si="4"/>
        <v>80.002572895452161</v>
      </c>
      <c r="K41" s="128">
        <f t="shared" si="5"/>
        <v>675.00627445662121</v>
      </c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</row>
    <row r="42" spans="1:24">
      <c r="A42" s="121">
        <v>3</v>
      </c>
      <c r="B42" s="122" t="s">
        <v>397</v>
      </c>
      <c r="C42" s="16" t="s">
        <v>232</v>
      </c>
      <c r="D42" s="129">
        <v>7</v>
      </c>
      <c r="E42" s="125">
        <f>SUM(14.1+22.3+21.4+16.3+20.3+20.8+23.3+25.2)</f>
        <v>163.69999999999999</v>
      </c>
      <c r="F42" s="125">
        <f t="shared" si="3"/>
        <v>52.133757961783431</v>
      </c>
      <c r="G42" s="126"/>
      <c r="H42" s="126"/>
      <c r="I42" s="51">
        <v>0.62</v>
      </c>
      <c r="J42" s="127">
        <f t="shared" si="4"/>
        <v>75.57495362083651</v>
      </c>
      <c r="K42" s="128">
        <f t="shared" si="5"/>
        <v>633.90093069010459</v>
      </c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</row>
    <row r="43" spans="1:24">
      <c r="A43" s="121">
        <v>3</v>
      </c>
      <c r="B43" s="122" t="s">
        <v>397</v>
      </c>
      <c r="C43" s="16" t="s">
        <v>232</v>
      </c>
      <c r="D43" s="122">
        <v>7</v>
      </c>
      <c r="E43" s="124">
        <f>SUM(22.2+22.2+27+23.4+25.5+27+21.7+19.5+25.6)</f>
        <v>214.1</v>
      </c>
      <c r="F43" s="125">
        <f t="shared" si="3"/>
        <v>68.184713375796179</v>
      </c>
      <c r="G43" s="126"/>
      <c r="H43" s="126"/>
      <c r="I43" s="51">
        <v>0.62</v>
      </c>
      <c r="J43" s="127">
        <f t="shared" si="4"/>
        <v>122.8900008844172</v>
      </c>
      <c r="K43" s="128">
        <f t="shared" si="5"/>
        <v>1070.4394389837901</v>
      </c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</row>
    <row r="44" spans="1:24">
      <c r="A44" s="121">
        <v>3</v>
      </c>
      <c r="B44" s="122" t="s">
        <v>397</v>
      </c>
      <c r="C44" s="16" t="s">
        <v>232</v>
      </c>
      <c r="D44" s="122">
        <v>6</v>
      </c>
      <c r="E44" s="124">
        <f>SUM(16.2+27.5+21.8+21.5+22.2+19.6+22.2)</f>
        <v>151</v>
      </c>
      <c r="F44" s="125">
        <f t="shared" si="3"/>
        <v>48.089171974522294</v>
      </c>
      <c r="G44" s="126"/>
      <c r="H44" s="126"/>
      <c r="I44" s="51">
        <v>0.62</v>
      </c>
      <c r="J44" s="127">
        <f t="shared" si="4"/>
        <v>57.549637685098794</v>
      </c>
      <c r="K44" s="128">
        <f t="shared" si="5"/>
        <v>465.8234007416055</v>
      </c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</row>
    <row r="45" spans="1:24">
      <c r="A45" s="121">
        <v>3</v>
      </c>
      <c r="B45" s="122" t="s">
        <v>397</v>
      </c>
      <c r="C45" s="16" t="s">
        <v>232</v>
      </c>
      <c r="D45" s="129">
        <v>6</v>
      </c>
      <c r="E45" s="125">
        <f>SUM(27.7+29.9+25.5+30.4+27.7+24.4)</f>
        <v>165.6</v>
      </c>
      <c r="F45" s="125">
        <f t="shared" si="3"/>
        <v>52.738853503184707</v>
      </c>
      <c r="G45" s="126"/>
      <c r="H45" s="126"/>
      <c r="I45" s="51">
        <v>0.62</v>
      </c>
      <c r="J45" s="127">
        <f t="shared" si="4"/>
        <v>67.394820045437939</v>
      </c>
      <c r="K45" s="128">
        <f t="shared" si="5"/>
        <v>557.78145321619184</v>
      </c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</row>
    <row r="46" spans="1:24">
      <c r="A46" s="121">
        <v>3</v>
      </c>
      <c r="B46" s="122" t="s">
        <v>397</v>
      </c>
      <c r="C46" s="16" t="s">
        <v>232</v>
      </c>
      <c r="D46" s="129">
        <v>6.5</v>
      </c>
      <c r="E46" s="125">
        <f>SUM(28.9+27.2+24.4+41.1)</f>
        <v>121.6</v>
      </c>
      <c r="F46" s="125">
        <f t="shared" si="3"/>
        <v>38.726114649681527</v>
      </c>
      <c r="G46" s="126"/>
      <c r="H46" s="126"/>
      <c r="I46" s="51">
        <v>0.62</v>
      </c>
      <c r="J46" s="127">
        <f t="shared" si="4"/>
        <v>43.104146995821331</v>
      </c>
      <c r="K46" s="128">
        <f t="shared" si="5"/>
        <v>330.04750534359539</v>
      </c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</row>
    <row r="47" spans="1:24">
      <c r="A47" s="121">
        <v>3</v>
      </c>
      <c r="B47" s="122" t="s">
        <v>397</v>
      </c>
      <c r="C47" s="16" t="s">
        <v>232</v>
      </c>
      <c r="D47" s="129">
        <v>5</v>
      </c>
      <c r="E47" s="125">
        <f>SUM(21.2+20.2+19.7+19.7+19.4+21.7+22.1)</f>
        <v>144</v>
      </c>
      <c r="F47" s="125">
        <f t="shared" si="3"/>
        <v>45.859872611464965</v>
      </c>
      <c r="G47" s="126"/>
      <c r="H47" s="126"/>
      <c r="I47" s="51">
        <v>0.62</v>
      </c>
      <c r="J47" s="127">
        <f t="shared" si="4"/>
        <v>45.790438528946403</v>
      </c>
      <c r="K47" s="128">
        <f t="shared" si="5"/>
        <v>355.38655124018544</v>
      </c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</row>
    <row r="48" spans="1:24">
      <c r="A48" s="121">
        <v>3</v>
      </c>
      <c r="B48" s="129" t="s">
        <v>344</v>
      </c>
      <c r="C48" s="137" t="s">
        <v>127</v>
      </c>
      <c r="D48" s="129">
        <v>10</v>
      </c>
      <c r="E48" s="125">
        <v>48.2</v>
      </c>
      <c r="F48" s="125">
        <f t="shared" si="3"/>
        <v>15.35031847133758</v>
      </c>
      <c r="G48" s="126"/>
      <c r="H48" s="126"/>
      <c r="I48" s="51">
        <f>AVERAGE(0.47,0.59)</f>
        <v>0.53</v>
      </c>
      <c r="J48" s="127">
        <f t="shared" si="4"/>
        <v>17.232829701002068</v>
      </c>
      <c r="K48" s="128">
        <f t="shared" si="5"/>
        <v>70.828730626283544</v>
      </c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</row>
    <row r="49" spans="1:24">
      <c r="A49" s="121">
        <v>3</v>
      </c>
      <c r="B49" s="129" t="s">
        <v>344</v>
      </c>
      <c r="C49" s="137" t="s">
        <v>127</v>
      </c>
      <c r="D49" s="129">
        <v>10</v>
      </c>
      <c r="E49" s="125">
        <f>SUM(34.5+45.6+44.4+33.2)</f>
        <v>157.69999999999999</v>
      </c>
      <c r="F49" s="125">
        <f t="shared" si="3"/>
        <v>50.222929936305725</v>
      </c>
      <c r="G49" s="126"/>
      <c r="H49" s="126"/>
      <c r="I49" s="51">
        <f>AVERAGE(0.47,0.59)</f>
        <v>0.53</v>
      </c>
      <c r="J49" s="127">
        <f t="shared" si="4"/>
        <v>97.267694198547574</v>
      </c>
      <c r="K49" s="128">
        <f t="shared" si="5"/>
        <v>716.25737260518395</v>
      </c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</row>
    <row r="50" spans="1:24">
      <c r="A50" s="121">
        <v>3</v>
      </c>
      <c r="B50" s="129" t="s">
        <v>344</v>
      </c>
      <c r="C50" s="137" t="s">
        <v>127</v>
      </c>
      <c r="D50" s="122">
        <v>12</v>
      </c>
      <c r="E50" s="124">
        <v>75.5</v>
      </c>
      <c r="F50" s="125">
        <f t="shared" si="3"/>
        <v>24.044585987261147</v>
      </c>
      <c r="G50" s="126"/>
      <c r="H50" s="126"/>
      <c r="I50" s="51">
        <f>AVERAGE(0.47,0.59)</f>
        <v>0.53</v>
      </c>
      <c r="J50" s="127">
        <f t="shared" si="4"/>
        <v>33.267668842549398</v>
      </c>
      <c r="K50" s="128">
        <f t="shared" si="5"/>
        <v>203.205278762679</v>
      </c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</row>
    <row r="51" spans="1:24">
      <c r="A51" s="121">
        <v>3</v>
      </c>
      <c r="B51" s="129" t="s">
        <v>378</v>
      </c>
      <c r="C51" s="16" t="s">
        <v>107</v>
      </c>
      <c r="D51" s="122">
        <v>5</v>
      </c>
      <c r="E51" s="125">
        <f>SUM(21.2+25.4)</f>
        <v>46.599999999999994</v>
      </c>
      <c r="F51" s="125">
        <f t="shared" si="3"/>
        <v>14.840764331210188</v>
      </c>
      <c r="G51" s="126"/>
      <c r="H51" s="126"/>
      <c r="I51" s="51">
        <f>AVERAGE(0.56,0.7)</f>
        <v>0.63</v>
      </c>
      <c r="J51" s="127">
        <f t="shared" si="4"/>
        <v>12.84004500385411</v>
      </c>
      <c r="K51" s="128">
        <f t="shared" si="5"/>
        <v>39.906974275076315</v>
      </c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</row>
    <row r="52" spans="1:24">
      <c r="A52" s="121">
        <v>3</v>
      </c>
      <c r="B52" s="129" t="s">
        <v>394</v>
      </c>
      <c r="C52" s="123" t="s">
        <v>29</v>
      </c>
      <c r="D52" s="129">
        <v>7</v>
      </c>
      <c r="E52" s="125">
        <f>SUM(14.3+17.37)</f>
        <v>31.67</v>
      </c>
      <c r="F52" s="125">
        <f t="shared" si="3"/>
        <v>10.085987261146498</v>
      </c>
      <c r="G52" s="126"/>
      <c r="H52" s="126"/>
      <c r="I52" s="51">
        <v>0.8</v>
      </c>
      <c r="J52" s="127">
        <f t="shared" si="4"/>
        <v>11.47801490628423</v>
      </c>
      <c r="K52" s="128">
        <f t="shared" si="5"/>
        <v>32.923418708995783</v>
      </c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</row>
    <row r="53" spans="1:24">
      <c r="A53" s="121">
        <v>3</v>
      </c>
      <c r="B53" s="129" t="s">
        <v>394</v>
      </c>
      <c r="C53" s="123" t="s">
        <v>29</v>
      </c>
      <c r="D53" s="129">
        <v>4</v>
      </c>
      <c r="E53" s="125">
        <f>SUM(10.2+7.4)</f>
        <v>17.600000000000001</v>
      </c>
      <c r="F53" s="125">
        <f t="shared" si="3"/>
        <v>5.6050955414012744</v>
      </c>
      <c r="G53" s="126"/>
      <c r="H53" s="126"/>
      <c r="I53" s="51">
        <v>0.8</v>
      </c>
      <c r="J53" s="127">
        <f t="shared" si="4"/>
        <v>9.4255393443953093</v>
      </c>
      <c r="K53" s="128">
        <f t="shared" si="5"/>
        <v>6.0572499859437139</v>
      </c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</row>
    <row r="54" spans="1:24">
      <c r="A54" s="121">
        <v>3</v>
      </c>
      <c r="B54" s="122" t="s">
        <v>47</v>
      </c>
      <c r="C54" s="16" t="s">
        <v>48</v>
      </c>
      <c r="D54" s="122">
        <v>9</v>
      </c>
      <c r="E54" s="124">
        <v>31.5</v>
      </c>
      <c r="F54" s="125">
        <f t="shared" si="3"/>
        <v>10.031847133757962</v>
      </c>
      <c r="G54" s="126"/>
      <c r="H54" s="126"/>
      <c r="I54" s="51">
        <v>0.56000000000000005</v>
      </c>
      <c r="J54" s="127">
        <f t="shared" si="4"/>
        <v>12.155795642825266</v>
      </c>
      <c r="K54" s="128">
        <f t="shared" si="5"/>
        <v>29.39563158618855</v>
      </c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</row>
    <row r="55" spans="1:24">
      <c r="A55" s="121">
        <v>3</v>
      </c>
      <c r="B55" s="122" t="s">
        <v>47</v>
      </c>
      <c r="C55" s="16" t="s">
        <v>48</v>
      </c>
      <c r="D55" s="129">
        <v>8</v>
      </c>
      <c r="E55" s="125">
        <v>15.4</v>
      </c>
      <c r="F55" s="125">
        <f t="shared" si="3"/>
        <v>4.9044585987261149</v>
      </c>
      <c r="G55" s="126"/>
      <c r="H55" s="126"/>
      <c r="I55" s="51">
        <v>0.56000000000000005</v>
      </c>
      <c r="J55" s="127">
        <f t="shared" si="4"/>
        <v>9.6592039961053189</v>
      </c>
      <c r="K55" s="128">
        <f t="shared" si="5"/>
        <v>6.4818082601208458</v>
      </c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</row>
    <row r="56" spans="1:24">
      <c r="A56" s="121">
        <v>3</v>
      </c>
      <c r="B56" s="122" t="s">
        <v>47</v>
      </c>
      <c r="C56" s="16" t="s">
        <v>48</v>
      </c>
      <c r="D56" s="122">
        <v>8.5</v>
      </c>
      <c r="E56" s="124">
        <v>34.1</v>
      </c>
      <c r="F56" s="125">
        <f t="shared" si="3"/>
        <v>10.859872611464969</v>
      </c>
      <c r="G56" s="126"/>
      <c r="H56" s="126"/>
      <c r="I56" s="51">
        <v>0.56000000000000005</v>
      </c>
      <c r="J56" s="127">
        <f t="shared" si="4"/>
        <v>12.494320785833096</v>
      </c>
      <c r="K56" s="128">
        <f t="shared" si="5"/>
        <v>32.455576278611254</v>
      </c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</row>
    <row r="57" spans="1:24">
      <c r="A57" s="121">
        <v>3</v>
      </c>
      <c r="B57" s="122" t="s">
        <v>47</v>
      </c>
      <c r="C57" s="16" t="s">
        <v>48</v>
      </c>
      <c r="D57" s="129">
        <v>8</v>
      </c>
      <c r="E57" s="125">
        <v>51.2</v>
      </c>
      <c r="F57" s="125">
        <f t="shared" si="3"/>
        <v>16.305732484076433</v>
      </c>
      <c r="G57" s="126"/>
      <c r="H57" s="126"/>
      <c r="I57" s="51">
        <v>0.56000000000000005</v>
      </c>
      <c r="J57" s="127">
        <f t="shared" si="4"/>
        <v>16.430253531583432</v>
      </c>
      <c r="K57" s="128">
        <f t="shared" si="5"/>
        <v>67.631761142143645</v>
      </c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</row>
    <row r="58" spans="1:24">
      <c r="A58" s="121">
        <v>3</v>
      </c>
      <c r="B58" s="122" t="s">
        <v>47</v>
      </c>
      <c r="C58" s="16" t="s">
        <v>48</v>
      </c>
      <c r="D58" s="122">
        <v>8</v>
      </c>
      <c r="E58" s="124">
        <v>35</v>
      </c>
      <c r="F58" s="125">
        <f t="shared" si="3"/>
        <v>11.146496815286623</v>
      </c>
      <c r="G58" s="126"/>
      <c r="H58" s="126"/>
      <c r="I58" s="51">
        <v>0.56000000000000005</v>
      </c>
      <c r="J58" s="127">
        <f t="shared" si="4"/>
        <v>12.464542955089454</v>
      </c>
      <c r="K58" s="128">
        <f t="shared" si="5"/>
        <v>32.186707654584737</v>
      </c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</row>
    <row r="59" spans="1:24">
      <c r="A59" s="121">
        <v>4</v>
      </c>
      <c r="B59" s="129" t="s">
        <v>164</v>
      </c>
      <c r="C59" s="137" t="s">
        <v>204</v>
      </c>
      <c r="D59" s="129">
        <v>6</v>
      </c>
      <c r="E59" s="125">
        <v>40.5</v>
      </c>
      <c r="F59" s="125">
        <f t="shared" si="3"/>
        <v>12.898089171974522</v>
      </c>
      <c r="G59" s="126"/>
      <c r="H59" s="126"/>
      <c r="I59" s="51">
        <f>AVERAGE(0.22,0.34)</f>
        <v>0.28000000000000003</v>
      </c>
      <c r="J59" s="127">
        <f t="shared" si="4"/>
        <v>12.479274790052335</v>
      </c>
      <c r="K59" s="128">
        <f t="shared" si="5"/>
        <v>16.430941729130762</v>
      </c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</row>
    <row r="60" spans="1:24">
      <c r="A60" s="121">
        <v>4</v>
      </c>
      <c r="B60" s="129" t="s">
        <v>164</v>
      </c>
      <c r="C60" s="137" t="s">
        <v>204</v>
      </c>
      <c r="D60" s="122">
        <v>4.5</v>
      </c>
      <c r="E60" s="124">
        <v>18.5</v>
      </c>
      <c r="F60" s="125">
        <f t="shared" si="3"/>
        <v>5.8917197452229297</v>
      </c>
      <c r="G60" s="126"/>
      <c r="H60" s="126"/>
      <c r="I60" s="51">
        <f>AVERAGE(0.22,0.34)</f>
        <v>0.28000000000000003</v>
      </c>
      <c r="J60" s="127">
        <f t="shared" si="4"/>
        <v>9.5324196945109332</v>
      </c>
      <c r="K60" s="128">
        <f t="shared" si="5"/>
        <v>2.6883713412697121</v>
      </c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</row>
    <row r="61" spans="1:24">
      <c r="A61" s="121">
        <v>4</v>
      </c>
      <c r="B61" s="122" t="s">
        <v>164</v>
      </c>
      <c r="C61" s="137" t="s">
        <v>204</v>
      </c>
      <c r="D61" s="122">
        <v>6</v>
      </c>
      <c r="E61" s="124">
        <v>43.4</v>
      </c>
      <c r="F61" s="125">
        <f t="shared" si="3"/>
        <v>13.821656050955413</v>
      </c>
      <c r="G61" s="126"/>
      <c r="H61" s="126"/>
      <c r="I61" s="51">
        <f>AVERAGE(0.22,0.34)</f>
        <v>0.28000000000000003</v>
      </c>
      <c r="J61" s="127">
        <f t="shared" si="4"/>
        <v>12.997501695809159</v>
      </c>
      <c r="K61" s="128">
        <f t="shared" si="5"/>
        <v>18.805730244577035</v>
      </c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</row>
    <row r="62" spans="1:24">
      <c r="A62" s="121">
        <v>4</v>
      </c>
      <c r="B62" s="129" t="s">
        <v>286</v>
      </c>
      <c r="C62" s="16" t="s">
        <v>287</v>
      </c>
      <c r="D62" s="122">
        <v>6</v>
      </c>
      <c r="E62" s="124">
        <f>SUM(18.4+12.3)</f>
        <v>30.7</v>
      </c>
      <c r="F62" s="125">
        <f t="shared" si="3"/>
        <v>9.7770700636942678</v>
      </c>
      <c r="G62" s="126"/>
      <c r="H62" s="126"/>
      <c r="I62" s="51">
        <f>AVERAGE(0.5,0.7)</f>
        <v>0.6</v>
      </c>
      <c r="J62" s="127">
        <f t="shared" si="4"/>
        <v>10.993113079638119</v>
      </c>
      <c r="K62" s="128">
        <f t="shared" si="5"/>
        <v>20.13046193866629</v>
      </c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</row>
    <row r="63" spans="1:24">
      <c r="A63" s="121">
        <v>4</v>
      </c>
      <c r="B63" s="129" t="s">
        <v>286</v>
      </c>
      <c r="C63" s="16" t="s">
        <v>287</v>
      </c>
      <c r="D63" s="122">
        <v>5</v>
      </c>
      <c r="E63" s="124">
        <v>74.3</v>
      </c>
      <c r="F63" s="125">
        <f t="shared" si="3"/>
        <v>23.662420382165603</v>
      </c>
      <c r="G63" s="126"/>
      <c r="H63" s="126"/>
      <c r="I63" s="51">
        <f>AVERAGE(0.5,0.7)</f>
        <v>0.6</v>
      </c>
      <c r="J63" s="127">
        <f t="shared" si="4"/>
        <v>18.784127420990707</v>
      </c>
      <c r="K63" s="128">
        <f t="shared" si="5"/>
        <v>94.590800377056453</v>
      </c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</row>
    <row r="64" spans="1:24">
      <c r="A64" s="121">
        <v>4</v>
      </c>
      <c r="B64" s="122" t="s">
        <v>403</v>
      </c>
      <c r="C64" s="123" t="s">
        <v>239</v>
      </c>
      <c r="D64" s="122">
        <v>6</v>
      </c>
      <c r="E64" s="124">
        <f>SUM(27.7+12.3)</f>
        <v>40</v>
      </c>
      <c r="F64" s="125">
        <f t="shared" si="3"/>
        <v>12.738853503184712</v>
      </c>
      <c r="G64" s="126"/>
      <c r="H64" s="126"/>
      <c r="I64" s="126"/>
      <c r="J64" s="127">
        <f t="shared" si="4"/>
        <v>12.393546160087629</v>
      </c>
      <c r="K64" s="128">
        <f t="shared" si="5"/>
        <v>0</v>
      </c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</row>
    <row r="65" spans="1:24">
      <c r="A65" s="121">
        <v>4</v>
      </c>
      <c r="B65" s="129" t="s">
        <v>404</v>
      </c>
      <c r="C65" s="16" t="s">
        <v>73</v>
      </c>
      <c r="D65" s="122">
        <v>6</v>
      </c>
      <c r="E65" s="124">
        <v>35.6</v>
      </c>
      <c r="F65" s="125">
        <f t="shared" si="3"/>
        <v>11.337579617834395</v>
      </c>
      <c r="G65" s="126"/>
      <c r="H65" s="126"/>
      <c r="I65" s="51">
        <f>AVERAGE(0.58,0.66)</f>
        <v>0.62</v>
      </c>
      <c r="J65" s="127">
        <f t="shared" si="4"/>
        <v>11.685054943405412</v>
      </c>
      <c r="K65" s="128">
        <f t="shared" si="5"/>
        <v>27.751642775833773</v>
      </c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</row>
    <row r="66" spans="1:24">
      <c r="A66" s="121">
        <v>4</v>
      </c>
      <c r="B66" s="122" t="s">
        <v>404</v>
      </c>
      <c r="C66" s="16" t="s">
        <v>73</v>
      </c>
      <c r="D66" s="122">
        <v>8</v>
      </c>
      <c r="E66" s="124">
        <f>SUM(28.4+19.5)</f>
        <v>47.9</v>
      </c>
      <c r="F66" s="125">
        <f t="shared" si="3"/>
        <v>15.254777070063692</v>
      </c>
      <c r="G66" s="126"/>
      <c r="H66" s="126"/>
      <c r="I66" s="51">
        <f>AVERAGE(0.58,0.66)</f>
        <v>0.62</v>
      </c>
      <c r="J66" s="127">
        <f t="shared" si="4"/>
        <v>15.501530256805548</v>
      </c>
      <c r="K66" s="128">
        <f t="shared" si="5"/>
        <v>65.586345066267882</v>
      </c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</row>
    <row r="67" spans="1:24">
      <c r="A67" s="121">
        <v>4</v>
      </c>
      <c r="B67" s="122" t="s">
        <v>384</v>
      </c>
      <c r="C67" s="16" t="s">
        <v>341</v>
      </c>
      <c r="D67" s="122">
        <v>8</v>
      </c>
      <c r="E67" s="124">
        <f>SUM(36.6+20.2)</f>
        <v>56.8</v>
      </c>
      <c r="F67" s="125">
        <f t="shared" si="3"/>
        <v>18.089171974522291</v>
      </c>
      <c r="G67" s="126"/>
      <c r="H67" s="126"/>
      <c r="I67" s="126"/>
      <c r="J67" s="127">
        <f t="shared" si="4"/>
        <v>18.147807996267595</v>
      </c>
      <c r="K67" s="128">
        <f t="shared" si="5"/>
        <v>0</v>
      </c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</row>
    <row r="68" spans="1:24">
      <c r="A68" s="121">
        <v>4</v>
      </c>
      <c r="B68" s="122" t="s">
        <v>384</v>
      </c>
      <c r="C68" s="16" t="s">
        <v>341</v>
      </c>
      <c r="D68" s="122">
        <v>8</v>
      </c>
      <c r="E68" s="124">
        <v>51.3</v>
      </c>
      <c r="F68" s="125">
        <f t="shared" ref="F68:F99" si="6">E68/3.14</f>
        <v>16.337579617834393</v>
      </c>
      <c r="G68" s="126"/>
      <c r="H68" s="126"/>
      <c r="I68" s="126"/>
      <c r="J68" s="127">
        <f t="shared" ref="J68:J100" si="7">8.9857+0.0035*(F68)^2*(D68)</f>
        <v>16.459362217534178</v>
      </c>
      <c r="K68" s="128">
        <f t="shared" ref="K68:K100" si="8">0.0673*(I68*F68^2*D68)^0.976</f>
        <v>0</v>
      </c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</row>
    <row r="69" spans="1:24">
      <c r="A69" s="121">
        <v>4</v>
      </c>
      <c r="B69" s="122" t="s">
        <v>344</v>
      </c>
      <c r="C69" s="137" t="s">
        <v>127</v>
      </c>
      <c r="D69" s="126"/>
      <c r="E69" s="124">
        <f>SUM(13.7+9.5)</f>
        <v>23.2</v>
      </c>
      <c r="F69" s="125">
        <f t="shared" si="6"/>
        <v>7.388535031847133</v>
      </c>
      <c r="G69" s="126"/>
      <c r="H69" s="126"/>
      <c r="I69" s="51">
        <f>AVERAGE(0.47,0.59)</f>
        <v>0.53</v>
      </c>
      <c r="J69" s="127">
        <f t="shared" si="7"/>
        <v>8.9856999999999996</v>
      </c>
      <c r="K69" s="128">
        <f t="shared" si="8"/>
        <v>0</v>
      </c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</row>
    <row r="70" spans="1:24">
      <c r="A70" s="121">
        <v>4</v>
      </c>
      <c r="B70" s="122" t="s">
        <v>406</v>
      </c>
      <c r="C70" s="123" t="s">
        <v>471</v>
      </c>
      <c r="D70" s="122">
        <v>6</v>
      </c>
      <c r="E70" s="124">
        <f>SUM(31.2+17.4+16.6)</f>
        <v>65.199999999999989</v>
      </c>
      <c r="F70" s="125">
        <f t="shared" si="6"/>
        <v>20.764331210191077</v>
      </c>
      <c r="G70" s="126"/>
      <c r="H70" s="126"/>
      <c r="I70" s="51">
        <f>AVERAGE(0.99,1.27)</f>
        <v>1.1299999999999999</v>
      </c>
      <c r="J70" s="127">
        <f t="shared" si="7"/>
        <v>18.04000646273682</v>
      </c>
      <c r="K70" s="128">
        <f t="shared" si="8"/>
        <v>162.4425802610175</v>
      </c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</row>
    <row r="71" spans="1:24">
      <c r="A71" s="121">
        <v>4</v>
      </c>
      <c r="B71" s="129" t="s">
        <v>378</v>
      </c>
      <c r="C71" s="16" t="s">
        <v>107</v>
      </c>
      <c r="D71" s="122">
        <v>7</v>
      </c>
      <c r="E71" s="124">
        <f>SUM(26.4+27.3+21.2)</f>
        <v>74.900000000000006</v>
      </c>
      <c r="F71" s="125">
        <f t="shared" si="6"/>
        <v>23.853503184713375</v>
      </c>
      <c r="G71" s="126"/>
      <c r="H71" s="126"/>
      <c r="I71" s="51">
        <f>AVERAGE(0.56,0.7)</f>
        <v>0.63</v>
      </c>
      <c r="J71" s="127">
        <f t="shared" si="7"/>
        <v>22.925945547486712</v>
      </c>
      <c r="K71" s="128">
        <f t="shared" si="8"/>
        <v>139.94873030601275</v>
      </c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</row>
    <row r="72" spans="1:24">
      <c r="A72" s="121">
        <v>4</v>
      </c>
      <c r="B72" s="129" t="s">
        <v>378</v>
      </c>
      <c r="C72" s="16" t="s">
        <v>107</v>
      </c>
      <c r="D72" s="122">
        <v>8</v>
      </c>
      <c r="E72" s="124">
        <f>SUM(39.4+28.6+13.4+10.5)</f>
        <v>91.9</v>
      </c>
      <c r="F72" s="125">
        <f t="shared" si="6"/>
        <v>29.267515923566879</v>
      </c>
      <c r="G72" s="126"/>
      <c r="H72" s="126"/>
      <c r="I72" s="51">
        <f>AVERAGE(0.56,0.7)</f>
        <v>0.63</v>
      </c>
      <c r="J72" s="127">
        <f t="shared" si="7"/>
        <v>32.970149673414745</v>
      </c>
      <c r="K72" s="128">
        <f t="shared" si="8"/>
        <v>237.66896394128688</v>
      </c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</row>
    <row r="73" spans="1:24">
      <c r="A73" s="121">
        <v>4</v>
      </c>
      <c r="B73" s="122" t="s">
        <v>260</v>
      </c>
      <c r="C73" s="123" t="s">
        <v>261</v>
      </c>
      <c r="D73" s="122">
        <v>4</v>
      </c>
      <c r="E73" s="124">
        <v>20.5</v>
      </c>
      <c r="F73" s="125">
        <f t="shared" si="6"/>
        <v>6.5286624203821653</v>
      </c>
      <c r="G73" s="126"/>
      <c r="H73" s="126"/>
      <c r="I73" s="51">
        <f>AVERAGE(0.26,0.39)</f>
        <v>0.32500000000000001</v>
      </c>
      <c r="J73" s="127">
        <f t="shared" si="7"/>
        <v>9.5824280619903437</v>
      </c>
      <c r="K73" s="128">
        <f t="shared" si="8"/>
        <v>3.3865745458998755</v>
      </c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</row>
    <row r="74" spans="1:24">
      <c r="A74" s="121">
        <v>4</v>
      </c>
      <c r="B74" s="122" t="s">
        <v>260</v>
      </c>
      <c r="C74" s="123" t="s">
        <v>261</v>
      </c>
      <c r="D74" s="122">
        <v>5.5</v>
      </c>
      <c r="E74" s="124">
        <f>SUM(30.5+15.3)</f>
        <v>45.8</v>
      </c>
      <c r="F74" s="125">
        <f t="shared" si="6"/>
        <v>14.585987261146496</v>
      </c>
      <c r="G74" s="126"/>
      <c r="H74" s="126"/>
      <c r="I74" s="51">
        <f>AVERAGE(0.26,0.39)</f>
        <v>0.32500000000000001</v>
      </c>
      <c r="J74" s="127">
        <f t="shared" si="7"/>
        <v>13.08115721935981</v>
      </c>
      <c r="K74" s="128">
        <f t="shared" si="8"/>
        <v>22.192690142215916</v>
      </c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</row>
    <row r="75" spans="1:24">
      <c r="A75" s="121">
        <v>4</v>
      </c>
      <c r="B75" s="129" t="s">
        <v>336</v>
      </c>
      <c r="C75" s="16" t="s">
        <v>337</v>
      </c>
      <c r="D75" s="122">
        <v>7</v>
      </c>
      <c r="E75" s="124">
        <f>SUM(24.5+34.4)</f>
        <v>58.9</v>
      </c>
      <c r="F75" s="125">
        <f t="shared" si="6"/>
        <v>18.757961783439491</v>
      </c>
      <c r="G75" s="126"/>
      <c r="H75" s="126"/>
      <c r="I75" s="51">
        <v>0.46800000000000003</v>
      </c>
      <c r="J75" s="127">
        <f t="shared" si="7"/>
        <v>17.606297691589923</v>
      </c>
      <c r="K75" s="128">
        <f t="shared" si="8"/>
        <v>65.501174330797355</v>
      </c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</row>
    <row r="76" spans="1:24">
      <c r="A76" s="121">
        <v>4</v>
      </c>
      <c r="B76" s="129" t="s">
        <v>336</v>
      </c>
      <c r="C76" s="16" t="s">
        <v>337</v>
      </c>
      <c r="D76" s="122">
        <v>6</v>
      </c>
      <c r="E76" s="124">
        <f>SUM(29.9+13.4)</f>
        <v>43.3</v>
      </c>
      <c r="F76" s="125">
        <f t="shared" si="6"/>
        <v>13.789808917197451</v>
      </c>
      <c r="G76" s="126"/>
      <c r="H76" s="126"/>
      <c r="I76" s="51">
        <v>0.46800000000000003</v>
      </c>
      <c r="J76" s="127">
        <f t="shared" si="7"/>
        <v>12.979035429429185</v>
      </c>
      <c r="K76" s="128">
        <f t="shared" si="8"/>
        <v>30.90781740179872</v>
      </c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</row>
    <row r="77" spans="1:24">
      <c r="A77" s="121">
        <v>4</v>
      </c>
      <c r="B77" s="122" t="s">
        <v>336</v>
      </c>
      <c r="C77" s="16" t="s">
        <v>337</v>
      </c>
      <c r="D77" s="122">
        <v>8</v>
      </c>
      <c r="E77" s="124">
        <f>SUM(45.5+29.6)</f>
        <v>75.099999999999994</v>
      </c>
      <c r="F77" s="125">
        <f t="shared" si="6"/>
        <v>23.917197452229296</v>
      </c>
      <c r="G77" s="126"/>
      <c r="H77" s="126"/>
      <c r="I77" s="51">
        <v>0.46800000000000003</v>
      </c>
      <c r="J77" s="127">
        <f t="shared" si="7"/>
        <v>25.002605351129858</v>
      </c>
      <c r="K77" s="128">
        <f t="shared" si="8"/>
        <v>119.90390522082986</v>
      </c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</row>
    <row r="78" spans="1:24">
      <c r="A78" s="121">
        <v>4</v>
      </c>
      <c r="B78" s="129" t="s">
        <v>399</v>
      </c>
      <c r="C78" s="16" t="s">
        <v>267</v>
      </c>
      <c r="D78" s="122">
        <v>3</v>
      </c>
      <c r="E78" s="124">
        <v>13.4</v>
      </c>
      <c r="F78" s="125">
        <f t="shared" si="6"/>
        <v>4.2675159235668794</v>
      </c>
      <c r="G78" s="126"/>
      <c r="H78" s="51" t="s">
        <v>400</v>
      </c>
      <c r="I78" s="51">
        <f>AVERAGE(0.75,
0.8)</f>
        <v>0.77500000000000002</v>
      </c>
      <c r="J78" s="127">
        <f t="shared" si="7"/>
        <v>9.176922767657917</v>
      </c>
      <c r="K78" s="128">
        <f t="shared" si="8"/>
        <v>2.6046283531920591</v>
      </c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</row>
    <row r="79" spans="1:24">
      <c r="A79" s="121">
        <v>4</v>
      </c>
      <c r="B79" s="122" t="s">
        <v>399</v>
      </c>
      <c r="C79" s="16" t="s">
        <v>267</v>
      </c>
      <c r="D79" s="122">
        <v>3.5</v>
      </c>
      <c r="E79" s="124">
        <v>11.5</v>
      </c>
      <c r="F79" s="125">
        <f t="shared" si="6"/>
        <v>3.6624203821656049</v>
      </c>
      <c r="G79" s="126"/>
      <c r="H79" s="126"/>
      <c r="I79" s="51">
        <f>AVERAGE(0.75,
0.8)</f>
        <v>0.77500000000000002</v>
      </c>
      <c r="J79" s="127">
        <f t="shared" si="7"/>
        <v>9.1500132074323499</v>
      </c>
      <c r="K79" s="128">
        <f t="shared" si="8"/>
        <v>2.246257025749129</v>
      </c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</row>
    <row r="80" spans="1:24">
      <c r="A80" s="121">
        <v>5</v>
      </c>
      <c r="B80" s="122" t="s">
        <v>251</v>
      </c>
      <c r="C80" s="16" t="s">
        <v>21</v>
      </c>
      <c r="D80" s="122">
        <v>11</v>
      </c>
      <c r="E80" s="124">
        <v>85.6</v>
      </c>
      <c r="F80" s="125">
        <f t="shared" si="6"/>
        <v>27.261146496815282</v>
      </c>
      <c r="G80" s="126"/>
      <c r="H80" s="126"/>
      <c r="I80" s="51">
        <f>AVERAGE(0.84,1.1)</f>
        <v>0.97</v>
      </c>
      <c r="J80" s="127">
        <f t="shared" si="7"/>
        <v>37.597749170351733</v>
      </c>
      <c r="K80" s="128">
        <f t="shared" si="8"/>
        <v>430.2151036584101</v>
      </c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</row>
    <row r="81" spans="1:24">
      <c r="A81" s="121">
        <v>5</v>
      </c>
      <c r="B81" s="122" t="s">
        <v>251</v>
      </c>
      <c r="C81" s="16" t="s">
        <v>21</v>
      </c>
      <c r="D81" s="129">
        <v>5</v>
      </c>
      <c r="E81" s="125">
        <v>17.5</v>
      </c>
      <c r="F81" s="125">
        <f t="shared" si="6"/>
        <v>5.5732484076433115</v>
      </c>
      <c r="G81" s="126"/>
      <c r="H81" s="126"/>
      <c r="I81" s="51">
        <f>AVERAGE(0.84,1.1)</f>
        <v>0.97</v>
      </c>
      <c r="J81" s="127">
        <f t="shared" si="7"/>
        <v>9.5292692117327267</v>
      </c>
      <c r="K81" s="128">
        <f t="shared" si="8"/>
        <v>8.9888182463973862</v>
      </c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</row>
    <row r="82" spans="1:24">
      <c r="A82" s="121">
        <v>5</v>
      </c>
      <c r="B82" s="122" t="s">
        <v>251</v>
      </c>
      <c r="C82" s="16" t="s">
        <v>21</v>
      </c>
      <c r="D82" s="122">
        <v>8</v>
      </c>
      <c r="E82" s="124">
        <f>SUM(50.4+31.2+16.4)</f>
        <v>98</v>
      </c>
      <c r="F82" s="125">
        <f t="shared" si="6"/>
        <v>31.210191082802545</v>
      </c>
      <c r="G82" s="126"/>
      <c r="H82" s="126"/>
      <c r="I82" s="51">
        <f>AVERAGE(0.84,1.1)</f>
        <v>0.97</v>
      </c>
      <c r="J82" s="127">
        <f t="shared" si="7"/>
        <v>36.259828767901332</v>
      </c>
      <c r="K82" s="128">
        <f t="shared" si="8"/>
        <v>410.56954453742293</v>
      </c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</row>
    <row r="83" spans="1:24">
      <c r="A83" s="121">
        <v>5</v>
      </c>
      <c r="B83" s="122" t="s">
        <v>251</v>
      </c>
      <c r="C83" s="16" t="s">
        <v>21</v>
      </c>
      <c r="D83" s="122">
        <v>7</v>
      </c>
      <c r="E83" s="124">
        <v>50.3</v>
      </c>
      <c r="F83" s="125">
        <f t="shared" si="6"/>
        <v>16.019108280254777</v>
      </c>
      <c r="G83" s="126"/>
      <c r="H83" s="126"/>
      <c r="I83" s="51">
        <f>AVERAGE(0.84,1.1)</f>
        <v>0.97</v>
      </c>
      <c r="J83" s="127">
        <f t="shared" si="7"/>
        <v>15.272689837315914</v>
      </c>
      <c r="K83" s="128">
        <f t="shared" si="8"/>
        <v>98.033384782786428</v>
      </c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</row>
    <row r="84" spans="1:24">
      <c r="A84" s="121">
        <v>5</v>
      </c>
      <c r="B84" s="122" t="s">
        <v>395</v>
      </c>
      <c r="C84" s="16" t="s">
        <v>396</v>
      </c>
      <c r="D84" s="122">
        <v>3</v>
      </c>
      <c r="E84" s="124">
        <v>12.3</v>
      </c>
      <c r="F84" s="125">
        <f t="shared" si="6"/>
        <v>3.9171974522292996</v>
      </c>
      <c r="G84" s="126"/>
      <c r="H84" s="126"/>
      <c r="I84" s="126"/>
      <c r="J84" s="127">
        <f t="shared" si="7"/>
        <v>9.1468165767373932</v>
      </c>
      <c r="K84" s="128">
        <f t="shared" si="8"/>
        <v>0</v>
      </c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</row>
    <row r="85" spans="1:24">
      <c r="A85" s="121">
        <v>5</v>
      </c>
      <c r="B85" s="122" t="s">
        <v>286</v>
      </c>
      <c r="C85" s="16" t="s">
        <v>287</v>
      </c>
      <c r="D85" s="122">
        <v>6.5</v>
      </c>
      <c r="E85" s="124">
        <v>14.5</v>
      </c>
      <c r="F85" s="125">
        <f t="shared" si="6"/>
        <v>4.6178343949044587</v>
      </c>
      <c r="G85" s="126"/>
      <c r="H85" s="126"/>
      <c r="I85" s="51">
        <f>AVERAGE(0.5,0.7)</f>
        <v>0.6</v>
      </c>
      <c r="J85" s="127">
        <f t="shared" si="7"/>
        <v>9.4708299748468487</v>
      </c>
      <c r="K85" s="128">
        <f t="shared" si="8"/>
        <v>5.0335894187974963</v>
      </c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</row>
    <row r="86" spans="1:24">
      <c r="A86" s="121">
        <v>5</v>
      </c>
      <c r="B86" s="122" t="s">
        <v>286</v>
      </c>
      <c r="C86" s="16" t="s">
        <v>287</v>
      </c>
      <c r="D86" s="129">
        <v>6</v>
      </c>
      <c r="E86" s="125">
        <v>19.5</v>
      </c>
      <c r="F86" s="125">
        <f t="shared" si="6"/>
        <v>6.2101910828025479</v>
      </c>
      <c r="G86" s="126"/>
      <c r="H86" s="126"/>
      <c r="I86" s="51">
        <f>AVERAGE(0.5,0.7)</f>
        <v>0.6</v>
      </c>
      <c r="J86" s="127">
        <f t="shared" si="7"/>
        <v>9.7955959389833254</v>
      </c>
      <c r="K86" s="128">
        <f t="shared" si="8"/>
        <v>8.3005561799282734</v>
      </c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</row>
    <row r="87" spans="1:24">
      <c r="A87" s="121">
        <v>5</v>
      </c>
      <c r="B87" s="129" t="s">
        <v>398</v>
      </c>
      <c r="C87" s="16" t="s">
        <v>237</v>
      </c>
      <c r="D87" s="129">
        <v>4</v>
      </c>
      <c r="E87" s="124">
        <v>8.1999999999999993</v>
      </c>
      <c r="F87" s="125">
        <f t="shared" si="6"/>
        <v>2.6114649681528661</v>
      </c>
      <c r="G87" s="126"/>
      <c r="H87" s="126"/>
      <c r="I87" s="51">
        <f>AVERAGE(0.8,1)</f>
        <v>0.9</v>
      </c>
      <c r="J87" s="127">
        <f t="shared" si="7"/>
        <v>9.0811764899184553</v>
      </c>
      <c r="K87" s="128">
        <f t="shared" si="8"/>
        <v>1.5301157016380638</v>
      </c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</row>
    <row r="88" spans="1:24">
      <c r="A88" s="121">
        <v>5</v>
      </c>
      <c r="B88" s="122" t="s">
        <v>397</v>
      </c>
      <c r="C88" s="16" t="s">
        <v>232</v>
      </c>
      <c r="D88" s="129">
        <v>8</v>
      </c>
      <c r="E88" s="125">
        <f>SUM(38.5+21.4+32.2+38.5+19.5+31.3+27.7+32.2+18.5)</f>
        <v>259.8</v>
      </c>
      <c r="F88" s="125">
        <f t="shared" si="6"/>
        <v>82.738853503184714</v>
      </c>
      <c r="G88" s="126"/>
      <c r="H88" s="126"/>
      <c r="I88" s="51">
        <v>0.62</v>
      </c>
      <c r="J88" s="127">
        <f t="shared" si="7"/>
        <v>200.66580061260092</v>
      </c>
      <c r="K88" s="128">
        <f t="shared" si="8"/>
        <v>1778.992519298228</v>
      </c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</row>
    <row r="89" spans="1:24">
      <c r="A89" s="121">
        <v>5</v>
      </c>
      <c r="B89" s="122" t="s">
        <v>397</v>
      </c>
      <c r="C89" s="16" t="s">
        <v>232</v>
      </c>
      <c r="D89" s="122">
        <v>7</v>
      </c>
      <c r="E89" s="124">
        <f>SUM(36.6+28.5+29.4+27.7+27.8+21.2+23.3+23.8)</f>
        <v>218.3</v>
      </c>
      <c r="F89" s="125">
        <f t="shared" si="6"/>
        <v>69.522292993630572</v>
      </c>
      <c r="G89" s="126"/>
      <c r="H89" s="126"/>
      <c r="I89" s="51">
        <v>0.62</v>
      </c>
      <c r="J89" s="127">
        <f t="shared" si="7"/>
        <v>127.40275596575927</v>
      </c>
      <c r="K89" s="128">
        <f t="shared" si="8"/>
        <v>1111.8117494797082</v>
      </c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</row>
    <row r="90" spans="1:24">
      <c r="A90" s="121">
        <v>5</v>
      </c>
      <c r="B90" s="122" t="s">
        <v>260</v>
      </c>
      <c r="C90" s="123" t="s">
        <v>261</v>
      </c>
      <c r="D90" s="122">
        <v>4</v>
      </c>
      <c r="E90" s="124">
        <v>34.6</v>
      </c>
      <c r="F90" s="125">
        <f t="shared" si="6"/>
        <v>11.019108280254777</v>
      </c>
      <c r="G90" s="126"/>
      <c r="H90" s="126"/>
      <c r="I90" s="51">
        <f>AVERAGE(0.26,0.39)</f>
        <v>0.32500000000000001</v>
      </c>
      <c r="J90" s="127">
        <f t="shared" si="7"/>
        <v>10.685590462087712</v>
      </c>
      <c r="K90" s="128">
        <f t="shared" si="8"/>
        <v>9.4079206963197404</v>
      </c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</row>
    <row r="91" spans="1:24">
      <c r="A91" s="121">
        <v>5</v>
      </c>
      <c r="B91" s="122" t="s">
        <v>260</v>
      </c>
      <c r="C91" s="123" t="s">
        <v>261</v>
      </c>
      <c r="D91" s="129">
        <v>4</v>
      </c>
      <c r="E91" s="125">
        <v>27.3</v>
      </c>
      <c r="F91" s="125">
        <f t="shared" si="6"/>
        <v>8.6942675159235669</v>
      </c>
      <c r="G91" s="126"/>
      <c r="H91" s="126"/>
      <c r="I91" s="51">
        <f>AVERAGE(0.26,0.39)</f>
        <v>0.32500000000000001</v>
      </c>
      <c r="J91" s="127">
        <f t="shared" si="7"/>
        <v>10.043964026938212</v>
      </c>
      <c r="K91" s="128">
        <f t="shared" si="8"/>
        <v>5.9238846052517475</v>
      </c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</row>
    <row r="92" spans="1:24">
      <c r="A92" s="121">
        <v>5</v>
      </c>
      <c r="B92" s="122" t="s">
        <v>336</v>
      </c>
      <c r="C92" s="16" t="s">
        <v>337</v>
      </c>
      <c r="D92" s="122">
        <v>7</v>
      </c>
      <c r="E92" s="124">
        <f>SUM(32.4+26.4+14.2+13.2)</f>
        <v>86.2</v>
      </c>
      <c r="F92" s="125">
        <f t="shared" si="6"/>
        <v>27.452229299363058</v>
      </c>
      <c r="G92" s="126"/>
      <c r="H92" s="126"/>
      <c r="I92" s="51">
        <v>0.46800000000000003</v>
      </c>
      <c r="J92" s="127">
        <f t="shared" si="7"/>
        <v>27.449509890867787</v>
      </c>
      <c r="K92" s="128">
        <f t="shared" si="8"/>
        <v>137.75082664154718</v>
      </c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</row>
    <row r="93" spans="1:24">
      <c r="A93" s="121">
        <v>5</v>
      </c>
      <c r="B93" s="122" t="s">
        <v>336</v>
      </c>
      <c r="C93" s="16" t="s">
        <v>337</v>
      </c>
      <c r="D93" s="122">
        <v>7</v>
      </c>
      <c r="E93" s="124">
        <v>37.299999999999997</v>
      </c>
      <c r="F93" s="125">
        <f t="shared" si="6"/>
        <v>11.878980891719744</v>
      </c>
      <c r="G93" s="126"/>
      <c r="H93" s="126"/>
      <c r="I93" s="51">
        <v>0.46800000000000003</v>
      </c>
      <c r="J93" s="127">
        <f t="shared" si="7"/>
        <v>12.442899582133148</v>
      </c>
      <c r="K93" s="128">
        <f t="shared" si="8"/>
        <v>26.850950906820042</v>
      </c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</row>
    <row r="94" spans="1:24">
      <c r="A94" s="121">
        <v>5</v>
      </c>
      <c r="B94" s="122" t="s">
        <v>336</v>
      </c>
      <c r="C94" s="16" t="s">
        <v>337</v>
      </c>
      <c r="D94" s="122">
        <v>7</v>
      </c>
      <c r="E94" s="124">
        <v>36.4</v>
      </c>
      <c r="F94" s="125">
        <f t="shared" si="6"/>
        <v>11.592356687898087</v>
      </c>
      <c r="G94" s="126"/>
      <c r="H94" s="126"/>
      <c r="I94" s="51">
        <v>0.46800000000000003</v>
      </c>
      <c r="J94" s="127">
        <f t="shared" si="7"/>
        <v>12.27807697269666</v>
      </c>
      <c r="K94" s="128">
        <f t="shared" si="8"/>
        <v>25.600823279758259</v>
      </c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</row>
    <row r="95" spans="1:24">
      <c r="A95" s="121">
        <v>5</v>
      </c>
      <c r="B95" s="122" t="s">
        <v>336</v>
      </c>
      <c r="C95" s="16" t="s">
        <v>337</v>
      </c>
      <c r="D95" s="122">
        <v>8</v>
      </c>
      <c r="E95" s="125">
        <f>SUM(38.4+37)</f>
        <v>75.400000000000006</v>
      </c>
      <c r="F95" s="125">
        <f t="shared" si="6"/>
        <v>24.012738853503187</v>
      </c>
      <c r="G95" s="126"/>
      <c r="H95" s="126"/>
      <c r="I95" s="51">
        <v>0.46800000000000003</v>
      </c>
      <c r="J95" s="127">
        <f t="shared" si="7"/>
        <v>25.130825562903162</v>
      </c>
      <c r="K95" s="128">
        <f t="shared" si="8"/>
        <v>120.84064598114736</v>
      </c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</row>
    <row r="96" spans="1:24">
      <c r="A96" s="121">
        <v>5</v>
      </c>
      <c r="B96" s="122" t="s">
        <v>336</v>
      </c>
      <c r="C96" s="16" t="s">
        <v>337</v>
      </c>
      <c r="D96" s="122">
        <v>6</v>
      </c>
      <c r="E96" s="125">
        <v>21.2</v>
      </c>
      <c r="F96" s="125">
        <f t="shared" si="6"/>
        <v>6.7515923566878975</v>
      </c>
      <c r="G96" s="126"/>
      <c r="H96" s="126"/>
      <c r="I96" s="51">
        <v>0.46800000000000003</v>
      </c>
      <c r="J96" s="127">
        <f t="shared" si="7"/>
        <v>9.9429639863686141</v>
      </c>
      <c r="K96" s="128">
        <f t="shared" si="8"/>
        <v>7.6674608065172771</v>
      </c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</row>
    <row r="97" spans="1:24">
      <c r="A97" s="121">
        <v>5</v>
      </c>
      <c r="B97" s="122" t="s">
        <v>336</v>
      </c>
      <c r="C97" s="16" t="s">
        <v>337</v>
      </c>
      <c r="D97" s="129">
        <v>8</v>
      </c>
      <c r="E97" s="125">
        <f>SUM(34.4+43.3)</f>
        <v>77.699999999999989</v>
      </c>
      <c r="F97" s="125">
        <f t="shared" si="6"/>
        <v>24.7452229299363</v>
      </c>
      <c r="G97" s="126"/>
      <c r="H97" s="126"/>
      <c r="I97" s="51">
        <v>0.46800000000000003</v>
      </c>
      <c r="J97" s="127">
        <f t="shared" si="7"/>
        <v>26.130829619862865</v>
      </c>
      <c r="K97" s="128">
        <f t="shared" si="8"/>
        <v>128.14037770798899</v>
      </c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</row>
    <row r="98" spans="1:24">
      <c r="A98" s="121">
        <v>5</v>
      </c>
      <c r="B98" s="122" t="s">
        <v>336</v>
      </c>
      <c r="C98" s="16" t="s">
        <v>337</v>
      </c>
      <c r="D98" s="122">
        <v>7</v>
      </c>
      <c r="E98" s="124">
        <f>SUM(46.2+32.4)</f>
        <v>78.599999999999994</v>
      </c>
      <c r="F98" s="125">
        <f t="shared" si="6"/>
        <v>25.03184713375796</v>
      </c>
      <c r="G98" s="126"/>
      <c r="H98" s="126"/>
      <c r="I98" s="51">
        <v>0.46800000000000003</v>
      </c>
      <c r="J98" s="127">
        <f t="shared" si="7"/>
        <v>24.337237587731749</v>
      </c>
      <c r="K98" s="128">
        <f t="shared" si="8"/>
        <v>115.03999143597746</v>
      </c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</row>
    <row r="99" spans="1:24">
      <c r="A99" s="121">
        <v>5</v>
      </c>
      <c r="B99" s="122" t="s">
        <v>336</v>
      </c>
      <c r="C99" s="16" t="s">
        <v>337</v>
      </c>
      <c r="D99" s="122">
        <v>8</v>
      </c>
      <c r="E99" s="124">
        <f>SUM(14.2+31.2+45.3)</f>
        <v>90.699999999999989</v>
      </c>
      <c r="F99" s="125">
        <f t="shared" si="6"/>
        <v>28.885350318471332</v>
      </c>
      <c r="G99" s="126"/>
      <c r="H99" s="126"/>
      <c r="I99" s="51">
        <v>0.46800000000000003</v>
      </c>
      <c r="J99" s="127">
        <f t="shared" si="7"/>
        <v>32.347876964582731</v>
      </c>
      <c r="K99" s="128">
        <f t="shared" si="8"/>
        <v>173.31397994902491</v>
      </c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</row>
    <row r="100" spans="1:24">
      <c r="A100" s="138">
        <v>5</v>
      </c>
      <c r="B100" s="139" t="s">
        <v>336</v>
      </c>
      <c r="C100" s="16" t="s">
        <v>337</v>
      </c>
      <c r="D100" s="122">
        <v>7</v>
      </c>
      <c r="E100" s="124">
        <f>SUM(25.6+20.3)</f>
        <v>45.900000000000006</v>
      </c>
      <c r="F100" s="125">
        <f t="shared" ref="F100" si="9">E100/3.14</f>
        <v>14.61783439490446</v>
      </c>
      <c r="G100" s="126"/>
      <c r="H100" s="126"/>
      <c r="I100" s="51">
        <v>0.46800000000000003</v>
      </c>
      <c r="J100" s="127">
        <f t="shared" si="7"/>
        <v>14.220886518722869</v>
      </c>
      <c r="K100" s="128">
        <f t="shared" si="8"/>
        <v>40.257091341558272</v>
      </c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</row>
    <row r="101" spans="1:24">
      <c r="A101" s="109"/>
      <c r="B101" s="109"/>
      <c r="C101" s="109"/>
      <c r="D101" s="109"/>
      <c r="E101" s="110"/>
      <c r="F101" s="110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</row>
    <row r="102" spans="1:24">
      <c r="A102" s="109"/>
      <c r="B102" s="109"/>
      <c r="C102" s="109"/>
      <c r="D102" s="109"/>
      <c r="E102" s="110"/>
      <c r="F102" s="110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</row>
    <row r="103" spans="1:24">
      <c r="A103" s="109"/>
      <c r="B103" s="109"/>
      <c r="C103" s="109"/>
      <c r="D103" s="109"/>
      <c r="E103" s="110"/>
      <c r="F103" s="110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</row>
    <row r="104" spans="1:24">
      <c r="A104" s="109"/>
      <c r="B104" s="109"/>
      <c r="C104" s="109"/>
      <c r="D104" s="109"/>
      <c r="E104" s="110"/>
      <c r="F104" s="110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</row>
    <row r="105" spans="1:24">
      <c r="A105" s="109"/>
      <c r="B105" s="109"/>
      <c r="C105" s="109"/>
      <c r="D105" s="109"/>
      <c r="E105" s="110"/>
      <c r="F105" s="110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</row>
    <row r="106" spans="1:24">
      <c r="A106" s="109"/>
      <c r="B106" s="109"/>
      <c r="C106" s="109"/>
      <c r="D106" s="109"/>
      <c r="E106" s="110"/>
      <c r="F106" s="110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</row>
    <row r="107" spans="1:24">
      <c r="A107" s="109"/>
      <c r="B107" s="109"/>
      <c r="C107" s="109"/>
      <c r="D107" s="109"/>
      <c r="E107" s="110"/>
      <c r="F107" s="110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</row>
    <row r="108" spans="1:24">
      <c r="A108" s="109"/>
      <c r="B108" s="109"/>
      <c r="C108" s="109"/>
      <c r="D108" s="109"/>
      <c r="E108" s="110"/>
      <c r="F108" s="110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</row>
    <row r="109" spans="1:24">
      <c r="A109" s="109"/>
      <c r="B109" s="109"/>
      <c r="C109" s="109"/>
      <c r="D109" s="109"/>
      <c r="E109" s="110"/>
      <c r="F109" s="110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</row>
    <row r="110" spans="1:24">
      <c r="A110" s="109"/>
      <c r="B110" s="109"/>
      <c r="C110" s="109"/>
      <c r="D110" s="109"/>
      <c r="E110" s="110"/>
      <c r="F110" s="110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</row>
    <row r="111" spans="1:24">
      <c r="A111" s="109"/>
      <c r="B111" s="109"/>
      <c r="C111" s="109"/>
      <c r="D111" s="109"/>
      <c r="E111" s="110"/>
      <c r="F111" s="110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</row>
    <row r="112" spans="1:24">
      <c r="A112" s="109"/>
      <c r="B112" s="109"/>
      <c r="C112" s="109"/>
      <c r="D112" s="109"/>
      <c r="E112" s="110"/>
      <c r="F112" s="110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</row>
    <row r="113" spans="1:24">
      <c r="A113" s="109"/>
      <c r="B113" s="109"/>
      <c r="C113" s="109"/>
      <c r="D113" s="109"/>
      <c r="E113" s="110"/>
      <c r="F113" s="110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</row>
    <row r="114" spans="1:24">
      <c r="A114" s="109"/>
      <c r="B114" s="109"/>
      <c r="C114" s="109"/>
      <c r="D114" s="109"/>
      <c r="E114" s="110"/>
      <c r="F114" s="110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</row>
    <row r="115" spans="1:24">
      <c r="A115" s="109"/>
      <c r="B115" s="109"/>
      <c r="C115" s="109"/>
      <c r="D115" s="109"/>
      <c r="E115" s="110"/>
      <c r="F115" s="110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</row>
    <row r="116" spans="1:24">
      <c r="A116" s="109"/>
      <c r="B116" s="109"/>
      <c r="C116" s="109"/>
      <c r="D116" s="109"/>
      <c r="E116" s="110"/>
      <c r="F116" s="110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</row>
    <row r="117" spans="1:24">
      <c r="A117" s="109"/>
      <c r="B117" s="109"/>
      <c r="C117" s="109"/>
      <c r="D117" s="109"/>
      <c r="E117" s="110"/>
      <c r="F117" s="110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</row>
    <row r="118" spans="1:24">
      <c r="A118" s="109"/>
      <c r="B118" s="109"/>
      <c r="C118" s="109"/>
      <c r="D118" s="109"/>
      <c r="E118" s="110"/>
      <c r="F118" s="110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</row>
    <row r="119" spans="1:24">
      <c r="A119" s="109"/>
      <c r="B119" s="109"/>
      <c r="C119" s="109"/>
      <c r="D119" s="109"/>
      <c r="E119" s="110"/>
      <c r="F119" s="110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</row>
    <row r="120" spans="1:24">
      <c r="A120" s="109"/>
      <c r="B120" s="109"/>
      <c r="C120" s="109"/>
      <c r="D120" s="109"/>
      <c r="E120" s="110"/>
      <c r="F120" s="110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</row>
    <row r="121" spans="1:24">
      <c r="A121" s="109"/>
      <c r="B121" s="109"/>
      <c r="C121" s="109"/>
      <c r="D121" s="109"/>
      <c r="E121" s="110"/>
      <c r="F121" s="110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</row>
    <row r="122" spans="1:24">
      <c r="A122" s="109"/>
      <c r="B122" s="109"/>
      <c r="C122" s="109"/>
      <c r="D122" s="109"/>
      <c r="E122" s="110"/>
      <c r="F122" s="110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</row>
    <row r="123" spans="1:24">
      <c r="A123" s="109"/>
      <c r="B123" s="109"/>
      <c r="C123" s="109"/>
      <c r="D123" s="109"/>
      <c r="E123" s="110"/>
      <c r="F123" s="110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</row>
    <row r="124" spans="1:24">
      <c r="A124" s="109"/>
      <c r="B124" s="109"/>
      <c r="C124" s="109"/>
      <c r="D124" s="109"/>
      <c r="E124" s="110"/>
      <c r="F124" s="110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</row>
    <row r="125" spans="1:24">
      <c r="A125" s="109"/>
      <c r="B125" s="109"/>
      <c r="C125" s="109"/>
      <c r="D125" s="109"/>
      <c r="E125" s="110"/>
      <c r="F125" s="110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</row>
    <row r="126" spans="1:24">
      <c r="A126" s="109"/>
      <c r="B126" s="109"/>
      <c r="C126" s="109"/>
      <c r="D126" s="109"/>
      <c r="E126" s="110"/>
      <c r="F126" s="110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</row>
    <row r="127" spans="1:24">
      <c r="A127" s="109"/>
      <c r="B127" s="109"/>
      <c r="C127" s="109"/>
      <c r="D127" s="109"/>
      <c r="E127" s="110"/>
      <c r="F127" s="110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</row>
    <row r="128" spans="1:24">
      <c r="A128" s="109"/>
      <c r="B128" s="109"/>
      <c r="C128" s="109"/>
      <c r="D128" s="109"/>
      <c r="E128" s="110"/>
      <c r="F128" s="110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</row>
    <row r="129" spans="1:24">
      <c r="A129" s="109"/>
      <c r="B129" s="109"/>
      <c r="C129" s="109"/>
      <c r="D129" s="109"/>
      <c r="E129" s="110"/>
      <c r="F129" s="110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</row>
    <row r="130" spans="1:24">
      <c r="A130" s="109"/>
      <c r="B130" s="109"/>
      <c r="C130" s="109"/>
      <c r="D130" s="109"/>
      <c r="E130" s="110"/>
      <c r="F130" s="110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</row>
    <row r="131" spans="1:24">
      <c r="A131" s="109"/>
      <c r="B131" s="109"/>
      <c r="C131" s="109"/>
      <c r="D131" s="109"/>
      <c r="E131" s="110"/>
      <c r="F131" s="110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</row>
    <row r="132" spans="1:24">
      <c r="A132" s="109"/>
      <c r="B132" s="109"/>
      <c r="C132" s="109"/>
      <c r="D132" s="109"/>
      <c r="E132" s="110"/>
      <c r="F132" s="110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</row>
    <row r="133" spans="1:24">
      <c r="A133" s="109"/>
      <c r="B133" s="109"/>
      <c r="C133" s="109"/>
      <c r="D133" s="109"/>
      <c r="E133" s="110"/>
      <c r="F133" s="110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</row>
    <row r="134" spans="1:24">
      <c r="A134" s="109"/>
      <c r="B134" s="109"/>
      <c r="C134" s="109"/>
      <c r="D134" s="109"/>
      <c r="E134" s="110"/>
      <c r="F134" s="110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</row>
    <row r="135" spans="1:24">
      <c r="A135" s="109"/>
      <c r="B135" s="109"/>
      <c r="C135" s="109"/>
      <c r="D135" s="109"/>
      <c r="E135" s="110"/>
      <c r="F135" s="110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</row>
    <row r="136" spans="1:24">
      <c r="A136" s="109"/>
      <c r="B136" s="109"/>
      <c r="C136" s="109"/>
      <c r="D136" s="109"/>
      <c r="E136" s="110"/>
      <c r="F136" s="110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</row>
    <row r="137" spans="1:24">
      <c r="A137" s="109"/>
      <c r="B137" s="109"/>
      <c r="C137" s="109"/>
      <c r="D137" s="109"/>
      <c r="E137" s="110"/>
      <c r="F137" s="110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</row>
    <row r="138" spans="1:24">
      <c r="A138" s="109"/>
      <c r="B138" s="109"/>
      <c r="C138" s="109"/>
      <c r="D138" s="109"/>
      <c r="E138" s="110"/>
      <c r="F138" s="110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</row>
    <row r="139" spans="1:24">
      <c r="A139" s="109"/>
      <c r="B139" s="109"/>
      <c r="C139" s="109"/>
      <c r="D139" s="109"/>
      <c r="E139" s="110"/>
      <c r="F139" s="110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</row>
    <row r="140" spans="1:24">
      <c r="A140" s="109"/>
      <c r="B140" s="109"/>
      <c r="C140" s="109"/>
      <c r="D140" s="109"/>
      <c r="E140" s="110"/>
      <c r="F140" s="110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</row>
    <row r="141" spans="1:24">
      <c r="A141" s="109"/>
      <c r="B141" s="109"/>
      <c r="C141" s="109"/>
      <c r="D141" s="109"/>
      <c r="E141" s="110"/>
      <c r="F141" s="110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</row>
    <row r="142" spans="1:24">
      <c r="A142" s="109"/>
      <c r="B142" s="109"/>
      <c r="C142" s="109"/>
      <c r="D142" s="109"/>
      <c r="E142" s="110"/>
      <c r="F142" s="110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</row>
    <row r="143" spans="1:24">
      <c r="A143" s="109"/>
      <c r="B143" s="109"/>
      <c r="C143" s="109"/>
      <c r="D143" s="109"/>
      <c r="E143" s="110"/>
      <c r="F143" s="110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</row>
    <row r="144" spans="1:24">
      <c r="A144" s="109"/>
      <c r="B144" s="109"/>
      <c r="C144" s="109"/>
      <c r="D144" s="109"/>
      <c r="E144" s="110"/>
      <c r="F144" s="110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</row>
    <row r="145" spans="1:24">
      <c r="A145" s="109"/>
      <c r="B145" s="109"/>
      <c r="C145" s="109"/>
      <c r="D145" s="109"/>
      <c r="E145" s="110"/>
      <c r="F145" s="110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</row>
    <row r="146" spans="1:24">
      <c r="A146" s="109"/>
      <c r="B146" s="109"/>
      <c r="C146" s="109"/>
      <c r="D146" s="109"/>
      <c r="E146" s="110"/>
      <c r="F146" s="110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</row>
    <row r="147" spans="1:24">
      <c r="A147" s="109"/>
      <c r="B147" s="109"/>
      <c r="C147" s="109"/>
      <c r="D147" s="109"/>
      <c r="E147" s="110"/>
      <c r="F147" s="110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</row>
    <row r="148" spans="1:24">
      <c r="A148" s="109"/>
      <c r="B148" s="109"/>
      <c r="C148" s="109"/>
      <c r="D148" s="109"/>
      <c r="E148" s="110"/>
      <c r="F148" s="110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</row>
    <row r="149" spans="1:24">
      <c r="A149" s="109"/>
      <c r="B149" s="109"/>
      <c r="C149" s="109"/>
      <c r="D149" s="109"/>
      <c r="E149" s="110"/>
      <c r="F149" s="110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</row>
    <row r="150" spans="1:24">
      <c r="A150" s="109"/>
      <c r="B150" s="109"/>
      <c r="C150" s="109"/>
      <c r="D150" s="109"/>
      <c r="E150" s="110"/>
      <c r="F150" s="110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</row>
    <row r="151" spans="1:24">
      <c r="A151" s="109"/>
      <c r="B151" s="109"/>
      <c r="C151" s="109"/>
      <c r="D151" s="109"/>
      <c r="E151" s="110"/>
      <c r="F151" s="110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</row>
    <row r="152" spans="1:24">
      <c r="A152" s="109"/>
      <c r="B152" s="109"/>
      <c r="C152" s="109"/>
      <c r="D152" s="109"/>
      <c r="E152" s="110"/>
      <c r="F152" s="110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</row>
    <row r="153" spans="1:24">
      <c r="A153" s="109"/>
      <c r="B153" s="109"/>
      <c r="C153" s="109"/>
      <c r="D153" s="109"/>
      <c r="E153" s="110"/>
      <c r="F153" s="110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</row>
    <row r="154" spans="1:24">
      <c r="A154" s="109"/>
      <c r="B154" s="109"/>
      <c r="C154" s="109"/>
      <c r="D154" s="109"/>
      <c r="E154" s="110"/>
      <c r="F154" s="110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</row>
    <row r="155" spans="1:24">
      <c r="A155" s="109"/>
      <c r="B155" s="109"/>
      <c r="C155" s="109"/>
      <c r="D155" s="109"/>
      <c r="E155" s="110"/>
      <c r="F155" s="110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</row>
    <row r="156" spans="1:24">
      <c r="A156" s="109"/>
      <c r="B156" s="109"/>
      <c r="C156" s="109"/>
      <c r="D156" s="109"/>
      <c r="E156" s="110"/>
      <c r="F156" s="110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</row>
    <row r="157" spans="1:24">
      <c r="A157" s="109"/>
      <c r="B157" s="109"/>
      <c r="C157" s="109"/>
      <c r="D157" s="109"/>
      <c r="E157" s="110"/>
      <c r="F157" s="110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</row>
    <row r="158" spans="1:24">
      <c r="A158" s="109"/>
      <c r="B158" s="109"/>
      <c r="C158" s="109"/>
      <c r="D158" s="109"/>
      <c r="E158" s="110"/>
      <c r="F158" s="110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</row>
    <row r="159" spans="1:24">
      <c r="A159" s="109"/>
      <c r="B159" s="109"/>
      <c r="C159" s="109"/>
      <c r="D159" s="109"/>
      <c r="E159" s="110"/>
      <c r="F159" s="110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</row>
    <row r="160" spans="1:24">
      <c r="A160" s="109"/>
      <c r="B160" s="109"/>
      <c r="C160" s="109"/>
      <c r="D160" s="109"/>
      <c r="E160" s="110"/>
      <c r="F160" s="110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</row>
    <row r="161" spans="1:24">
      <c r="A161" s="109"/>
      <c r="B161" s="109"/>
      <c r="C161" s="109"/>
      <c r="D161" s="109"/>
      <c r="E161" s="110"/>
      <c r="F161" s="110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</row>
    <row r="162" spans="1:24">
      <c r="A162" s="109"/>
      <c r="B162" s="109"/>
      <c r="C162" s="109"/>
      <c r="D162" s="109"/>
      <c r="E162" s="110"/>
      <c r="F162" s="110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</row>
    <row r="163" spans="1:24">
      <c r="A163" s="109"/>
      <c r="B163" s="109"/>
      <c r="C163" s="109"/>
      <c r="D163" s="109"/>
      <c r="E163" s="110"/>
      <c r="F163" s="110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</row>
    <row r="164" spans="1:24">
      <c r="A164" s="109"/>
      <c r="B164" s="109"/>
      <c r="C164" s="109"/>
      <c r="D164" s="109"/>
      <c r="E164" s="110"/>
      <c r="F164" s="110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</row>
    <row r="165" spans="1:24">
      <c r="A165" s="109"/>
      <c r="B165" s="109"/>
      <c r="C165" s="109"/>
      <c r="D165" s="109"/>
      <c r="E165" s="110"/>
      <c r="F165" s="110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</row>
    <row r="166" spans="1:24">
      <c r="A166" s="109"/>
      <c r="B166" s="109"/>
      <c r="C166" s="109"/>
      <c r="D166" s="109"/>
      <c r="E166" s="110"/>
      <c r="F166" s="110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</row>
    <row r="167" spans="1:24">
      <c r="A167" s="109"/>
      <c r="B167" s="109"/>
      <c r="C167" s="109"/>
      <c r="D167" s="109"/>
      <c r="E167" s="110"/>
      <c r="F167" s="110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</row>
    <row r="168" spans="1:24">
      <c r="A168" s="109"/>
      <c r="B168" s="109"/>
      <c r="C168" s="109"/>
      <c r="D168" s="109"/>
      <c r="E168" s="110"/>
      <c r="F168" s="110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</row>
    <row r="169" spans="1:24">
      <c r="A169" s="109"/>
      <c r="B169" s="109"/>
      <c r="C169" s="109"/>
      <c r="D169" s="109"/>
      <c r="E169" s="110"/>
      <c r="F169" s="110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</row>
    <row r="170" spans="1:24">
      <c r="A170" s="109"/>
      <c r="B170" s="109"/>
      <c r="C170" s="109"/>
      <c r="D170" s="109"/>
      <c r="E170" s="110"/>
      <c r="F170" s="110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</row>
    <row r="171" spans="1:24">
      <c r="A171" s="109"/>
      <c r="B171" s="109"/>
      <c r="C171" s="109"/>
      <c r="D171" s="109"/>
      <c r="E171" s="110"/>
      <c r="F171" s="110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</row>
    <row r="172" spans="1:24">
      <c r="A172" s="109"/>
      <c r="B172" s="109"/>
      <c r="C172" s="109"/>
      <c r="D172" s="109"/>
      <c r="E172" s="110"/>
      <c r="F172" s="110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</row>
    <row r="173" spans="1:24">
      <c r="A173" s="109"/>
      <c r="B173" s="109"/>
      <c r="C173" s="109"/>
      <c r="D173" s="109"/>
      <c r="E173" s="110"/>
      <c r="F173" s="110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</row>
    <row r="174" spans="1:24">
      <c r="A174" s="109"/>
      <c r="B174" s="109"/>
      <c r="C174" s="109"/>
      <c r="D174" s="109"/>
      <c r="E174" s="110"/>
      <c r="F174" s="110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</row>
    <row r="175" spans="1:24">
      <c r="A175" s="109"/>
      <c r="B175" s="109"/>
      <c r="C175" s="109"/>
      <c r="D175" s="109"/>
      <c r="E175" s="110"/>
      <c r="F175" s="110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</row>
    <row r="176" spans="1:24">
      <c r="A176" s="109"/>
      <c r="B176" s="109"/>
      <c r="C176" s="109"/>
      <c r="D176" s="109"/>
      <c r="E176" s="110"/>
      <c r="F176" s="110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</row>
    <row r="177" spans="1:24">
      <c r="A177" s="109"/>
      <c r="B177" s="109"/>
      <c r="C177" s="109"/>
      <c r="D177" s="109"/>
      <c r="E177" s="110"/>
      <c r="F177" s="110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</row>
    <row r="178" spans="1:24">
      <c r="A178" s="109"/>
      <c r="B178" s="109"/>
      <c r="C178" s="109"/>
      <c r="D178" s="109"/>
      <c r="E178" s="110"/>
      <c r="F178" s="110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</row>
    <row r="179" spans="1:24">
      <c r="A179" s="109"/>
      <c r="B179" s="109"/>
      <c r="C179" s="109"/>
      <c r="D179" s="109"/>
      <c r="E179" s="110"/>
      <c r="F179" s="110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</row>
    <row r="180" spans="1:24">
      <c r="A180" s="109"/>
      <c r="B180" s="109"/>
      <c r="C180" s="109"/>
      <c r="D180" s="109"/>
      <c r="E180" s="110"/>
      <c r="F180" s="110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</row>
    <row r="181" spans="1:24">
      <c r="A181" s="109"/>
      <c r="B181" s="109"/>
      <c r="C181" s="109"/>
      <c r="D181" s="109"/>
      <c r="E181" s="110"/>
      <c r="F181" s="110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</row>
    <row r="182" spans="1:24">
      <c r="A182" s="109"/>
      <c r="B182" s="109"/>
      <c r="C182" s="109"/>
      <c r="D182" s="109"/>
      <c r="E182" s="110"/>
      <c r="F182" s="110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</row>
    <row r="183" spans="1:24">
      <c r="A183" s="109"/>
      <c r="B183" s="109"/>
      <c r="C183" s="109"/>
      <c r="D183" s="109"/>
      <c r="E183" s="110"/>
      <c r="F183" s="110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</row>
    <row r="184" spans="1:24">
      <c r="A184" s="109"/>
      <c r="B184" s="109"/>
      <c r="C184" s="109"/>
      <c r="D184" s="109"/>
      <c r="E184" s="110"/>
      <c r="F184" s="110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</row>
    <row r="185" spans="1:24">
      <c r="A185" s="109"/>
      <c r="B185" s="109"/>
      <c r="C185" s="109"/>
      <c r="D185" s="109"/>
      <c r="E185" s="110"/>
      <c r="F185" s="110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</row>
    <row r="186" spans="1:24">
      <c r="A186" s="109"/>
      <c r="B186" s="109"/>
      <c r="C186" s="109"/>
      <c r="D186" s="109"/>
      <c r="E186" s="110"/>
      <c r="F186" s="110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</row>
    <row r="187" spans="1:24">
      <c r="A187" s="109"/>
      <c r="B187" s="109"/>
      <c r="C187" s="109"/>
      <c r="D187" s="109"/>
      <c r="E187" s="110"/>
      <c r="F187" s="110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</row>
    <row r="188" spans="1:24">
      <c r="A188" s="109"/>
      <c r="B188" s="109"/>
      <c r="C188" s="109"/>
      <c r="D188" s="109"/>
      <c r="E188" s="110"/>
      <c r="F188" s="110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</row>
    <row r="189" spans="1:24">
      <c r="A189" s="109"/>
      <c r="B189" s="109"/>
      <c r="C189" s="109"/>
      <c r="D189" s="109"/>
      <c r="E189" s="110"/>
      <c r="F189" s="110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</row>
    <row r="190" spans="1:24">
      <c r="A190" s="109"/>
      <c r="B190" s="109"/>
      <c r="C190" s="109"/>
      <c r="D190" s="109"/>
      <c r="E190" s="110"/>
      <c r="F190" s="110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</row>
    <row r="191" spans="1:24">
      <c r="A191" s="109"/>
      <c r="B191" s="109"/>
      <c r="C191" s="109"/>
      <c r="D191" s="109"/>
      <c r="E191" s="110"/>
      <c r="F191" s="110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</row>
    <row r="192" spans="1:24">
      <c r="A192" s="109"/>
      <c r="B192" s="109"/>
      <c r="C192" s="109"/>
      <c r="D192" s="109"/>
      <c r="E192" s="110"/>
      <c r="F192" s="110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</row>
    <row r="193" spans="1:24">
      <c r="A193" s="109"/>
      <c r="B193" s="109"/>
      <c r="C193" s="109"/>
      <c r="D193" s="109"/>
      <c r="E193" s="110"/>
      <c r="F193" s="110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</row>
    <row r="194" spans="1:24">
      <c r="A194" s="109"/>
      <c r="B194" s="109"/>
      <c r="C194" s="109"/>
      <c r="D194" s="109"/>
      <c r="E194" s="110"/>
      <c r="F194" s="110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</row>
    <row r="195" spans="1:24">
      <c r="A195" s="109"/>
      <c r="B195" s="109"/>
      <c r="C195" s="109"/>
      <c r="D195" s="109"/>
      <c r="E195" s="110"/>
      <c r="F195" s="110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</row>
    <row r="196" spans="1:24">
      <c r="A196" s="109"/>
      <c r="B196" s="109"/>
      <c r="C196" s="109"/>
      <c r="D196" s="109"/>
      <c r="E196" s="110"/>
      <c r="F196" s="110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</row>
    <row r="197" spans="1:24">
      <c r="A197" s="109"/>
      <c r="B197" s="109"/>
      <c r="C197" s="109"/>
      <c r="D197" s="109"/>
      <c r="E197" s="110"/>
      <c r="F197" s="110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</row>
    <row r="198" spans="1:24">
      <c r="A198" s="109"/>
      <c r="B198" s="109"/>
      <c r="C198" s="109"/>
      <c r="D198" s="109"/>
      <c r="E198" s="110"/>
      <c r="F198" s="110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</row>
    <row r="199" spans="1:24">
      <c r="A199" s="109"/>
      <c r="B199" s="109"/>
      <c r="C199" s="109"/>
      <c r="D199" s="109"/>
      <c r="E199" s="110"/>
      <c r="F199" s="110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</row>
    <row r="200" spans="1:24">
      <c r="A200" s="109"/>
      <c r="B200" s="109"/>
      <c r="C200" s="109"/>
      <c r="D200" s="109"/>
      <c r="E200" s="110"/>
      <c r="F200" s="110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</row>
    <row r="201" spans="1:24">
      <c r="A201" s="109"/>
      <c r="B201" s="109"/>
      <c r="C201" s="109"/>
      <c r="D201" s="109"/>
      <c r="E201" s="110"/>
      <c r="F201" s="110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</row>
    <row r="202" spans="1:24">
      <c r="A202" s="109"/>
      <c r="B202" s="109"/>
      <c r="C202" s="109"/>
      <c r="D202" s="109"/>
      <c r="E202" s="110"/>
      <c r="F202" s="110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</row>
    <row r="203" spans="1:24">
      <c r="A203" s="109"/>
      <c r="B203" s="109"/>
      <c r="C203" s="109"/>
      <c r="D203" s="109"/>
      <c r="E203" s="110"/>
      <c r="F203" s="110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</row>
    <row r="204" spans="1:24">
      <c r="A204" s="109"/>
      <c r="B204" s="109"/>
      <c r="C204" s="109"/>
      <c r="D204" s="109"/>
      <c r="E204" s="110"/>
      <c r="F204" s="110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</row>
    <row r="205" spans="1:24">
      <c r="A205" s="109"/>
      <c r="B205" s="109"/>
      <c r="C205" s="109"/>
      <c r="D205" s="109"/>
      <c r="E205" s="110"/>
      <c r="F205" s="110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</row>
    <row r="206" spans="1:24">
      <c r="A206" s="109"/>
      <c r="B206" s="109"/>
      <c r="C206" s="109"/>
      <c r="D206" s="109"/>
      <c r="E206" s="110"/>
      <c r="F206" s="110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</row>
    <row r="207" spans="1:24">
      <c r="A207" s="109"/>
      <c r="B207" s="109"/>
      <c r="C207" s="109"/>
      <c r="D207" s="109"/>
      <c r="E207" s="110"/>
      <c r="F207" s="110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</row>
    <row r="208" spans="1:24">
      <c r="A208" s="109"/>
      <c r="B208" s="109"/>
      <c r="C208" s="109"/>
      <c r="D208" s="109"/>
      <c r="E208" s="110"/>
      <c r="F208" s="110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</row>
    <row r="209" spans="1:24">
      <c r="A209" s="109"/>
      <c r="B209" s="109"/>
      <c r="C209" s="109"/>
      <c r="D209" s="109"/>
      <c r="E209" s="109"/>
      <c r="F209" s="110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</row>
    <row r="210" spans="1:24">
      <c r="A210" s="109"/>
      <c r="B210" s="109"/>
      <c r="C210" s="109"/>
      <c r="D210" s="109"/>
      <c r="E210" s="109"/>
      <c r="F210" s="110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</row>
    <row r="211" spans="1:24">
      <c r="A211" s="109"/>
      <c r="B211" s="109"/>
      <c r="C211" s="109"/>
      <c r="D211" s="109"/>
      <c r="E211" s="109"/>
      <c r="F211" s="110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</row>
    <row r="212" spans="1:24">
      <c r="A212" s="109"/>
      <c r="B212" s="109"/>
      <c r="C212" s="109"/>
      <c r="D212" s="109"/>
      <c r="E212" s="109"/>
      <c r="F212" s="110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</row>
    <row r="213" spans="1:24">
      <c r="A213" s="109"/>
      <c r="B213" s="109"/>
      <c r="C213" s="109"/>
      <c r="D213" s="109"/>
      <c r="E213" s="109"/>
      <c r="F213" s="110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</row>
    <row r="214" spans="1:24">
      <c r="A214" s="109"/>
      <c r="B214" s="109"/>
      <c r="C214" s="109"/>
      <c r="D214" s="109"/>
      <c r="E214" s="109"/>
      <c r="F214" s="110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</row>
    <row r="215" spans="1:24">
      <c r="A215" s="109"/>
      <c r="B215" s="109"/>
      <c r="C215" s="109"/>
      <c r="D215" s="109"/>
      <c r="E215" s="109"/>
      <c r="F215" s="110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</row>
    <row r="216" spans="1:24">
      <c r="A216" s="109"/>
      <c r="B216" s="109"/>
      <c r="C216" s="109"/>
      <c r="D216" s="109"/>
      <c r="E216" s="109"/>
      <c r="F216" s="110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</row>
    <row r="217" spans="1:24">
      <c r="A217" s="109"/>
      <c r="B217" s="109"/>
      <c r="C217" s="109"/>
      <c r="D217" s="109"/>
      <c r="E217" s="109"/>
      <c r="F217" s="110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</row>
    <row r="218" spans="1:24">
      <c r="A218" s="109"/>
      <c r="B218" s="109"/>
      <c r="C218" s="109"/>
      <c r="D218" s="109"/>
      <c r="E218" s="109"/>
      <c r="F218" s="110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</row>
    <row r="219" spans="1:24">
      <c r="A219" s="109"/>
      <c r="B219" s="109"/>
      <c r="C219" s="109"/>
      <c r="D219" s="109"/>
      <c r="E219" s="109"/>
      <c r="F219" s="110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</row>
    <row r="220" spans="1:24">
      <c r="A220" s="109"/>
      <c r="B220" s="109"/>
      <c r="C220" s="109"/>
      <c r="D220" s="109"/>
      <c r="E220" s="109"/>
      <c r="F220" s="110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</row>
    <row r="221" spans="1:24">
      <c r="A221" s="109"/>
      <c r="B221" s="109"/>
      <c r="C221" s="109"/>
      <c r="D221" s="109"/>
      <c r="E221" s="109"/>
      <c r="F221" s="110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</row>
    <row r="222" spans="1:24">
      <c r="A222" s="109"/>
      <c r="B222" s="109"/>
      <c r="C222" s="109"/>
      <c r="D222" s="109"/>
      <c r="E222" s="109"/>
      <c r="F222" s="110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</row>
    <row r="223" spans="1:24">
      <c r="A223" s="109"/>
      <c r="B223" s="109"/>
      <c r="C223" s="109"/>
      <c r="D223" s="109"/>
      <c r="E223" s="109"/>
      <c r="F223" s="110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</row>
    <row r="224" spans="1:24">
      <c r="A224" s="109"/>
      <c r="B224" s="109"/>
      <c r="C224" s="109"/>
      <c r="D224" s="109"/>
      <c r="E224" s="109"/>
      <c r="F224" s="110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</row>
    <row r="225" spans="1:24">
      <c r="A225" s="109"/>
      <c r="B225" s="109"/>
      <c r="C225" s="109"/>
      <c r="D225" s="109"/>
      <c r="E225" s="109"/>
      <c r="F225" s="110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</row>
    <row r="226" spans="1:24">
      <c r="A226" s="109"/>
      <c r="B226" s="109"/>
      <c r="C226" s="109"/>
      <c r="D226" s="109"/>
      <c r="E226" s="109"/>
      <c r="F226" s="110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</row>
    <row r="227" spans="1:24">
      <c r="A227" s="109"/>
      <c r="B227" s="109"/>
      <c r="C227" s="109"/>
      <c r="D227" s="109"/>
      <c r="E227" s="109"/>
      <c r="F227" s="110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</row>
    <row r="228" spans="1:24">
      <c r="A228" s="109"/>
      <c r="B228" s="109"/>
      <c r="C228" s="109"/>
      <c r="D228" s="109"/>
      <c r="E228" s="109"/>
      <c r="F228" s="110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</row>
    <row r="229" spans="1:24">
      <c r="A229" s="109"/>
      <c r="B229" s="109"/>
      <c r="C229" s="109"/>
      <c r="D229" s="109"/>
      <c r="E229" s="109"/>
      <c r="F229" s="110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</row>
    <row r="230" spans="1:24">
      <c r="A230" s="109"/>
      <c r="B230" s="109"/>
      <c r="C230" s="109"/>
      <c r="D230" s="109"/>
      <c r="E230" s="109"/>
      <c r="F230" s="110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</row>
    <row r="231" spans="1:24">
      <c r="A231" s="109"/>
      <c r="B231" s="109"/>
      <c r="C231" s="109"/>
      <c r="D231" s="109"/>
      <c r="E231" s="109"/>
      <c r="F231" s="110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</row>
    <row r="232" spans="1:24">
      <c r="A232" s="109"/>
      <c r="B232" s="109"/>
      <c r="C232" s="109"/>
      <c r="D232" s="109"/>
      <c r="E232" s="109"/>
      <c r="F232" s="110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</row>
    <row r="233" spans="1:24">
      <c r="A233" s="109"/>
      <c r="B233" s="109"/>
      <c r="C233" s="109"/>
      <c r="D233" s="109"/>
      <c r="E233" s="109"/>
      <c r="F233" s="110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</row>
    <row r="234" spans="1:24">
      <c r="A234" s="109"/>
      <c r="B234" s="109"/>
      <c r="C234" s="109"/>
      <c r="D234" s="109"/>
      <c r="E234" s="109"/>
      <c r="F234" s="110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</row>
    <row r="235" spans="1:24">
      <c r="A235" s="109"/>
      <c r="B235" s="109"/>
      <c r="C235" s="109"/>
      <c r="D235" s="109"/>
      <c r="E235" s="109"/>
      <c r="F235" s="110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</row>
    <row r="236" spans="1:24">
      <c r="A236" s="109"/>
      <c r="B236" s="109"/>
      <c r="C236" s="109"/>
      <c r="D236" s="109"/>
      <c r="E236" s="109"/>
      <c r="F236" s="110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</row>
    <row r="237" spans="1:24">
      <c r="A237" s="109"/>
      <c r="B237" s="109"/>
      <c r="C237" s="109"/>
      <c r="D237" s="109"/>
      <c r="E237" s="109"/>
      <c r="F237" s="110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</row>
    <row r="238" spans="1:24">
      <c r="A238" s="109"/>
      <c r="B238" s="109"/>
      <c r="C238" s="109"/>
      <c r="D238" s="109"/>
      <c r="E238" s="109"/>
      <c r="F238" s="110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</row>
    <row r="239" spans="1:24">
      <c r="A239" s="109"/>
      <c r="B239" s="109"/>
      <c r="C239" s="109"/>
      <c r="D239" s="109"/>
      <c r="E239" s="109"/>
      <c r="F239" s="110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</row>
    <row r="240" spans="1:24">
      <c r="A240" s="109"/>
      <c r="B240" s="109"/>
      <c r="C240" s="109"/>
      <c r="D240" s="109"/>
      <c r="E240" s="109"/>
      <c r="F240" s="110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</row>
    <row r="241" spans="1:24">
      <c r="A241" s="109"/>
      <c r="B241" s="109"/>
      <c r="C241" s="109"/>
      <c r="D241" s="109"/>
      <c r="E241" s="109"/>
      <c r="F241" s="110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</row>
    <row r="242" spans="1:24">
      <c r="A242" s="109"/>
      <c r="B242" s="109"/>
      <c r="C242" s="109"/>
      <c r="D242" s="109"/>
      <c r="E242" s="109"/>
      <c r="F242" s="110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</row>
    <row r="243" spans="1:24">
      <c r="A243" s="109"/>
      <c r="B243" s="109"/>
      <c r="C243" s="109"/>
      <c r="D243" s="109"/>
      <c r="E243" s="109"/>
      <c r="F243" s="110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</row>
    <row r="244" spans="1:24">
      <c r="A244" s="109"/>
      <c r="B244" s="109"/>
      <c r="C244" s="109"/>
      <c r="D244" s="109"/>
      <c r="E244" s="109"/>
      <c r="F244" s="110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</row>
    <row r="245" spans="1:24">
      <c r="A245" s="109"/>
      <c r="B245" s="109"/>
      <c r="C245" s="109"/>
      <c r="D245" s="109"/>
      <c r="E245" s="109"/>
      <c r="F245" s="110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</row>
    <row r="246" spans="1:24">
      <c r="A246" s="109"/>
      <c r="B246" s="109"/>
      <c r="C246" s="109"/>
      <c r="D246" s="109"/>
      <c r="E246" s="109"/>
      <c r="F246" s="110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</row>
    <row r="247" spans="1:24">
      <c r="A247" s="109"/>
      <c r="B247" s="109"/>
      <c r="C247" s="109"/>
      <c r="D247" s="109"/>
      <c r="E247" s="109"/>
      <c r="F247" s="110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</row>
    <row r="248" spans="1:24">
      <c r="A248" s="109"/>
      <c r="B248" s="109"/>
      <c r="C248" s="109"/>
      <c r="D248" s="109"/>
      <c r="E248" s="109"/>
      <c r="F248" s="110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</row>
    <row r="249" spans="1:24">
      <c r="A249" s="109"/>
      <c r="B249" s="109"/>
      <c r="C249" s="109"/>
      <c r="D249" s="109"/>
      <c r="E249" s="109"/>
      <c r="F249" s="110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</row>
    <row r="250" spans="1:24">
      <c r="A250" s="109"/>
      <c r="B250" s="109"/>
      <c r="C250" s="109"/>
      <c r="D250" s="109"/>
      <c r="E250" s="109"/>
      <c r="F250" s="110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</row>
    <row r="251" spans="1:24">
      <c r="A251" s="109"/>
      <c r="B251" s="109"/>
      <c r="C251" s="109"/>
      <c r="D251" s="109"/>
      <c r="E251" s="109"/>
      <c r="F251" s="110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</row>
    <row r="252" spans="1:24">
      <c r="A252" s="109"/>
      <c r="B252" s="109"/>
      <c r="C252" s="109"/>
      <c r="D252" s="109"/>
      <c r="E252" s="109"/>
      <c r="F252" s="110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</row>
    <row r="253" spans="1:24">
      <c r="A253" s="109"/>
      <c r="B253" s="109"/>
      <c r="C253" s="109"/>
      <c r="D253" s="109"/>
      <c r="E253" s="109"/>
      <c r="F253" s="110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</row>
    <row r="254" spans="1:24">
      <c r="A254" s="109"/>
      <c r="B254" s="109"/>
      <c r="C254" s="109"/>
      <c r="D254" s="109"/>
      <c r="E254" s="109"/>
      <c r="F254" s="110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</row>
    <row r="255" spans="1:24">
      <c r="A255" s="109"/>
      <c r="B255" s="109"/>
      <c r="C255" s="109"/>
      <c r="D255" s="109"/>
      <c r="E255" s="109"/>
      <c r="F255" s="110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</row>
    <row r="256" spans="1:24">
      <c r="A256" s="109"/>
      <c r="B256" s="109"/>
      <c r="C256" s="109"/>
      <c r="D256" s="109"/>
      <c r="E256" s="109"/>
      <c r="F256" s="110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</row>
    <row r="257" spans="1:24">
      <c r="A257" s="109"/>
      <c r="B257" s="109"/>
      <c r="C257" s="109"/>
      <c r="D257" s="109"/>
      <c r="E257" s="109"/>
      <c r="F257" s="110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</row>
    <row r="258" spans="1:24">
      <c r="A258" s="109"/>
      <c r="B258" s="109"/>
      <c r="C258" s="109"/>
      <c r="D258" s="109"/>
      <c r="E258" s="109"/>
      <c r="F258" s="110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</row>
    <row r="259" spans="1:24">
      <c r="A259" s="109"/>
      <c r="B259" s="109"/>
      <c r="C259" s="109"/>
      <c r="D259" s="109"/>
      <c r="E259" s="109"/>
      <c r="F259" s="110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</row>
    <row r="260" spans="1:24">
      <c r="A260" s="109"/>
      <c r="B260" s="109"/>
      <c r="C260" s="109"/>
      <c r="D260" s="109"/>
      <c r="E260" s="109"/>
      <c r="F260" s="110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</row>
    <row r="261" spans="1:24">
      <c r="A261" s="109"/>
      <c r="B261" s="109"/>
      <c r="C261" s="109"/>
      <c r="D261" s="109"/>
      <c r="E261" s="109"/>
      <c r="F261" s="110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</row>
    <row r="262" spans="1:24">
      <c r="A262" s="109"/>
      <c r="B262" s="109"/>
      <c r="C262" s="109"/>
      <c r="D262" s="109"/>
      <c r="E262" s="109"/>
      <c r="F262" s="110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</row>
    <row r="263" spans="1:24">
      <c r="A263" s="109"/>
      <c r="B263" s="109"/>
      <c r="C263" s="109"/>
      <c r="D263" s="109"/>
      <c r="E263" s="109"/>
      <c r="F263" s="110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</row>
    <row r="264" spans="1:24">
      <c r="A264" s="109"/>
      <c r="B264" s="109"/>
      <c r="C264" s="109"/>
      <c r="D264" s="109"/>
      <c r="E264" s="109"/>
      <c r="F264" s="110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</row>
    <row r="265" spans="1:24">
      <c r="A265" s="109"/>
      <c r="B265" s="109"/>
      <c r="C265" s="109"/>
      <c r="D265" s="109"/>
      <c r="E265" s="109"/>
      <c r="F265" s="110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</row>
    <row r="266" spans="1:24">
      <c r="A266" s="109"/>
      <c r="B266" s="109"/>
      <c r="C266" s="109"/>
      <c r="D266" s="109"/>
      <c r="E266" s="109"/>
      <c r="F266" s="110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</row>
    <row r="267" spans="1:24">
      <c r="A267" s="109"/>
      <c r="B267" s="109"/>
      <c r="C267" s="109"/>
      <c r="D267" s="109"/>
      <c r="E267" s="109"/>
      <c r="F267" s="110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</row>
    <row r="268" spans="1:24">
      <c r="A268" s="109"/>
      <c r="B268" s="109"/>
      <c r="C268" s="109"/>
      <c r="D268" s="109"/>
      <c r="E268" s="109"/>
      <c r="F268" s="110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</row>
    <row r="269" spans="1:24">
      <c r="A269" s="109"/>
      <c r="B269" s="109"/>
      <c r="C269" s="109"/>
      <c r="D269" s="109"/>
      <c r="E269" s="109"/>
      <c r="F269" s="110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</row>
    <row r="270" spans="1:24">
      <c r="A270" s="109"/>
      <c r="B270" s="109"/>
      <c r="C270" s="109"/>
      <c r="D270" s="109"/>
      <c r="E270" s="109"/>
      <c r="F270" s="110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</row>
    <row r="271" spans="1:24">
      <c r="A271" s="109"/>
      <c r="B271" s="109"/>
      <c r="C271" s="109"/>
      <c r="D271" s="109"/>
      <c r="E271" s="109"/>
      <c r="F271" s="110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</row>
    <row r="272" spans="1:24">
      <c r="A272" s="109"/>
      <c r="B272" s="109"/>
      <c r="C272" s="109"/>
      <c r="D272" s="109"/>
      <c r="E272" s="109"/>
      <c r="F272" s="110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</row>
    <row r="273" spans="1:24">
      <c r="A273" s="109"/>
      <c r="B273" s="109"/>
      <c r="C273" s="109"/>
      <c r="D273" s="109"/>
      <c r="E273" s="109"/>
      <c r="F273" s="110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</row>
    <row r="274" spans="1:24">
      <c r="A274" s="109"/>
      <c r="B274" s="109"/>
      <c r="C274" s="109"/>
      <c r="D274" s="109"/>
      <c r="E274" s="109"/>
      <c r="F274" s="110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</row>
    <row r="275" spans="1:24">
      <c r="A275" s="109"/>
      <c r="B275" s="109"/>
      <c r="C275" s="109"/>
      <c r="D275" s="109"/>
      <c r="E275" s="109"/>
      <c r="F275" s="110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</row>
    <row r="276" spans="1:24">
      <c r="A276" s="109"/>
      <c r="B276" s="109"/>
      <c r="C276" s="109"/>
      <c r="D276" s="109"/>
      <c r="E276" s="109"/>
      <c r="F276" s="110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</row>
    <row r="277" spans="1:24">
      <c r="A277" s="109"/>
      <c r="B277" s="109"/>
      <c r="C277" s="109"/>
      <c r="D277" s="109"/>
      <c r="E277" s="109"/>
      <c r="F277" s="110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</row>
    <row r="278" spans="1:24">
      <c r="A278" s="109"/>
      <c r="B278" s="109"/>
      <c r="C278" s="109"/>
      <c r="D278" s="109"/>
      <c r="E278" s="109"/>
      <c r="F278" s="110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</row>
    <row r="279" spans="1:24">
      <c r="A279" s="109"/>
      <c r="B279" s="109"/>
      <c r="C279" s="109"/>
      <c r="D279" s="109"/>
      <c r="E279" s="109"/>
      <c r="F279" s="110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</row>
    <row r="280" spans="1:24">
      <c r="A280" s="109"/>
      <c r="B280" s="109"/>
      <c r="C280" s="109"/>
      <c r="D280" s="109"/>
      <c r="E280" s="109"/>
      <c r="F280" s="110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</row>
    <row r="281" spans="1:24">
      <c r="A281" s="109"/>
      <c r="B281" s="109"/>
      <c r="C281" s="109"/>
      <c r="D281" s="109"/>
      <c r="E281" s="109"/>
      <c r="F281" s="110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</row>
    <row r="282" spans="1:24">
      <c r="A282" s="109"/>
      <c r="B282" s="109"/>
      <c r="C282" s="109"/>
      <c r="D282" s="109"/>
      <c r="E282" s="109"/>
      <c r="F282" s="110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</row>
    <row r="283" spans="1:24">
      <c r="A283" s="109"/>
      <c r="B283" s="109"/>
      <c r="C283" s="109"/>
      <c r="D283" s="109"/>
      <c r="E283" s="109"/>
      <c r="F283" s="110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</row>
    <row r="284" spans="1:24">
      <c r="A284" s="109"/>
      <c r="B284" s="109"/>
      <c r="C284" s="109"/>
      <c r="D284" s="109"/>
      <c r="E284" s="109"/>
      <c r="F284" s="110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</row>
    <row r="285" spans="1:24">
      <c r="A285" s="109"/>
      <c r="B285" s="109"/>
      <c r="C285" s="109"/>
      <c r="D285" s="109"/>
      <c r="E285" s="109"/>
      <c r="F285" s="110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</row>
    <row r="286" spans="1:24">
      <c r="A286" s="109"/>
      <c r="B286" s="109"/>
      <c r="C286" s="109"/>
      <c r="D286" s="109"/>
      <c r="E286" s="109"/>
      <c r="F286" s="110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</row>
    <row r="287" spans="1:24">
      <c r="A287" s="109"/>
      <c r="B287" s="109"/>
      <c r="C287" s="109"/>
      <c r="D287" s="109"/>
      <c r="E287" s="109"/>
      <c r="F287" s="110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</row>
    <row r="288" spans="1:24">
      <c r="A288" s="109"/>
      <c r="B288" s="109"/>
      <c r="C288" s="109"/>
      <c r="D288" s="109"/>
      <c r="E288" s="109"/>
      <c r="F288" s="110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</row>
    <row r="289" spans="1:24">
      <c r="A289" s="109"/>
      <c r="B289" s="109"/>
      <c r="C289" s="109"/>
      <c r="D289" s="109"/>
      <c r="E289" s="109"/>
      <c r="F289" s="110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</row>
    <row r="290" spans="1:24">
      <c r="A290" s="109"/>
      <c r="B290" s="109"/>
      <c r="C290" s="109"/>
      <c r="D290" s="109"/>
      <c r="E290" s="109"/>
      <c r="F290" s="110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</row>
    <row r="291" spans="1:24">
      <c r="A291" s="109"/>
      <c r="B291" s="109"/>
      <c r="C291" s="109"/>
      <c r="D291" s="109"/>
      <c r="E291" s="109"/>
      <c r="F291" s="110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</row>
    <row r="292" spans="1:24">
      <c r="A292" s="109"/>
      <c r="B292" s="109"/>
      <c r="C292" s="109"/>
      <c r="D292" s="109"/>
      <c r="E292" s="109"/>
      <c r="F292" s="110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</row>
    <row r="293" spans="1:24">
      <c r="A293" s="109"/>
      <c r="B293" s="109"/>
      <c r="C293" s="109"/>
      <c r="D293" s="109"/>
      <c r="E293" s="109"/>
      <c r="F293" s="110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</row>
    <row r="294" spans="1:24">
      <c r="A294" s="109"/>
      <c r="B294" s="109"/>
      <c r="C294" s="109"/>
      <c r="D294" s="109"/>
      <c r="E294" s="109"/>
      <c r="F294" s="110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</row>
    <row r="295" spans="1:24">
      <c r="A295" s="109"/>
      <c r="B295" s="109"/>
      <c r="C295" s="109"/>
      <c r="D295" s="109"/>
      <c r="E295" s="109"/>
      <c r="F295" s="110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</row>
    <row r="296" spans="1:24">
      <c r="A296" s="109"/>
      <c r="B296" s="109"/>
      <c r="C296" s="109"/>
      <c r="D296" s="109"/>
      <c r="E296" s="109"/>
      <c r="F296" s="110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</row>
    <row r="297" spans="1:24">
      <c r="A297" s="109"/>
      <c r="B297" s="109"/>
      <c r="C297" s="109"/>
      <c r="D297" s="109"/>
      <c r="E297" s="109"/>
      <c r="F297" s="110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</row>
    <row r="298" spans="1:24">
      <c r="A298" s="109"/>
      <c r="B298" s="109"/>
      <c r="C298" s="109"/>
      <c r="D298" s="109"/>
      <c r="E298" s="109"/>
      <c r="F298" s="110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</row>
    <row r="299" spans="1:24">
      <c r="A299" s="109"/>
      <c r="B299" s="109"/>
      <c r="C299" s="109"/>
      <c r="D299" s="109"/>
      <c r="E299" s="109"/>
      <c r="F299" s="110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</row>
    <row r="300" spans="1:24">
      <c r="A300" s="109"/>
      <c r="B300" s="109"/>
      <c r="C300" s="109"/>
      <c r="D300" s="109"/>
      <c r="E300" s="109"/>
      <c r="F300" s="110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</row>
    <row r="301" spans="1:24">
      <c r="A301" s="109"/>
      <c r="B301" s="109"/>
      <c r="C301" s="109"/>
      <c r="D301" s="109"/>
      <c r="E301" s="109"/>
      <c r="F301" s="110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</row>
    <row r="302" spans="1:24">
      <c r="A302" s="109"/>
      <c r="B302" s="109"/>
      <c r="C302" s="109"/>
      <c r="D302" s="109"/>
      <c r="E302" s="109"/>
      <c r="F302" s="110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</row>
    <row r="303" spans="1:24">
      <c r="A303" s="109"/>
      <c r="B303" s="109"/>
      <c r="C303" s="109"/>
      <c r="D303" s="109"/>
      <c r="E303" s="109"/>
      <c r="F303" s="110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</row>
    <row r="304" spans="1:24">
      <c r="A304" s="109"/>
      <c r="B304" s="109"/>
      <c r="C304" s="109"/>
      <c r="D304" s="109"/>
      <c r="E304" s="109"/>
      <c r="F304" s="110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</row>
    <row r="305" spans="1:24">
      <c r="A305" s="109"/>
      <c r="B305" s="109"/>
      <c r="C305" s="109"/>
      <c r="D305" s="109"/>
      <c r="E305" s="109"/>
      <c r="F305" s="110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</row>
    <row r="306" spans="1:24">
      <c r="A306" s="109"/>
      <c r="B306" s="109"/>
      <c r="C306" s="109"/>
      <c r="D306" s="109"/>
      <c r="E306" s="109"/>
      <c r="F306" s="110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</row>
    <row r="307" spans="1:24">
      <c r="A307" s="109"/>
      <c r="B307" s="109"/>
      <c r="C307" s="109"/>
      <c r="D307" s="109"/>
      <c r="E307" s="109"/>
      <c r="F307" s="110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</row>
    <row r="308" spans="1:24">
      <c r="A308" s="109"/>
      <c r="B308" s="109"/>
      <c r="C308" s="109"/>
      <c r="D308" s="109"/>
      <c r="E308" s="109"/>
      <c r="F308" s="110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</row>
    <row r="309" spans="1:24">
      <c r="A309" s="109"/>
      <c r="B309" s="109"/>
      <c r="C309" s="109"/>
      <c r="D309" s="109"/>
      <c r="E309" s="109"/>
      <c r="F309" s="110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</row>
    <row r="310" spans="1:24">
      <c r="A310" s="109"/>
      <c r="B310" s="109"/>
      <c r="C310" s="109"/>
      <c r="D310" s="109"/>
      <c r="E310" s="109"/>
      <c r="F310" s="110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</row>
    <row r="311" spans="1:24">
      <c r="A311" s="109"/>
      <c r="B311" s="109"/>
      <c r="C311" s="109"/>
      <c r="D311" s="109"/>
      <c r="E311" s="109"/>
      <c r="F311" s="110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</row>
    <row r="312" spans="1:24">
      <c r="A312" s="109"/>
      <c r="B312" s="109"/>
      <c r="C312" s="109"/>
      <c r="D312" s="109"/>
      <c r="E312" s="109"/>
      <c r="F312" s="110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</row>
    <row r="313" spans="1:24">
      <c r="A313" s="109"/>
      <c r="B313" s="109"/>
      <c r="C313" s="109"/>
      <c r="D313" s="109"/>
      <c r="E313" s="109"/>
      <c r="F313" s="110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</row>
    <row r="314" spans="1:24">
      <c r="A314" s="109"/>
      <c r="B314" s="109"/>
      <c r="C314" s="109"/>
      <c r="D314" s="109"/>
      <c r="E314" s="109"/>
      <c r="F314" s="110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</row>
    <row r="315" spans="1:24">
      <c r="A315" s="109"/>
      <c r="B315" s="109"/>
      <c r="C315" s="109"/>
      <c r="D315" s="109"/>
      <c r="E315" s="109"/>
      <c r="F315" s="110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</row>
    <row r="316" spans="1:24">
      <c r="A316" s="109"/>
      <c r="B316" s="109"/>
      <c r="C316" s="109"/>
      <c r="D316" s="109"/>
      <c r="E316" s="109"/>
      <c r="F316" s="110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</row>
    <row r="317" spans="1:24">
      <c r="A317" s="109"/>
      <c r="B317" s="109"/>
      <c r="C317" s="109"/>
      <c r="D317" s="109"/>
      <c r="E317" s="109"/>
      <c r="F317" s="110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</row>
    <row r="318" spans="1:24">
      <c r="A318" s="109"/>
      <c r="B318" s="109"/>
      <c r="C318" s="109"/>
      <c r="D318" s="109"/>
      <c r="E318" s="109"/>
      <c r="F318" s="110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</row>
    <row r="319" spans="1:24">
      <c r="A319" s="109"/>
      <c r="B319" s="109"/>
      <c r="C319" s="109"/>
      <c r="D319" s="109"/>
      <c r="E319" s="109"/>
      <c r="F319" s="110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</row>
    <row r="320" spans="1:24">
      <c r="A320" s="109"/>
      <c r="B320" s="109"/>
      <c r="C320" s="109"/>
      <c r="D320" s="109"/>
      <c r="E320" s="109"/>
      <c r="F320" s="110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</row>
    <row r="321" spans="1:24">
      <c r="A321" s="109"/>
      <c r="B321" s="109"/>
      <c r="C321" s="109"/>
      <c r="D321" s="109"/>
      <c r="E321" s="109"/>
      <c r="F321" s="110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</row>
    <row r="322" spans="1:24">
      <c r="A322" s="109"/>
      <c r="B322" s="109"/>
      <c r="C322" s="109"/>
      <c r="D322" s="109"/>
      <c r="E322" s="109"/>
      <c r="F322" s="110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</row>
    <row r="323" spans="1:24">
      <c r="A323" s="109"/>
      <c r="B323" s="109"/>
      <c r="C323" s="109"/>
      <c r="D323" s="109"/>
      <c r="E323" s="109"/>
      <c r="F323" s="110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</row>
    <row r="324" spans="1:24">
      <c r="A324" s="109"/>
      <c r="B324" s="109"/>
      <c r="C324" s="109"/>
      <c r="D324" s="109"/>
      <c r="E324" s="109"/>
      <c r="F324" s="110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</row>
    <row r="325" spans="1:24">
      <c r="A325" s="109"/>
      <c r="B325" s="109"/>
      <c r="C325" s="109"/>
      <c r="D325" s="109"/>
      <c r="E325" s="109"/>
      <c r="F325" s="110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</row>
    <row r="326" spans="1:24">
      <c r="A326" s="109"/>
      <c r="B326" s="109"/>
      <c r="C326" s="109"/>
      <c r="D326" s="109"/>
      <c r="E326" s="109"/>
      <c r="F326" s="110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</row>
    <row r="327" spans="1:24">
      <c r="A327" s="109"/>
      <c r="B327" s="109"/>
      <c r="C327" s="109"/>
      <c r="D327" s="109"/>
      <c r="E327" s="109"/>
      <c r="F327" s="110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</row>
    <row r="328" spans="1:24">
      <c r="A328" s="109"/>
      <c r="B328" s="109"/>
      <c r="C328" s="109"/>
      <c r="D328" s="109"/>
      <c r="E328" s="109"/>
      <c r="F328" s="110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</row>
    <row r="329" spans="1:24">
      <c r="A329" s="109"/>
      <c r="B329" s="109"/>
      <c r="C329" s="109"/>
      <c r="D329" s="109"/>
      <c r="E329" s="109"/>
      <c r="F329" s="110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</row>
    <row r="330" spans="1:24">
      <c r="A330" s="109"/>
      <c r="B330" s="109"/>
      <c r="C330" s="109"/>
      <c r="D330" s="109"/>
      <c r="E330" s="109"/>
      <c r="F330" s="110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</row>
    <row r="331" spans="1:24">
      <c r="A331" s="109"/>
      <c r="B331" s="109"/>
      <c r="C331" s="109"/>
      <c r="D331" s="109"/>
      <c r="E331" s="109"/>
      <c r="F331" s="110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</row>
    <row r="332" spans="1:24">
      <c r="A332" s="109"/>
      <c r="B332" s="109"/>
      <c r="C332" s="109"/>
      <c r="D332" s="109"/>
      <c r="E332" s="109"/>
      <c r="F332" s="110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</row>
    <row r="333" spans="1:24">
      <c r="A333" s="109"/>
      <c r="B333" s="109"/>
      <c r="C333" s="109"/>
      <c r="D333" s="109"/>
      <c r="E333" s="109"/>
      <c r="F333" s="110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</row>
    <row r="334" spans="1:24">
      <c r="A334" s="109"/>
      <c r="B334" s="109"/>
      <c r="C334" s="109"/>
      <c r="D334" s="109"/>
      <c r="E334" s="109"/>
      <c r="F334" s="110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</row>
    <row r="335" spans="1:24">
      <c r="A335" s="109"/>
      <c r="B335" s="109"/>
      <c r="C335" s="109"/>
      <c r="D335" s="109"/>
      <c r="E335" s="109"/>
      <c r="F335" s="110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</row>
    <row r="336" spans="1:24">
      <c r="A336" s="109"/>
      <c r="B336" s="109"/>
      <c r="C336" s="109"/>
      <c r="D336" s="109"/>
      <c r="E336" s="109"/>
      <c r="F336" s="110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</row>
    <row r="337" spans="1:24">
      <c r="A337" s="109"/>
      <c r="B337" s="109"/>
      <c r="C337" s="109"/>
      <c r="D337" s="109"/>
      <c r="E337" s="109"/>
      <c r="F337" s="110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</row>
    <row r="338" spans="1:24">
      <c r="A338" s="109"/>
      <c r="B338" s="109"/>
      <c r="C338" s="109"/>
      <c r="D338" s="109"/>
      <c r="E338" s="109"/>
      <c r="F338" s="110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</row>
    <row r="339" spans="1:24">
      <c r="A339" s="109"/>
      <c r="B339" s="109"/>
      <c r="C339" s="109"/>
      <c r="D339" s="109"/>
      <c r="E339" s="109"/>
      <c r="F339" s="110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</row>
    <row r="340" spans="1:24">
      <c r="A340" s="109"/>
      <c r="B340" s="109"/>
      <c r="C340" s="109"/>
      <c r="D340" s="109"/>
      <c r="E340" s="109"/>
      <c r="F340" s="110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</row>
    <row r="341" spans="1:24">
      <c r="A341" s="109"/>
      <c r="B341" s="109"/>
      <c r="C341" s="109"/>
      <c r="D341" s="109"/>
      <c r="E341" s="109"/>
      <c r="F341" s="110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</row>
    <row r="342" spans="1:24">
      <c r="A342" s="109"/>
      <c r="B342" s="109"/>
      <c r="C342" s="109"/>
      <c r="D342" s="109"/>
      <c r="E342" s="109"/>
      <c r="F342" s="110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</row>
    <row r="343" spans="1:24">
      <c r="A343" s="109"/>
      <c r="B343" s="109"/>
      <c r="C343" s="109"/>
      <c r="D343" s="109"/>
      <c r="E343" s="109"/>
      <c r="F343" s="110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</row>
    <row r="344" spans="1:24">
      <c r="A344" s="109"/>
      <c r="B344" s="109"/>
      <c r="C344" s="109"/>
      <c r="D344" s="109"/>
      <c r="E344" s="109"/>
      <c r="F344" s="110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</row>
    <row r="345" spans="1:24">
      <c r="A345" s="109"/>
      <c r="B345" s="109"/>
      <c r="C345" s="109"/>
      <c r="D345" s="109"/>
      <c r="E345" s="109"/>
      <c r="F345" s="110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</row>
    <row r="346" spans="1:24">
      <c r="A346" s="109"/>
      <c r="B346" s="109"/>
      <c r="C346" s="109"/>
      <c r="D346" s="109"/>
      <c r="E346" s="109"/>
      <c r="F346" s="110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</row>
    <row r="347" spans="1:24">
      <c r="A347" s="109"/>
      <c r="B347" s="109"/>
      <c r="C347" s="109"/>
      <c r="D347" s="109"/>
      <c r="E347" s="109"/>
      <c r="F347" s="110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</row>
    <row r="348" spans="1:24">
      <c r="A348" s="109"/>
      <c r="B348" s="109"/>
      <c r="C348" s="109"/>
      <c r="D348" s="109"/>
      <c r="E348" s="109"/>
      <c r="F348" s="110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</row>
    <row r="349" spans="1:24">
      <c r="A349" s="109"/>
      <c r="B349" s="109"/>
      <c r="C349" s="109"/>
      <c r="D349" s="109"/>
      <c r="E349" s="109"/>
      <c r="F349" s="110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</row>
    <row r="350" spans="1:24">
      <c r="A350" s="109"/>
      <c r="B350" s="109"/>
      <c r="C350" s="109"/>
      <c r="D350" s="109"/>
      <c r="E350" s="109"/>
      <c r="F350" s="110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</row>
    <row r="351" spans="1:24">
      <c r="A351" s="109"/>
      <c r="B351" s="109"/>
      <c r="C351" s="109"/>
      <c r="D351" s="109"/>
      <c r="E351" s="109"/>
      <c r="F351" s="110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</row>
    <row r="352" spans="1:24">
      <c r="A352" s="109"/>
      <c r="B352" s="109"/>
      <c r="C352" s="109"/>
      <c r="D352" s="109"/>
      <c r="E352" s="109"/>
      <c r="F352" s="110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</row>
    <row r="353" spans="1:24">
      <c r="A353" s="109"/>
      <c r="B353" s="109"/>
      <c r="C353" s="109"/>
      <c r="D353" s="109"/>
      <c r="E353" s="109"/>
      <c r="F353" s="110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</row>
    <row r="354" spans="1:24">
      <c r="A354" s="109"/>
      <c r="B354" s="109"/>
      <c r="C354" s="109"/>
      <c r="D354" s="109"/>
      <c r="E354" s="109"/>
      <c r="F354" s="110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</row>
    <row r="355" spans="1:24">
      <c r="A355" s="109"/>
      <c r="B355" s="109"/>
      <c r="C355" s="109"/>
      <c r="D355" s="109"/>
      <c r="E355" s="109"/>
      <c r="F355" s="110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</row>
    <row r="356" spans="1:24">
      <c r="A356" s="109"/>
      <c r="B356" s="109"/>
      <c r="C356" s="109"/>
      <c r="D356" s="109"/>
      <c r="E356" s="109"/>
      <c r="F356" s="110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</row>
    <row r="357" spans="1:24">
      <c r="A357" s="109"/>
      <c r="B357" s="109"/>
      <c r="C357" s="109"/>
      <c r="D357" s="109"/>
      <c r="E357" s="109"/>
      <c r="F357" s="110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</row>
    <row r="358" spans="1:24">
      <c r="A358" s="109"/>
      <c r="B358" s="109"/>
      <c r="C358" s="109"/>
      <c r="D358" s="109"/>
      <c r="E358" s="109"/>
      <c r="F358" s="110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</row>
    <row r="359" spans="1:24">
      <c r="A359" s="109"/>
      <c r="B359" s="109"/>
      <c r="C359" s="109"/>
      <c r="D359" s="109"/>
      <c r="E359" s="109"/>
      <c r="F359" s="110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</row>
    <row r="360" spans="1:24">
      <c r="A360" s="109"/>
      <c r="B360" s="109"/>
      <c r="C360" s="109"/>
      <c r="D360" s="109"/>
      <c r="E360" s="109"/>
      <c r="F360" s="110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</row>
    <row r="361" spans="1:24">
      <c r="A361" s="109"/>
      <c r="B361" s="109"/>
      <c r="C361" s="109"/>
      <c r="D361" s="109"/>
      <c r="E361" s="109"/>
      <c r="F361" s="110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</row>
    <row r="362" spans="1:24">
      <c r="A362" s="109"/>
      <c r="B362" s="109"/>
      <c r="C362" s="109"/>
      <c r="D362" s="109"/>
      <c r="E362" s="109"/>
      <c r="F362" s="110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</row>
    <row r="363" spans="1:24">
      <c r="A363" s="109"/>
      <c r="B363" s="109"/>
      <c r="C363" s="109"/>
      <c r="D363" s="109"/>
      <c r="E363" s="109"/>
      <c r="F363" s="110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</row>
    <row r="364" spans="1:24">
      <c r="A364" s="109"/>
      <c r="B364" s="109"/>
      <c r="C364" s="109"/>
      <c r="D364" s="109"/>
      <c r="E364" s="109"/>
      <c r="F364" s="110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</row>
    <row r="365" spans="1:24">
      <c r="A365" s="109"/>
      <c r="B365" s="109"/>
      <c r="C365" s="109"/>
      <c r="D365" s="109"/>
      <c r="E365" s="109"/>
      <c r="F365" s="110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</row>
    <row r="366" spans="1:24">
      <c r="A366" s="109"/>
      <c r="B366" s="109"/>
      <c r="C366" s="109"/>
      <c r="D366" s="109"/>
      <c r="E366" s="109"/>
      <c r="F366" s="110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</row>
    <row r="367" spans="1:24">
      <c r="A367" s="109"/>
      <c r="B367" s="109"/>
      <c r="C367" s="109"/>
      <c r="D367" s="109"/>
      <c r="E367" s="109"/>
      <c r="F367" s="110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</row>
    <row r="368" spans="1:24">
      <c r="A368" s="109"/>
      <c r="B368" s="109"/>
      <c r="C368" s="109"/>
      <c r="D368" s="109"/>
      <c r="E368" s="109"/>
      <c r="F368" s="110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</row>
    <row r="369" spans="1:24">
      <c r="A369" s="109"/>
      <c r="B369" s="109"/>
      <c r="C369" s="109"/>
      <c r="D369" s="109"/>
      <c r="E369" s="109"/>
      <c r="F369" s="110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</row>
    <row r="370" spans="1:24">
      <c r="A370" s="109"/>
      <c r="B370" s="109"/>
      <c r="C370" s="109"/>
      <c r="D370" s="109"/>
      <c r="E370" s="109"/>
      <c r="F370" s="110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</row>
    <row r="371" spans="1:24">
      <c r="A371" s="109"/>
      <c r="B371" s="109"/>
      <c r="C371" s="109"/>
      <c r="D371" s="109"/>
      <c r="E371" s="109"/>
      <c r="F371" s="110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</row>
    <row r="372" spans="1:24">
      <c r="A372" s="109"/>
      <c r="B372" s="109"/>
      <c r="C372" s="109"/>
      <c r="D372" s="109"/>
      <c r="E372" s="109"/>
      <c r="F372" s="110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</row>
    <row r="373" spans="1:24">
      <c r="A373" s="109"/>
      <c r="B373" s="109"/>
      <c r="C373" s="109"/>
      <c r="D373" s="109"/>
      <c r="E373" s="109"/>
      <c r="F373" s="110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</row>
    <row r="374" spans="1:24">
      <c r="A374" s="109"/>
      <c r="B374" s="109"/>
      <c r="C374" s="109"/>
      <c r="D374" s="109"/>
      <c r="E374" s="109"/>
      <c r="F374" s="110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</row>
    <row r="375" spans="1:24">
      <c r="A375" s="109"/>
      <c r="B375" s="109"/>
      <c r="C375" s="109"/>
      <c r="D375" s="109"/>
      <c r="E375" s="109"/>
      <c r="F375" s="110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</row>
    <row r="376" spans="1:24">
      <c r="A376" s="109"/>
      <c r="B376" s="109"/>
      <c r="C376" s="109"/>
      <c r="D376" s="109"/>
      <c r="E376" s="109"/>
      <c r="F376" s="110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</row>
    <row r="377" spans="1:24">
      <c r="A377" s="109"/>
      <c r="B377" s="109"/>
      <c r="C377" s="109"/>
      <c r="D377" s="109"/>
      <c r="E377" s="109"/>
      <c r="F377" s="110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</row>
    <row r="378" spans="1:24">
      <c r="A378" s="109"/>
      <c r="B378" s="109"/>
      <c r="C378" s="109"/>
      <c r="D378" s="109"/>
      <c r="E378" s="109"/>
      <c r="F378" s="110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</row>
    <row r="379" spans="1:24">
      <c r="A379" s="109"/>
      <c r="B379" s="109"/>
      <c r="C379" s="109"/>
      <c r="D379" s="109"/>
      <c r="E379" s="109"/>
      <c r="F379" s="110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</row>
    <row r="380" spans="1:24">
      <c r="A380" s="109"/>
      <c r="B380" s="109"/>
      <c r="C380" s="109"/>
      <c r="D380" s="109"/>
      <c r="E380" s="109"/>
      <c r="F380" s="110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</row>
    <row r="381" spans="1:24">
      <c r="A381" s="109"/>
      <c r="B381" s="109"/>
      <c r="C381" s="109"/>
      <c r="D381" s="109"/>
      <c r="E381" s="109"/>
      <c r="F381" s="110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</row>
    <row r="382" spans="1:24">
      <c r="A382" s="109"/>
      <c r="B382" s="109"/>
      <c r="C382" s="109"/>
      <c r="D382" s="109"/>
      <c r="E382" s="109"/>
      <c r="F382" s="110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</row>
    <row r="383" spans="1:24">
      <c r="A383" s="109"/>
      <c r="B383" s="109"/>
      <c r="C383" s="109"/>
      <c r="D383" s="109"/>
      <c r="E383" s="109"/>
      <c r="F383" s="110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</row>
    <row r="384" spans="1:24">
      <c r="A384" s="109"/>
      <c r="B384" s="109"/>
      <c r="C384" s="109"/>
      <c r="D384" s="109"/>
      <c r="E384" s="109"/>
      <c r="F384" s="110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</row>
    <row r="385" spans="1:24">
      <c r="A385" s="109"/>
      <c r="B385" s="109"/>
      <c r="C385" s="109"/>
      <c r="D385" s="109"/>
      <c r="E385" s="109"/>
      <c r="F385" s="110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</row>
    <row r="386" spans="1:24">
      <c r="A386" s="109"/>
      <c r="B386" s="109"/>
      <c r="C386" s="109"/>
      <c r="D386" s="109"/>
      <c r="E386" s="109"/>
      <c r="F386" s="110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</row>
    <row r="387" spans="1:24">
      <c r="A387" s="109"/>
      <c r="B387" s="109"/>
      <c r="C387" s="109"/>
      <c r="D387" s="109"/>
      <c r="E387" s="109"/>
      <c r="F387" s="110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</row>
    <row r="388" spans="1:24">
      <c r="A388" s="109"/>
      <c r="B388" s="109"/>
      <c r="C388" s="109"/>
      <c r="D388" s="109"/>
      <c r="E388" s="109"/>
      <c r="F388" s="110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</row>
    <row r="389" spans="1:24">
      <c r="A389" s="109"/>
      <c r="B389" s="109"/>
      <c r="C389" s="109"/>
      <c r="D389" s="109"/>
      <c r="E389" s="109"/>
      <c r="F389" s="110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</row>
    <row r="390" spans="1:24">
      <c r="A390" s="109"/>
      <c r="B390" s="109"/>
      <c r="C390" s="109"/>
      <c r="D390" s="109"/>
      <c r="E390" s="109"/>
      <c r="F390" s="110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</row>
    <row r="391" spans="1:24">
      <c r="A391" s="109"/>
      <c r="B391" s="109"/>
      <c r="C391" s="109"/>
      <c r="D391" s="109"/>
      <c r="E391" s="109"/>
      <c r="F391" s="110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</row>
    <row r="392" spans="1:24">
      <c r="A392" s="109"/>
      <c r="B392" s="109"/>
      <c r="C392" s="109"/>
      <c r="D392" s="109"/>
      <c r="E392" s="109"/>
      <c r="F392" s="110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</row>
    <row r="393" spans="1:24">
      <c r="A393" s="109"/>
      <c r="B393" s="109"/>
      <c r="C393" s="109"/>
      <c r="D393" s="109"/>
      <c r="E393" s="109"/>
      <c r="F393" s="110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</row>
    <row r="394" spans="1:24">
      <c r="A394" s="109"/>
      <c r="B394" s="109"/>
      <c r="C394" s="109"/>
      <c r="D394" s="109"/>
      <c r="E394" s="109"/>
      <c r="F394" s="110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</row>
    <row r="395" spans="1:24">
      <c r="A395" s="109"/>
      <c r="B395" s="109"/>
      <c r="C395" s="109"/>
      <c r="D395" s="109"/>
      <c r="E395" s="109"/>
      <c r="F395" s="110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</row>
    <row r="396" spans="1:24">
      <c r="A396" s="109"/>
      <c r="B396" s="109"/>
      <c r="C396" s="109"/>
      <c r="D396" s="109"/>
      <c r="E396" s="109"/>
      <c r="F396" s="110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</row>
    <row r="397" spans="1:24">
      <c r="A397" s="109"/>
      <c r="B397" s="109"/>
      <c r="C397" s="109"/>
      <c r="D397" s="109"/>
      <c r="E397" s="109"/>
      <c r="F397" s="110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</row>
    <row r="398" spans="1:24">
      <c r="A398" s="109"/>
      <c r="B398" s="109"/>
      <c r="C398" s="109"/>
      <c r="D398" s="109"/>
      <c r="E398" s="109"/>
      <c r="F398" s="110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</row>
    <row r="399" spans="1:24">
      <c r="A399" s="109"/>
      <c r="B399" s="109"/>
      <c r="C399" s="109"/>
      <c r="D399" s="109"/>
      <c r="E399" s="109"/>
      <c r="F399" s="110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</row>
    <row r="400" spans="1:24">
      <c r="A400" s="109"/>
      <c r="B400" s="109"/>
      <c r="C400" s="109"/>
      <c r="D400" s="109"/>
      <c r="E400" s="109"/>
      <c r="F400" s="110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</row>
    <row r="401" spans="1:24">
      <c r="A401" s="109"/>
      <c r="B401" s="109"/>
      <c r="C401" s="109"/>
      <c r="D401" s="109"/>
      <c r="E401" s="109"/>
      <c r="F401" s="110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</row>
    <row r="402" spans="1:24">
      <c r="A402" s="109"/>
      <c r="B402" s="109"/>
      <c r="C402" s="109"/>
      <c r="D402" s="109"/>
      <c r="E402" s="109"/>
      <c r="F402" s="110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</row>
    <row r="403" spans="1:24">
      <c r="A403" s="109"/>
      <c r="B403" s="109"/>
      <c r="C403" s="109"/>
      <c r="D403" s="109"/>
      <c r="E403" s="109"/>
      <c r="F403" s="110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</row>
    <row r="404" spans="1:24">
      <c r="A404" s="109"/>
      <c r="B404" s="109"/>
      <c r="C404" s="109"/>
      <c r="D404" s="109"/>
      <c r="E404" s="109"/>
      <c r="F404" s="110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</row>
    <row r="405" spans="1:24">
      <c r="A405" s="109"/>
      <c r="B405" s="109"/>
      <c r="C405" s="109"/>
      <c r="D405" s="109"/>
      <c r="E405" s="109"/>
      <c r="F405" s="110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</row>
    <row r="406" spans="1:24">
      <c r="A406" s="109"/>
      <c r="B406" s="109"/>
      <c r="C406" s="109"/>
      <c r="D406" s="109"/>
      <c r="E406" s="109"/>
      <c r="F406" s="110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</row>
    <row r="407" spans="1:24">
      <c r="A407" s="109"/>
      <c r="B407" s="109"/>
      <c r="C407" s="109"/>
      <c r="D407" s="109"/>
      <c r="E407" s="109"/>
      <c r="F407" s="110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</row>
    <row r="408" spans="1:24">
      <c r="A408" s="109"/>
      <c r="B408" s="109"/>
      <c r="C408" s="109"/>
      <c r="D408" s="109"/>
      <c r="E408" s="109"/>
      <c r="F408" s="110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</row>
    <row r="409" spans="1:24">
      <c r="A409" s="109"/>
      <c r="B409" s="109"/>
      <c r="C409" s="109"/>
      <c r="D409" s="109"/>
      <c r="E409" s="109"/>
      <c r="F409" s="110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</row>
    <row r="410" spans="1:24">
      <c r="A410" s="109"/>
      <c r="B410" s="109"/>
      <c r="C410" s="109"/>
      <c r="D410" s="109"/>
      <c r="E410" s="109"/>
      <c r="F410" s="110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</row>
    <row r="411" spans="1:24">
      <c r="A411" s="109"/>
      <c r="B411" s="109"/>
      <c r="C411" s="109"/>
      <c r="D411" s="109"/>
      <c r="E411" s="109"/>
      <c r="F411" s="110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</row>
    <row r="412" spans="1:24">
      <c r="A412" s="109"/>
      <c r="B412" s="109"/>
      <c r="C412" s="109"/>
      <c r="D412" s="109"/>
      <c r="E412" s="109"/>
      <c r="F412" s="110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</row>
    <row r="413" spans="1:24">
      <c r="A413" s="109"/>
      <c r="B413" s="109"/>
      <c r="C413" s="109"/>
      <c r="D413" s="109"/>
      <c r="E413" s="109"/>
      <c r="F413" s="110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</row>
    <row r="414" spans="1:24">
      <c r="A414" s="109"/>
      <c r="B414" s="109"/>
      <c r="C414" s="109"/>
      <c r="D414" s="109"/>
      <c r="E414" s="109"/>
      <c r="F414" s="110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</row>
    <row r="415" spans="1:24">
      <c r="A415" s="109"/>
      <c r="B415" s="109"/>
      <c r="C415" s="109"/>
      <c r="D415" s="109"/>
      <c r="E415" s="109"/>
      <c r="F415" s="110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</row>
    <row r="416" spans="1:24">
      <c r="A416" s="109"/>
      <c r="B416" s="109"/>
      <c r="C416" s="109"/>
      <c r="D416" s="109"/>
      <c r="E416" s="109"/>
      <c r="F416" s="110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</row>
    <row r="417" spans="1:24">
      <c r="A417" s="109"/>
      <c r="B417" s="109"/>
      <c r="C417" s="109"/>
      <c r="D417" s="109"/>
      <c r="E417" s="109"/>
      <c r="F417" s="110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</row>
    <row r="418" spans="1:24">
      <c r="A418" s="109"/>
      <c r="B418" s="109"/>
      <c r="C418" s="109"/>
      <c r="D418" s="109"/>
      <c r="E418" s="109"/>
      <c r="F418" s="110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</row>
    <row r="419" spans="1:24">
      <c r="A419" s="109"/>
      <c r="B419" s="109"/>
      <c r="C419" s="109"/>
      <c r="D419" s="109"/>
      <c r="E419" s="109"/>
      <c r="F419" s="110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</row>
    <row r="420" spans="1:24">
      <c r="A420" s="109"/>
      <c r="B420" s="109"/>
      <c r="C420" s="109"/>
      <c r="D420" s="109"/>
      <c r="E420" s="109"/>
      <c r="F420" s="110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</row>
    <row r="421" spans="1:24">
      <c r="A421" s="109"/>
      <c r="B421" s="109"/>
      <c r="C421" s="109"/>
      <c r="D421" s="109"/>
      <c r="E421" s="109"/>
      <c r="F421" s="110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</row>
    <row r="422" spans="1:24">
      <c r="A422" s="109"/>
      <c r="B422" s="109"/>
      <c r="C422" s="109"/>
      <c r="D422" s="109"/>
      <c r="E422" s="109"/>
      <c r="F422" s="110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</row>
    <row r="423" spans="1:24">
      <c r="A423" s="109"/>
      <c r="B423" s="109"/>
      <c r="C423" s="109"/>
      <c r="D423" s="109"/>
      <c r="E423" s="109"/>
      <c r="F423" s="110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</row>
    <row r="424" spans="1:24">
      <c r="A424" s="109"/>
      <c r="B424" s="109"/>
      <c r="C424" s="109"/>
      <c r="D424" s="109"/>
      <c r="E424" s="109"/>
      <c r="F424" s="110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</row>
    <row r="425" spans="1:24">
      <c r="A425" s="109"/>
      <c r="B425" s="109"/>
      <c r="C425" s="109"/>
      <c r="D425" s="109"/>
      <c r="E425" s="109"/>
      <c r="F425" s="110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</row>
    <row r="426" spans="1:24">
      <c r="A426" s="109"/>
      <c r="B426" s="109"/>
      <c r="C426" s="109"/>
      <c r="D426" s="109"/>
      <c r="E426" s="109"/>
      <c r="F426" s="110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</row>
    <row r="427" spans="1:24">
      <c r="A427" s="109"/>
      <c r="B427" s="109"/>
      <c r="C427" s="109"/>
      <c r="D427" s="109"/>
      <c r="E427" s="109"/>
      <c r="F427" s="110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</row>
    <row r="428" spans="1:24">
      <c r="A428" s="109"/>
      <c r="B428" s="109"/>
      <c r="C428" s="109"/>
      <c r="D428" s="109"/>
      <c r="E428" s="109"/>
      <c r="F428" s="110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</row>
    <row r="429" spans="1:24">
      <c r="A429" s="109"/>
      <c r="B429" s="109"/>
      <c r="C429" s="109"/>
      <c r="D429" s="109"/>
      <c r="E429" s="109"/>
      <c r="F429" s="110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</row>
    <row r="430" spans="1:24">
      <c r="A430" s="109"/>
      <c r="B430" s="109"/>
      <c r="C430" s="109"/>
      <c r="D430" s="109"/>
      <c r="E430" s="109"/>
      <c r="F430" s="110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</row>
    <row r="431" spans="1:24">
      <c r="A431" s="109"/>
      <c r="B431" s="109"/>
      <c r="C431" s="109"/>
      <c r="D431" s="109"/>
      <c r="E431" s="109"/>
      <c r="F431" s="110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</row>
    <row r="432" spans="1:24">
      <c r="A432" s="109"/>
      <c r="B432" s="109"/>
      <c r="C432" s="109"/>
      <c r="D432" s="109"/>
      <c r="E432" s="109"/>
      <c r="F432" s="110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</row>
    <row r="433" spans="1:24">
      <c r="A433" s="109"/>
      <c r="B433" s="109"/>
      <c r="C433" s="109"/>
      <c r="D433" s="109"/>
      <c r="E433" s="109"/>
      <c r="F433" s="110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</row>
    <row r="434" spans="1:24">
      <c r="A434" s="109"/>
      <c r="B434" s="109"/>
      <c r="C434" s="109"/>
      <c r="D434" s="109"/>
      <c r="E434" s="109"/>
      <c r="F434" s="110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</row>
    <row r="435" spans="1:24">
      <c r="A435" s="109"/>
      <c r="B435" s="109"/>
      <c r="C435" s="109"/>
      <c r="D435" s="109"/>
      <c r="E435" s="109"/>
      <c r="F435" s="110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</row>
    <row r="436" spans="1:24">
      <c r="A436" s="109"/>
      <c r="B436" s="109"/>
      <c r="C436" s="109"/>
      <c r="D436" s="109"/>
      <c r="E436" s="109"/>
      <c r="F436" s="110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</row>
    <row r="437" spans="1:24">
      <c r="A437" s="109"/>
      <c r="B437" s="109"/>
      <c r="C437" s="109"/>
      <c r="D437" s="109"/>
      <c r="E437" s="109"/>
      <c r="F437" s="110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</row>
    <row r="438" spans="1:24">
      <c r="A438" s="109"/>
      <c r="B438" s="109"/>
      <c r="C438" s="109"/>
      <c r="D438" s="109"/>
      <c r="E438" s="109"/>
      <c r="F438" s="110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</row>
    <row r="439" spans="1:24">
      <c r="A439" s="109"/>
      <c r="B439" s="109"/>
      <c r="C439" s="109"/>
      <c r="D439" s="109"/>
      <c r="E439" s="109"/>
      <c r="F439" s="110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</row>
    <row r="440" spans="1:24">
      <c r="A440" s="109"/>
      <c r="B440" s="109"/>
      <c r="C440" s="109"/>
      <c r="D440" s="109"/>
      <c r="E440" s="109"/>
      <c r="F440" s="110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</row>
    <row r="441" spans="1:24">
      <c r="A441" s="109"/>
      <c r="B441" s="109"/>
      <c r="C441" s="109"/>
      <c r="D441" s="109"/>
      <c r="E441" s="109"/>
      <c r="F441" s="110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</row>
    <row r="442" spans="1:24">
      <c r="A442" s="109"/>
      <c r="B442" s="109"/>
      <c r="C442" s="109"/>
      <c r="D442" s="109"/>
      <c r="E442" s="109"/>
      <c r="F442" s="110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</row>
    <row r="443" spans="1:24">
      <c r="A443" s="109"/>
      <c r="B443" s="109"/>
      <c r="C443" s="109"/>
      <c r="D443" s="109"/>
      <c r="E443" s="109"/>
      <c r="F443" s="110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</row>
    <row r="444" spans="1:24">
      <c r="A444" s="109"/>
      <c r="B444" s="109"/>
      <c r="C444" s="109"/>
      <c r="D444" s="109"/>
      <c r="E444" s="109"/>
      <c r="F444" s="110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</row>
    <row r="445" spans="1:24">
      <c r="A445" s="109"/>
      <c r="B445" s="109"/>
      <c r="C445" s="109"/>
      <c r="D445" s="109"/>
      <c r="E445" s="109"/>
      <c r="F445" s="110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</row>
    <row r="446" spans="1:24">
      <c r="A446" s="109"/>
      <c r="B446" s="109"/>
      <c r="C446" s="109"/>
      <c r="D446" s="109"/>
      <c r="E446" s="109"/>
      <c r="F446" s="110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</row>
    <row r="447" spans="1:24">
      <c r="A447" s="109"/>
      <c r="B447" s="109"/>
      <c r="C447" s="109"/>
      <c r="D447" s="109"/>
      <c r="E447" s="109"/>
      <c r="F447" s="110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</row>
    <row r="448" spans="1:24">
      <c r="A448" s="109"/>
      <c r="B448" s="109"/>
      <c r="C448" s="109"/>
      <c r="D448" s="109"/>
      <c r="E448" s="109"/>
      <c r="F448" s="110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</row>
    <row r="449" spans="1:24">
      <c r="A449" s="109"/>
      <c r="B449" s="109"/>
      <c r="C449" s="109"/>
      <c r="D449" s="109"/>
      <c r="E449" s="109"/>
      <c r="F449" s="110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</row>
    <row r="450" spans="1:24">
      <c r="A450" s="109"/>
      <c r="B450" s="109"/>
      <c r="C450" s="109"/>
      <c r="D450" s="109"/>
      <c r="E450" s="109"/>
      <c r="F450" s="110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</row>
    <row r="451" spans="1:24">
      <c r="A451" s="109"/>
      <c r="B451" s="109"/>
      <c r="C451" s="109"/>
      <c r="D451" s="109"/>
      <c r="E451" s="109"/>
      <c r="F451" s="110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</row>
    <row r="452" spans="1:24">
      <c r="A452" s="109"/>
      <c r="B452" s="109"/>
      <c r="C452" s="109"/>
      <c r="D452" s="109"/>
      <c r="E452" s="109"/>
      <c r="F452" s="110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</row>
    <row r="453" spans="1:24">
      <c r="A453" s="109"/>
      <c r="B453" s="109"/>
      <c r="C453" s="109"/>
      <c r="D453" s="109"/>
      <c r="E453" s="109"/>
      <c r="F453" s="110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</row>
    <row r="454" spans="1:24">
      <c r="A454" s="109"/>
      <c r="B454" s="109"/>
      <c r="C454" s="109"/>
      <c r="D454" s="109"/>
      <c r="E454" s="109"/>
      <c r="F454" s="110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</row>
    <row r="455" spans="1:24">
      <c r="A455" s="109"/>
      <c r="B455" s="109"/>
      <c r="C455" s="109"/>
      <c r="D455" s="109"/>
      <c r="E455" s="109"/>
      <c r="F455" s="110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</row>
    <row r="456" spans="1:24">
      <c r="A456" s="109"/>
      <c r="B456" s="109"/>
      <c r="C456" s="109"/>
      <c r="D456" s="109"/>
      <c r="E456" s="109"/>
      <c r="F456" s="110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</row>
    <row r="457" spans="1:24">
      <c r="A457" s="109"/>
      <c r="B457" s="109"/>
      <c r="C457" s="109"/>
      <c r="D457" s="109"/>
      <c r="E457" s="109"/>
      <c r="F457" s="110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</row>
    <row r="458" spans="1:24">
      <c r="A458" s="109"/>
      <c r="B458" s="109"/>
      <c r="C458" s="109"/>
      <c r="D458" s="109"/>
      <c r="E458" s="109"/>
      <c r="F458" s="110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</row>
    <row r="459" spans="1:24">
      <c r="A459" s="109"/>
      <c r="B459" s="109"/>
      <c r="C459" s="109"/>
      <c r="D459" s="109"/>
      <c r="E459" s="109"/>
      <c r="F459" s="110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</row>
    <row r="460" spans="1:24">
      <c r="A460" s="109"/>
      <c r="B460" s="109"/>
      <c r="C460" s="109"/>
      <c r="D460" s="109"/>
      <c r="E460" s="109"/>
      <c r="F460" s="110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</row>
    <row r="461" spans="1:24">
      <c r="A461" s="109"/>
      <c r="B461" s="109"/>
      <c r="C461" s="109"/>
      <c r="D461" s="109"/>
      <c r="E461" s="109"/>
      <c r="F461" s="110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</row>
    <row r="462" spans="1:24">
      <c r="A462" s="109"/>
      <c r="B462" s="109"/>
      <c r="C462" s="109"/>
      <c r="D462" s="109"/>
      <c r="E462" s="109"/>
      <c r="F462" s="110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</row>
    <row r="463" spans="1:24">
      <c r="A463" s="109"/>
      <c r="B463" s="109"/>
      <c r="C463" s="109"/>
      <c r="D463" s="109"/>
      <c r="E463" s="109"/>
      <c r="F463" s="110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</row>
    <row r="464" spans="1:24">
      <c r="A464" s="109"/>
      <c r="B464" s="109"/>
      <c r="C464" s="109"/>
      <c r="D464" s="109"/>
      <c r="E464" s="109"/>
      <c r="F464" s="110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</row>
    <row r="465" spans="1:24">
      <c r="A465" s="109"/>
      <c r="B465" s="109"/>
      <c r="C465" s="109"/>
      <c r="D465" s="109"/>
      <c r="E465" s="109"/>
      <c r="F465" s="110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</row>
    <row r="466" spans="1:24">
      <c r="A466" s="109"/>
      <c r="B466" s="109"/>
      <c r="C466" s="109"/>
      <c r="D466" s="109"/>
      <c r="E466" s="109"/>
      <c r="F466" s="110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</row>
    <row r="467" spans="1:24">
      <c r="A467" s="109"/>
      <c r="B467" s="109"/>
      <c r="C467" s="109"/>
      <c r="D467" s="109"/>
      <c r="E467" s="109"/>
      <c r="F467" s="110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</row>
    <row r="468" spans="1:24">
      <c r="A468" s="109"/>
      <c r="B468" s="109"/>
      <c r="C468" s="109"/>
      <c r="D468" s="109"/>
      <c r="E468" s="109"/>
      <c r="F468" s="110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</row>
    <row r="469" spans="1:24">
      <c r="A469" s="109"/>
      <c r="B469" s="109"/>
      <c r="C469" s="109"/>
      <c r="D469" s="109"/>
      <c r="E469" s="109"/>
      <c r="F469" s="110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</row>
    <row r="470" spans="1:24">
      <c r="A470" s="109"/>
      <c r="B470" s="109"/>
      <c r="C470" s="109"/>
      <c r="D470" s="109"/>
      <c r="E470" s="109"/>
      <c r="F470" s="110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</row>
    <row r="471" spans="1:24">
      <c r="A471" s="109"/>
      <c r="B471" s="109"/>
      <c r="C471" s="109"/>
      <c r="D471" s="109"/>
      <c r="E471" s="109"/>
      <c r="F471" s="110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</row>
    <row r="472" spans="1:24">
      <c r="A472" s="109"/>
      <c r="B472" s="109"/>
      <c r="C472" s="109"/>
      <c r="D472" s="109"/>
      <c r="E472" s="109"/>
      <c r="F472" s="110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</row>
    <row r="473" spans="1:24">
      <c r="A473" s="109"/>
      <c r="B473" s="109"/>
      <c r="C473" s="109"/>
      <c r="D473" s="109"/>
      <c r="E473" s="109"/>
      <c r="F473" s="110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</row>
    <row r="474" spans="1:24">
      <c r="A474" s="109"/>
      <c r="B474" s="109"/>
      <c r="C474" s="109"/>
      <c r="D474" s="109"/>
      <c r="E474" s="109"/>
      <c r="F474" s="110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</row>
    <row r="475" spans="1:24">
      <c r="A475" s="109"/>
      <c r="B475" s="109"/>
      <c r="C475" s="109"/>
      <c r="D475" s="109"/>
      <c r="E475" s="109"/>
      <c r="F475" s="110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</row>
    <row r="476" spans="1:24">
      <c r="A476" s="109"/>
      <c r="B476" s="109"/>
      <c r="C476" s="109"/>
      <c r="D476" s="109"/>
      <c r="E476" s="109"/>
      <c r="F476" s="110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</row>
    <row r="477" spans="1:24">
      <c r="A477" s="109"/>
      <c r="B477" s="109"/>
      <c r="C477" s="109"/>
      <c r="D477" s="109"/>
      <c r="E477" s="109"/>
      <c r="F477" s="110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</row>
    <row r="478" spans="1:24">
      <c r="A478" s="109"/>
      <c r="B478" s="109"/>
      <c r="C478" s="109"/>
      <c r="D478" s="109"/>
      <c r="E478" s="109"/>
      <c r="F478" s="110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</row>
    <row r="479" spans="1:24">
      <c r="A479" s="109"/>
      <c r="B479" s="109"/>
      <c r="C479" s="109"/>
      <c r="D479" s="109"/>
      <c r="E479" s="109"/>
      <c r="F479" s="110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</row>
    <row r="480" spans="1:24">
      <c r="A480" s="109"/>
      <c r="B480" s="109"/>
      <c r="C480" s="109"/>
      <c r="D480" s="109"/>
      <c r="E480" s="109"/>
      <c r="F480" s="110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</row>
    <row r="481" spans="1:24">
      <c r="A481" s="109"/>
      <c r="B481" s="109"/>
      <c r="C481" s="109"/>
      <c r="D481" s="109"/>
      <c r="E481" s="109"/>
      <c r="F481" s="110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</row>
    <row r="482" spans="1:24">
      <c r="A482" s="109"/>
      <c r="B482" s="109"/>
      <c r="C482" s="109"/>
      <c r="D482" s="109"/>
      <c r="E482" s="109"/>
      <c r="F482" s="110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</row>
    <row r="483" spans="1:24">
      <c r="A483" s="109"/>
      <c r="B483" s="109"/>
      <c r="C483" s="109"/>
      <c r="D483" s="109"/>
      <c r="E483" s="109"/>
      <c r="F483" s="110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</row>
    <row r="484" spans="1:24">
      <c r="A484" s="109"/>
      <c r="B484" s="109"/>
      <c r="C484" s="109"/>
      <c r="D484" s="109"/>
      <c r="E484" s="109"/>
      <c r="F484" s="110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</row>
    <row r="485" spans="1:24">
      <c r="A485" s="109"/>
      <c r="B485" s="109"/>
      <c r="C485" s="109"/>
      <c r="D485" s="109"/>
      <c r="E485" s="109"/>
      <c r="F485" s="110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</row>
    <row r="486" spans="1:24">
      <c r="A486" s="109"/>
      <c r="B486" s="109"/>
      <c r="C486" s="109"/>
      <c r="D486" s="109"/>
      <c r="E486" s="109"/>
      <c r="F486" s="110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</row>
    <row r="487" spans="1:24">
      <c r="A487" s="109"/>
      <c r="B487" s="109"/>
      <c r="C487" s="109"/>
      <c r="D487" s="109"/>
      <c r="E487" s="109"/>
      <c r="F487" s="110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</row>
    <row r="488" spans="1:24">
      <c r="A488" s="109"/>
      <c r="B488" s="109"/>
      <c r="C488" s="109"/>
      <c r="D488" s="109"/>
      <c r="E488" s="109"/>
      <c r="F488" s="110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</row>
    <row r="489" spans="1:24">
      <c r="A489" s="109"/>
      <c r="B489" s="109"/>
      <c r="C489" s="109"/>
      <c r="D489" s="109"/>
      <c r="E489" s="109"/>
      <c r="F489" s="110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</row>
    <row r="490" spans="1:24">
      <c r="A490" s="109"/>
      <c r="B490" s="109"/>
      <c r="C490" s="109"/>
      <c r="D490" s="109"/>
      <c r="E490" s="109"/>
      <c r="F490" s="110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</row>
    <row r="491" spans="1:24">
      <c r="A491" s="109"/>
      <c r="B491" s="109"/>
      <c r="C491" s="109"/>
      <c r="D491" s="109"/>
      <c r="E491" s="109"/>
      <c r="F491" s="110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</row>
    <row r="492" spans="1:24">
      <c r="A492" s="109"/>
      <c r="B492" s="109"/>
      <c r="C492" s="109"/>
      <c r="D492" s="109"/>
      <c r="E492" s="109"/>
      <c r="F492" s="110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</row>
    <row r="493" spans="1:24">
      <c r="A493" s="109"/>
      <c r="B493" s="109"/>
      <c r="C493" s="109"/>
      <c r="D493" s="109"/>
      <c r="E493" s="109"/>
      <c r="F493" s="110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</row>
    <row r="494" spans="1:24">
      <c r="A494" s="109"/>
      <c r="B494" s="109"/>
      <c r="C494" s="109"/>
      <c r="D494" s="109"/>
      <c r="E494" s="109"/>
      <c r="F494" s="110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</row>
    <row r="495" spans="1:24">
      <c r="A495" s="109"/>
      <c r="B495" s="109"/>
      <c r="C495" s="109"/>
      <c r="D495" s="109"/>
      <c r="E495" s="109"/>
      <c r="F495" s="110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</row>
    <row r="496" spans="1:24">
      <c r="A496" s="109"/>
      <c r="B496" s="109"/>
      <c r="C496" s="109"/>
      <c r="D496" s="109"/>
      <c r="E496" s="109"/>
      <c r="F496" s="110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</row>
    <row r="497" spans="1:24">
      <c r="A497" s="109"/>
      <c r="B497" s="109"/>
      <c r="C497" s="109"/>
      <c r="D497" s="109"/>
      <c r="E497" s="109"/>
      <c r="F497" s="110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</row>
    <row r="498" spans="1:24">
      <c r="A498" s="109"/>
      <c r="B498" s="109"/>
      <c r="C498" s="109"/>
      <c r="D498" s="109"/>
      <c r="E498" s="109"/>
      <c r="F498" s="110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</row>
    <row r="499" spans="1:24">
      <c r="A499" s="109"/>
      <c r="B499" s="109"/>
      <c r="C499" s="109"/>
      <c r="D499" s="109"/>
      <c r="E499" s="109"/>
      <c r="F499" s="110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</row>
    <row r="500" spans="1:24">
      <c r="A500" s="109"/>
      <c r="B500" s="109"/>
      <c r="C500" s="109"/>
      <c r="D500" s="109"/>
      <c r="E500" s="109"/>
      <c r="F500" s="110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</row>
    <row r="501" spans="1:24">
      <c r="A501" s="109"/>
      <c r="B501" s="109"/>
      <c r="C501" s="109"/>
      <c r="D501" s="109"/>
      <c r="E501" s="109"/>
      <c r="F501" s="110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</row>
    <row r="502" spans="1:24">
      <c r="A502" s="109"/>
      <c r="B502" s="109"/>
      <c r="C502" s="109"/>
      <c r="D502" s="109"/>
      <c r="E502" s="109"/>
      <c r="F502" s="110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</row>
    <row r="503" spans="1:24">
      <c r="A503" s="109"/>
      <c r="B503" s="109"/>
      <c r="C503" s="109"/>
      <c r="D503" s="109"/>
      <c r="E503" s="109"/>
      <c r="F503" s="110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</row>
    <row r="504" spans="1:24">
      <c r="A504" s="109"/>
      <c r="B504" s="109"/>
      <c r="C504" s="109"/>
      <c r="D504" s="109"/>
      <c r="E504" s="109"/>
      <c r="F504" s="110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</row>
    <row r="505" spans="1:24">
      <c r="A505" s="109"/>
      <c r="B505" s="109"/>
      <c r="C505" s="109"/>
      <c r="D505" s="109"/>
      <c r="E505" s="109"/>
      <c r="F505" s="110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</row>
    <row r="506" spans="1:24">
      <c r="A506" s="109"/>
      <c r="B506" s="109"/>
      <c r="C506" s="109"/>
      <c r="D506" s="109"/>
      <c r="E506" s="109"/>
      <c r="F506" s="110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</row>
    <row r="507" spans="1:24">
      <c r="A507" s="109"/>
      <c r="B507" s="109"/>
      <c r="C507" s="109"/>
      <c r="D507" s="109"/>
      <c r="E507" s="109"/>
      <c r="F507" s="110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</row>
    <row r="508" spans="1:24">
      <c r="A508" s="109"/>
      <c r="B508" s="109"/>
      <c r="C508" s="109"/>
      <c r="D508" s="109"/>
      <c r="E508" s="109"/>
      <c r="F508" s="110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</row>
    <row r="509" spans="1:24">
      <c r="A509" s="109"/>
      <c r="B509" s="109"/>
      <c r="C509" s="109"/>
      <c r="D509" s="109"/>
      <c r="E509" s="109"/>
      <c r="F509" s="110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</row>
    <row r="510" spans="1:24">
      <c r="A510" s="109"/>
      <c r="B510" s="109"/>
      <c r="C510" s="109"/>
      <c r="D510" s="109"/>
      <c r="E510" s="109"/>
      <c r="F510" s="110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</row>
    <row r="511" spans="1:24">
      <c r="A511" s="109"/>
      <c r="B511" s="109"/>
      <c r="C511" s="109"/>
      <c r="D511" s="109"/>
      <c r="E511" s="109"/>
      <c r="F511" s="110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</row>
    <row r="512" spans="1:24">
      <c r="A512" s="109"/>
      <c r="B512" s="109"/>
      <c r="C512" s="109"/>
      <c r="D512" s="109"/>
      <c r="E512" s="109"/>
      <c r="F512" s="110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</row>
    <row r="513" spans="1:24">
      <c r="A513" s="109"/>
      <c r="B513" s="109"/>
      <c r="C513" s="109"/>
      <c r="D513" s="109"/>
      <c r="E513" s="109"/>
      <c r="F513" s="110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</row>
    <row r="514" spans="1:24">
      <c r="A514" s="109"/>
      <c r="B514" s="109"/>
      <c r="C514" s="109"/>
      <c r="D514" s="109"/>
      <c r="E514" s="109"/>
      <c r="F514" s="110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</row>
    <row r="515" spans="1:24">
      <c r="A515" s="109"/>
      <c r="B515" s="109"/>
      <c r="C515" s="109"/>
      <c r="D515" s="109"/>
      <c r="E515" s="109"/>
      <c r="F515" s="110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</row>
    <row r="516" spans="1:24">
      <c r="A516" s="109"/>
      <c r="B516" s="109"/>
      <c r="C516" s="109"/>
      <c r="D516" s="109"/>
      <c r="E516" s="109"/>
      <c r="F516" s="110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</row>
    <row r="517" spans="1:24">
      <c r="A517" s="109"/>
      <c r="B517" s="109"/>
      <c r="C517" s="109"/>
      <c r="D517" s="109"/>
      <c r="E517" s="109"/>
      <c r="F517" s="110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</row>
    <row r="518" spans="1:24">
      <c r="A518" s="109"/>
      <c r="B518" s="109"/>
      <c r="C518" s="109"/>
      <c r="D518" s="109"/>
      <c r="E518" s="109"/>
      <c r="F518" s="110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</row>
    <row r="519" spans="1:24">
      <c r="A519" s="109"/>
      <c r="B519" s="109"/>
      <c r="C519" s="109"/>
      <c r="D519" s="109"/>
      <c r="E519" s="109"/>
      <c r="F519" s="110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</row>
    <row r="520" spans="1:24">
      <c r="A520" s="109"/>
      <c r="B520" s="109"/>
      <c r="C520" s="109"/>
      <c r="D520" s="109"/>
      <c r="E520" s="109"/>
      <c r="F520" s="110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</row>
    <row r="521" spans="1:24">
      <c r="A521" s="109"/>
      <c r="B521" s="109"/>
      <c r="C521" s="109"/>
      <c r="D521" s="109"/>
      <c r="E521" s="109"/>
      <c r="F521" s="110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</row>
    <row r="522" spans="1:24">
      <c r="A522" s="109"/>
      <c r="B522" s="109"/>
      <c r="C522" s="109"/>
      <c r="D522" s="109"/>
      <c r="E522" s="109"/>
      <c r="F522" s="110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</row>
    <row r="523" spans="1:24">
      <c r="A523" s="109"/>
      <c r="B523" s="109"/>
      <c r="C523" s="109"/>
      <c r="D523" s="109"/>
      <c r="E523" s="109"/>
      <c r="F523" s="110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</row>
    <row r="524" spans="1:24">
      <c r="A524" s="109"/>
      <c r="B524" s="109"/>
      <c r="C524" s="109"/>
      <c r="D524" s="109"/>
      <c r="E524" s="109"/>
      <c r="F524" s="110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</row>
    <row r="525" spans="1:24">
      <c r="A525" s="109"/>
      <c r="B525" s="109"/>
      <c r="C525" s="109"/>
      <c r="D525" s="109"/>
      <c r="E525" s="109"/>
      <c r="F525" s="110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</row>
    <row r="526" spans="1:24">
      <c r="A526" s="109"/>
      <c r="B526" s="109"/>
      <c r="C526" s="109"/>
      <c r="D526" s="109"/>
      <c r="E526" s="109"/>
      <c r="F526" s="110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</row>
    <row r="527" spans="1:24">
      <c r="A527" s="109"/>
      <c r="B527" s="109"/>
      <c r="C527" s="109"/>
      <c r="D527" s="109"/>
      <c r="E527" s="109"/>
      <c r="F527" s="110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</row>
    <row r="528" spans="1:24">
      <c r="A528" s="109"/>
      <c r="B528" s="109"/>
      <c r="C528" s="109"/>
      <c r="D528" s="109"/>
      <c r="E528" s="109"/>
      <c r="F528" s="110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</row>
    <row r="529" spans="1:24">
      <c r="A529" s="109"/>
      <c r="B529" s="109"/>
      <c r="C529" s="109"/>
      <c r="D529" s="109"/>
      <c r="E529" s="109"/>
      <c r="F529" s="110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</row>
    <row r="530" spans="1:24">
      <c r="A530" s="109"/>
      <c r="B530" s="109"/>
      <c r="C530" s="109"/>
      <c r="D530" s="109"/>
      <c r="E530" s="109"/>
      <c r="F530" s="110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</row>
    <row r="531" spans="1:24">
      <c r="A531" s="109"/>
      <c r="B531" s="109"/>
      <c r="C531" s="109"/>
      <c r="D531" s="109"/>
      <c r="E531" s="109"/>
      <c r="F531" s="110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</row>
    <row r="532" spans="1:24">
      <c r="A532" s="109"/>
      <c r="B532" s="109"/>
      <c r="C532" s="109"/>
      <c r="D532" s="109"/>
      <c r="E532" s="109"/>
      <c r="F532" s="110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</row>
    <row r="533" spans="1:24">
      <c r="A533" s="109"/>
      <c r="B533" s="109"/>
      <c r="C533" s="109"/>
      <c r="D533" s="109"/>
      <c r="E533" s="109"/>
      <c r="F533" s="110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</row>
    <row r="534" spans="1:24">
      <c r="A534" s="109"/>
      <c r="B534" s="109"/>
      <c r="C534" s="109"/>
      <c r="D534" s="109"/>
      <c r="E534" s="109"/>
      <c r="F534" s="110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</row>
    <row r="535" spans="1:24">
      <c r="A535" s="109"/>
      <c r="B535" s="109"/>
      <c r="C535" s="109"/>
      <c r="D535" s="109"/>
      <c r="E535" s="109"/>
      <c r="F535" s="110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</row>
    <row r="536" spans="1:24">
      <c r="A536" s="109"/>
      <c r="B536" s="109"/>
      <c r="C536" s="109"/>
      <c r="D536" s="109"/>
      <c r="E536" s="109"/>
      <c r="F536" s="110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</row>
    <row r="537" spans="1:24">
      <c r="A537" s="109"/>
      <c r="B537" s="109"/>
      <c r="C537" s="109"/>
      <c r="D537" s="109"/>
      <c r="E537" s="109"/>
      <c r="F537" s="110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</row>
    <row r="538" spans="1:24">
      <c r="A538" s="109"/>
      <c r="B538" s="109"/>
      <c r="C538" s="109"/>
      <c r="D538" s="109"/>
      <c r="E538" s="109"/>
      <c r="F538" s="110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</row>
    <row r="539" spans="1:24">
      <c r="A539" s="109"/>
      <c r="B539" s="109"/>
      <c r="C539" s="109"/>
      <c r="D539" s="109"/>
      <c r="E539" s="109"/>
      <c r="F539" s="110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</row>
    <row r="540" spans="1:24">
      <c r="A540" s="109"/>
      <c r="B540" s="109"/>
      <c r="C540" s="109"/>
      <c r="D540" s="109"/>
      <c r="E540" s="109"/>
      <c r="F540" s="110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</row>
    <row r="541" spans="1:24">
      <c r="A541" s="109"/>
      <c r="B541" s="109"/>
      <c r="C541" s="109"/>
      <c r="D541" s="109"/>
      <c r="E541" s="109"/>
      <c r="F541" s="110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</row>
    <row r="542" spans="1:24">
      <c r="A542" s="109"/>
      <c r="B542" s="109"/>
      <c r="C542" s="109"/>
      <c r="D542" s="109"/>
      <c r="E542" s="109"/>
      <c r="F542" s="110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</row>
    <row r="543" spans="1:24">
      <c r="A543" s="109"/>
      <c r="B543" s="109"/>
      <c r="C543" s="109"/>
      <c r="D543" s="109"/>
      <c r="E543" s="109"/>
      <c r="F543" s="110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</row>
    <row r="544" spans="1:24">
      <c r="A544" s="109"/>
      <c r="B544" s="109"/>
      <c r="C544" s="109"/>
      <c r="D544" s="109"/>
      <c r="E544" s="109"/>
      <c r="F544" s="110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</row>
    <row r="545" spans="1:24">
      <c r="A545" s="109"/>
      <c r="B545" s="109"/>
      <c r="C545" s="109"/>
      <c r="D545" s="109"/>
      <c r="E545" s="109"/>
      <c r="F545" s="110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</row>
    <row r="546" spans="1:24">
      <c r="A546" s="109"/>
      <c r="B546" s="109"/>
      <c r="C546" s="109"/>
      <c r="D546" s="109"/>
      <c r="E546" s="109"/>
      <c r="F546" s="110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</row>
    <row r="547" spans="1:24">
      <c r="A547" s="109"/>
      <c r="B547" s="109"/>
      <c r="C547" s="109"/>
      <c r="D547" s="109"/>
      <c r="E547" s="109"/>
      <c r="F547" s="110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</row>
    <row r="548" spans="1:24">
      <c r="A548" s="109"/>
      <c r="B548" s="109"/>
      <c r="C548" s="109"/>
      <c r="D548" s="109"/>
      <c r="E548" s="109"/>
      <c r="F548" s="110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</row>
    <row r="549" spans="1:24">
      <c r="A549" s="109"/>
      <c r="B549" s="109"/>
      <c r="C549" s="109"/>
      <c r="D549" s="109"/>
      <c r="E549" s="109"/>
      <c r="F549" s="110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</row>
    <row r="550" spans="1:24">
      <c r="A550" s="109"/>
      <c r="B550" s="109"/>
      <c r="C550" s="109"/>
      <c r="D550" s="109"/>
      <c r="E550" s="109"/>
      <c r="F550" s="110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</row>
    <row r="551" spans="1:24">
      <c r="A551" s="109"/>
      <c r="B551" s="109"/>
      <c r="C551" s="109"/>
      <c r="D551" s="109"/>
      <c r="E551" s="109"/>
      <c r="F551" s="110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</row>
    <row r="552" spans="1:24">
      <c r="A552" s="109"/>
      <c r="B552" s="109"/>
      <c r="C552" s="109"/>
      <c r="D552" s="109"/>
      <c r="E552" s="109"/>
      <c r="F552" s="110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</row>
    <row r="553" spans="1:24">
      <c r="A553" s="109"/>
      <c r="B553" s="109"/>
      <c r="C553" s="109"/>
      <c r="D553" s="109"/>
      <c r="E553" s="109"/>
      <c r="F553" s="110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</row>
    <row r="554" spans="1:24">
      <c r="A554" s="109"/>
      <c r="B554" s="109"/>
      <c r="C554" s="109"/>
      <c r="D554" s="109"/>
      <c r="E554" s="109"/>
      <c r="F554" s="110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</row>
    <row r="555" spans="1:24">
      <c r="A555" s="109"/>
      <c r="B555" s="109"/>
      <c r="C555" s="109"/>
      <c r="D555" s="109"/>
      <c r="E555" s="109"/>
      <c r="F555" s="110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</row>
    <row r="556" spans="1:24">
      <c r="A556" s="109"/>
      <c r="B556" s="109"/>
      <c r="C556" s="109"/>
      <c r="D556" s="109"/>
      <c r="E556" s="109"/>
      <c r="F556" s="110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</row>
    <row r="557" spans="1:24">
      <c r="A557" s="109"/>
      <c r="B557" s="109"/>
      <c r="C557" s="109"/>
      <c r="D557" s="109"/>
      <c r="E557" s="109"/>
      <c r="F557" s="110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</row>
    <row r="558" spans="1:24">
      <c r="A558" s="109"/>
      <c r="B558" s="109"/>
      <c r="C558" s="109"/>
      <c r="D558" s="109"/>
      <c r="E558" s="109"/>
      <c r="F558" s="110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</row>
    <row r="559" spans="1:24">
      <c r="A559" s="109"/>
      <c r="B559" s="109"/>
      <c r="C559" s="109"/>
      <c r="D559" s="109"/>
      <c r="E559" s="109"/>
      <c r="F559" s="110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</row>
    <row r="560" spans="1:24">
      <c r="A560" s="109"/>
      <c r="B560" s="109"/>
      <c r="C560" s="109"/>
      <c r="D560" s="109"/>
      <c r="E560" s="109"/>
      <c r="F560" s="110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</row>
    <row r="561" spans="1:24">
      <c r="A561" s="109"/>
      <c r="B561" s="109"/>
      <c r="C561" s="109"/>
      <c r="D561" s="109"/>
      <c r="E561" s="109"/>
      <c r="F561" s="110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</row>
    <row r="562" spans="1:24">
      <c r="A562" s="109"/>
      <c r="B562" s="109"/>
      <c r="C562" s="109"/>
      <c r="D562" s="109"/>
      <c r="E562" s="109"/>
      <c r="F562" s="110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</row>
    <row r="563" spans="1:24">
      <c r="A563" s="109"/>
      <c r="B563" s="109"/>
      <c r="C563" s="109"/>
      <c r="D563" s="109"/>
      <c r="E563" s="109"/>
      <c r="F563" s="110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</row>
    <row r="564" spans="1:24">
      <c r="A564" s="109"/>
      <c r="B564" s="109"/>
      <c r="C564" s="109"/>
      <c r="D564" s="109"/>
      <c r="E564" s="109"/>
      <c r="F564" s="110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</row>
    <row r="565" spans="1:24">
      <c r="A565" s="109"/>
      <c r="B565" s="109"/>
      <c r="C565" s="109"/>
      <c r="D565" s="109"/>
      <c r="E565" s="109"/>
      <c r="F565" s="110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</row>
    <row r="566" spans="1:24">
      <c r="A566" s="109"/>
      <c r="B566" s="109"/>
      <c r="C566" s="109"/>
      <c r="D566" s="109"/>
      <c r="E566" s="109"/>
      <c r="F566" s="110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</row>
    <row r="567" spans="1:24">
      <c r="A567" s="109"/>
      <c r="B567" s="109"/>
      <c r="C567" s="109"/>
      <c r="D567" s="109"/>
      <c r="E567" s="109"/>
      <c r="F567" s="110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</row>
    <row r="568" spans="1:24">
      <c r="A568" s="109"/>
      <c r="B568" s="109"/>
      <c r="C568" s="109"/>
      <c r="D568" s="109"/>
      <c r="E568" s="109"/>
      <c r="F568" s="110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</row>
    <row r="569" spans="1:24">
      <c r="A569" s="109"/>
      <c r="B569" s="109"/>
      <c r="C569" s="109"/>
      <c r="D569" s="109"/>
      <c r="E569" s="109"/>
      <c r="F569" s="110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</row>
    <row r="570" spans="1:24">
      <c r="A570" s="109"/>
      <c r="B570" s="109"/>
      <c r="C570" s="109"/>
      <c r="D570" s="109"/>
      <c r="E570" s="109"/>
      <c r="F570" s="110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</row>
    <row r="571" spans="1:24">
      <c r="A571" s="109"/>
      <c r="B571" s="109"/>
      <c r="C571" s="109"/>
      <c r="D571" s="109"/>
      <c r="E571" s="109"/>
      <c r="F571" s="110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</row>
    <row r="572" spans="1:24">
      <c r="A572" s="109"/>
      <c r="B572" s="109"/>
      <c r="C572" s="109"/>
      <c r="D572" s="109"/>
      <c r="E572" s="109"/>
      <c r="F572" s="110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</row>
    <row r="573" spans="1:24">
      <c r="A573" s="109"/>
      <c r="B573" s="109"/>
      <c r="C573" s="109"/>
      <c r="D573" s="109"/>
      <c r="E573" s="109"/>
      <c r="F573" s="110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</row>
    <row r="574" spans="1:24">
      <c r="A574" s="109"/>
      <c r="B574" s="109"/>
      <c r="C574" s="109"/>
      <c r="D574" s="109"/>
      <c r="E574" s="109"/>
      <c r="F574" s="110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</row>
    <row r="575" spans="1:24">
      <c r="A575" s="109"/>
      <c r="B575" s="109"/>
      <c r="C575" s="109"/>
      <c r="D575" s="109"/>
      <c r="E575" s="109"/>
      <c r="F575" s="110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</row>
    <row r="576" spans="1:24">
      <c r="A576" s="109"/>
      <c r="B576" s="109"/>
      <c r="C576" s="109"/>
      <c r="D576" s="109"/>
      <c r="E576" s="109"/>
      <c r="F576" s="110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</row>
    <row r="577" spans="1:24">
      <c r="A577" s="109"/>
      <c r="B577" s="109"/>
      <c r="C577" s="109"/>
      <c r="D577" s="109"/>
      <c r="E577" s="109"/>
      <c r="F577" s="110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</row>
    <row r="578" spans="1:24">
      <c r="A578" s="109"/>
      <c r="B578" s="109"/>
      <c r="C578" s="109"/>
      <c r="D578" s="109"/>
      <c r="E578" s="109"/>
      <c r="F578" s="110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</row>
    <row r="579" spans="1:24">
      <c r="A579" s="109"/>
      <c r="B579" s="109"/>
      <c r="C579" s="109"/>
      <c r="D579" s="109"/>
      <c r="E579" s="109"/>
      <c r="F579" s="110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</row>
    <row r="580" spans="1:24">
      <c r="A580" s="109"/>
      <c r="B580" s="109"/>
      <c r="C580" s="109"/>
      <c r="D580" s="109"/>
      <c r="E580" s="109"/>
      <c r="F580" s="110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</row>
    <row r="581" spans="1:24">
      <c r="A581" s="109"/>
      <c r="B581" s="109"/>
      <c r="C581" s="109"/>
      <c r="D581" s="109"/>
      <c r="E581" s="109"/>
      <c r="F581" s="110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</row>
    <row r="582" spans="1:24">
      <c r="A582" s="109"/>
      <c r="B582" s="109"/>
      <c r="C582" s="109"/>
      <c r="D582" s="109"/>
      <c r="E582" s="109"/>
      <c r="F582" s="110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</row>
    <row r="583" spans="1:24">
      <c r="A583" s="109"/>
      <c r="B583" s="109"/>
      <c r="C583" s="109"/>
      <c r="D583" s="109"/>
      <c r="E583" s="109"/>
      <c r="F583" s="110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</row>
    <row r="584" spans="1:24">
      <c r="A584" s="109"/>
      <c r="B584" s="109"/>
      <c r="C584" s="109"/>
      <c r="D584" s="109"/>
      <c r="E584" s="109"/>
      <c r="F584" s="110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</row>
    <row r="585" spans="1:24">
      <c r="A585" s="109"/>
      <c r="B585" s="109"/>
      <c r="C585" s="109"/>
      <c r="D585" s="109"/>
      <c r="E585" s="109"/>
      <c r="F585" s="110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</row>
    <row r="586" spans="1:24">
      <c r="A586" s="109"/>
      <c r="B586" s="109"/>
      <c r="C586" s="109"/>
      <c r="D586" s="109"/>
      <c r="E586" s="109"/>
      <c r="F586" s="110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</row>
    <row r="587" spans="1:24">
      <c r="A587" s="109"/>
      <c r="B587" s="109"/>
      <c r="C587" s="109"/>
      <c r="D587" s="109"/>
      <c r="E587" s="109"/>
      <c r="F587" s="110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</row>
    <row r="588" spans="1:24">
      <c r="A588" s="109"/>
      <c r="B588" s="109"/>
      <c r="C588" s="109"/>
      <c r="D588" s="109"/>
      <c r="E588" s="109"/>
      <c r="F588" s="110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</row>
    <row r="589" spans="1:24">
      <c r="A589" s="109"/>
      <c r="B589" s="109"/>
      <c r="C589" s="109"/>
      <c r="D589" s="109"/>
      <c r="E589" s="109"/>
      <c r="F589" s="110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</row>
    <row r="590" spans="1:24">
      <c r="A590" s="109"/>
      <c r="B590" s="109"/>
      <c r="C590" s="109"/>
      <c r="D590" s="109"/>
      <c r="E590" s="109"/>
      <c r="F590" s="110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</row>
    <row r="591" spans="1:24">
      <c r="A591" s="109"/>
      <c r="B591" s="109"/>
      <c r="C591" s="109"/>
      <c r="D591" s="109"/>
      <c r="E591" s="109"/>
      <c r="F591" s="110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</row>
    <row r="592" spans="1:24">
      <c r="A592" s="109"/>
      <c r="B592" s="109"/>
      <c r="C592" s="109"/>
      <c r="D592" s="109"/>
      <c r="E592" s="109"/>
      <c r="F592" s="110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</row>
    <row r="593" spans="1:24">
      <c r="A593" s="109"/>
      <c r="B593" s="109"/>
      <c r="C593" s="109"/>
      <c r="D593" s="109"/>
      <c r="E593" s="109"/>
      <c r="F593" s="110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</row>
    <row r="594" spans="1:24">
      <c r="A594" s="109"/>
      <c r="B594" s="109"/>
      <c r="C594" s="109"/>
      <c r="D594" s="109"/>
      <c r="E594" s="109"/>
      <c r="F594" s="110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</row>
    <row r="595" spans="1:24">
      <c r="A595" s="109"/>
      <c r="B595" s="109"/>
      <c r="C595" s="109"/>
      <c r="D595" s="109"/>
      <c r="E595" s="109"/>
      <c r="F595" s="110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</row>
    <row r="596" spans="1:24">
      <c r="A596" s="109"/>
      <c r="B596" s="109"/>
      <c r="C596" s="109"/>
      <c r="D596" s="109"/>
      <c r="E596" s="109"/>
      <c r="F596" s="110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</row>
    <row r="597" spans="1:24">
      <c r="A597" s="109"/>
      <c r="B597" s="109"/>
      <c r="C597" s="109"/>
      <c r="D597" s="109"/>
      <c r="E597" s="109"/>
      <c r="F597" s="110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</row>
    <row r="598" spans="1:24">
      <c r="A598" s="109"/>
      <c r="B598" s="109"/>
      <c r="C598" s="109"/>
      <c r="D598" s="109"/>
      <c r="E598" s="109"/>
      <c r="F598" s="110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</row>
    <row r="599" spans="1:24">
      <c r="A599" s="109"/>
      <c r="B599" s="109"/>
      <c r="C599" s="109"/>
      <c r="D599" s="109"/>
      <c r="E599" s="109"/>
      <c r="F599" s="110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</row>
    <row r="600" spans="1:24">
      <c r="A600" s="109"/>
      <c r="B600" s="109"/>
      <c r="C600" s="109"/>
      <c r="D600" s="109"/>
      <c r="E600" s="109"/>
      <c r="F600" s="110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</row>
    <row r="601" spans="1:24">
      <c r="A601" s="109"/>
      <c r="B601" s="109"/>
      <c r="C601" s="109"/>
      <c r="D601" s="109"/>
      <c r="E601" s="109"/>
      <c r="F601" s="110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</row>
    <row r="602" spans="1:24">
      <c r="A602" s="109"/>
      <c r="B602" s="109"/>
      <c r="C602" s="109"/>
      <c r="D602" s="109"/>
      <c r="E602" s="109"/>
      <c r="F602" s="110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</row>
    <row r="603" spans="1:24">
      <c r="A603" s="109"/>
      <c r="B603" s="109"/>
      <c r="C603" s="109"/>
      <c r="D603" s="109"/>
      <c r="E603" s="109"/>
      <c r="F603" s="110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</row>
    <row r="604" spans="1:24">
      <c r="A604" s="109"/>
      <c r="B604" s="109"/>
      <c r="C604" s="109"/>
      <c r="D604" s="109"/>
      <c r="E604" s="109"/>
      <c r="F604" s="110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</row>
    <row r="605" spans="1:24">
      <c r="A605" s="109"/>
      <c r="B605" s="109"/>
      <c r="C605" s="109"/>
      <c r="D605" s="109"/>
      <c r="E605" s="109"/>
      <c r="F605" s="110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</row>
    <row r="606" spans="1:24">
      <c r="A606" s="109"/>
      <c r="B606" s="109"/>
      <c r="C606" s="109"/>
      <c r="D606" s="109"/>
      <c r="E606" s="109"/>
      <c r="F606" s="110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</row>
    <row r="607" spans="1:24">
      <c r="A607" s="109"/>
      <c r="B607" s="109"/>
      <c r="C607" s="109"/>
      <c r="D607" s="109"/>
      <c r="E607" s="109"/>
      <c r="F607" s="110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</row>
    <row r="608" spans="1:24">
      <c r="A608" s="109"/>
      <c r="B608" s="109"/>
      <c r="C608" s="109"/>
      <c r="D608" s="109"/>
      <c r="E608" s="109"/>
      <c r="F608" s="110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</row>
    <row r="609" spans="1:24">
      <c r="A609" s="109"/>
      <c r="B609" s="109"/>
      <c r="C609" s="109"/>
      <c r="D609" s="109"/>
      <c r="E609" s="109"/>
      <c r="F609" s="110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</row>
    <row r="610" spans="1:24">
      <c r="A610" s="109"/>
      <c r="B610" s="109"/>
      <c r="C610" s="109"/>
      <c r="D610" s="109"/>
      <c r="E610" s="109"/>
      <c r="F610" s="110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</row>
    <row r="611" spans="1:24">
      <c r="A611" s="109"/>
      <c r="B611" s="109"/>
      <c r="C611" s="109"/>
      <c r="D611" s="109"/>
      <c r="E611" s="109"/>
      <c r="F611" s="110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</row>
    <row r="612" spans="1:24">
      <c r="A612" s="109"/>
      <c r="B612" s="109"/>
      <c r="C612" s="109"/>
      <c r="D612" s="109"/>
      <c r="E612" s="109"/>
      <c r="F612" s="110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</row>
    <row r="613" spans="1:24">
      <c r="A613" s="109"/>
      <c r="B613" s="109"/>
      <c r="C613" s="109"/>
      <c r="D613" s="109"/>
      <c r="E613" s="109"/>
      <c r="F613" s="110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</row>
    <row r="614" spans="1:24">
      <c r="A614" s="109"/>
      <c r="B614" s="109"/>
      <c r="C614" s="109"/>
      <c r="D614" s="109"/>
      <c r="E614" s="109"/>
      <c r="F614" s="110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</row>
    <row r="615" spans="1:24">
      <c r="A615" s="109"/>
      <c r="B615" s="109"/>
      <c r="C615" s="109"/>
      <c r="D615" s="109"/>
      <c r="E615" s="109"/>
      <c r="F615" s="110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</row>
    <row r="616" spans="1:24">
      <c r="A616" s="109"/>
      <c r="B616" s="109"/>
      <c r="C616" s="109"/>
      <c r="D616" s="109"/>
      <c r="E616" s="109"/>
      <c r="F616" s="110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</row>
    <row r="617" spans="1:24">
      <c r="A617" s="109"/>
      <c r="B617" s="109"/>
      <c r="C617" s="109"/>
      <c r="D617" s="109"/>
      <c r="E617" s="109"/>
      <c r="F617" s="110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</row>
    <row r="618" spans="1:24">
      <c r="A618" s="109"/>
      <c r="B618" s="109"/>
      <c r="C618" s="109"/>
      <c r="D618" s="109"/>
      <c r="E618" s="109"/>
      <c r="F618" s="110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</row>
    <row r="619" spans="1:24">
      <c r="A619" s="109"/>
      <c r="B619" s="109"/>
      <c r="C619" s="109"/>
      <c r="D619" s="109"/>
      <c r="E619" s="109"/>
      <c r="F619" s="110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</row>
    <row r="620" spans="1:24">
      <c r="A620" s="109"/>
      <c r="B620" s="109"/>
      <c r="C620" s="109"/>
      <c r="D620" s="109"/>
      <c r="E620" s="109"/>
      <c r="F620" s="110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</row>
    <row r="621" spans="1:24">
      <c r="A621" s="109"/>
      <c r="B621" s="109"/>
      <c r="C621" s="109"/>
      <c r="D621" s="109"/>
      <c r="E621" s="109"/>
      <c r="F621" s="110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</row>
    <row r="622" spans="1:24">
      <c r="A622" s="109"/>
      <c r="B622" s="109"/>
      <c r="C622" s="109"/>
      <c r="D622" s="109"/>
      <c r="E622" s="109"/>
      <c r="F622" s="110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</row>
    <row r="623" spans="1:24">
      <c r="A623" s="109"/>
      <c r="B623" s="109"/>
      <c r="C623" s="109"/>
      <c r="D623" s="109"/>
      <c r="E623" s="109"/>
      <c r="F623" s="110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</row>
    <row r="624" spans="1:24">
      <c r="A624" s="109"/>
      <c r="B624" s="109"/>
      <c r="C624" s="109"/>
      <c r="D624" s="109"/>
      <c r="E624" s="109"/>
      <c r="F624" s="110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</row>
    <row r="625" spans="1:24">
      <c r="A625" s="109"/>
      <c r="B625" s="109"/>
      <c r="C625" s="109"/>
      <c r="D625" s="109"/>
      <c r="E625" s="109"/>
      <c r="F625" s="110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</row>
    <row r="626" spans="1:24">
      <c r="A626" s="109"/>
      <c r="B626" s="109"/>
      <c r="C626" s="109"/>
      <c r="D626" s="109"/>
      <c r="E626" s="109"/>
      <c r="F626" s="110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</row>
    <row r="627" spans="1:24">
      <c r="A627" s="109"/>
      <c r="B627" s="109"/>
      <c r="C627" s="109"/>
      <c r="D627" s="109"/>
      <c r="E627" s="109"/>
      <c r="F627" s="110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</row>
    <row r="628" spans="1:24">
      <c r="A628" s="109"/>
      <c r="B628" s="109"/>
      <c r="C628" s="109"/>
      <c r="D628" s="109"/>
      <c r="E628" s="109"/>
      <c r="F628" s="110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</row>
    <row r="629" spans="1:24">
      <c r="A629" s="109"/>
      <c r="B629" s="109"/>
      <c r="C629" s="109"/>
      <c r="D629" s="109"/>
      <c r="E629" s="109"/>
      <c r="F629" s="110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</row>
    <row r="630" spans="1:24">
      <c r="A630" s="109"/>
      <c r="B630" s="109"/>
      <c r="C630" s="109"/>
      <c r="D630" s="109"/>
      <c r="E630" s="109"/>
      <c r="F630" s="110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</row>
    <row r="631" spans="1:24">
      <c r="A631" s="109"/>
      <c r="B631" s="109"/>
      <c r="C631" s="109"/>
      <c r="D631" s="109"/>
      <c r="E631" s="109"/>
      <c r="F631" s="110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</row>
    <row r="632" spans="1:24">
      <c r="A632" s="109"/>
      <c r="B632" s="109"/>
      <c r="C632" s="109"/>
      <c r="D632" s="109"/>
      <c r="E632" s="109"/>
      <c r="F632" s="110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</row>
    <row r="633" spans="1:24">
      <c r="A633" s="109"/>
      <c r="B633" s="109"/>
      <c r="C633" s="109"/>
      <c r="D633" s="109"/>
      <c r="E633" s="109"/>
      <c r="F633" s="110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</row>
    <row r="634" spans="1:24">
      <c r="A634" s="109"/>
      <c r="B634" s="109"/>
      <c r="C634" s="109"/>
      <c r="D634" s="109"/>
      <c r="E634" s="109"/>
      <c r="F634" s="110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</row>
    <row r="635" spans="1:24">
      <c r="A635" s="109"/>
      <c r="B635" s="109"/>
      <c r="C635" s="109"/>
      <c r="D635" s="109"/>
      <c r="E635" s="109"/>
      <c r="F635" s="110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</row>
    <row r="636" spans="1:24">
      <c r="A636" s="109"/>
      <c r="B636" s="109"/>
      <c r="C636" s="109"/>
      <c r="D636" s="109"/>
      <c r="E636" s="109"/>
      <c r="F636" s="110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</row>
    <row r="637" spans="1:24">
      <c r="A637" s="109"/>
      <c r="B637" s="109"/>
      <c r="C637" s="109"/>
      <c r="D637" s="109"/>
      <c r="E637" s="109"/>
      <c r="F637" s="110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</row>
    <row r="638" spans="1:24">
      <c r="A638" s="109"/>
      <c r="B638" s="109"/>
      <c r="C638" s="109"/>
      <c r="D638" s="109"/>
      <c r="E638" s="109"/>
      <c r="F638" s="110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</row>
    <row r="639" spans="1:24">
      <c r="A639" s="109"/>
      <c r="B639" s="109"/>
      <c r="C639" s="109"/>
      <c r="D639" s="109"/>
      <c r="E639" s="109"/>
      <c r="F639" s="110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</row>
    <row r="640" spans="1:24">
      <c r="A640" s="109"/>
      <c r="B640" s="109"/>
      <c r="C640" s="109"/>
      <c r="D640" s="109"/>
      <c r="E640" s="109"/>
      <c r="F640" s="110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</row>
    <row r="641" spans="1:24">
      <c r="A641" s="109"/>
      <c r="B641" s="109"/>
      <c r="C641" s="109"/>
      <c r="D641" s="109"/>
      <c r="E641" s="109"/>
      <c r="F641" s="110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</row>
    <row r="642" spans="1:24">
      <c r="A642" s="109"/>
      <c r="B642" s="109"/>
      <c r="C642" s="109"/>
      <c r="D642" s="109"/>
      <c r="E642" s="109"/>
      <c r="F642" s="110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</row>
    <row r="643" spans="1:24">
      <c r="A643" s="109"/>
      <c r="B643" s="109"/>
      <c r="C643" s="109"/>
      <c r="D643" s="109"/>
      <c r="E643" s="109"/>
      <c r="F643" s="110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</row>
    <row r="644" spans="1:24">
      <c r="A644" s="109"/>
      <c r="B644" s="109"/>
      <c r="C644" s="109"/>
      <c r="D644" s="109"/>
      <c r="E644" s="109"/>
      <c r="F644" s="110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</row>
    <row r="645" spans="1:24">
      <c r="A645" s="109"/>
      <c r="B645" s="109"/>
      <c r="C645" s="109"/>
      <c r="D645" s="109"/>
      <c r="E645" s="109"/>
      <c r="F645" s="110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</row>
    <row r="646" spans="1:24">
      <c r="A646" s="109"/>
      <c r="B646" s="109"/>
      <c r="C646" s="109"/>
      <c r="D646" s="109"/>
      <c r="E646" s="109"/>
      <c r="F646" s="110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</row>
    <row r="647" spans="1:24">
      <c r="A647" s="109"/>
      <c r="B647" s="109"/>
      <c r="C647" s="109"/>
      <c r="D647" s="109"/>
      <c r="E647" s="109"/>
      <c r="F647" s="110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</row>
    <row r="648" spans="1:24">
      <c r="A648" s="109"/>
      <c r="B648" s="109"/>
      <c r="C648" s="109"/>
      <c r="D648" s="109"/>
      <c r="E648" s="109"/>
      <c r="F648" s="110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</row>
    <row r="649" spans="1:24">
      <c r="A649" s="109"/>
      <c r="B649" s="109"/>
      <c r="C649" s="109"/>
      <c r="D649" s="109"/>
      <c r="E649" s="109"/>
      <c r="F649" s="110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</row>
    <row r="650" spans="1:24">
      <c r="A650" s="109"/>
      <c r="B650" s="109"/>
      <c r="C650" s="109"/>
      <c r="D650" s="109"/>
      <c r="E650" s="109"/>
      <c r="F650" s="110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</row>
    <row r="651" spans="1:24">
      <c r="A651" s="109"/>
      <c r="B651" s="109"/>
      <c r="C651" s="109"/>
      <c r="D651" s="109"/>
      <c r="E651" s="109"/>
      <c r="F651" s="110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</row>
    <row r="652" spans="1:24">
      <c r="A652" s="109"/>
      <c r="B652" s="109"/>
      <c r="C652" s="109"/>
      <c r="D652" s="109"/>
      <c r="E652" s="109"/>
      <c r="F652" s="110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</row>
    <row r="653" spans="1:24">
      <c r="A653" s="109"/>
      <c r="B653" s="109"/>
      <c r="C653" s="109"/>
      <c r="D653" s="109"/>
      <c r="E653" s="109"/>
      <c r="F653" s="110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</row>
    <row r="654" spans="1:24">
      <c r="A654" s="109"/>
      <c r="B654" s="109"/>
      <c r="C654" s="109"/>
      <c r="D654" s="109"/>
      <c r="E654" s="109"/>
      <c r="F654" s="110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</row>
    <row r="655" spans="1:24">
      <c r="A655" s="109"/>
      <c r="B655" s="109"/>
      <c r="C655" s="109"/>
      <c r="D655" s="109"/>
      <c r="E655" s="109"/>
      <c r="F655" s="110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</row>
    <row r="656" spans="1:24">
      <c r="A656" s="109"/>
      <c r="B656" s="109"/>
      <c r="C656" s="109"/>
      <c r="D656" s="109"/>
      <c r="E656" s="109"/>
      <c r="F656" s="110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</row>
    <row r="657" spans="1:24">
      <c r="A657" s="109"/>
      <c r="B657" s="109"/>
      <c r="C657" s="109"/>
      <c r="D657" s="109"/>
      <c r="E657" s="109"/>
      <c r="F657" s="110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</row>
    <row r="658" spans="1:24">
      <c r="A658" s="109"/>
      <c r="B658" s="109"/>
      <c r="C658" s="109"/>
      <c r="D658" s="109"/>
      <c r="E658" s="109"/>
      <c r="F658" s="110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</row>
    <row r="659" spans="1:24">
      <c r="A659" s="109"/>
      <c r="B659" s="109"/>
      <c r="C659" s="109"/>
      <c r="D659" s="109"/>
      <c r="E659" s="109"/>
      <c r="F659" s="110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</row>
    <row r="660" spans="1:24">
      <c r="A660" s="109"/>
      <c r="B660" s="109"/>
      <c r="C660" s="109"/>
      <c r="D660" s="109"/>
      <c r="E660" s="109"/>
      <c r="F660" s="110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</row>
    <row r="661" spans="1:24">
      <c r="A661" s="109"/>
      <c r="B661" s="109"/>
      <c r="C661" s="109"/>
      <c r="D661" s="109"/>
      <c r="E661" s="109"/>
      <c r="F661" s="110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</row>
    <row r="662" spans="1:24">
      <c r="A662" s="109"/>
      <c r="B662" s="109"/>
      <c r="C662" s="109"/>
      <c r="D662" s="109"/>
      <c r="E662" s="109"/>
      <c r="F662" s="110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</row>
    <row r="663" spans="1:24">
      <c r="A663" s="109"/>
      <c r="B663" s="109"/>
      <c r="C663" s="109"/>
      <c r="D663" s="109"/>
      <c r="E663" s="109"/>
      <c r="F663" s="110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</row>
    <row r="664" spans="1:24">
      <c r="A664" s="109"/>
      <c r="B664" s="109"/>
      <c r="C664" s="109"/>
      <c r="D664" s="109"/>
      <c r="E664" s="109"/>
      <c r="F664" s="110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</row>
    <row r="665" spans="1:24">
      <c r="A665" s="109"/>
      <c r="B665" s="109"/>
      <c r="C665" s="109"/>
      <c r="D665" s="109"/>
      <c r="E665" s="109"/>
      <c r="F665" s="110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</row>
    <row r="666" spans="1:24">
      <c r="A666" s="109"/>
      <c r="B666" s="109"/>
      <c r="C666" s="109"/>
      <c r="D666" s="109"/>
      <c r="E666" s="109"/>
      <c r="F666" s="110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</row>
    <row r="667" spans="1:24">
      <c r="A667" s="109"/>
      <c r="B667" s="109"/>
      <c r="C667" s="109"/>
      <c r="D667" s="109"/>
      <c r="E667" s="109"/>
      <c r="F667" s="110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</row>
    <row r="668" spans="1:24">
      <c r="A668" s="109"/>
      <c r="B668" s="109"/>
      <c r="C668" s="109"/>
      <c r="D668" s="109"/>
      <c r="E668" s="109"/>
      <c r="F668" s="110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</row>
    <row r="669" spans="1:24">
      <c r="A669" s="109"/>
      <c r="B669" s="109"/>
      <c r="C669" s="109"/>
      <c r="D669" s="109"/>
      <c r="E669" s="109"/>
      <c r="F669" s="110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</row>
    <row r="670" spans="1:24">
      <c r="A670" s="109"/>
      <c r="B670" s="109"/>
      <c r="C670" s="109"/>
      <c r="D670" s="109"/>
      <c r="E670" s="109"/>
      <c r="F670" s="110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</row>
    <row r="671" spans="1:24">
      <c r="A671" s="109"/>
      <c r="B671" s="109"/>
      <c r="C671" s="109"/>
      <c r="D671" s="109"/>
      <c r="E671" s="109"/>
      <c r="F671" s="110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</row>
    <row r="672" spans="1:24">
      <c r="A672" s="109"/>
      <c r="B672" s="109"/>
      <c r="C672" s="109"/>
      <c r="D672" s="109"/>
      <c r="E672" s="109"/>
      <c r="F672" s="110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</row>
    <row r="673" spans="1:24">
      <c r="A673" s="109"/>
      <c r="B673" s="109"/>
      <c r="C673" s="109"/>
      <c r="D673" s="109"/>
      <c r="E673" s="109"/>
      <c r="F673" s="110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</row>
    <row r="674" spans="1:24">
      <c r="A674" s="109"/>
      <c r="B674" s="109"/>
      <c r="C674" s="109"/>
      <c r="D674" s="109"/>
      <c r="E674" s="109"/>
      <c r="F674" s="110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</row>
    <row r="675" spans="1:24">
      <c r="A675" s="109"/>
      <c r="B675" s="109"/>
      <c r="C675" s="109"/>
      <c r="D675" s="109"/>
      <c r="E675" s="109"/>
      <c r="F675" s="110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</row>
    <row r="676" spans="1:24">
      <c r="A676" s="109"/>
      <c r="B676" s="109"/>
      <c r="C676" s="109"/>
      <c r="D676" s="109"/>
      <c r="E676" s="109"/>
      <c r="F676" s="110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</row>
    <row r="677" spans="1:24">
      <c r="A677" s="109"/>
      <c r="B677" s="109"/>
      <c r="C677" s="109"/>
      <c r="D677" s="109"/>
      <c r="E677" s="109"/>
      <c r="F677" s="110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</row>
    <row r="678" spans="1:24">
      <c r="A678" s="109"/>
      <c r="B678" s="109"/>
      <c r="C678" s="109"/>
      <c r="D678" s="109"/>
      <c r="E678" s="109"/>
      <c r="F678" s="110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</row>
    <row r="679" spans="1:24">
      <c r="A679" s="109"/>
      <c r="B679" s="109"/>
      <c r="C679" s="109"/>
      <c r="D679" s="109"/>
      <c r="E679" s="109"/>
      <c r="F679" s="110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</row>
    <row r="680" spans="1:24">
      <c r="A680" s="109"/>
      <c r="B680" s="109"/>
      <c r="C680" s="109"/>
      <c r="D680" s="109"/>
      <c r="E680" s="109"/>
      <c r="F680" s="110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</row>
    <row r="681" spans="1:24">
      <c r="A681" s="109"/>
      <c r="B681" s="109"/>
      <c r="C681" s="109"/>
      <c r="D681" s="109"/>
      <c r="E681" s="109"/>
      <c r="F681" s="110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</row>
    <row r="682" spans="1:24">
      <c r="A682" s="109"/>
      <c r="B682" s="109"/>
      <c r="C682" s="109"/>
      <c r="D682" s="109"/>
      <c r="E682" s="109"/>
      <c r="F682" s="110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</row>
    <row r="683" spans="1:24">
      <c r="A683" s="109"/>
      <c r="B683" s="109"/>
      <c r="C683" s="109"/>
      <c r="D683" s="109"/>
      <c r="E683" s="109"/>
      <c r="F683" s="110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</row>
    <row r="684" spans="1:24">
      <c r="A684" s="109"/>
      <c r="B684" s="109"/>
      <c r="C684" s="109"/>
      <c r="D684" s="109"/>
      <c r="E684" s="109"/>
      <c r="F684" s="110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</row>
    <row r="685" spans="1:24">
      <c r="A685" s="109"/>
      <c r="B685" s="109"/>
      <c r="C685" s="109"/>
      <c r="D685" s="109"/>
      <c r="E685" s="109"/>
      <c r="F685" s="110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</row>
    <row r="686" spans="1:24">
      <c r="A686" s="109"/>
      <c r="B686" s="109"/>
      <c r="C686" s="109"/>
      <c r="D686" s="109"/>
      <c r="E686" s="109"/>
      <c r="F686" s="110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</row>
    <row r="687" spans="1:24">
      <c r="A687" s="109"/>
      <c r="B687" s="109"/>
      <c r="C687" s="109"/>
      <c r="D687" s="109"/>
      <c r="E687" s="109"/>
      <c r="F687" s="110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</row>
    <row r="688" spans="1:24">
      <c r="A688" s="109"/>
      <c r="B688" s="109"/>
      <c r="C688" s="109"/>
      <c r="D688" s="109"/>
      <c r="E688" s="109"/>
      <c r="F688" s="110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</row>
    <row r="689" spans="1:24">
      <c r="A689" s="109"/>
      <c r="B689" s="109"/>
      <c r="C689" s="109"/>
      <c r="D689" s="109"/>
      <c r="E689" s="109"/>
      <c r="F689" s="110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</row>
    <row r="690" spans="1:24">
      <c r="A690" s="109"/>
      <c r="B690" s="109"/>
      <c r="C690" s="109"/>
      <c r="D690" s="109"/>
      <c r="E690" s="109"/>
      <c r="F690" s="110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</row>
    <row r="691" spans="1:24">
      <c r="A691" s="109"/>
      <c r="B691" s="109"/>
      <c r="C691" s="109"/>
      <c r="D691" s="109"/>
      <c r="E691" s="109"/>
      <c r="F691" s="110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</row>
    <row r="692" spans="1:24">
      <c r="A692" s="109"/>
      <c r="B692" s="109"/>
      <c r="C692" s="109"/>
      <c r="D692" s="109"/>
      <c r="E692" s="109"/>
      <c r="F692" s="110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</row>
    <row r="693" spans="1:24">
      <c r="A693" s="109"/>
      <c r="B693" s="109"/>
      <c r="C693" s="109"/>
      <c r="D693" s="109"/>
      <c r="E693" s="109"/>
      <c r="F693" s="110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</row>
    <row r="694" spans="1:24">
      <c r="A694" s="109"/>
      <c r="B694" s="109"/>
      <c r="C694" s="109"/>
      <c r="D694" s="109"/>
      <c r="E694" s="109"/>
      <c r="F694" s="110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</row>
    <row r="695" spans="1:24">
      <c r="A695" s="109"/>
      <c r="B695" s="109"/>
      <c r="C695" s="109"/>
      <c r="D695" s="109"/>
      <c r="E695" s="109"/>
      <c r="F695" s="110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</row>
    <row r="696" spans="1:24">
      <c r="A696" s="109"/>
      <c r="B696" s="109"/>
      <c r="C696" s="109"/>
      <c r="D696" s="109"/>
      <c r="E696" s="109"/>
      <c r="F696" s="110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</row>
    <row r="697" spans="1:24">
      <c r="A697" s="109"/>
      <c r="B697" s="109"/>
      <c r="C697" s="109"/>
      <c r="D697" s="109"/>
      <c r="E697" s="109"/>
      <c r="F697" s="110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</row>
    <row r="698" spans="1:24">
      <c r="A698" s="109"/>
      <c r="B698" s="109"/>
      <c r="C698" s="109"/>
      <c r="D698" s="109"/>
      <c r="E698" s="109"/>
      <c r="F698" s="110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</row>
    <row r="699" spans="1:24">
      <c r="A699" s="109"/>
      <c r="B699" s="109"/>
      <c r="C699" s="109"/>
      <c r="D699" s="109"/>
      <c r="E699" s="109"/>
      <c r="F699" s="110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</row>
    <row r="700" spans="1:24">
      <c r="A700" s="109"/>
      <c r="B700" s="109"/>
      <c r="C700" s="109"/>
      <c r="D700" s="109"/>
      <c r="E700" s="109"/>
      <c r="F700" s="110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</row>
    <row r="701" spans="1:24">
      <c r="A701" s="109"/>
      <c r="B701" s="109"/>
      <c r="C701" s="109"/>
      <c r="D701" s="109"/>
      <c r="E701" s="109"/>
      <c r="F701" s="110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</row>
    <row r="702" spans="1:24">
      <c r="A702" s="109"/>
      <c r="B702" s="109"/>
      <c r="C702" s="109"/>
      <c r="D702" s="109"/>
      <c r="E702" s="109"/>
      <c r="F702" s="110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</row>
    <row r="703" spans="1:24">
      <c r="A703" s="109"/>
      <c r="B703" s="109"/>
      <c r="C703" s="109"/>
      <c r="D703" s="109"/>
      <c r="E703" s="109"/>
      <c r="F703" s="110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</row>
    <row r="704" spans="1:24">
      <c r="A704" s="109"/>
      <c r="B704" s="109"/>
      <c r="C704" s="109"/>
      <c r="D704" s="109"/>
      <c r="E704" s="109"/>
      <c r="F704" s="110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</row>
    <row r="705" spans="1:24">
      <c r="A705" s="109"/>
      <c r="B705" s="109"/>
      <c r="C705" s="109"/>
      <c r="D705" s="109"/>
      <c r="E705" s="109"/>
      <c r="F705" s="110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</row>
    <row r="706" spans="1:24">
      <c r="A706" s="109"/>
      <c r="B706" s="109"/>
      <c r="C706" s="109"/>
      <c r="D706" s="109"/>
      <c r="E706" s="109"/>
      <c r="F706" s="110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</row>
    <row r="707" spans="1:24">
      <c r="A707" s="109"/>
      <c r="B707" s="109"/>
      <c r="C707" s="109"/>
      <c r="D707" s="109"/>
      <c r="E707" s="109"/>
      <c r="F707" s="110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</row>
    <row r="708" spans="1:24">
      <c r="A708" s="109"/>
      <c r="B708" s="109"/>
      <c r="C708" s="109"/>
      <c r="D708" s="109"/>
      <c r="E708" s="109"/>
      <c r="F708" s="110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</row>
    <row r="709" spans="1:24">
      <c r="A709" s="109"/>
      <c r="B709" s="109"/>
      <c r="C709" s="109"/>
      <c r="D709" s="109"/>
      <c r="E709" s="109"/>
      <c r="F709" s="110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</row>
    <row r="710" spans="1:24">
      <c r="A710" s="109"/>
      <c r="B710" s="109"/>
      <c r="C710" s="109"/>
      <c r="D710" s="109"/>
      <c r="E710" s="109"/>
      <c r="F710" s="110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</row>
    <row r="711" spans="1:24">
      <c r="A711" s="109"/>
      <c r="B711" s="109"/>
      <c r="C711" s="109"/>
      <c r="D711" s="109"/>
      <c r="E711" s="109"/>
      <c r="F711" s="110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</row>
    <row r="712" spans="1:24">
      <c r="A712" s="109"/>
      <c r="B712" s="109"/>
      <c r="C712" s="109"/>
      <c r="D712" s="109"/>
      <c r="E712" s="109"/>
      <c r="F712" s="110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</row>
    <row r="713" spans="1:24">
      <c r="A713" s="109"/>
      <c r="B713" s="109"/>
      <c r="C713" s="109"/>
      <c r="D713" s="109"/>
      <c r="E713" s="109"/>
      <c r="F713" s="110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</row>
    <row r="714" spans="1:24">
      <c r="A714" s="109"/>
      <c r="B714" s="109"/>
      <c r="C714" s="109"/>
      <c r="D714" s="109"/>
      <c r="E714" s="109"/>
      <c r="F714" s="110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</row>
    <row r="715" spans="1:24">
      <c r="A715" s="109"/>
      <c r="B715" s="109"/>
      <c r="C715" s="109"/>
      <c r="D715" s="109"/>
      <c r="E715" s="109"/>
      <c r="F715" s="110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</row>
    <row r="716" spans="1:24">
      <c r="A716" s="109"/>
      <c r="B716" s="109"/>
      <c r="C716" s="109"/>
      <c r="D716" s="109"/>
      <c r="E716" s="109"/>
      <c r="F716" s="110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</row>
    <row r="717" spans="1:24">
      <c r="A717" s="109"/>
      <c r="B717" s="109"/>
      <c r="C717" s="109"/>
      <c r="D717" s="109"/>
      <c r="E717" s="109"/>
      <c r="F717" s="110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</row>
    <row r="718" spans="1:24">
      <c r="A718" s="109"/>
      <c r="B718" s="109"/>
      <c r="C718" s="109"/>
      <c r="D718" s="109"/>
      <c r="E718" s="109"/>
      <c r="F718" s="110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</row>
    <row r="719" spans="1:24">
      <c r="A719" s="109"/>
      <c r="B719" s="109"/>
      <c r="C719" s="109"/>
      <c r="D719" s="109"/>
      <c r="E719" s="109"/>
      <c r="F719" s="110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</row>
    <row r="720" spans="1:24">
      <c r="A720" s="109"/>
      <c r="B720" s="109"/>
      <c r="C720" s="109"/>
      <c r="D720" s="109"/>
      <c r="E720" s="109"/>
      <c r="F720" s="110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</row>
    <row r="721" spans="1:24">
      <c r="A721" s="109"/>
      <c r="B721" s="109"/>
      <c r="C721" s="109"/>
      <c r="D721" s="109"/>
      <c r="E721" s="109"/>
      <c r="F721" s="110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</row>
    <row r="722" spans="1:24">
      <c r="A722" s="109"/>
      <c r="B722" s="109"/>
      <c r="C722" s="109"/>
      <c r="D722" s="109"/>
      <c r="E722" s="109"/>
      <c r="F722" s="110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</row>
    <row r="723" spans="1:24">
      <c r="A723" s="109"/>
      <c r="B723" s="109"/>
      <c r="C723" s="109"/>
      <c r="D723" s="109"/>
      <c r="E723" s="109"/>
      <c r="F723" s="110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</row>
    <row r="724" spans="1:24">
      <c r="A724" s="109"/>
      <c r="B724" s="109"/>
      <c r="C724" s="109"/>
      <c r="D724" s="109"/>
      <c r="E724" s="109"/>
      <c r="F724" s="110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</row>
    <row r="725" spans="1:24">
      <c r="A725" s="109"/>
      <c r="B725" s="109"/>
      <c r="C725" s="109"/>
      <c r="D725" s="109"/>
      <c r="E725" s="109"/>
      <c r="F725" s="110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</row>
    <row r="726" spans="1:24">
      <c r="A726" s="109"/>
      <c r="B726" s="109"/>
      <c r="C726" s="109"/>
      <c r="D726" s="109"/>
      <c r="E726" s="109"/>
      <c r="F726" s="110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</row>
    <row r="727" spans="1:24">
      <c r="A727" s="109"/>
      <c r="B727" s="109"/>
      <c r="C727" s="109"/>
      <c r="D727" s="109"/>
      <c r="E727" s="109"/>
      <c r="F727" s="110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</row>
    <row r="728" spans="1:24">
      <c r="A728" s="109"/>
      <c r="B728" s="109"/>
      <c r="C728" s="109"/>
      <c r="D728" s="109"/>
      <c r="E728" s="109"/>
      <c r="F728" s="110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</row>
    <row r="729" spans="1:24">
      <c r="A729" s="109"/>
      <c r="B729" s="109"/>
      <c r="C729" s="109"/>
      <c r="D729" s="109"/>
      <c r="E729" s="109"/>
      <c r="F729" s="110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</row>
    <row r="730" spans="1:24">
      <c r="A730" s="109"/>
      <c r="B730" s="109"/>
      <c r="C730" s="109"/>
      <c r="D730" s="109"/>
      <c r="E730" s="109"/>
      <c r="F730" s="110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</row>
    <row r="731" spans="1:24">
      <c r="A731" s="109"/>
      <c r="B731" s="109"/>
      <c r="C731" s="109"/>
      <c r="D731" s="109"/>
      <c r="E731" s="109"/>
      <c r="F731" s="110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</row>
    <row r="732" spans="1:24">
      <c r="A732" s="109"/>
      <c r="B732" s="109"/>
      <c r="C732" s="109"/>
      <c r="D732" s="109"/>
      <c r="E732" s="109"/>
      <c r="F732" s="110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</row>
    <row r="733" spans="1:24">
      <c r="A733" s="109"/>
      <c r="B733" s="109"/>
      <c r="C733" s="109"/>
      <c r="D733" s="109"/>
      <c r="E733" s="109"/>
      <c r="F733" s="110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</row>
    <row r="734" spans="1:24">
      <c r="A734" s="109"/>
      <c r="B734" s="109"/>
      <c r="C734" s="109"/>
      <c r="D734" s="109"/>
      <c r="E734" s="109"/>
      <c r="F734" s="110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</row>
    <row r="735" spans="1:24">
      <c r="A735" s="109"/>
      <c r="B735" s="109"/>
      <c r="C735" s="109"/>
      <c r="D735" s="109"/>
      <c r="E735" s="109"/>
      <c r="F735" s="110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</row>
    <row r="736" spans="1:24">
      <c r="A736" s="109"/>
      <c r="B736" s="109"/>
      <c r="C736" s="109"/>
      <c r="D736" s="109"/>
      <c r="E736" s="109"/>
      <c r="F736" s="110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</row>
    <row r="737" spans="1:24">
      <c r="A737" s="109"/>
      <c r="B737" s="109"/>
      <c r="C737" s="109"/>
      <c r="D737" s="109"/>
      <c r="E737" s="109"/>
      <c r="F737" s="110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</row>
    <row r="738" spans="1:24">
      <c r="A738" s="109"/>
      <c r="B738" s="109"/>
      <c r="C738" s="109"/>
      <c r="D738" s="109"/>
      <c r="E738" s="109"/>
      <c r="F738" s="110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</row>
    <row r="739" spans="1:24">
      <c r="A739" s="109"/>
      <c r="B739" s="109"/>
      <c r="C739" s="109"/>
      <c r="D739" s="109"/>
      <c r="E739" s="109"/>
      <c r="F739" s="110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</row>
    <row r="740" spans="1:24">
      <c r="A740" s="109"/>
      <c r="B740" s="109"/>
      <c r="C740" s="109"/>
      <c r="D740" s="109"/>
      <c r="E740" s="109"/>
      <c r="F740" s="110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</row>
    <row r="741" spans="1:24">
      <c r="A741" s="109"/>
      <c r="B741" s="109"/>
      <c r="C741" s="109"/>
      <c r="D741" s="109"/>
      <c r="E741" s="109"/>
      <c r="F741" s="110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</row>
    <row r="742" spans="1:24">
      <c r="A742" s="109"/>
      <c r="B742" s="109"/>
      <c r="C742" s="109"/>
      <c r="D742" s="109"/>
      <c r="E742" s="109"/>
      <c r="F742" s="110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</row>
    <row r="743" spans="1:24">
      <c r="A743" s="109"/>
      <c r="B743" s="109"/>
      <c r="C743" s="109"/>
      <c r="D743" s="109"/>
      <c r="E743" s="109"/>
      <c r="F743" s="110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</row>
    <row r="744" spans="1:24">
      <c r="A744" s="109"/>
      <c r="B744" s="109"/>
      <c r="C744" s="109"/>
      <c r="D744" s="109"/>
      <c r="E744" s="109"/>
      <c r="F744" s="110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</row>
    <row r="745" spans="1:24">
      <c r="A745" s="109"/>
      <c r="B745" s="109"/>
      <c r="C745" s="109"/>
      <c r="D745" s="109"/>
      <c r="E745" s="109"/>
      <c r="F745" s="110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</row>
    <row r="746" spans="1:24">
      <c r="A746" s="109"/>
      <c r="B746" s="109"/>
      <c r="C746" s="109"/>
      <c r="D746" s="109"/>
      <c r="E746" s="109"/>
      <c r="F746" s="110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</row>
    <row r="747" spans="1:24">
      <c r="A747" s="109"/>
      <c r="B747" s="109"/>
      <c r="C747" s="109"/>
      <c r="D747" s="109"/>
      <c r="E747" s="109"/>
      <c r="F747" s="110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</row>
    <row r="748" spans="1:24">
      <c r="A748" s="109"/>
      <c r="B748" s="109"/>
      <c r="C748" s="109"/>
      <c r="D748" s="109"/>
      <c r="E748" s="109"/>
      <c r="F748" s="110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</row>
    <row r="749" spans="1:24">
      <c r="A749" s="109"/>
      <c r="B749" s="109"/>
      <c r="C749" s="109"/>
      <c r="D749" s="109"/>
      <c r="E749" s="109"/>
      <c r="F749" s="110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</row>
    <row r="750" spans="1:24">
      <c r="A750" s="109"/>
      <c r="B750" s="109"/>
      <c r="C750" s="109"/>
      <c r="D750" s="109"/>
      <c r="E750" s="109"/>
      <c r="F750" s="110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</row>
    <row r="751" spans="1:24">
      <c r="A751" s="109"/>
      <c r="B751" s="109"/>
      <c r="C751" s="109"/>
      <c r="D751" s="109"/>
      <c r="E751" s="109"/>
      <c r="F751" s="110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</row>
    <row r="752" spans="1:24">
      <c r="A752" s="109"/>
      <c r="B752" s="109"/>
      <c r="C752" s="109"/>
      <c r="D752" s="109"/>
      <c r="E752" s="109"/>
      <c r="F752" s="110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</row>
    <row r="753" spans="1:24">
      <c r="A753" s="109"/>
      <c r="B753" s="109"/>
      <c r="C753" s="109"/>
      <c r="D753" s="109"/>
      <c r="E753" s="109"/>
      <c r="F753" s="110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</row>
    <row r="754" spans="1:24">
      <c r="A754" s="109"/>
      <c r="B754" s="109"/>
      <c r="C754" s="109"/>
      <c r="D754" s="109"/>
      <c r="E754" s="109"/>
      <c r="F754" s="110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</row>
    <row r="755" spans="1:24">
      <c r="A755" s="109"/>
      <c r="B755" s="109"/>
      <c r="C755" s="109"/>
      <c r="D755" s="109"/>
      <c r="E755" s="109"/>
      <c r="F755" s="110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</row>
    <row r="756" spans="1:24">
      <c r="A756" s="109"/>
      <c r="B756" s="109"/>
      <c r="C756" s="109"/>
      <c r="D756" s="109"/>
      <c r="E756" s="109"/>
      <c r="F756" s="110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</row>
    <row r="757" spans="1:24">
      <c r="A757" s="109"/>
      <c r="B757" s="109"/>
      <c r="C757" s="109"/>
      <c r="D757" s="109"/>
      <c r="E757" s="109"/>
      <c r="F757" s="110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</row>
    <row r="758" spans="1:24">
      <c r="A758" s="109"/>
      <c r="B758" s="109"/>
      <c r="C758" s="109"/>
      <c r="D758" s="109"/>
      <c r="E758" s="109"/>
      <c r="F758" s="110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</row>
    <row r="759" spans="1:24">
      <c r="A759" s="109"/>
      <c r="B759" s="109"/>
      <c r="C759" s="109"/>
      <c r="D759" s="109"/>
      <c r="E759" s="109"/>
      <c r="F759" s="110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</row>
    <row r="760" spans="1:24">
      <c r="A760" s="109"/>
      <c r="B760" s="109"/>
      <c r="C760" s="109"/>
      <c r="D760" s="109"/>
      <c r="E760" s="109"/>
      <c r="F760" s="110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</row>
    <row r="761" spans="1:24">
      <c r="A761" s="109"/>
      <c r="B761" s="109"/>
      <c r="C761" s="109"/>
      <c r="D761" s="109"/>
      <c r="E761" s="109"/>
      <c r="F761" s="110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</row>
    <row r="762" spans="1:24">
      <c r="A762" s="109"/>
      <c r="B762" s="109"/>
      <c r="C762" s="109"/>
      <c r="D762" s="109"/>
      <c r="E762" s="109"/>
      <c r="F762" s="110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</row>
    <row r="763" spans="1:24">
      <c r="A763" s="109"/>
      <c r="B763" s="109"/>
      <c r="C763" s="109"/>
      <c r="D763" s="109"/>
      <c r="E763" s="109"/>
      <c r="F763" s="110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</row>
    <row r="764" spans="1:24">
      <c r="A764" s="109"/>
      <c r="B764" s="109"/>
      <c r="C764" s="109"/>
      <c r="D764" s="109"/>
      <c r="E764" s="109"/>
      <c r="F764" s="110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</row>
    <row r="765" spans="1:24">
      <c r="A765" s="109"/>
      <c r="B765" s="109"/>
      <c r="C765" s="109"/>
      <c r="D765" s="109"/>
      <c r="E765" s="109"/>
      <c r="F765" s="110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</row>
    <row r="766" spans="1:24">
      <c r="A766" s="109"/>
      <c r="B766" s="109"/>
      <c r="C766" s="109"/>
      <c r="D766" s="109"/>
      <c r="E766" s="109"/>
      <c r="F766" s="110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</row>
    <row r="767" spans="1:24">
      <c r="A767" s="109"/>
      <c r="B767" s="109"/>
      <c r="C767" s="109"/>
      <c r="D767" s="109"/>
      <c r="E767" s="109"/>
      <c r="F767" s="110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</row>
    <row r="768" spans="1:24">
      <c r="A768" s="109"/>
      <c r="B768" s="109"/>
      <c r="C768" s="109"/>
      <c r="D768" s="109"/>
      <c r="E768" s="109"/>
      <c r="F768" s="110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</row>
    <row r="769" spans="1:24">
      <c r="A769" s="109"/>
      <c r="B769" s="109"/>
      <c r="C769" s="109"/>
      <c r="D769" s="109"/>
      <c r="E769" s="109"/>
      <c r="F769" s="110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</row>
    <row r="770" spans="1:24">
      <c r="A770" s="109"/>
      <c r="B770" s="109"/>
      <c r="C770" s="109"/>
      <c r="D770" s="109"/>
      <c r="E770" s="109"/>
      <c r="F770" s="110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</row>
    <row r="771" spans="1:24">
      <c r="A771" s="109"/>
      <c r="B771" s="109"/>
      <c r="C771" s="109"/>
      <c r="D771" s="109"/>
      <c r="E771" s="109"/>
      <c r="F771" s="110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</row>
    <row r="772" spans="1:24">
      <c r="A772" s="109"/>
      <c r="B772" s="109"/>
      <c r="C772" s="109"/>
      <c r="D772" s="109"/>
      <c r="E772" s="109"/>
      <c r="F772" s="110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</row>
    <row r="773" spans="1:24">
      <c r="A773" s="109"/>
      <c r="B773" s="109"/>
      <c r="C773" s="109"/>
      <c r="D773" s="109"/>
      <c r="E773" s="109"/>
      <c r="F773" s="110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</row>
    <row r="774" spans="1:24">
      <c r="A774" s="109"/>
      <c r="B774" s="109"/>
      <c r="C774" s="109"/>
      <c r="D774" s="109"/>
      <c r="E774" s="109"/>
      <c r="F774" s="110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</row>
    <row r="775" spans="1:24">
      <c r="A775" s="109"/>
      <c r="B775" s="109"/>
      <c r="C775" s="109"/>
      <c r="D775" s="109"/>
      <c r="E775" s="109"/>
      <c r="F775" s="110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</row>
    <row r="776" spans="1:24">
      <c r="A776" s="109"/>
      <c r="B776" s="109"/>
      <c r="C776" s="109"/>
      <c r="D776" s="109"/>
      <c r="E776" s="109"/>
      <c r="F776" s="110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</row>
    <row r="777" spans="1:24">
      <c r="A777" s="109"/>
      <c r="B777" s="109"/>
      <c r="C777" s="109"/>
      <c r="D777" s="109"/>
      <c r="E777" s="109"/>
      <c r="F777" s="110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</row>
    <row r="778" spans="1:24">
      <c r="A778" s="109"/>
      <c r="B778" s="109"/>
      <c r="C778" s="109"/>
      <c r="D778" s="109"/>
      <c r="E778" s="109"/>
      <c r="F778" s="110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</row>
    <row r="779" spans="1:24">
      <c r="A779" s="109"/>
      <c r="B779" s="109"/>
      <c r="C779" s="109"/>
      <c r="D779" s="109"/>
      <c r="E779" s="109"/>
      <c r="F779" s="110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</row>
    <row r="780" spans="1:24">
      <c r="A780" s="109"/>
      <c r="B780" s="109"/>
      <c r="C780" s="109"/>
      <c r="D780" s="109"/>
      <c r="E780" s="109"/>
      <c r="F780" s="110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</row>
    <row r="781" spans="1:24">
      <c r="A781" s="109"/>
      <c r="B781" s="109"/>
      <c r="C781" s="109"/>
      <c r="D781" s="109"/>
      <c r="E781" s="109"/>
      <c r="F781" s="110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</row>
    <row r="782" spans="1:24">
      <c r="A782" s="109"/>
      <c r="B782" s="109"/>
      <c r="C782" s="109"/>
      <c r="D782" s="109"/>
      <c r="E782" s="109"/>
      <c r="F782" s="110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</row>
    <row r="783" spans="1:24">
      <c r="A783" s="109"/>
      <c r="B783" s="109"/>
      <c r="C783" s="109"/>
      <c r="D783" s="109"/>
      <c r="E783" s="109"/>
      <c r="F783" s="110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</row>
    <row r="784" spans="1:24">
      <c r="A784" s="109"/>
      <c r="B784" s="109"/>
      <c r="C784" s="109"/>
      <c r="D784" s="109"/>
      <c r="E784" s="109"/>
      <c r="F784" s="110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</row>
    <row r="785" spans="1:24">
      <c r="A785" s="109"/>
      <c r="B785" s="109"/>
      <c r="C785" s="109"/>
      <c r="D785" s="109"/>
      <c r="E785" s="109"/>
      <c r="F785" s="110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</row>
    <row r="786" spans="1:24">
      <c r="A786" s="109"/>
      <c r="B786" s="109"/>
      <c r="C786" s="109"/>
      <c r="D786" s="109"/>
      <c r="E786" s="109"/>
      <c r="F786" s="110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</row>
    <row r="787" spans="1:24">
      <c r="A787" s="109"/>
      <c r="B787" s="109"/>
      <c r="C787" s="109"/>
      <c r="D787" s="109"/>
      <c r="E787" s="109"/>
      <c r="F787" s="110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</row>
    <row r="788" spans="1:24">
      <c r="A788" s="109"/>
      <c r="B788" s="109"/>
      <c r="C788" s="109"/>
      <c r="D788" s="109"/>
      <c r="E788" s="109"/>
      <c r="F788" s="110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</row>
    <row r="789" spans="1:24">
      <c r="A789" s="109"/>
      <c r="B789" s="109"/>
      <c r="C789" s="109"/>
      <c r="D789" s="109"/>
      <c r="E789" s="109"/>
      <c r="F789" s="110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</row>
    <row r="790" spans="1:24">
      <c r="A790" s="109"/>
      <c r="B790" s="109"/>
      <c r="C790" s="109"/>
      <c r="D790" s="109"/>
      <c r="E790" s="109"/>
      <c r="F790" s="110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</row>
    <row r="791" spans="1:24">
      <c r="A791" s="109"/>
      <c r="B791" s="109"/>
      <c r="C791" s="109"/>
      <c r="D791" s="109"/>
      <c r="E791" s="109"/>
      <c r="F791" s="110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</row>
    <row r="792" spans="1:24">
      <c r="A792" s="109"/>
      <c r="B792" s="109"/>
      <c r="C792" s="109"/>
      <c r="D792" s="109"/>
      <c r="E792" s="109"/>
      <c r="F792" s="110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</row>
    <row r="793" spans="1:24">
      <c r="A793" s="109"/>
      <c r="B793" s="109"/>
      <c r="C793" s="109"/>
      <c r="D793" s="109"/>
      <c r="E793" s="109"/>
      <c r="F793" s="110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</row>
    <row r="794" spans="1:24">
      <c r="A794" s="109"/>
      <c r="B794" s="109"/>
      <c r="C794" s="109"/>
      <c r="D794" s="109"/>
      <c r="E794" s="109"/>
      <c r="F794" s="110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</row>
    <row r="795" spans="1:24">
      <c r="A795" s="109"/>
      <c r="B795" s="109"/>
      <c r="C795" s="109"/>
      <c r="D795" s="109"/>
      <c r="E795" s="109"/>
      <c r="F795" s="110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</row>
    <row r="796" spans="1:24">
      <c r="A796" s="109"/>
      <c r="B796" s="109"/>
      <c r="C796" s="109"/>
      <c r="D796" s="109"/>
      <c r="E796" s="109"/>
      <c r="F796" s="110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</row>
    <row r="797" spans="1:24">
      <c r="A797" s="109"/>
      <c r="B797" s="109"/>
      <c r="C797" s="109"/>
      <c r="D797" s="109"/>
      <c r="E797" s="109"/>
      <c r="F797" s="110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</row>
    <row r="798" spans="1:24">
      <c r="A798" s="109"/>
      <c r="B798" s="109"/>
      <c r="C798" s="109"/>
      <c r="D798" s="109"/>
      <c r="E798" s="109"/>
      <c r="F798" s="110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</row>
    <row r="799" spans="1:24">
      <c r="A799" s="109"/>
      <c r="B799" s="109"/>
      <c r="C799" s="109"/>
      <c r="D799" s="109"/>
      <c r="E799" s="109"/>
      <c r="F799" s="110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</row>
    <row r="800" spans="1:24">
      <c r="A800" s="109"/>
      <c r="B800" s="109"/>
      <c r="C800" s="109"/>
      <c r="D800" s="109"/>
      <c r="E800" s="109"/>
      <c r="F800" s="110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</row>
    <row r="801" spans="1:24">
      <c r="A801" s="109"/>
      <c r="B801" s="109"/>
      <c r="C801" s="109"/>
      <c r="D801" s="109"/>
      <c r="E801" s="109"/>
      <c r="F801" s="110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</row>
    <row r="802" spans="1:24">
      <c r="A802" s="109"/>
      <c r="B802" s="109"/>
      <c r="C802" s="109"/>
      <c r="D802" s="109"/>
      <c r="E802" s="109"/>
      <c r="F802" s="110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</row>
    <row r="803" spans="1:24">
      <c r="A803" s="109"/>
      <c r="B803" s="109"/>
      <c r="C803" s="109"/>
      <c r="D803" s="109"/>
      <c r="E803" s="109"/>
      <c r="F803" s="110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</row>
    <row r="804" spans="1:24">
      <c r="A804" s="109"/>
      <c r="B804" s="109"/>
      <c r="C804" s="109"/>
      <c r="D804" s="109"/>
      <c r="E804" s="109"/>
      <c r="F804" s="110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</row>
    <row r="805" spans="1:24">
      <c r="A805" s="109"/>
      <c r="B805" s="109"/>
      <c r="C805" s="109"/>
      <c r="D805" s="109"/>
      <c r="E805" s="109"/>
      <c r="F805" s="110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</row>
    <row r="806" spans="1:24">
      <c r="A806" s="109"/>
      <c r="B806" s="109"/>
      <c r="C806" s="109"/>
      <c r="D806" s="109"/>
      <c r="E806" s="109"/>
      <c r="F806" s="110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</row>
    <row r="807" spans="1:24">
      <c r="A807" s="109"/>
      <c r="B807" s="109"/>
      <c r="C807" s="109"/>
      <c r="D807" s="109"/>
      <c r="E807" s="109"/>
      <c r="F807" s="110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</row>
    <row r="808" spans="1:24">
      <c r="A808" s="109"/>
      <c r="B808" s="109"/>
      <c r="C808" s="109"/>
      <c r="D808" s="109"/>
      <c r="E808" s="109"/>
      <c r="F808" s="110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</row>
    <row r="809" spans="1:24">
      <c r="A809" s="109"/>
      <c r="B809" s="109"/>
      <c r="C809" s="109"/>
      <c r="D809" s="109"/>
      <c r="E809" s="109"/>
      <c r="F809" s="110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</row>
    <row r="810" spans="1:24">
      <c r="A810" s="109"/>
      <c r="B810" s="109"/>
      <c r="C810" s="109"/>
      <c r="D810" s="109"/>
      <c r="E810" s="109"/>
      <c r="F810" s="110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</row>
    <row r="811" spans="1:24">
      <c r="A811" s="109"/>
      <c r="B811" s="109"/>
      <c r="C811" s="109"/>
      <c r="D811" s="109"/>
      <c r="E811" s="109"/>
      <c r="F811" s="110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</row>
    <row r="812" spans="1:24">
      <c r="A812" s="109"/>
      <c r="B812" s="109"/>
      <c r="C812" s="109"/>
      <c r="D812" s="109"/>
      <c r="E812" s="109"/>
      <c r="F812" s="110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</row>
    <row r="813" spans="1:24">
      <c r="A813" s="109"/>
      <c r="B813" s="109"/>
      <c r="C813" s="109"/>
      <c r="D813" s="109"/>
      <c r="E813" s="109"/>
      <c r="F813" s="110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</row>
    <row r="814" spans="1:24">
      <c r="A814" s="109"/>
      <c r="B814" s="109"/>
      <c r="C814" s="109"/>
      <c r="D814" s="109"/>
      <c r="E814" s="109"/>
      <c r="F814" s="110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</row>
    <row r="815" spans="1:24">
      <c r="A815" s="109"/>
      <c r="B815" s="109"/>
      <c r="C815" s="109"/>
      <c r="D815" s="109"/>
      <c r="E815" s="109"/>
      <c r="F815" s="110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</row>
    <row r="816" spans="1:24">
      <c r="A816" s="109"/>
      <c r="B816" s="109"/>
      <c r="C816" s="109"/>
      <c r="D816" s="109"/>
      <c r="E816" s="109"/>
      <c r="F816" s="110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</row>
    <row r="817" spans="1:24">
      <c r="A817" s="109"/>
      <c r="B817" s="109"/>
      <c r="C817" s="109"/>
      <c r="D817" s="109"/>
      <c r="E817" s="109"/>
      <c r="F817" s="110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</row>
    <row r="818" spans="1:24">
      <c r="A818" s="109"/>
      <c r="B818" s="109"/>
      <c r="C818" s="109"/>
      <c r="D818" s="109"/>
      <c r="E818" s="109"/>
      <c r="F818" s="110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</row>
    <row r="819" spans="1:24">
      <c r="A819" s="109"/>
      <c r="B819" s="109"/>
      <c r="C819" s="109"/>
      <c r="D819" s="109"/>
      <c r="E819" s="109"/>
      <c r="F819" s="110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</row>
    <row r="820" spans="1:24">
      <c r="A820" s="109"/>
      <c r="B820" s="109"/>
      <c r="C820" s="109"/>
      <c r="D820" s="109"/>
      <c r="E820" s="109"/>
      <c r="F820" s="110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</row>
    <row r="821" spans="1:24">
      <c r="A821" s="109"/>
      <c r="B821" s="109"/>
      <c r="C821" s="109"/>
      <c r="D821" s="109"/>
      <c r="E821" s="109"/>
      <c r="F821" s="110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</row>
    <row r="822" spans="1:24">
      <c r="A822" s="109"/>
      <c r="B822" s="109"/>
      <c r="C822" s="109"/>
      <c r="D822" s="109"/>
      <c r="E822" s="109"/>
      <c r="F822" s="110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</row>
    <row r="823" spans="1:24">
      <c r="A823" s="109"/>
      <c r="B823" s="109"/>
      <c r="C823" s="109"/>
      <c r="D823" s="109"/>
      <c r="E823" s="109"/>
      <c r="F823" s="110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</row>
    <row r="824" spans="1:24">
      <c r="A824" s="109"/>
      <c r="B824" s="109"/>
      <c r="C824" s="109"/>
      <c r="D824" s="109"/>
      <c r="E824" s="109"/>
      <c r="F824" s="110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</row>
    <row r="825" spans="1:24">
      <c r="A825" s="109"/>
      <c r="B825" s="109"/>
      <c r="C825" s="109"/>
      <c r="D825" s="109"/>
      <c r="E825" s="109"/>
      <c r="F825" s="110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</row>
    <row r="826" spans="1:24">
      <c r="A826" s="109"/>
      <c r="B826" s="109"/>
      <c r="C826" s="109"/>
      <c r="D826" s="109"/>
      <c r="E826" s="109"/>
      <c r="F826" s="110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</row>
    <row r="827" spans="1:24">
      <c r="A827" s="109"/>
      <c r="B827" s="109"/>
      <c r="C827" s="109"/>
      <c r="D827" s="109"/>
      <c r="E827" s="109"/>
      <c r="F827" s="110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</row>
    <row r="828" spans="1:24">
      <c r="A828" s="109"/>
      <c r="B828" s="109"/>
      <c r="C828" s="109"/>
      <c r="D828" s="109"/>
      <c r="E828" s="109"/>
      <c r="F828" s="110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</row>
    <row r="829" spans="1:24">
      <c r="A829" s="109"/>
      <c r="B829" s="109"/>
      <c r="C829" s="109"/>
      <c r="D829" s="109"/>
      <c r="E829" s="109"/>
      <c r="F829" s="110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</row>
    <row r="830" spans="1:24">
      <c r="A830" s="109"/>
      <c r="B830" s="109"/>
      <c r="C830" s="109"/>
      <c r="D830" s="109"/>
      <c r="E830" s="109"/>
      <c r="F830" s="110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</row>
    <row r="831" spans="1:24">
      <c r="A831" s="109"/>
      <c r="B831" s="109"/>
      <c r="C831" s="109"/>
      <c r="D831" s="109"/>
      <c r="E831" s="109"/>
      <c r="F831" s="110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</row>
    <row r="832" spans="1:24">
      <c r="A832" s="109"/>
      <c r="B832" s="109"/>
      <c r="C832" s="109"/>
      <c r="D832" s="109"/>
      <c r="E832" s="109"/>
      <c r="F832" s="110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</row>
    <row r="833" spans="1:24">
      <c r="A833" s="109"/>
      <c r="B833" s="109"/>
      <c r="C833" s="109"/>
      <c r="D833" s="109"/>
      <c r="E833" s="109"/>
      <c r="F833" s="110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</row>
    <row r="834" spans="1:24">
      <c r="A834" s="109"/>
      <c r="B834" s="109"/>
      <c r="C834" s="109"/>
      <c r="D834" s="109"/>
      <c r="E834" s="109"/>
      <c r="F834" s="110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</row>
    <row r="835" spans="1:24">
      <c r="A835" s="109"/>
      <c r="B835" s="109"/>
      <c r="C835" s="109"/>
      <c r="D835" s="109"/>
      <c r="E835" s="109"/>
      <c r="F835" s="110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</row>
    <row r="836" spans="1:24">
      <c r="A836" s="109"/>
      <c r="B836" s="109"/>
      <c r="C836" s="109"/>
      <c r="D836" s="109"/>
      <c r="E836" s="109"/>
      <c r="F836" s="110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</row>
    <row r="837" spans="1:24">
      <c r="A837" s="109"/>
      <c r="B837" s="109"/>
      <c r="C837" s="109"/>
      <c r="D837" s="109"/>
      <c r="E837" s="109"/>
      <c r="F837" s="110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</row>
    <row r="838" spans="1:24">
      <c r="A838" s="109"/>
      <c r="B838" s="109"/>
      <c r="C838" s="109"/>
      <c r="D838" s="109"/>
      <c r="E838" s="109"/>
      <c r="F838" s="110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</row>
    <row r="839" spans="1:24">
      <c r="A839" s="109"/>
      <c r="B839" s="109"/>
      <c r="C839" s="109"/>
      <c r="D839" s="109"/>
      <c r="E839" s="109"/>
      <c r="F839" s="110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</row>
    <row r="840" spans="1:24">
      <c r="A840" s="109"/>
      <c r="B840" s="109"/>
      <c r="C840" s="109"/>
      <c r="D840" s="109"/>
      <c r="E840" s="109"/>
      <c r="F840" s="110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</row>
    <row r="841" spans="1:24">
      <c r="A841" s="109"/>
      <c r="B841" s="109"/>
      <c r="C841" s="109"/>
      <c r="D841" s="109"/>
      <c r="E841" s="109"/>
      <c r="F841" s="110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</row>
    <row r="842" spans="1:24">
      <c r="A842" s="109"/>
      <c r="B842" s="109"/>
      <c r="C842" s="109"/>
      <c r="D842" s="109"/>
      <c r="E842" s="109"/>
      <c r="F842" s="110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</row>
    <row r="843" spans="1:24">
      <c r="A843" s="109"/>
      <c r="B843" s="109"/>
      <c r="C843" s="109"/>
      <c r="D843" s="109"/>
      <c r="E843" s="109"/>
      <c r="F843" s="110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</row>
    <row r="844" spans="1:24">
      <c r="A844" s="109"/>
      <c r="B844" s="109"/>
      <c r="C844" s="109"/>
      <c r="D844" s="109"/>
      <c r="E844" s="109"/>
      <c r="F844" s="110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</row>
    <row r="845" spans="1:24">
      <c r="A845" s="109"/>
      <c r="B845" s="109"/>
      <c r="C845" s="109"/>
      <c r="D845" s="109"/>
      <c r="E845" s="109"/>
      <c r="F845" s="110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</row>
    <row r="846" spans="1:24">
      <c r="A846" s="109"/>
      <c r="B846" s="109"/>
      <c r="C846" s="109"/>
      <c r="D846" s="109"/>
      <c r="E846" s="109"/>
      <c r="F846" s="110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</row>
    <row r="847" spans="1:24">
      <c r="A847" s="109"/>
      <c r="B847" s="109"/>
      <c r="C847" s="109"/>
      <c r="D847" s="109"/>
      <c r="E847" s="109"/>
      <c r="F847" s="110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</row>
    <row r="848" spans="1:24">
      <c r="A848" s="109"/>
      <c r="B848" s="109"/>
      <c r="C848" s="109"/>
      <c r="D848" s="109"/>
      <c r="E848" s="109"/>
      <c r="F848" s="110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</row>
    <row r="849" spans="1:24">
      <c r="A849" s="109"/>
      <c r="B849" s="109"/>
      <c r="C849" s="109"/>
      <c r="D849" s="109"/>
      <c r="E849" s="109"/>
      <c r="F849" s="110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</row>
    <row r="850" spans="1:24">
      <c r="A850" s="109"/>
      <c r="B850" s="109"/>
      <c r="C850" s="109"/>
      <c r="D850" s="109"/>
      <c r="E850" s="109"/>
      <c r="F850" s="110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</row>
    <row r="851" spans="1:24">
      <c r="A851" s="109"/>
      <c r="B851" s="109"/>
      <c r="C851" s="109"/>
      <c r="D851" s="109"/>
      <c r="E851" s="109"/>
      <c r="F851" s="110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</row>
    <row r="852" spans="1:24">
      <c r="A852" s="109"/>
      <c r="B852" s="109"/>
      <c r="C852" s="109"/>
      <c r="D852" s="109"/>
      <c r="E852" s="109"/>
      <c r="F852" s="110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</row>
    <row r="853" spans="1:24">
      <c r="A853" s="109"/>
      <c r="B853" s="109"/>
      <c r="C853" s="109"/>
      <c r="D853" s="109"/>
      <c r="E853" s="109"/>
      <c r="F853" s="110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</row>
    <row r="854" spans="1:24">
      <c r="A854" s="109"/>
      <c r="B854" s="109"/>
      <c r="C854" s="109"/>
      <c r="D854" s="109"/>
      <c r="E854" s="109"/>
      <c r="F854" s="110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</row>
    <row r="855" spans="1:24">
      <c r="A855" s="109"/>
      <c r="B855" s="109"/>
      <c r="C855" s="109"/>
      <c r="D855" s="109"/>
      <c r="E855" s="109"/>
      <c r="F855" s="110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</row>
    <row r="856" spans="1:24">
      <c r="A856" s="109"/>
      <c r="B856" s="109"/>
      <c r="C856" s="109"/>
      <c r="D856" s="109"/>
      <c r="E856" s="109"/>
      <c r="F856" s="110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</row>
    <row r="857" spans="1:24">
      <c r="A857" s="109"/>
      <c r="B857" s="109"/>
      <c r="C857" s="109"/>
      <c r="D857" s="109"/>
      <c r="E857" s="109"/>
      <c r="F857" s="110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</row>
    <row r="858" spans="1:24">
      <c r="A858" s="109"/>
      <c r="B858" s="109"/>
      <c r="C858" s="109"/>
      <c r="D858" s="109"/>
      <c r="E858" s="109"/>
      <c r="F858" s="110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</row>
    <row r="859" spans="1:24">
      <c r="A859" s="109"/>
      <c r="B859" s="109"/>
      <c r="C859" s="109"/>
      <c r="D859" s="109"/>
      <c r="E859" s="109"/>
      <c r="F859" s="110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</row>
    <row r="860" spans="1:24">
      <c r="A860" s="109"/>
      <c r="B860" s="109"/>
      <c r="C860" s="109"/>
      <c r="D860" s="109"/>
      <c r="E860" s="109"/>
      <c r="F860" s="110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</row>
    <row r="861" spans="1:24">
      <c r="A861" s="109"/>
      <c r="B861" s="109"/>
      <c r="C861" s="109"/>
      <c r="D861" s="109"/>
      <c r="E861" s="109"/>
      <c r="F861" s="110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</row>
    <row r="862" spans="1:24">
      <c r="A862" s="109"/>
      <c r="B862" s="109"/>
      <c r="C862" s="109"/>
      <c r="D862" s="109"/>
      <c r="E862" s="109"/>
      <c r="F862" s="110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</row>
    <row r="863" spans="1:24">
      <c r="A863" s="109"/>
      <c r="B863" s="109"/>
      <c r="C863" s="109"/>
      <c r="D863" s="109"/>
      <c r="E863" s="109"/>
      <c r="F863" s="110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</row>
    <row r="864" spans="1:24">
      <c r="A864" s="109"/>
      <c r="B864" s="109"/>
      <c r="C864" s="109"/>
      <c r="D864" s="109"/>
      <c r="E864" s="109"/>
      <c r="F864" s="110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</row>
    <row r="865" spans="1:24">
      <c r="A865" s="109"/>
      <c r="B865" s="109"/>
      <c r="C865" s="109"/>
      <c r="D865" s="109"/>
      <c r="E865" s="109"/>
      <c r="F865" s="110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</row>
    <row r="866" spans="1:24">
      <c r="A866" s="109"/>
      <c r="B866" s="109"/>
      <c r="C866" s="109"/>
      <c r="D866" s="109"/>
      <c r="E866" s="109"/>
      <c r="F866" s="110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</row>
    <row r="867" spans="1:24">
      <c r="A867" s="109"/>
      <c r="B867" s="109"/>
      <c r="C867" s="109"/>
      <c r="D867" s="109"/>
      <c r="E867" s="109"/>
      <c r="F867" s="110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</row>
    <row r="868" spans="1:24">
      <c r="A868" s="109"/>
      <c r="B868" s="109"/>
      <c r="C868" s="109"/>
      <c r="D868" s="109"/>
      <c r="E868" s="109"/>
      <c r="F868" s="110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</row>
    <row r="869" spans="1:24">
      <c r="A869" s="109"/>
      <c r="B869" s="109"/>
      <c r="C869" s="109"/>
      <c r="D869" s="109"/>
      <c r="E869" s="109"/>
      <c r="F869" s="110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</row>
    <row r="870" spans="1:24">
      <c r="A870" s="109"/>
      <c r="B870" s="109"/>
      <c r="C870" s="109"/>
      <c r="D870" s="109"/>
      <c r="E870" s="109"/>
      <c r="F870" s="110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</row>
    <row r="871" spans="1:24">
      <c r="A871" s="109"/>
      <c r="B871" s="109"/>
      <c r="C871" s="109"/>
      <c r="D871" s="109"/>
      <c r="E871" s="109"/>
      <c r="F871" s="110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</row>
    <row r="872" spans="1:24">
      <c r="A872" s="109"/>
      <c r="B872" s="109"/>
      <c r="C872" s="109"/>
      <c r="D872" s="109"/>
      <c r="E872" s="109"/>
      <c r="F872" s="110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</row>
    <row r="873" spans="1:24">
      <c r="A873" s="109"/>
      <c r="B873" s="109"/>
      <c r="C873" s="109"/>
      <c r="D873" s="109"/>
      <c r="E873" s="109"/>
      <c r="F873" s="110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</row>
    <row r="874" spans="1:24">
      <c r="A874" s="109"/>
      <c r="B874" s="109"/>
      <c r="C874" s="109"/>
      <c r="D874" s="109"/>
      <c r="E874" s="109"/>
      <c r="F874" s="110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</row>
    <row r="875" spans="1:24">
      <c r="A875" s="109"/>
      <c r="B875" s="109"/>
      <c r="C875" s="109"/>
      <c r="D875" s="109"/>
      <c r="E875" s="109"/>
      <c r="F875" s="110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</row>
    <row r="876" spans="1:24">
      <c r="A876" s="109"/>
      <c r="B876" s="109"/>
      <c r="C876" s="109"/>
      <c r="D876" s="109"/>
      <c r="E876" s="109"/>
      <c r="F876" s="110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</row>
    <row r="877" spans="1:24">
      <c r="A877" s="109"/>
      <c r="B877" s="109"/>
      <c r="C877" s="109"/>
      <c r="D877" s="109"/>
      <c r="E877" s="109"/>
      <c r="F877" s="110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</row>
    <row r="878" spans="1:24">
      <c r="A878" s="109"/>
      <c r="B878" s="109"/>
      <c r="C878" s="109"/>
      <c r="D878" s="109"/>
      <c r="E878" s="109"/>
      <c r="F878" s="110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</row>
    <row r="879" spans="1:24">
      <c r="A879" s="109"/>
      <c r="B879" s="109"/>
      <c r="C879" s="109"/>
      <c r="D879" s="109"/>
      <c r="E879" s="109"/>
      <c r="F879" s="110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</row>
    <row r="880" spans="1:24">
      <c r="A880" s="109"/>
      <c r="B880" s="109"/>
      <c r="C880" s="109"/>
      <c r="D880" s="109"/>
      <c r="E880" s="109"/>
      <c r="F880" s="110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</row>
    <row r="881" spans="1:24">
      <c r="A881" s="109"/>
      <c r="B881" s="109"/>
      <c r="C881" s="109"/>
      <c r="D881" s="109"/>
      <c r="E881" s="109"/>
      <c r="F881" s="110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</row>
    <row r="882" spans="1:24">
      <c r="A882" s="109"/>
      <c r="B882" s="109"/>
      <c r="C882" s="109"/>
      <c r="D882" s="109"/>
      <c r="E882" s="109"/>
      <c r="F882" s="110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</row>
    <row r="883" spans="1:24">
      <c r="A883" s="109"/>
      <c r="B883" s="109"/>
      <c r="C883" s="109"/>
      <c r="D883" s="109"/>
      <c r="E883" s="109"/>
      <c r="F883" s="110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</row>
    <row r="884" spans="1:24">
      <c r="A884" s="109"/>
      <c r="B884" s="109"/>
      <c r="C884" s="109"/>
      <c r="D884" s="109"/>
      <c r="E884" s="109"/>
      <c r="F884" s="110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</row>
    <row r="885" spans="1:24">
      <c r="A885" s="109"/>
      <c r="B885" s="109"/>
      <c r="C885" s="109"/>
      <c r="D885" s="109"/>
      <c r="E885" s="109"/>
      <c r="F885" s="110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</row>
    <row r="886" spans="1:24">
      <c r="A886" s="109"/>
      <c r="B886" s="109"/>
      <c r="C886" s="109"/>
      <c r="D886" s="109"/>
      <c r="E886" s="109"/>
      <c r="F886" s="110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</row>
    <row r="887" spans="1:24">
      <c r="A887" s="109"/>
      <c r="B887" s="109"/>
      <c r="C887" s="109"/>
      <c r="D887" s="109"/>
      <c r="E887" s="109"/>
      <c r="F887" s="110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</row>
    <row r="888" spans="1:24">
      <c r="A888" s="109"/>
      <c r="B888" s="109"/>
      <c r="C888" s="109"/>
      <c r="D888" s="109"/>
      <c r="E888" s="109"/>
      <c r="F888" s="110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</row>
    <row r="889" spans="1:24">
      <c r="A889" s="109"/>
      <c r="B889" s="109"/>
      <c r="C889" s="109"/>
      <c r="D889" s="109"/>
      <c r="E889" s="109"/>
      <c r="F889" s="110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</row>
    <row r="890" spans="1:24">
      <c r="A890" s="109"/>
      <c r="B890" s="109"/>
      <c r="C890" s="109"/>
      <c r="D890" s="109"/>
      <c r="E890" s="109"/>
      <c r="F890" s="110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</row>
    <row r="891" spans="1:24">
      <c r="A891" s="109"/>
      <c r="B891" s="109"/>
      <c r="C891" s="109"/>
      <c r="D891" s="109"/>
      <c r="E891" s="109"/>
      <c r="F891" s="110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</row>
    <row r="892" spans="1:24">
      <c r="A892" s="109"/>
      <c r="B892" s="109"/>
      <c r="C892" s="109"/>
      <c r="D892" s="109"/>
      <c r="E892" s="109"/>
      <c r="F892" s="110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</row>
    <row r="893" spans="1:24">
      <c r="A893" s="109"/>
      <c r="B893" s="109"/>
      <c r="C893" s="109"/>
      <c r="D893" s="109"/>
      <c r="E893" s="109"/>
      <c r="F893" s="110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</row>
    <row r="894" spans="1:24">
      <c r="A894" s="109"/>
      <c r="B894" s="109"/>
      <c r="C894" s="109"/>
      <c r="D894" s="109"/>
      <c r="E894" s="109"/>
      <c r="F894" s="110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</row>
    <row r="895" spans="1:24">
      <c r="A895" s="109"/>
      <c r="B895" s="109"/>
      <c r="C895" s="109"/>
      <c r="D895" s="109"/>
      <c r="E895" s="109"/>
      <c r="F895" s="110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</row>
    <row r="896" spans="1:24">
      <c r="A896" s="109"/>
      <c r="B896" s="109"/>
      <c r="C896" s="109"/>
      <c r="D896" s="109"/>
      <c r="E896" s="109"/>
      <c r="F896" s="110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</row>
    <row r="897" spans="1:24">
      <c r="A897" s="109"/>
      <c r="B897" s="109"/>
      <c r="C897" s="109"/>
      <c r="D897" s="109"/>
      <c r="E897" s="109"/>
      <c r="F897" s="110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</row>
    <row r="898" spans="1:24">
      <c r="A898" s="109"/>
      <c r="B898" s="109"/>
      <c r="C898" s="109"/>
      <c r="D898" s="109"/>
      <c r="E898" s="109"/>
      <c r="F898" s="110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</row>
    <row r="899" spans="1:24">
      <c r="A899" s="109"/>
      <c r="B899" s="109"/>
      <c r="C899" s="109"/>
      <c r="D899" s="109"/>
      <c r="E899" s="109"/>
      <c r="F899" s="110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</row>
    <row r="900" spans="1:24">
      <c r="A900" s="109"/>
      <c r="B900" s="109"/>
      <c r="C900" s="109"/>
      <c r="D900" s="109"/>
      <c r="E900" s="109"/>
      <c r="F900" s="110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</row>
    <row r="901" spans="1:24">
      <c r="A901" s="109"/>
      <c r="B901" s="109"/>
      <c r="C901" s="109"/>
      <c r="D901" s="109"/>
      <c r="E901" s="109"/>
      <c r="F901" s="110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</row>
    <row r="902" spans="1:24">
      <c r="A902" s="109"/>
      <c r="B902" s="109"/>
      <c r="C902" s="109"/>
      <c r="D902" s="109"/>
      <c r="E902" s="109"/>
      <c r="F902" s="110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</row>
    <row r="903" spans="1:24">
      <c r="A903" s="109"/>
      <c r="B903" s="109"/>
      <c r="C903" s="109"/>
      <c r="D903" s="109"/>
      <c r="E903" s="109"/>
      <c r="F903" s="110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</row>
    <row r="904" spans="1:24">
      <c r="A904" s="109"/>
      <c r="B904" s="109"/>
      <c r="C904" s="109"/>
      <c r="D904" s="109"/>
      <c r="E904" s="109"/>
      <c r="F904" s="110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</row>
    <row r="905" spans="1:24">
      <c r="A905" s="109"/>
      <c r="B905" s="109"/>
      <c r="C905" s="109"/>
      <c r="D905" s="109"/>
      <c r="E905" s="109"/>
      <c r="F905" s="110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</row>
    <row r="906" spans="1:24">
      <c r="A906" s="109"/>
      <c r="B906" s="109"/>
      <c r="C906" s="109"/>
      <c r="D906" s="109"/>
      <c r="E906" s="109"/>
      <c r="F906" s="110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</row>
    <row r="907" spans="1:24">
      <c r="A907" s="109"/>
      <c r="B907" s="109"/>
      <c r="C907" s="109"/>
      <c r="D907" s="109"/>
      <c r="E907" s="109"/>
      <c r="F907" s="110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</row>
    <row r="908" spans="1:24">
      <c r="A908" s="109"/>
      <c r="B908" s="109"/>
      <c r="C908" s="109"/>
      <c r="D908" s="109"/>
      <c r="E908" s="109"/>
      <c r="F908" s="110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</row>
    <row r="909" spans="1:24">
      <c r="A909" s="109"/>
      <c r="B909" s="109"/>
      <c r="C909" s="109"/>
      <c r="D909" s="109"/>
      <c r="E909" s="109"/>
      <c r="F909" s="110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</row>
    <row r="910" spans="1:24">
      <c r="A910" s="109"/>
      <c r="B910" s="109"/>
      <c r="C910" s="109"/>
      <c r="D910" s="109"/>
      <c r="E910" s="109"/>
      <c r="F910" s="110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</row>
    <row r="911" spans="1:24">
      <c r="A911" s="109"/>
      <c r="B911" s="109"/>
      <c r="C911" s="109"/>
      <c r="D911" s="109"/>
      <c r="E911" s="109"/>
      <c r="F911" s="110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</row>
    <row r="912" spans="1:24">
      <c r="A912" s="109"/>
      <c r="B912" s="109"/>
      <c r="C912" s="109"/>
      <c r="D912" s="109"/>
      <c r="E912" s="109"/>
      <c r="F912" s="110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</row>
    <row r="913" spans="1:24">
      <c r="A913" s="109"/>
      <c r="B913" s="109"/>
      <c r="C913" s="109"/>
      <c r="D913" s="109"/>
      <c r="E913" s="109"/>
      <c r="F913" s="110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</row>
    <row r="914" spans="1:24">
      <c r="A914" s="109"/>
      <c r="B914" s="109"/>
      <c r="C914" s="109"/>
      <c r="D914" s="109"/>
      <c r="E914" s="109"/>
      <c r="F914" s="110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</row>
    <row r="915" spans="1:24">
      <c r="A915" s="109"/>
      <c r="B915" s="109"/>
      <c r="C915" s="109"/>
      <c r="D915" s="109"/>
      <c r="E915" s="109"/>
      <c r="F915" s="110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</row>
    <row r="916" spans="1:24">
      <c r="A916" s="109"/>
      <c r="B916" s="109"/>
      <c r="C916" s="109"/>
      <c r="D916" s="109"/>
      <c r="E916" s="109"/>
      <c r="F916" s="110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</row>
    <row r="917" spans="1:24">
      <c r="A917" s="109"/>
      <c r="B917" s="109"/>
      <c r="C917" s="109"/>
      <c r="D917" s="109"/>
      <c r="E917" s="109"/>
      <c r="F917" s="110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</row>
    <row r="918" spans="1:24">
      <c r="A918" s="109"/>
      <c r="B918" s="109"/>
      <c r="C918" s="109"/>
      <c r="D918" s="109"/>
      <c r="E918" s="109"/>
      <c r="F918" s="110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</row>
    <row r="919" spans="1:24">
      <c r="A919" s="109"/>
      <c r="B919" s="109"/>
      <c r="C919" s="109"/>
      <c r="D919" s="109"/>
      <c r="E919" s="109"/>
      <c r="F919" s="110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</row>
    <row r="920" spans="1:24">
      <c r="A920" s="109"/>
      <c r="B920" s="109"/>
      <c r="C920" s="109"/>
      <c r="D920" s="109"/>
      <c r="E920" s="109"/>
      <c r="F920" s="110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</row>
    <row r="921" spans="1:24">
      <c r="A921" s="109"/>
      <c r="B921" s="109"/>
      <c r="C921" s="109"/>
      <c r="D921" s="109"/>
      <c r="E921" s="109"/>
      <c r="F921" s="110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</row>
    <row r="922" spans="1:24">
      <c r="A922" s="109"/>
      <c r="B922" s="109"/>
      <c r="C922" s="109"/>
      <c r="D922" s="109"/>
      <c r="E922" s="109"/>
      <c r="F922" s="110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</row>
    <row r="923" spans="1:24">
      <c r="A923" s="109"/>
      <c r="B923" s="109"/>
      <c r="C923" s="109"/>
      <c r="D923" s="109"/>
      <c r="E923" s="109"/>
      <c r="F923" s="110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</row>
    <row r="924" spans="1:24">
      <c r="A924" s="109"/>
      <c r="B924" s="109"/>
      <c r="C924" s="109"/>
      <c r="D924" s="109"/>
      <c r="E924" s="109"/>
      <c r="F924" s="110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</row>
    <row r="925" spans="1:24">
      <c r="A925" s="109"/>
      <c r="B925" s="109"/>
      <c r="C925" s="109"/>
      <c r="D925" s="109"/>
      <c r="E925" s="109"/>
      <c r="F925" s="110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</row>
    <row r="926" spans="1:24">
      <c r="A926" s="109"/>
      <c r="B926" s="109"/>
      <c r="C926" s="109"/>
      <c r="D926" s="109"/>
      <c r="E926" s="109"/>
      <c r="F926" s="110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</row>
    <row r="927" spans="1:24">
      <c r="A927" s="109"/>
      <c r="B927" s="109"/>
      <c r="C927" s="109"/>
      <c r="D927" s="109"/>
      <c r="E927" s="109"/>
      <c r="F927" s="110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</row>
    <row r="928" spans="1:24">
      <c r="A928" s="109"/>
      <c r="B928" s="109"/>
      <c r="C928" s="109"/>
      <c r="D928" s="109"/>
      <c r="E928" s="109"/>
      <c r="F928" s="110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</row>
    <row r="929" spans="1:24">
      <c r="A929" s="109"/>
      <c r="B929" s="109"/>
      <c r="C929" s="109"/>
      <c r="D929" s="109"/>
      <c r="E929" s="109"/>
      <c r="F929" s="110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</row>
    <row r="930" spans="1:24">
      <c r="A930" s="109"/>
      <c r="B930" s="109"/>
      <c r="C930" s="109"/>
      <c r="D930" s="109"/>
      <c r="E930" s="109"/>
      <c r="F930" s="110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</row>
    <row r="931" spans="1:24">
      <c r="A931" s="109"/>
      <c r="B931" s="109"/>
      <c r="C931" s="109"/>
      <c r="D931" s="109"/>
      <c r="E931" s="109"/>
      <c r="F931" s="110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</row>
    <row r="932" spans="1:24">
      <c r="A932" s="109"/>
      <c r="B932" s="109"/>
      <c r="C932" s="109"/>
      <c r="D932" s="109"/>
      <c r="E932" s="109"/>
      <c r="F932" s="110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</row>
    <row r="933" spans="1:24">
      <c r="A933" s="109"/>
      <c r="B933" s="109"/>
      <c r="C933" s="109"/>
      <c r="D933" s="109"/>
      <c r="E933" s="109"/>
      <c r="F933" s="110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</row>
    <row r="934" spans="1:24">
      <c r="A934" s="109"/>
      <c r="B934" s="109"/>
      <c r="C934" s="109"/>
      <c r="D934" s="109"/>
      <c r="E934" s="109"/>
      <c r="F934" s="110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</row>
    <row r="935" spans="1:24">
      <c r="A935" s="109"/>
      <c r="B935" s="109"/>
      <c r="C935" s="109"/>
      <c r="D935" s="109"/>
      <c r="E935" s="109"/>
      <c r="F935" s="110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</row>
    <row r="936" spans="1:24">
      <c r="A936" s="109"/>
      <c r="B936" s="109"/>
      <c r="C936" s="109"/>
      <c r="D936" s="109"/>
      <c r="E936" s="109"/>
      <c r="F936" s="110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</row>
    <row r="937" spans="1:24">
      <c r="A937" s="109"/>
      <c r="B937" s="109"/>
      <c r="C937" s="109"/>
      <c r="D937" s="109"/>
      <c r="E937" s="109"/>
      <c r="F937" s="110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</row>
    <row r="938" spans="1:24">
      <c r="A938" s="109"/>
      <c r="B938" s="109"/>
      <c r="C938" s="109"/>
      <c r="D938" s="109"/>
      <c r="E938" s="109"/>
      <c r="F938" s="110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</row>
    <row r="939" spans="1:24">
      <c r="A939" s="109"/>
      <c r="B939" s="109"/>
      <c r="C939" s="109"/>
      <c r="D939" s="109"/>
      <c r="E939" s="109"/>
      <c r="F939" s="110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</row>
    <row r="940" spans="1:24">
      <c r="A940" s="109"/>
      <c r="B940" s="109"/>
      <c r="C940" s="109"/>
      <c r="D940" s="109"/>
      <c r="E940" s="109"/>
      <c r="F940" s="110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</row>
    <row r="941" spans="1:24">
      <c r="A941" s="109"/>
      <c r="B941" s="109"/>
      <c r="C941" s="109"/>
      <c r="D941" s="109"/>
      <c r="E941" s="109"/>
      <c r="F941" s="110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</row>
    <row r="942" spans="1:24">
      <c r="A942" s="109"/>
      <c r="B942" s="109"/>
      <c r="C942" s="109"/>
      <c r="D942" s="109"/>
      <c r="E942" s="109"/>
      <c r="F942" s="110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</row>
    <row r="943" spans="1:24">
      <c r="A943" s="109"/>
      <c r="B943" s="109"/>
      <c r="C943" s="109"/>
      <c r="D943" s="109"/>
      <c r="E943" s="109"/>
      <c r="F943" s="110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</row>
    <row r="944" spans="1:24">
      <c r="A944" s="109"/>
      <c r="B944" s="109"/>
      <c r="C944" s="109"/>
      <c r="D944" s="109"/>
      <c r="E944" s="109"/>
      <c r="F944" s="110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</row>
    <row r="945" spans="1:24">
      <c r="A945" s="109"/>
      <c r="B945" s="109"/>
      <c r="C945" s="109"/>
      <c r="D945" s="109"/>
      <c r="E945" s="109"/>
      <c r="F945" s="110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</row>
    <row r="946" spans="1:24">
      <c r="A946" s="109"/>
      <c r="B946" s="109"/>
      <c r="C946" s="109"/>
      <c r="D946" s="109"/>
      <c r="E946" s="109"/>
      <c r="F946" s="110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</row>
    <row r="947" spans="1:24">
      <c r="A947" s="109"/>
      <c r="B947" s="109"/>
      <c r="C947" s="109"/>
      <c r="D947" s="109"/>
      <c r="E947" s="109"/>
      <c r="F947" s="110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</row>
    <row r="948" spans="1:24">
      <c r="A948" s="109"/>
      <c r="B948" s="109"/>
      <c r="C948" s="109"/>
      <c r="D948" s="109"/>
      <c r="E948" s="109"/>
      <c r="F948" s="110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</row>
    <row r="949" spans="1:24">
      <c r="A949" s="109"/>
      <c r="B949" s="109"/>
      <c r="C949" s="109"/>
      <c r="D949" s="109"/>
      <c r="E949" s="109"/>
      <c r="F949" s="110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</row>
    <row r="950" spans="1:24">
      <c r="A950" s="109"/>
      <c r="B950" s="109"/>
      <c r="C950" s="109"/>
      <c r="D950" s="109"/>
      <c r="E950" s="109"/>
      <c r="F950" s="110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</row>
    <row r="951" spans="1:24">
      <c r="A951" s="109"/>
      <c r="B951" s="109"/>
      <c r="C951" s="109"/>
      <c r="D951" s="109"/>
      <c r="E951" s="109"/>
      <c r="F951" s="110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</row>
    <row r="952" spans="1:24">
      <c r="A952" s="109"/>
      <c r="B952" s="109"/>
      <c r="C952" s="109"/>
      <c r="D952" s="109"/>
      <c r="E952" s="109"/>
      <c r="F952" s="110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</row>
    <row r="953" spans="1:24">
      <c r="A953" s="109"/>
      <c r="B953" s="109"/>
      <c r="C953" s="109"/>
      <c r="D953" s="109"/>
      <c r="E953" s="109"/>
      <c r="F953" s="110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</row>
    <row r="954" spans="1:24">
      <c r="A954" s="109"/>
      <c r="B954" s="109"/>
      <c r="C954" s="109"/>
      <c r="D954" s="109"/>
      <c r="E954" s="109"/>
      <c r="F954" s="110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</row>
    <row r="955" spans="1:24">
      <c r="A955" s="109"/>
      <c r="B955" s="109"/>
      <c r="C955" s="109"/>
      <c r="D955" s="109"/>
      <c r="E955" s="109"/>
      <c r="F955" s="110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</row>
    <row r="956" spans="1:24">
      <c r="A956" s="109"/>
      <c r="B956" s="109"/>
      <c r="C956" s="109"/>
      <c r="D956" s="109"/>
      <c r="E956" s="109"/>
      <c r="F956" s="110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</row>
    <row r="957" spans="1:24">
      <c r="A957" s="109"/>
      <c r="B957" s="109"/>
      <c r="C957" s="109"/>
      <c r="D957" s="109"/>
      <c r="E957" s="109"/>
      <c r="F957" s="110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</row>
    <row r="958" spans="1:24">
      <c r="A958" s="109"/>
      <c r="B958" s="109"/>
      <c r="C958" s="109"/>
      <c r="D958" s="109"/>
      <c r="E958" s="109"/>
      <c r="F958" s="110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</row>
    <row r="959" spans="1:24">
      <c r="A959" s="109"/>
      <c r="B959" s="109"/>
      <c r="C959" s="109"/>
      <c r="D959" s="109"/>
      <c r="E959" s="109"/>
      <c r="F959" s="110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</row>
    <row r="960" spans="1:24">
      <c r="A960" s="109"/>
      <c r="B960" s="109"/>
      <c r="C960" s="109"/>
      <c r="D960" s="109"/>
      <c r="E960" s="109"/>
      <c r="F960" s="110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</row>
    <row r="961" spans="1:24">
      <c r="A961" s="109"/>
      <c r="B961" s="109"/>
      <c r="C961" s="109"/>
      <c r="D961" s="109"/>
      <c r="E961" s="109"/>
      <c r="F961" s="110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</row>
    <row r="962" spans="1:24">
      <c r="A962" s="109"/>
      <c r="B962" s="109"/>
      <c r="C962" s="109"/>
      <c r="D962" s="109"/>
      <c r="E962" s="109"/>
      <c r="F962" s="110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</row>
    <row r="963" spans="1:24">
      <c r="A963" s="109"/>
      <c r="B963" s="109"/>
      <c r="C963" s="109"/>
      <c r="D963" s="109"/>
      <c r="E963" s="109"/>
      <c r="F963" s="110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</row>
    <row r="964" spans="1:24">
      <c r="A964" s="109"/>
      <c r="B964" s="109"/>
      <c r="C964" s="109"/>
      <c r="D964" s="109"/>
      <c r="E964" s="109"/>
      <c r="F964" s="110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</row>
    <row r="965" spans="1:24">
      <c r="A965" s="109"/>
      <c r="B965" s="109"/>
      <c r="C965" s="109"/>
      <c r="D965" s="109"/>
      <c r="E965" s="109"/>
      <c r="F965" s="110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</row>
    <row r="966" spans="1:24">
      <c r="A966" s="109"/>
      <c r="B966" s="109"/>
      <c r="C966" s="109"/>
      <c r="D966" s="109"/>
      <c r="E966" s="109"/>
      <c r="F966" s="110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</row>
    <row r="967" spans="1:24">
      <c r="A967" s="109"/>
      <c r="B967" s="109"/>
      <c r="C967" s="109"/>
      <c r="D967" s="109"/>
      <c r="E967" s="109"/>
      <c r="F967" s="110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</row>
    <row r="968" spans="1:24">
      <c r="A968" s="109"/>
      <c r="B968" s="109"/>
      <c r="C968" s="109"/>
      <c r="D968" s="109"/>
      <c r="E968" s="109"/>
      <c r="F968" s="110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</row>
    <row r="969" spans="1:24">
      <c r="A969" s="109"/>
      <c r="B969" s="109"/>
      <c r="C969" s="109"/>
      <c r="D969" s="109"/>
      <c r="E969" s="109"/>
      <c r="F969" s="110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</row>
    <row r="970" spans="1:24">
      <c r="A970" s="109"/>
      <c r="B970" s="109"/>
      <c r="C970" s="109"/>
      <c r="D970" s="109"/>
      <c r="E970" s="109"/>
      <c r="F970" s="110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</row>
    <row r="971" spans="1:24">
      <c r="A971" s="109"/>
      <c r="B971" s="109"/>
      <c r="C971" s="109"/>
      <c r="D971" s="109"/>
      <c r="E971" s="109"/>
      <c r="F971" s="110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</row>
    <row r="972" spans="1:24">
      <c r="A972" s="109"/>
      <c r="B972" s="109"/>
      <c r="C972" s="109"/>
      <c r="D972" s="109"/>
      <c r="E972" s="109"/>
      <c r="F972" s="110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</row>
    <row r="973" spans="1:24">
      <c r="A973" s="109"/>
      <c r="B973" s="109"/>
      <c r="C973" s="109"/>
      <c r="D973" s="109"/>
      <c r="E973" s="109"/>
      <c r="F973" s="110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</row>
    <row r="974" spans="1:24">
      <c r="A974" s="109"/>
      <c r="B974" s="109"/>
      <c r="C974" s="109"/>
      <c r="D974" s="109"/>
      <c r="E974" s="109"/>
      <c r="F974" s="110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</row>
    <row r="975" spans="1:24">
      <c r="A975" s="109"/>
      <c r="B975" s="109"/>
      <c r="C975" s="109"/>
      <c r="D975" s="109"/>
      <c r="E975" s="109"/>
      <c r="F975" s="110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</row>
    <row r="976" spans="1:24">
      <c r="A976" s="109"/>
      <c r="B976" s="109"/>
      <c r="C976" s="109"/>
      <c r="D976" s="109"/>
      <c r="E976" s="109"/>
      <c r="F976" s="110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</row>
    <row r="977" spans="1:24">
      <c r="A977" s="109"/>
      <c r="B977" s="109"/>
      <c r="C977" s="109"/>
      <c r="D977" s="109"/>
      <c r="E977" s="109"/>
      <c r="F977" s="110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</row>
    <row r="978" spans="1:24">
      <c r="A978" s="109"/>
      <c r="B978" s="109"/>
      <c r="C978" s="109"/>
      <c r="D978" s="109"/>
      <c r="E978" s="109"/>
      <c r="F978" s="110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</row>
    <row r="979" spans="1:24">
      <c r="A979" s="109"/>
      <c r="B979" s="109"/>
      <c r="C979" s="109"/>
      <c r="D979" s="109"/>
      <c r="E979" s="109"/>
      <c r="F979" s="110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</row>
    <row r="980" spans="1:24">
      <c r="A980" s="109"/>
      <c r="B980" s="109"/>
      <c r="C980" s="109"/>
      <c r="D980" s="109"/>
      <c r="E980" s="109"/>
      <c r="F980" s="110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</row>
    <row r="981" spans="1:24">
      <c r="A981" s="109"/>
      <c r="B981" s="109"/>
      <c r="C981" s="109"/>
      <c r="D981" s="109"/>
      <c r="E981" s="109"/>
      <c r="F981" s="110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</row>
    <row r="982" spans="1:24">
      <c r="A982" s="109"/>
      <c r="B982" s="109"/>
      <c r="C982" s="109"/>
      <c r="D982" s="109"/>
      <c r="E982" s="109"/>
      <c r="F982" s="110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</row>
    <row r="983" spans="1:24">
      <c r="A983" s="109"/>
      <c r="B983" s="109"/>
      <c r="C983" s="109"/>
      <c r="D983" s="109"/>
      <c r="E983" s="109"/>
      <c r="F983" s="110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</row>
    <row r="984" spans="1:24">
      <c r="A984" s="109"/>
      <c r="B984" s="109"/>
      <c r="C984" s="109"/>
      <c r="D984" s="109"/>
      <c r="E984" s="109"/>
      <c r="F984" s="110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</row>
    <row r="985" spans="1:24">
      <c r="A985" s="109"/>
      <c r="B985" s="109"/>
      <c r="C985" s="109"/>
      <c r="D985" s="109"/>
      <c r="E985" s="109"/>
      <c r="F985" s="110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</row>
    <row r="986" spans="1:24">
      <c r="A986" s="109"/>
      <c r="B986" s="109"/>
      <c r="C986" s="109"/>
      <c r="D986" s="109"/>
      <c r="E986" s="109"/>
      <c r="F986" s="110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</row>
    <row r="987" spans="1:24">
      <c r="A987" s="109"/>
      <c r="B987" s="109"/>
      <c r="C987" s="109"/>
      <c r="D987" s="109"/>
      <c r="E987" s="109"/>
      <c r="F987" s="110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</row>
    <row r="988" spans="1:24">
      <c r="A988" s="109"/>
      <c r="B988" s="109"/>
      <c r="C988" s="109"/>
      <c r="D988" s="109"/>
      <c r="E988" s="109"/>
      <c r="F988" s="110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</row>
    <row r="989" spans="1:24">
      <c r="A989" s="109"/>
      <c r="B989" s="109"/>
      <c r="C989" s="109"/>
      <c r="D989" s="109"/>
      <c r="E989" s="109"/>
      <c r="F989" s="110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</row>
  </sheetData>
  <autoFilter ref="A3:K100" xr:uid="{00000000-0009-0000-0000-000008000000}">
    <sortState xmlns:xlrd2="http://schemas.microsoft.com/office/spreadsheetml/2017/richdata2" ref="A4:K100">
      <sortCondition ref="A3:A100"/>
    </sortState>
  </autoFilter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X996"/>
  <sheetViews>
    <sheetView topLeftCell="B74" workbookViewId="0">
      <selection activeCell="F79" sqref="F79"/>
    </sheetView>
  </sheetViews>
  <sheetFormatPr defaultColWidth="14.453125" defaultRowHeight="15" customHeight="1"/>
  <cols>
    <col min="2" max="2" width="20.453125" customWidth="1"/>
    <col min="3" max="3" width="26.36328125" customWidth="1"/>
    <col min="7" max="7" width="25.36328125" customWidth="1"/>
    <col min="8" max="8" width="20.54296875" customWidth="1"/>
    <col min="9" max="9" width="29.08984375" customWidth="1"/>
    <col min="10" max="10" width="31.36328125" customWidth="1"/>
    <col min="11" max="11" width="37" customWidth="1"/>
  </cols>
  <sheetData>
    <row r="1" spans="1:24" ht="14.5">
      <c r="A1" s="132" t="s">
        <v>0</v>
      </c>
      <c r="B1" s="109" t="s">
        <v>408</v>
      </c>
      <c r="C1" s="109"/>
      <c r="D1" s="109"/>
      <c r="E1" s="109"/>
      <c r="F1" s="110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</row>
    <row r="2" spans="1:24" ht="14.5">
      <c r="A2" s="133" t="s">
        <v>2</v>
      </c>
      <c r="B2" s="134" t="s">
        <v>377</v>
      </c>
      <c r="C2" s="113"/>
      <c r="D2" s="134" t="s">
        <v>322</v>
      </c>
      <c r="E2" s="113"/>
      <c r="F2" s="114"/>
      <c r="G2" s="113"/>
      <c r="H2" s="113"/>
      <c r="I2" s="113"/>
      <c r="J2" s="115" t="s">
        <v>323</v>
      </c>
      <c r="K2" s="115" t="s">
        <v>324</v>
      </c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</row>
    <row r="3" spans="1:24" ht="15.5">
      <c r="A3" s="116" t="s">
        <v>6</v>
      </c>
      <c r="B3" s="117" t="s">
        <v>7</v>
      </c>
      <c r="C3" s="117" t="s">
        <v>8</v>
      </c>
      <c r="D3" s="117" t="s">
        <v>9</v>
      </c>
      <c r="E3" s="117" t="s">
        <v>10</v>
      </c>
      <c r="F3" s="118" t="s">
        <v>293</v>
      </c>
      <c r="G3" s="117" t="s">
        <v>13</v>
      </c>
      <c r="H3" s="135" t="s">
        <v>325</v>
      </c>
      <c r="I3" s="135" t="s">
        <v>326</v>
      </c>
      <c r="J3" s="120" t="s">
        <v>12</v>
      </c>
      <c r="K3" s="120" t="s">
        <v>12</v>
      </c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</row>
    <row r="4" spans="1:24" ht="15.5">
      <c r="A4" s="121">
        <v>1</v>
      </c>
      <c r="B4" s="122" t="s">
        <v>318</v>
      </c>
      <c r="C4" s="16" t="s">
        <v>180</v>
      </c>
      <c r="D4" s="122">
        <v>5</v>
      </c>
      <c r="E4" s="124">
        <v>14.5</v>
      </c>
      <c r="F4" s="125">
        <f t="shared" ref="F4:F35" si="0">E4/3.14</f>
        <v>4.6178343949044587</v>
      </c>
      <c r="G4" s="126"/>
      <c r="H4" s="126"/>
      <c r="I4" s="122">
        <v>0.41</v>
      </c>
      <c r="J4" s="127">
        <f t="shared" ref="J4:J35" si="1">8.9857+0.0035*(F4)^2*(D4)</f>
        <v>9.3588769037283459</v>
      </c>
      <c r="K4" s="128">
        <f t="shared" ref="K4:K35" si="2">0.0673*(I4*F4^2*D4)^0.976</f>
        <v>2.687017531083252</v>
      </c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</row>
    <row r="5" spans="1:24" ht="15.5">
      <c r="A5" s="121">
        <v>1</v>
      </c>
      <c r="B5" s="129" t="s">
        <v>211</v>
      </c>
      <c r="C5" s="16" t="s">
        <v>375</v>
      </c>
      <c r="D5" s="129">
        <v>4</v>
      </c>
      <c r="E5" s="125">
        <f>SUM(21.4+11.5)</f>
        <v>32.9</v>
      </c>
      <c r="F5" s="125">
        <f t="shared" si="0"/>
        <v>10.477707006369426</v>
      </c>
      <c r="G5" s="126"/>
      <c r="H5" s="126"/>
      <c r="I5" s="51">
        <v>0.4</v>
      </c>
      <c r="J5" s="127">
        <f t="shared" si="1"/>
        <v>10.522652817558521</v>
      </c>
      <c r="K5" s="128">
        <f t="shared" si="2"/>
        <v>10.442293292222304</v>
      </c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</row>
    <row r="6" spans="1:24" ht="15.5">
      <c r="A6" s="121">
        <v>1</v>
      </c>
      <c r="B6" s="122" t="s">
        <v>410</v>
      </c>
      <c r="C6" s="16" t="s">
        <v>411</v>
      </c>
      <c r="D6" s="129">
        <v>7</v>
      </c>
      <c r="E6" s="124">
        <v>44.2</v>
      </c>
      <c r="F6" s="125">
        <f t="shared" si="0"/>
        <v>14.076433121019109</v>
      </c>
      <c r="G6" s="126"/>
      <c r="H6" s="126"/>
      <c r="I6" s="51">
        <v>0.97</v>
      </c>
      <c r="J6" s="127">
        <f t="shared" si="1"/>
        <v>13.840276250557832</v>
      </c>
      <c r="K6" s="128">
        <f t="shared" si="2"/>
        <v>76.168878412921089</v>
      </c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</row>
    <row r="7" spans="1:24" ht="15.5">
      <c r="A7" s="121">
        <v>1</v>
      </c>
      <c r="B7" s="129" t="s">
        <v>410</v>
      </c>
      <c r="C7" s="16" t="s">
        <v>411</v>
      </c>
      <c r="D7" s="122">
        <v>7</v>
      </c>
      <c r="E7" s="125">
        <f>SUM(39.4+32.3+18.5)</f>
        <v>90.199999999999989</v>
      </c>
      <c r="F7" s="125">
        <f t="shared" si="0"/>
        <v>28.726114649681524</v>
      </c>
      <c r="G7" s="126"/>
      <c r="H7" s="126"/>
      <c r="I7" s="51">
        <v>0.97</v>
      </c>
      <c r="J7" s="127">
        <f t="shared" si="1"/>
        <v>29.202846740232864</v>
      </c>
      <c r="K7" s="128">
        <f t="shared" si="2"/>
        <v>306.53244702850168</v>
      </c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</row>
    <row r="8" spans="1:24" ht="15.5">
      <c r="A8" s="121">
        <v>1</v>
      </c>
      <c r="B8" s="129" t="s">
        <v>128</v>
      </c>
      <c r="C8" s="123" t="s">
        <v>129</v>
      </c>
      <c r="D8" s="129">
        <v>9</v>
      </c>
      <c r="E8" s="125">
        <f>SUM(18.5+20.3+24.4)</f>
        <v>63.199999999999996</v>
      </c>
      <c r="F8" s="125">
        <f t="shared" si="0"/>
        <v>20.127388535031844</v>
      </c>
      <c r="G8" s="126"/>
      <c r="H8" s="126"/>
      <c r="I8" s="51">
        <f>AVERAGE(0.25,0.41)</f>
        <v>0.32999999999999996</v>
      </c>
      <c r="J8" s="127">
        <f t="shared" si="1"/>
        <v>21.746720731064137</v>
      </c>
      <c r="K8" s="128">
        <f t="shared" si="2"/>
        <v>68.299641251434991</v>
      </c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</row>
    <row r="9" spans="1:24" ht="15.5">
      <c r="A9" s="121">
        <v>1</v>
      </c>
      <c r="B9" s="129" t="s">
        <v>128</v>
      </c>
      <c r="C9" s="123" t="s">
        <v>129</v>
      </c>
      <c r="D9" s="122">
        <v>9</v>
      </c>
      <c r="E9" s="125">
        <v>26.4</v>
      </c>
      <c r="F9" s="125">
        <f t="shared" si="0"/>
        <v>8.4076433121019107</v>
      </c>
      <c r="G9" s="126"/>
      <c r="H9" s="126"/>
      <c r="I9" s="51">
        <f>AVERAGE(0.25,0.41)</f>
        <v>0.32999999999999996</v>
      </c>
      <c r="J9" s="127">
        <f t="shared" si="1"/>
        <v>11.212386681001258</v>
      </c>
      <c r="K9" s="128">
        <f t="shared" si="2"/>
        <v>12.427665373867512</v>
      </c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</row>
    <row r="10" spans="1:24" ht="15.5">
      <c r="A10" s="121">
        <v>1</v>
      </c>
      <c r="B10" s="129" t="s">
        <v>128</v>
      </c>
      <c r="C10" s="123" t="s">
        <v>129</v>
      </c>
      <c r="D10" s="122">
        <v>7</v>
      </c>
      <c r="E10" s="125">
        <v>22.3</v>
      </c>
      <c r="F10" s="125">
        <f t="shared" si="0"/>
        <v>7.1019108280254777</v>
      </c>
      <c r="G10" s="126"/>
      <c r="H10" s="126"/>
      <c r="I10" s="51">
        <f>AVERAGE(0.25,0.41)</f>
        <v>0.32999999999999996</v>
      </c>
      <c r="J10" s="127">
        <f t="shared" si="1"/>
        <v>10.221409866526026</v>
      </c>
      <c r="K10" s="128">
        <f t="shared" si="2"/>
        <v>6.9949526049617567</v>
      </c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</row>
    <row r="11" spans="1:24" ht="15.5">
      <c r="A11" s="121">
        <v>1</v>
      </c>
      <c r="B11" s="122" t="s">
        <v>395</v>
      </c>
      <c r="C11" s="16" t="s">
        <v>396</v>
      </c>
      <c r="D11" s="122">
        <v>6</v>
      </c>
      <c r="E11" s="124">
        <v>19.5</v>
      </c>
      <c r="F11" s="125">
        <f t="shared" si="0"/>
        <v>6.2101910828025479</v>
      </c>
      <c r="G11" s="126"/>
      <c r="H11" s="51" t="s">
        <v>415</v>
      </c>
      <c r="I11" s="51">
        <f>AVERAGE(0.47,0.61)</f>
        <v>0.54</v>
      </c>
      <c r="J11" s="127">
        <f t="shared" si="1"/>
        <v>9.7955959389833254</v>
      </c>
      <c r="K11" s="128">
        <f t="shared" si="2"/>
        <v>7.4894147645731826</v>
      </c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</row>
    <row r="12" spans="1:24" ht="15.5">
      <c r="A12" s="121">
        <v>1</v>
      </c>
      <c r="B12" s="122" t="s">
        <v>395</v>
      </c>
      <c r="C12" s="16" t="s">
        <v>396</v>
      </c>
      <c r="D12" s="129">
        <v>3.5</v>
      </c>
      <c r="E12" s="125">
        <f>SUM(8.5+10.4+9.6+8.6)</f>
        <v>37.1</v>
      </c>
      <c r="F12" s="125">
        <f t="shared" si="0"/>
        <v>11.815286624203821</v>
      </c>
      <c r="G12" s="126"/>
      <c r="H12" s="126"/>
      <c r="I12" s="51">
        <f>AVERAGE(0.47,0.61)</f>
        <v>0.54</v>
      </c>
      <c r="J12" s="127">
        <f t="shared" si="1"/>
        <v>10.695812225648099</v>
      </c>
      <c r="K12" s="128">
        <f t="shared" si="2"/>
        <v>15.532915641714363</v>
      </c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</row>
    <row r="13" spans="1:24" ht="15.5">
      <c r="A13" s="121">
        <v>1</v>
      </c>
      <c r="B13" s="122" t="s">
        <v>414</v>
      </c>
      <c r="C13" s="16" t="s">
        <v>341</v>
      </c>
      <c r="D13" s="122">
        <v>7</v>
      </c>
      <c r="E13" s="125">
        <v>49.2</v>
      </c>
      <c r="F13" s="125">
        <f t="shared" si="0"/>
        <v>15.668789808917198</v>
      </c>
      <c r="G13" s="126"/>
      <c r="H13" s="126"/>
      <c r="I13" s="126"/>
      <c r="J13" s="127">
        <f t="shared" si="1"/>
        <v>15.000718864862673</v>
      </c>
      <c r="K13" s="128">
        <f t="shared" si="2"/>
        <v>0</v>
      </c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</row>
    <row r="14" spans="1:24" ht="15.5">
      <c r="A14" s="121">
        <v>1</v>
      </c>
      <c r="B14" s="129" t="s">
        <v>414</v>
      </c>
      <c r="C14" s="16" t="s">
        <v>341</v>
      </c>
      <c r="D14" s="129">
        <v>7</v>
      </c>
      <c r="E14" s="124">
        <v>39.700000000000003</v>
      </c>
      <c r="F14" s="125">
        <f t="shared" si="0"/>
        <v>12.643312101910828</v>
      </c>
      <c r="G14" s="126"/>
      <c r="H14" s="126"/>
      <c r="I14" s="126"/>
      <c r="J14" s="127">
        <f t="shared" si="1"/>
        <v>12.902106852204957</v>
      </c>
      <c r="K14" s="128">
        <f t="shared" si="2"/>
        <v>0</v>
      </c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</row>
    <row r="15" spans="1:24" ht="15.5">
      <c r="A15" s="121">
        <v>1</v>
      </c>
      <c r="B15" s="122" t="s">
        <v>283</v>
      </c>
      <c r="C15" s="16" t="s">
        <v>284</v>
      </c>
      <c r="D15" s="122">
        <v>5</v>
      </c>
      <c r="E15" s="125">
        <f>SUM(18.3+11.5)</f>
        <v>29.8</v>
      </c>
      <c r="F15" s="125">
        <f t="shared" si="0"/>
        <v>9.4904458598726116</v>
      </c>
      <c r="G15" s="126"/>
      <c r="H15" s="51" t="s">
        <v>429</v>
      </c>
      <c r="I15" s="51">
        <f>AVERAGE(0.85,1)</f>
        <v>0.92500000000000004</v>
      </c>
      <c r="J15" s="127">
        <f t="shared" si="1"/>
        <v>10.56189984583553</v>
      </c>
      <c r="K15" s="128">
        <f t="shared" si="2"/>
        <v>24.256469721013989</v>
      </c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</row>
    <row r="16" spans="1:24" ht="15.5">
      <c r="A16" s="121">
        <v>1</v>
      </c>
      <c r="B16" s="129" t="s">
        <v>409</v>
      </c>
      <c r="C16" s="16" t="s">
        <v>107</v>
      </c>
      <c r="D16" s="51">
        <v>8</v>
      </c>
      <c r="E16" s="125">
        <f>SUM(21.5+42.3)</f>
        <v>63.8</v>
      </c>
      <c r="F16" s="125">
        <f t="shared" si="0"/>
        <v>20.318471337579616</v>
      </c>
      <c r="G16" s="126"/>
      <c r="H16" s="126"/>
      <c r="I16" s="51">
        <f>AVERAGE(0.56,0.7)</f>
        <v>0.63</v>
      </c>
      <c r="J16" s="127">
        <f t="shared" si="1"/>
        <v>20.545227769889244</v>
      </c>
      <c r="K16" s="128">
        <f t="shared" si="2"/>
        <v>116.57101007999654</v>
      </c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</row>
    <row r="17" spans="1:24" ht="15.5">
      <c r="A17" s="121">
        <v>1</v>
      </c>
      <c r="B17" s="129" t="s">
        <v>47</v>
      </c>
      <c r="C17" s="16" t="s">
        <v>194</v>
      </c>
      <c r="D17" s="129">
        <v>9</v>
      </c>
      <c r="E17" s="125">
        <v>57.5</v>
      </c>
      <c r="F17" s="125">
        <f t="shared" si="0"/>
        <v>18.312101910828027</v>
      </c>
      <c r="G17" s="126"/>
      <c r="H17" s="126"/>
      <c r="I17" s="126"/>
      <c r="J17" s="127">
        <f t="shared" si="1"/>
        <v>19.54869190636537</v>
      </c>
      <c r="K17" s="128">
        <f t="shared" si="2"/>
        <v>0</v>
      </c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</row>
    <row r="18" spans="1:24" ht="15.5">
      <c r="A18" s="121">
        <v>1</v>
      </c>
      <c r="B18" s="122" t="s">
        <v>47</v>
      </c>
      <c r="C18" s="16" t="s">
        <v>194</v>
      </c>
      <c r="D18" s="122">
        <v>9</v>
      </c>
      <c r="E18" s="125">
        <v>57.5</v>
      </c>
      <c r="F18" s="125">
        <f t="shared" si="0"/>
        <v>18.312101910828027</v>
      </c>
      <c r="G18" s="126"/>
      <c r="H18" s="126"/>
      <c r="I18" s="126"/>
      <c r="J18" s="127">
        <f t="shared" si="1"/>
        <v>19.54869190636537</v>
      </c>
      <c r="K18" s="128">
        <f t="shared" si="2"/>
        <v>0</v>
      </c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</row>
    <row r="19" spans="1:24" ht="15.5">
      <c r="A19" s="121">
        <v>1</v>
      </c>
      <c r="B19" s="129" t="s">
        <v>47</v>
      </c>
      <c r="C19" s="16" t="s">
        <v>194</v>
      </c>
      <c r="D19" s="129">
        <v>8</v>
      </c>
      <c r="E19" s="125">
        <v>54.5</v>
      </c>
      <c r="F19" s="125">
        <f t="shared" si="0"/>
        <v>17.35668789808917</v>
      </c>
      <c r="G19" s="126"/>
      <c r="H19" s="126"/>
      <c r="I19" s="126"/>
      <c r="J19" s="127">
        <f t="shared" si="1"/>
        <v>17.420829214166901</v>
      </c>
      <c r="K19" s="128">
        <f t="shared" si="2"/>
        <v>0</v>
      </c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</row>
    <row r="20" spans="1:24" ht="15.5">
      <c r="A20" s="121">
        <v>1</v>
      </c>
      <c r="B20" s="129" t="s">
        <v>47</v>
      </c>
      <c r="C20" s="16" t="s">
        <v>194</v>
      </c>
      <c r="D20" s="122">
        <v>7</v>
      </c>
      <c r="E20" s="125">
        <v>53.4</v>
      </c>
      <c r="F20" s="125">
        <f t="shared" si="0"/>
        <v>17.00636942675159</v>
      </c>
      <c r="G20" s="126"/>
      <c r="H20" s="126"/>
      <c r="I20" s="126"/>
      <c r="J20" s="127">
        <f t="shared" si="1"/>
        <v>16.071506726439203</v>
      </c>
      <c r="K20" s="128">
        <f t="shared" si="2"/>
        <v>0</v>
      </c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</row>
    <row r="21" spans="1:24" ht="15.5">
      <c r="A21" s="121">
        <v>1</v>
      </c>
      <c r="B21" s="122" t="s">
        <v>288</v>
      </c>
      <c r="C21" s="16" t="s">
        <v>289</v>
      </c>
      <c r="D21" s="122">
        <v>5</v>
      </c>
      <c r="E21" s="124">
        <f>SUM(32.3+31.4+30.4)</f>
        <v>94.1</v>
      </c>
      <c r="F21" s="125">
        <f t="shared" si="0"/>
        <v>29.968152866242036</v>
      </c>
      <c r="G21" s="126"/>
      <c r="H21" s="122" t="s">
        <v>430</v>
      </c>
      <c r="I21" s="51">
        <f>AVERAGE(0.33,0.44)</f>
        <v>0.38500000000000001</v>
      </c>
      <c r="J21" s="127">
        <f t="shared" si="1"/>
        <v>24.702278258752891</v>
      </c>
      <c r="K21" s="128">
        <f t="shared" si="2"/>
        <v>97.288102347610433</v>
      </c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</row>
    <row r="22" spans="1:24" ht="15.5">
      <c r="A22" s="121">
        <v>1</v>
      </c>
      <c r="B22" s="129" t="s">
        <v>288</v>
      </c>
      <c r="C22" s="16" t="s">
        <v>289</v>
      </c>
      <c r="D22" s="129">
        <v>6.5</v>
      </c>
      <c r="E22" s="125">
        <f>SUM(41.2+24.3)</f>
        <v>65.5</v>
      </c>
      <c r="F22" s="125">
        <f t="shared" si="0"/>
        <v>20.859872611464969</v>
      </c>
      <c r="G22" s="126"/>
      <c r="H22" s="126"/>
      <c r="I22" s="51">
        <f>AVERAGE(0.33,0.44)</f>
        <v>0.38500000000000001</v>
      </c>
      <c r="J22" s="127">
        <f t="shared" si="1"/>
        <v>18.88500499208893</v>
      </c>
      <c r="K22" s="128">
        <f t="shared" si="2"/>
        <v>61.961870089179726</v>
      </c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</row>
    <row r="23" spans="1:24" ht="15.5">
      <c r="A23" s="121">
        <v>2</v>
      </c>
      <c r="B23" s="122" t="s">
        <v>211</v>
      </c>
      <c r="C23" s="16" t="s">
        <v>375</v>
      </c>
      <c r="D23" s="122">
        <v>3.5</v>
      </c>
      <c r="E23" s="124">
        <f>SUM(15.6+12.4+11.5)</f>
        <v>39.5</v>
      </c>
      <c r="F23" s="125">
        <f t="shared" si="0"/>
        <v>12.579617834394904</v>
      </c>
      <c r="G23" s="126"/>
      <c r="H23" s="126"/>
      <c r="I23" s="51">
        <v>0.4</v>
      </c>
      <c r="J23" s="127">
        <f t="shared" si="1"/>
        <v>10.924223114527972</v>
      </c>
      <c r="K23" s="128">
        <f t="shared" si="2"/>
        <v>13.097454085865195</v>
      </c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</row>
    <row r="24" spans="1:24" ht="15.5">
      <c r="A24" s="121">
        <v>2</v>
      </c>
      <c r="B24" s="122" t="s">
        <v>211</v>
      </c>
      <c r="C24" s="16" t="s">
        <v>375</v>
      </c>
      <c r="D24" s="122">
        <v>7</v>
      </c>
      <c r="E24" s="124">
        <v>37.5</v>
      </c>
      <c r="F24" s="125">
        <f t="shared" si="0"/>
        <v>11.942675159235668</v>
      </c>
      <c r="G24" s="126"/>
      <c r="H24" s="126"/>
      <c r="I24" s="51">
        <v>0.4</v>
      </c>
      <c r="J24" s="127">
        <f t="shared" si="1"/>
        <v>12.480073503996104</v>
      </c>
      <c r="K24" s="128">
        <f t="shared" si="2"/>
        <v>23.27789282934215</v>
      </c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</row>
    <row r="25" spans="1:24" ht="15.5">
      <c r="A25" s="121">
        <v>2</v>
      </c>
      <c r="B25" s="122" t="s">
        <v>410</v>
      </c>
      <c r="C25" s="16" t="s">
        <v>411</v>
      </c>
      <c r="D25" s="129">
        <v>7</v>
      </c>
      <c r="E25" s="124">
        <v>20.5</v>
      </c>
      <c r="F25" s="125">
        <f t="shared" si="0"/>
        <v>6.5286624203821653</v>
      </c>
      <c r="G25" s="126"/>
      <c r="H25" s="126"/>
      <c r="I25" s="51">
        <v>0.97</v>
      </c>
      <c r="J25" s="127">
        <f t="shared" si="1"/>
        <v>10.029974108483103</v>
      </c>
      <c r="K25" s="128">
        <f t="shared" si="2"/>
        <v>17.000309486030009</v>
      </c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</row>
    <row r="26" spans="1:24" ht="15.5">
      <c r="A26" s="121">
        <v>2</v>
      </c>
      <c r="B26" s="122" t="s">
        <v>410</v>
      </c>
      <c r="C26" s="16" t="s">
        <v>411</v>
      </c>
      <c r="D26" s="122">
        <v>8</v>
      </c>
      <c r="E26" s="124">
        <f>SUM(34.4+40.3)</f>
        <v>74.699999999999989</v>
      </c>
      <c r="F26" s="125">
        <f t="shared" si="0"/>
        <v>23.789808917197448</v>
      </c>
      <c r="G26" s="126"/>
      <c r="H26" s="126"/>
      <c r="I26" s="51">
        <v>0.97</v>
      </c>
      <c r="J26" s="127">
        <f t="shared" si="1"/>
        <v>24.83244023286948</v>
      </c>
      <c r="K26" s="128">
        <f t="shared" si="2"/>
        <v>241.67695803535017</v>
      </c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</row>
    <row r="27" spans="1:24" ht="15.5">
      <c r="A27" s="121">
        <v>2</v>
      </c>
      <c r="B27" s="129" t="s">
        <v>410</v>
      </c>
      <c r="C27" s="16" t="s">
        <v>411</v>
      </c>
      <c r="D27" s="129">
        <v>8.5</v>
      </c>
      <c r="E27" s="125">
        <v>49.5</v>
      </c>
      <c r="F27" s="125">
        <f t="shared" si="0"/>
        <v>15.764331210191083</v>
      </c>
      <c r="G27" s="126"/>
      <c r="H27" s="126"/>
      <c r="I27" s="51">
        <v>0.97</v>
      </c>
      <c r="J27" s="127">
        <f t="shared" si="1"/>
        <v>16.378995620511986</v>
      </c>
      <c r="K27" s="128">
        <f t="shared" si="2"/>
        <v>114.83646723699097</v>
      </c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</row>
    <row r="28" spans="1:24" ht="15.5">
      <c r="A28" s="121">
        <v>2</v>
      </c>
      <c r="B28" s="122" t="s">
        <v>410</v>
      </c>
      <c r="C28" s="16" t="s">
        <v>411</v>
      </c>
      <c r="D28" s="122">
        <v>8</v>
      </c>
      <c r="E28" s="124">
        <v>35.200000000000003</v>
      </c>
      <c r="F28" s="125">
        <f t="shared" si="0"/>
        <v>11.210191082802549</v>
      </c>
      <c r="G28" s="126"/>
      <c r="H28" s="126"/>
      <c r="I28" s="51">
        <v>0.97</v>
      </c>
      <c r="J28" s="127">
        <f t="shared" si="1"/>
        <v>12.504414755162482</v>
      </c>
      <c r="K28" s="128">
        <f t="shared" si="2"/>
        <v>55.637128860164879</v>
      </c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</row>
    <row r="29" spans="1:24" ht="15.5">
      <c r="A29" s="121">
        <v>2</v>
      </c>
      <c r="B29" s="129" t="s">
        <v>128</v>
      </c>
      <c r="C29" s="123" t="s">
        <v>129</v>
      </c>
      <c r="D29" s="129">
        <v>7</v>
      </c>
      <c r="E29" s="125">
        <v>20.399999999999999</v>
      </c>
      <c r="F29" s="125">
        <f t="shared" si="0"/>
        <v>6.4968152866242033</v>
      </c>
      <c r="G29" s="126"/>
      <c r="H29" s="126"/>
      <c r="I29" s="51">
        <f>AVERAGE(0.25,0.41)</f>
        <v>0.32999999999999996</v>
      </c>
      <c r="J29" s="127">
        <f t="shared" si="1"/>
        <v>10.019810917278591</v>
      </c>
      <c r="K29" s="128">
        <f t="shared" si="2"/>
        <v>5.8788417583136159</v>
      </c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</row>
    <row r="30" spans="1:24" ht="15.5">
      <c r="A30" s="121">
        <v>2</v>
      </c>
      <c r="B30" s="122" t="s">
        <v>128</v>
      </c>
      <c r="C30" s="123" t="s">
        <v>129</v>
      </c>
      <c r="D30" s="122">
        <v>5</v>
      </c>
      <c r="E30" s="124">
        <f>SUM(15.6+4.7)</f>
        <v>20.3</v>
      </c>
      <c r="F30" s="125">
        <f t="shared" si="0"/>
        <v>6.4649681528662422</v>
      </c>
      <c r="G30" s="126"/>
      <c r="H30" s="126"/>
      <c r="I30" s="51">
        <f>AVERAGE(0.25,0.41)</f>
        <v>0.32999999999999996</v>
      </c>
      <c r="J30" s="127">
        <f t="shared" si="1"/>
        <v>9.7171267313075571</v>
      </c>
      <c r="K30" s="128">
        <f t="shared" si="2"/>
        <v>4.1928081100836554</v>
      </c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</row>
    <row r="31" spans="1:24" ht="15.5">
      <c r="A31" s="121">
        <v>2</v>
      </c>
      <c r="B31" s="122" t="s">
        <v>164</v>
      </c>
      <c r="C31" s="123" t="s">
        <v>204</v>
      </c>
      <c r="D31" s="122">
        <v>3.5</v>
      </c>
      <c r="E31" s="124">
        <v>18.5</v>
      </c>
      <c r="F31" s="125">
        <f t="shared" si="0"/>
        <v>5.8917197452229297</v>
      </c>
      <c r="G31" s="126"/>
      <c r="H31" s="126"/>
      <c r="I31" s="51">
        <f>AVERAGE(0.22,0.34)</f>
        <v>0.28000000000000003</v>
      </c>
      <c r="J31" s="127">
        <f t="shared" si="1"/>
        <v>9.4109264290640589</v>
      </c>
      <c r="K31" s="128">
        <f t="shared" si="2"/>
        <v>2.1036052930385964</v>
      </c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</row>
    <row r="32" spans="1:24" ht="15.5">
      <c r="A32" s="121">
        <v>2</v>
      </c>
      <c r="B32" s="122" t="s">
        <v>286</v>
      </c>
      <c r="C32" s="16" t="s">
        <v>287</v>
      </c>
      <c r="D32" s="122">
        <v>4.5</v>
      </c>
      <c r="E32" s="124">
        <v>16.399999999999999</v>
      </c>
      <c r="F32" s="125">
        <f t="shared" si="0"/>
        <v>5.2229299363057322</v>
      </c>
      <c r="G32" s="126"/>
      <c r="H32" s="126"/>
      <c r="I32" s="51">
        <f>AVERAGE(0.5,0.7)</f>
        <v>0.6</v>
      </c>
      <c r="J32" s="127">
        <f t="shared" si="1"/>
        <v>9.4153442046330476</v>
      </c>
      <c r="K32" s="128">
        <f t="shared" si="2"/>
        <v>4.4708965021040665</v>
      </c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</row>
    <row r="33" spans="1:24" ht="15.5">
      <c r="A33" s="121">
        <v>2</v>
      </c>
      <c r="B33" s="122" t="s">
        <v>416</v>
      </c>
      <c r="C33" s="123" t="s">
        <v>417</v>
      </c>
      <c r="D33" s="122">
        <v>8</v>
      </c>
      <c r="E33" s="124">
        <v>43.2</v>
      </c>
      <c r="F33" s="125">
        <f t="shared" si="0"/>
        <v>13.757961783439491</v>
      </c>
      <c r="G33" s="126"/>
      <c r="H33" s="51" t="s">
        <v>418</v>
      </c>
      <c r="I33" s="51">
        <f>AVERAGE(0.64,0.86)</f>
        <v>0.75</v>
      </c>
      <c r="J33" s="127">
        <f t="shared" si="1"/>
        <v>14.285582348168283</v>
      </c>
      <c r="K33" s="128">
        <f t="shared" si="2"/>
        <v>64.557735078500372</v>
      </c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</row>
    <row r="34" spans="1:24" ht="15.5">
      <c r="A34" s="121">
        <v>2</v>
      </c>
      <c r="B34" s="122" t="s">
        <v>414</v>
      </c>
      <c r="C34" s="16" t="s">
        <v>341</v>
      </c>
      <c r="D34" s="122">
        <v>3.5</v>
      </c>
      <c r="E34" s="124">
        <v>9.3000000000000007</v>
      </c>
      <c r="F34" s="125">
        <f t="shared" si="0"/>
        <v>2.9617834394904459</v>
      </c>
      <c r="G34" s="126"/>
      <c r="H34" s="126"/>
      <c r="I34" s="126"/>
      <c r="J34" s="127">
        <f t="shared" si="1"/>
        <v>9.0931589739948873</v>
      </c>
      <c r="K34" s="128">
        <f t="shared" si="2"/>
        <v>0</v>
      </c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</row>
    <row r="35" spans="1:24" ht="15.5">
      <c r="A35" s="121">
        <v>2</v>
      </c>
      <c r="B35" s="122" t="s">
        <v>344</v>
      </c>
      <c r="C35" s="16" t="s">
        <v>127</v>
      </c>
      <c r="D35" s="122">
        <v>8</v>
      </c>
      <c r="E35" s="124">
        <f>SUM(36.6+51.4)</f>
        <v>88</v>
      </c>
      <c r="F35" s="125">
        <f t="shared" si="0"/>
        <v>28.025477707006367</v>
      </c>
      <c r="G35" s="126"/>
      <c r="H35" s="126"/>
      <c r="I35" s="51">
        <v>0.53</v>
      </c>
      <c r="J35" s="127">
        <f t="shared" si="1"/>
        <v>30.9776672197655</v>
      </c>
      <c r="K35" s="128">
        <f t="shared" si="2"/>
        <v>184.47930051720118</v>
      </c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</row>
    <row r="36" spans="1:24" ht="15.5">
      <c r="A36" s="121">
        <v>2</v>
      </c>
      <c r="B36" s="122" t="s">
        <v>47</v>
      </c>
      <c r="C36" s="16" t="s">
        <v>194</v>
      </c>
      <c r="D36" s="122">
        <v>6</v>
      </c>
      <c r="E36" s="124">
        <v>62.4</v>
      </c>
      <c r="F36" s="125">
        <f t="shared" ref="F36:F67" si="3">E36/3.14</f>
        <v>19.872611464968152</v>
      </c>
      <c r="G36" s="126"/>
      <c r="H36" s="126"/>
      <c r="I36" s="126"/>
      <c r="J36" s="127">
        <f t="shared" ref="J36:J67" si="4">8.9857+0.0035*(F36)^2*(D36)</f>
        <v>17.279034415189258</v>
      </c>
      <c r="K36" s="128">
        <f t="shared" ref="K36:K67" si="5">0.0673*(I36*F36^2*D36)^0.976</f>
        <v>0</v>
      </c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</row>
    <row r="37" spans="1:24" ht="15.5">
      <c r="A37" s="121">
        <v>2</v>
      </c>
      <c r="B37" s="122" t="s">
        <v>91</v>
      </c>
      <c r="C37" s="16" t="s">
        <v>91</v>
      </c>
      <c r="D37" s="129">
        <v>9</v>
      </c>
      <c r="E37" s="124">
        <f>SUM(25.5+29.4+20.3+20.1+19.2+19.3)</f>
        <v>133.80000000000001</v>
      </c>
      <c r="F37" s="125">
        <f t="shared" si="3"/>
        <v>42.611464968152866</v>
      </c>
      <c r="G37" s="126"/>
      <c r="H37" s="51">
        <f>AVERAGE(0.45,0.51)</f>
        <v>0.48</v>
      </c>
      <c r="I37" s="51">
        <f>AVERAGE(0.45,0.51)</f>
        <v>0.48</v>
      </c>
      <c r="J37" s="127">
        <f t="shared" si="4"/>
        <v>66.181413822061742</v>
      </c>
      <c r="K37" s="128">
        <f t="shared" si="5"/>
        <v>425.67962320401824</v>
      </c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</row>
    <row r="38" spans="1:24" ht="15.5">
      <c r="A38" s="121">
        <v>2</v>
      </c>
      <c r="B38" s="122" t="s">
        <v>91</v>
      </c>
      <c r="C38" s="16" t="s">
        <v>91</v>
      </c>
      <c r="D38" s="122">
        <v>8</v>
      </c>
      <c r="E38" s="125">
        <f>SUM(28.4+25.3+36.4+42.2+19.4)</f>
        <v>151.70000000000002</v>
      </c>
      <c r="F38" s="125">
        <f t="shared" si="3"/>
        <v>48.312101910828027</v>
      </c>
      <c r="G38" s="126"/>
      <c r="H38" s="51">
        <f>AVERAGE(0.45,0.51)</f>
        <v>0.48</v>
      </c>
      <c r="I38" s="51">
        <f>AVERAGE(0.45,0.51)</f>
        <v>0.48</v>
      </c>
      <c r="J38" s="127">
        <f t="shared" si="4"/>
        <v>74.339357349182521</v>
      </c>
      <c r="K38" s="128">
        <f t="shared" si="5"/>
        <v>484.84120268942775</v>
      </c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</row>
    <row r="39" spans="1:24" ht="15.5">
      <c r="A39" s="121">
        <v>2</v>
      </c>
      <c r="B39" s="122" t="s">
        <v>149</v>
      </c>
      <c r="C39" s="16" t="s">
        <v>428</v>
      </c>
      <c r="D39" s="122">
        <v>5</v>
      </c>
      <c r="E39" s="124">
        <f>SUM(31.4+34.2+12.3+9.5)</f>
        <v>87.399999999999991</v>
      </c>
      <c r="F39" s="125">
        <f t="shared" si="3"/>
        <v>27.834394904458595</v>
      </c>
      <c r="G39" s="126"/>
      <c r="H39" s="126"/>
      <c r="I39" s="126"/>
      <c r="J39" s="127">
        <f t="shared" si="4"/>
        <v>22.543886944703633</v>
      </c>
      <c r="K39" s="128">
        <f t="shared" si="5"/>
        <v>0</v>
      </c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</row>
    <row r="40" spans="1:24" ht="15.5">
      <c r="A40" s="121">
        <v>2</v>
      </c>
      <c r="B40" s="129" t="s">
        <v>288</v>
      </c>
      <c r="C40" s="16" t="s">
        <v>289</v>
      </c>
      <c r="D40" s="122">
        <v>7</v>
      </c>
      <c r="E40" s="125">
        <v>30.2</v>
      </c>
      <c r="F40" s="125">
        <f t="shared" si="3"/>
        <v>9.6178343949044578</v>
      </c>
      <c r="G40" s="126"/>
      <c r="H40" s="126"/>
      <c r="I40" s="51">
        <f>AVERAGE(0.33,0.44)</f>
        <v>0.38500000000000001</v>
      </c>
      <c r="J40" s="127">
        <f t="shared" si="4"/>
        <v>11.252017091971275</v>
      </c>
      <c r="K40" s="128">
        <f t="shared" si="5"/>
        <v>14.69627611338187</v>
      </c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</row>
    <row r="41" spans="1:24" ht="15.5">
      <c r="A41" s="121">
        <v>2</v>
      </c>
      <c r="B41" s="122" t="s">
        <v>426</v>
      </c>
      <c r="C41" s="126"/>
      <c r="D41" s="122">
        <v>3</v>
      </c>
      <c r="E41" s="124">
        <f>SUM(26.4+32.4+38.6)</f>
        <v>97.4</v>
      </c>
      <c r="F41" s="125">
        <f t="shared" si="3"/>
        <v>31.019108280254777</v>
      </c>
      <c r="G41" s="126"/>
      <c r="H41" s="126"/>
      <c r="I41" s="126"/>
      <c r="J41" s="127">
        <f t="shared" si="4"/>
        <v>19.088643324272788</v>
      </c>
      <c r="K41" s="128">
        <f t="shared" si="5"/>
        <v>0</v>
      </c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</row>
    <row r="42" spans="1:24" ht="15.5">
      <c r="A42" s="121">
        <v>2</v>
      </c>
      <c r="B42" s="129" t="s">
        <v>426</v>
      </c>
      <c r="C42" s="126"/>
      <c r="D42" s="129">
        <v>4.5</v>
      </c>
      <c r="E42" s="125">
        <f>SUM(35.4+30.4)</f>
        <v>65.8</v>
      </c>
      <c r="F42" s="125">
        <f t="shared" si="3"/>
        <v>20.955414012738853</v>
      </c>
      <c r="G42" s="126"/>
      <c r="H42" s="126"/>
      <c r="I42" s="126"/>
      <c r="J42" s="127">
        <f t="shared" si="4"/>
        <v>15.901987679013347</v>
      </c>
      <c r="K42" s="128">
        <f t="shared" si="5"/>
        <v>0</v>
      </c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</row>
    <row r="43" spans="1:24" ht="15.5">
      <c r="A43" s="121">
        <v>3</v>
      </c>
      <c r="B43" s="129" t="s">
        <v>358</v>
      </c>
      <c r="C43" s="16" t="s">
        <v>427</v>
      </c>
      <c r="D43" s="129">
        <v>4.5</v>
      </c>
      <c r="E43" s="125">
        <v>19.3</v>
      </c>
      <c r="F43" s="125">
        <f t="shared" si="3"/>
        <v>6.1464968152866239</v>
      </c>
      <c r="G43" s="126"/>
      <c r="H43" s="126"/>
      <c r="I43" s="51">
        <f>AVERAGE(0.5,0.65)</f>
        <v>0.57499999999999996</v>
      </c>
      <c r="J43" s="127">
        <f t="shared" si="4"/>
        <v>9.5807259138301752</v>
      </c>
      <c r="K43" s="128">
        <f t="shared" si="5"/>
        <v>5.8936927061210573</v>
      </c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</row>
    <row r="44" spans="1:24" ht="15.5">
      <c r="A44" s="121">
        <v>3</v>
      </c>
      <c r="B44" s="122" t="s">
        <v>404</v>
      </c>
      <c r="C44" s="16" t="s">
        <v>73</v>
      </c>
      <c r="D44" s="122">
        <v>2</v>
      </c>
      <c r="E44" s="124">
        <v>9.3000000000000007</v>
      </c>
      <c r="F44" s="125">
        <f t="shared" si="3"/>
        <v>2.9617834394904459</v>
      </c>
      <c r="G44" s="194"/>
      <c r="H44" s="126"/>
      <c r="I44" s="51">
        <f>AVERAGE(0.58,0.66)</f>
        <v>0.62</v>
      </c>
      <c r="J44" s="127">
        <f t="shared" si="4"/>
        <v>9.047105127997078</v>
      </c>
      <c r="K44" s="128">
        <f t="shared" si="5"/>
        <v>0.69130018241489233</v>
      </c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</row>
    <row r="45" spans="1:24" ht="15.5">
      <c r="A45" s="121">
        <v>3</v>
      </c>
      <c r="B45" s="129" t="s">
        <v>404</v>
      </c>
      <c r="C45" s="16" t="s">
        <v>73</v>
      </c>
      <c r="D45" s="129">
        <v>6</v>
      </c>
      <c r="E45" s="125">
        <v>16.3</v>
      </c>
      <c r="F45" s="125">
        <f t="shared" si="3"/>
        <v>5.1910828025477711</v>
      </c>
      <c r="G45" s="194"/>
      <c r="H45" s="126"/>
      <c r="I45" s="51">
        <f>AVERAGE(0.58,0.66)</f>
        <v>0.62</v>
      </c>
      <c r="J45" s="127">
        <f t="shared" si="4"/>
        <v>9.5515941539210516</v>
      </c>
      <c r="K45" s="128">
        <f t="shared" si="5"/>
        <v>6.0401608532266131</v>
      </c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</row>
    <row r="46" spans="1:24" ht="15.5">
      <c r="A46" s="121">
        <v>3</v>
      </c>
      <c r="B46" s="129" t="s">
        <v>404</v>
      </c>
      <c r="C46" s="16" t="s">
        <v>73</v>
      </c>
      <c r="D46" s="129">
        <v>3</v>
      </c>
      <c r="E46" s="125">
        <f>SUM(10.5+6.5)</f>
        <v>17</v>
      </c>
      <c r="F46" s="125">
        <f t="shared" si="3"/>
        <v>5.4140127388535033</v>
      </c>
      <c r="G46" s="126"/>
      <c r="H46" s="126"/>
      <c r="I46" s="51">
        <f>AVERAGE(0.58,0.66)</f>
        <v>0.62</v>
      </c>
      <c r="J46" s="127">
        <f t="shared" si="4"/>
        <v>9.2934711063329143</v>
      </c>
      <c r="K46" s="128">
        <f t="shared" si="5"/>
        <v>3.3334144927076572</v>
      </c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</row>
    <row r="47" spans="1:24" ht="15.5">
      <c r="A47" s="121">
        <v>3</v>
      </c>
      <c r="B47" s="129" t="s">
        <v>404</v>
      </c>
      <c r="C47" s="16" t="s">
        <v>73</v>
      </c>
      <c r="D47" s="129">
        <v>5</v>
      </c>
      <c r="E47" s="125">
        <v>11.6</v>
      </c>
      <c r="F47" s="125">
        <f t="shared" si="3"/>
        <v>3.6942675159235665</v>
      </c>
      <c r="G47" s="194"/>
      <c r="H47" s="126"/>
      <c r="I47" s="51">
        <f>AVERAGE(0.58,0.66)</f>
        <v>0.62</v>
      </c>
      <c r="J47" s="127">
        <f t="shared" si="4"/>
        <v>9.2245332183861404</v>
      </c>
      <c r="K47" s="128">
        <f t="shared" si="5"/>
        <v>2.6025519022998647</v>
      </c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</row>
    <row r="48" spans="1:24" ht="15.5">
      <c r="A48" s="121">
        <v>3</v>
      </c>
      <c r="B48" s="129" t="s">
        <v>404</v>
      </c>
      <c r="C48" s="16" t="s">
        <v>73</v>
      </c>
      <c r="D48" s="122">
        <v>3</v>
      </c>
      <c r="E48" s="124">
        <f>SUM(11.3+8.5)</f>
        <v>19.8</v>
      </c>
      <c r="F48" s="125">
        <f t="shared" si="3"/>
        <v>6.3057324840764331</v>
      </c>
      <c r="G48" s="194"/>
      <c r="H48" s="126"/>
      <c r="I48" s="51">
        <f>AVERAGE(0.58,0.66)</f>
        <v>0.62</v>
      </c>
      <c r="J48" s="127">
        <f t="shared" si="4"/>
        <v>9.4032037526877357</v>
      </c>
      <c r="K48" s="128">
        <f t="shared" si="5"/>
        <v>4.4889366464523235</v>
      </c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</row>
    <row r="49" spans="1:24" ht="15.5">
      <c r="A49" s="121">
        <v>3</v>
      </c>
      <c r="B49" s="122" t="s">
        <v>414</v>
      </c>
      <c r="C49" s="16" t="s">
        <v>341</v>
      </c>
      <c r="D49" s="122">
        <v>7.5</v>
      </c>
      <c r="E49" s="124">
        <v>33.4</v>
      </c>
      <c r="F49" s="125">
        <f t="shared" si="3"/>
        <v>10.636942675159235</v>
      </c>
      <c r="G49" s="126"/>
      <c r="H49" s="126"/>
      <c r="I49" s="126"/>
      <c r="J49" s="127">
        <f t="shared" si="4"/>
        <v>11.955744423708872</v>
      </c>
      <c r="K49" s="128">
        <f t="shared" si="5"/>
        <v>0</v>
      </c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</row>
    <row r="50" spans="1:24" ht="15.5">
      <c r="A50" s="121">
        <v>3</v>
      </c>
      <c r="B50" s="122" t="s">
        <v>91</v>
      </c>
      <c r="C50" s="123" t="s">
        <v>91</v>
      </c>
      <c r="D50" s="122">
        <v>7</v>
      </c>
      <c r="E50" s="124">
        <v>42.2</v>
      </c>
      <c r="F50" s="125">
        <f t="shared" si="3"/>
        <v>13.439490445859873</v>
      </c>
      <c r="G50" s="140"/>
      <c r="H50" s="126"/>
      <c r="I50" s="51">
        <f>AVERAGE(0.45,0.51)</f>
        <v>0.48</v>
      </c>
      <c r="J50" s="127">
        <f t="shared" si="4"/>
        <v>13.410887634386789</v>
      </c>
      <c r="K50" s="128">
        <f t="shared" si="5"/>
        <v>35.020748996169218</v>
      </c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</row>
    <row r="51" spans="1:24" ht="15.5">
      <c r="A51" s="121">
        <v>3</v>
      </c>
      <c r="B51" s="122" t="s">
        <v>91</v>
      </c>
      <c r="C51" s="123" t="s">
        <v>91</v>
      </c>
      <c r="D51" s="129">
        <v>5.5</v>
      </c>
      <c r="E51" s="125">
        <v>28.3</v>
      </c>
      <c r="F51" s="125">
        <f t="shared" si="3"/>
        <v>9.0127388535031852</v>
      </c>
      <c r="G51" s="140"/>
      <c r="H51" s="126"/>
      <c r="I51" s="51">
        <f>AVERAGE(0.45,0.51)</f>
        <v>0.48</v>
      </c>
      <c r="J51" s="127">
        <f t="shared" si="4"/>
        <v>10.549367136597834</v>
      </c>
      <c r="K51" s="128">
        <f t="shared" si="5"/>
        <v>12.687642877838165</v>
      </c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</row>
    <row r="52" spans="1:24" ht="15.5">
      <c r="A52" s="121">
        <v>3</v>
      </c>
      <c r="B52" s="122" t="s">
        <v>399</v>
      </c>
      <c r="C52" s="16" t="s">
        <v>267</v>
      </c>
      <c r="D52" s="122">
        <v>6</v>
      </c>
      <c r="E52" s="124">
        <v>27.5</v>
      </c>
      <c r="F52" s="125">
        <f t="shared" si="3"/>
        <v>8.7579617834394909</v>
      </c>
      <c r="G52" s="126"/>
      <c r="H52" s="126"/>
      <c r="I52" s="51">
        <f>AVERAGE(0.75,
0.8)</f>
        <v>0.77500000000000002</v>
      </c>
      <c r="J52" s="127">
        <f t="shared" si="4"/>
        <v>10.596439786603918</v>
      </c>
      <c r="K52" s="128">
        <f t="shared" si="5"/>
        <v>20.845863591662475</v>
      </c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</row>
    <row r="53" spans="1:24" ht="15.5">
      <c r="A53" s="121">
        <v>3</v>
      </c>
      <c r="B53" s="122" t="s">
        <v>399</v>
      </c>
      <c r="C53" s="16" t="s">
        <v>267</v>
      </c>
      <c r="D53" s="122">
        <v>5.5</v>
      </c>
      <c r="E53" s="124">
        <v>30.2</v>
      </c>
      <c r="F53" s="125">
        <f t="shared" si="3"/>
        <v>9.6178343949044578</v>
      </c>
      <c r="G53" s="126"/>
      <c r="H53" s="126"/>
      <c r="I53" s="51">
        <f>AVERAGE(0.75,
0.8)</f>
        <v>0.77500000000000002</v>
      </c>
      <c r="J53" s="127">
        <f t="shared" si="4"/>
        <v>10.766377715120289</v>
      </c>
      <c r="K53" s="128">
        <f t="shared" si="5"/>
        <v>22.989757507993033</v>
      </c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</row>
    <row r="54" spans="1:24" ht="15.5">
      <c r="A54" s="121">
        <v>3</v>
      </c>
      <c r="B54" s="129" t="s">
        <v>399</v>
      </c>
      <c r="C54" s="16" t="s">
        <v>267</v>
      </c>
      <c r="D54" s="129">
        <v>7</v>
      </c>
      <c r="E54" s="125">
        <v>34</v>
      </c>
      <c r="F54" s="125">
        <f t="shared" si="3"/>
        <v>10.828025477707007</v>
      </c>
      <c r="G54" s="126"/>
      <c r="H54" s="126"/>
      <c r="I54" s="51">
        <f>AVERAGE(0.75,
0.8)</f>
        <v>0.77500000000000002</v>
      </c>
      <c r="J54" s="127">
        <f t="shared" si="4"/>
        <v>11.858230325773865</v>
      </c>
      <c r="K54" s="128">
        <f t="shared" si="5"/>
        <v>36.663117101495509</v>
      </c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</row>
    <row r="55" spans="1:24" ht="15.5">
      <c r="A55" s="121">
        <v>3</v>
      </c>
      <c r="B55" s="129" t="s">
        <v>419</v>
      </c>
      <c r="C55" s="126"/>
      <c r="D55" s="129">
        <v>7</v>
      </c>
      <c r="E55" s="125">
        <f>SUM(19.5+19.4+18.3+19.3+24.4)</f>
        <v>100.9</v>
      </c>
      <c r="F55" s="125">
        <f t="shared" si="3"/>
        <v>32.133757961783438</v>
      </c>
      <c r="G55" s="122" t="s">
        <v>420</v>
      </c>
      <c r="H55" s="126"/>
      <c r="I55" s="51">
        <v>0.64</v>
      </c>
      <c r="J55" s="127">
        <f t="shared" si="4"/>
        <v>34.283870818288769</v>
      </c>
      <c r="K55" s="128">
        <f t="shared" si="5"/>
        <v>254.24433761407369</v>
      </c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</row>
    <row r="56" spans="1:24" ht="15.5">
      <c r="A56" s="121">
        <v>3</v>
      </c>
      <c r="B56" s="122" t="s">
        <v>419</v>
      </c>
      <c r="C56" s="126"/>
      <c r="D56" s="122">
        <v>7</v>
      </c>
      <c r="E56" s="124">
        <f>SUM(26.6+26.8+25.4+32.2+34.5)</f>
        <v>145.5</v>
      </c>
      <c r="F56" s="125">
        <f t="shared" si="3"/>
        <v>46.337579617834393</v>
      </c>
      <c r="G56" s="122" t="s">
        <v>421</v>
      </c>
      <c r="H56" s="126"/>
      <c r="I56" s="51">
        <v>0.64</v>
      </c>
      <c r="J56" s="127">
        <f t="shared" si="4"/>
        <v>61.591396478558956</v>
      </c>
      <c r="K56" s="128">
        <f t="shared" si="5"/>
        <v>519.47457424720903</v>
      </c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</row>
    <row r="57" spans="1:24" ht="15.5">
      <c r="A57" s="121">
        <v>3</v>
      </c>
      <c r="B57" s="122" t="s">
        <v>419</v>
      </c>
      <c r="C57" s="126"/>
      <c r="D57" s="122">
        <v>7</v>
      </c>
      <c r="E57" s="124">
        <f>SUM(41.3+34.5+27.3+27.5+27.2+24.3)</f>
        <v>182.1</v>
      </c>
      <c r="F57" s="125">
        <f t="shared" si="3"/>
        <v>57.993630573248403</v>
      </c>
      <c r="G57" s="122" t="s">
        <v>422</v>
      </c>
      <c r="H57" s="126"/>
      <c r="I57" s="51">
        <v>0.64</v>
      </c>
      <c r="J57" s="127">
        <f t="shared" si="4"/>
        <v>91.38559908312709</v>
      </c>
      <c r="K57" s="128">
        <f t="shared" si="5"/>
        <v>804.97194963774234</v>
      </c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</row>
    <row r="58" spans="1:24" ht="15.5">
      <c r="A58" s="121">
        <v>3</v>
      </c>
      <c r="B58" s="129" t="s">
        <v>419</v>
      </c>
      <c r="C58" s="126"/>
      <c r="D58" s="129">
        <v>8</v>
      </c>
      <c r="E58" s="125">
        <f>SUM(26.4+17.4+31.2+38.4+49.5+27.3+15.3+13)</f>
        <v>218.50000000000003</v>
      </c>
      <c r="F58" s="125">
        <f t="shared" si="3"/>
        <v>69.585987261146499</v>
      </c>
      <c r="G58" s="122" t="s">
        <v>423</v>
      </c>
      <c r="H58" s="126"/>
      <c r="I58" s="51">
        <v>0.64</v>
      </c>
      <c r="J58" s="127">
        <f t="shared" si="4"/>
        <v>144.56756944703642</v>
      </c>
      <c r="K58" s="128">
        <f t="shared" si="5"/>
        <v>1308.7752891255666</v>
      </c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</row>
    <row r="59" spans="1:24" ht="15.5">
      <c r="A59" s="121">
        <v>3</v>
      </c>
      <c r="B59" s="129" t="s">
        <v>419</v>
      </c>
      <c r="C59" s="126"/>
      <c r="D59" s="129">
        <v>7</v>
      </c>
      <c r="E59" s="125">
        <f>SUM(36.5+36.2+17.3+14.5+33.3+31.2+20.3)</f>
        <v>189.3</v>
      </c>
      <c r="F59" s="125">
        <f t="shared" si="3"/>
        <v>60.28662420382166</v>
      </c>
      <c r="G59" s="122" t="s">
        <v>424</v>
      </c>
      <c r="H59" s="126"/>
      <c r="I59" s="51">
        <v>0.64</v>
      </c>
      <c r="J59" s="127">
        <f t="shared" si="4"/>
        <v>98.030387918373975</v>
      </c>
      <c r="K59" s="128">
        <f t="shared" si="5"/>
        <v>868.26787185041724</v>
      </c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</row>
    <row r="60" spans="1:24" ht="15.5">
      <c r="A60" s="121">
        <v>3</v>
      </c>
      <c r="B60" s="122" t="s">
        <v>91</v>
      </c>
      <c r="C60" s="126"/>
      <c r="D60" s="122">
        <v>7</v>
      </c>
      <c r="E60" s="124">
        <v>43.3</v>
      </c>
      <c r="F60" s="125">
        <f t="shared" si="3"/>
        <v>13.789808917197451</v>
      </c>
      <c r="G60" s="122" t="s">
        <v>91</v>
      </c>
      <c r="H60" s="126"/>
      <c r="I60" s="51">
        <f>AVERAGE(0.45,0.51)</f>
        <v>0.48</v>
      </c>
      <c r="J60" s="127">
        <f t="shared" si="4"/>
        <v>13.644591334334049</v>
      </c>
      <c r="K60" s="128">
        <f t="shared" si="5"/>
        <v>36.82475784003401</v>
      </c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</row>
    <row r="61" spans="1:24" ht="15.5">
      <c r="A61" s="121">
        <v>3</v>
      </c>
      <c r="B61" s="122" t="s">
        <v>91</v>
      </c>
      <c r="C61" s="126"/>
      <c r="D61" s="122">
        <v>6.5</v>
      </c>
      <c r="E61" s="124">
        <v>32.299999999999997</v>
      </c>
      <c r="F61" s="125">
        <f t="shared" si="3"/>
        <v>10.286624203821654</v>
      </c>
      <c r="G61" s="122" t="s">
        <v>91</v>
      </c>
      <c r="H61" s="126"/>
      <c r="I61" s="51">
        <f>AVERAGE(0.45,0.51)</f>
        <v>0.48</v>
      </c>
      <c r="J61" s="127">
        <f t="shared" si="4"/>
        <v>11.392983003367275</v>
      </c>
      <c r="K61" s="128">
        <f t="shared" si="5"/>
        <v>19.331546504156517</v>
      </c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</row>
    <row r="62" spans="1:24" ht="15.5">
      <c r="A62" s="121">
        <v>4</v>
      </c>
      <c r="B62" s="129" t="s">
        <v>410</v>
      </c>
      <c r="C62" s="16" t="s">
        <v>411</v>
      </c>
      <c r="D62" s="129">
        <v>8</v>
      </c>
      <c r="E62" s="125">
        <v>36.6</v>
      </c>
      <c r="F62" s="125">
        <f t="shared" si="3"/>
        <v>11.656050955414013</v>
      </c>
      <c r="G62" s="126"/>
      <c r="H62" s="126"/>
      <c r="I62" s="51">
        <v>0.97</v>
      </c>
      <c r="J62" s="127">
        <f t="shared" si="4"/>
        <v>12.789878668505821</v>
      </c>
      <c r="K62" s="128">
        <f t="shared" si="5"/>
        <v>60.038317036863802</v>
      </c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</row>
    <row r="63" spans="1:24" ht="15.5">
      <c r="A63" s="121">
        <v>4</v>
      </c>
      <c r="B63" s="129" t="s">
        <v>295</v>
      </c>
      <c r="C63" s="16" t="s">
        <v>412</v>
      </c>
      <c r="D63" s="122">
        <v>6.8</v>
      </c>
      <c r="E63" s="124">
        <v>11.3</v>
      </c>
      <c r="F63" s="125">
        <f t="shared" si="3"/>
        <v>3.5987261146496814</v>
      </c>
      <c r="G63" s="126"/>
      <c r="H63" s="51" t="s">
        <v>413</v>
      </c>
      <c r="I63" s="51">
        <f>AVERAGE(0.7,0.85)</f>
        <v>0.77499999999999991</v>
      </c>
      <c r="J63" s="127">
        <f t="shared" si="4"/>
        <v>9.2939297456286258</v>
      </c>
      <c r="K63" s="128">
        <f t="shared" si="5"/>
        <v>4.1505406658250887</v>
      </c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</row>
    <row r="64" spans="1:24" ht="15.5">
      <c r="A64" s="121">
        <v>4</v>
      </c>
      <c r="B64" s="129" t="s">
        <v>414</v>
      </c>
      <c r="C64" s="16" t="s">
        <v>341</v>
      </c>
      <c r="D64" s="122">
        <v>7</v>
      </c>
      <c r="E64" s="124">
        <v>23.3</v>
      </c>
      <c r="F64" s="125">
        <f t="shared" si="3"/>
        <v>7.4203821656050959</v>
      </c>
      <c r="G64" s="126"/>
      <c r="H64" s="126"/>
      <c r="I64" s="126"/>
      <c r="J64" s="127">
        <f t="shared" si="4"/>
        <v>10.334720751348939</v>
      </c>
      <c r="K64" s="128">
        <f t="shared" si="5"/>
        <v>0</v>
      </c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</row>
    <row r="65" spans="1:24" ht="15.5">
      <c r="A65" s="121">
        <v>4</v>
      </c>
      <c r="B65" s="129" t="s">
        <v>414</v>
      </c>
      <c r="C65" s="16" t="s">
        <v>341</v>
      </c>
      <c r="D65" s="122">
        <v>3.2</v>
      </c>
      <c r="E65" s="124">
        <f>SUM(12.3+7.4)</f>
        <v>19.700000000000003</v>
      </c>
      <c r="F65" s="125">
        <f t="shared" si="3"/>
        <v>6.2738853503184719</v>
      </c>
      <c r="G65" s="126"/>
      <c r="H65" s="126"/>
      <c r="I65" s="126"/>
      <c r="J65" s="127">
        <f t="shared" si="4"/>
        <v>9.4265503387561367</v>
      </c>
      <c r="K65" s="128">
        <f t="shared" si="5"/>
        <v>0</v>
      </c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</row>
    <row r="66" spans="1:24" ht="15.5">
      <c r="A66" s="121">
        <v>4</v>
      </c>
      <c r="B66" s="129" t="s">
        <v>414</v>
      </c>
      <c r="C66" s="16" t="s">
        <v>341</v>
      </c>
      <c r="D66" s="122">
        <v>6</v>
      </c>
      <c r="E66" s="124">
        <v>26.6</v>
      </c>
      <c r="F66" s="125">
        <f t="shared" si="3"/>
        <v>8.4713375796178347</v>
      </c>
      <c r="G66" s="126"/>
      <c r="H66" s="126"/>
      <c r="I66" s="126"/>
      <c r="J66" s="127">
        <f t="shared" si="4"/>
        <v>10.492734768144752</v>
      </c>
      <c r="K66" s="128">
        <f t="shared" si="5"/>
        <v>0</v>
      </c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</row>
    <row r="67" spans="1:24" ht="15.5">
      <c r="A67" s="121">
        <v>4</v>
      </c>
      <c r="B67" s="129" t="s">
        <v>352</v>
      </c>
      <c r="C67" s="16" t="s">
        <v>56</v>
      </c>
      <c r="D67" s="129">
        <v>3.5</v>
      </c>
      <c r="E67" s="125">
        <f>SUM(14.6+13.4)</f>
        <v>28</v>
      </c>
      <c r="F67" s="125">
        <f t="shared" si="3"/>
        <v>8.9171974522292992</v>
      </c>
      <c r="G67" s="126"/>
      <c r="H67" s="126"/>
      <c r="I67" s="51">
        <f>AVERAGE(0.58,0.77)</f>
        <v>0.67500000000000004</v>
      </c>
      <c r="J67" s="127">
        <f t="shared" si="4"/>
        <v>9.9597760274250469</v>
      </c>
      <c r="K67" s="128">
        <f t="shared" si="5"/>
        <v>11.149920271504941</v>
      </c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</row>
    <row r="68" spans="1:24" ht="15.5">
      <c r="A68" s="121">
        <v>4</v>
      </c>
      <c r="B68" s="129" t="s">
        <v>352</v>
      </c>
      <c r="C68" s="16" t="s">
        <v>56</v>
      </c>
      <c r="D68" s="122">
        <v>6</v>
      </c>
      <c r="E68" s="124">
        <f>SUM(23.3+18.5+26.3+22.2)</f>
        <v>90.3</v>
      </c>
      <c r="F68" s="125">
        <f t="shared" ref="F68:F93" si="6">E68/3.14</f>
        <v>28.757961783439487</v>
      </c>
      <c r="G68" s="126"/>
      <c r="H68" s="126"/>
      <c r="I68" s="51">
        <f>AVERAGE(0.58,0.77)</f>
        <v>0.67500000000000004</v>
      </c>
      <c r="J68" s="127">
        <f t="shared" ref="J68:J93" si="7">8.9857+0.0035*(F68)^2*(D68)</f>
        <v>26.353127684693092</v>
      </c>
      <c r="K68" s="128">
        <f t="shared" ref="K68:K93" si="8">0.0673*(I68*F68^2*D68)^0.976</f>
        <v>185.51839674202924</v>
      </c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</row>
    <row r="69" spans="1:24" ht="15.5">
      <c r="A69" s="121">
        <v>4</v>
      </c>
      <c r="B69" s="129" t="s">
        <v>352</v>
      </c>
      <c r="C69" s="16" t="s">
        <v>56</v>
      </c>
      <c r="D69" s="122">
        <v>5</v>
      </c>
      <c r="E69" s="124">
        <f>SUM(3.4+10.4+24.6+18.5)</f>
        <v>56.900000000000006</v>
      </c>
      <c r="F69" s="125">
        <f t="shared" si="6"/>
        <v>18.121019108280255</v>
      </c>
      <c r="G69" s="126"/>
      <c r="H69" s="126"/>
      <c r="I69" s="51">
        <f>AVERAGE(0.58,0.77)</f>
        <v>0.67500000000000004</v>
      </c>
      <c r="J69" s="127">
        <f t="shared" si="7"/>
        <v>14.732198336646517</v>
      </c>
      <c r="K69" s="128">
        <f t="shared" si="8"/>
        <v>63.035142898747132</v>
      </c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</row>
    <row r="70" spans="1:24" ht="15.5">
      <c r="A70" s="121">
        <v>4</v>
      </c>
      <c r="B70" s="129" t="s">
        <v>352</v>
      </c>
      <c r="C70" s="16" t="s">
        <v>56</v>
      </c>
      <c r="D70" s="129">
        <v>6</v>
      </c>
      <c r="E70" s="125">
        <f>SUM(28.3+16.5+16.6)</f>
        <v>61.4</v>
      </c>
      <c r="F70" s="125">
        <f t="shared" si="6"/>
        <v>19.554140127388536</v>
      </c>
      <c r="G70" s="126"/>
      <c r="H70" s="126"/>
      <c r="I70" s="51">
        <f>AVERAGE(0.58,0.77)</f>
        <v>0.67500000000000004</v>
      </c>
      <c r="J70" s="127">
        <f t="shared" si="7"/>
        <v>17.015352318552477</v>
      </c>
      <c r="K70" s="128">
        <f t="shared" si="8"/>
        <v>87.375395447987898</v>
      </c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</row>
    <row r="71" spans="1:24" ht="15.5">
      <c r="A71" s="121">
        <v>4</v>
      </c>
      <c r="B71" s="129" t="s">
        <v>344</v>
      </c>
      <c r="C71" s="137" t="s">
        <v>127</v>
      </c>
      <c r="D71" s="122">
        <v>8</v>
      </c>
      <c r="E71" s="124">
        <v>45.3</v>
      </c>
      <c r="F71" s="125">
        <f t="shared" si="6"/>
        <v>14.426751592356686</v>
      </c>
      <c r="G71" s="126"/>
      <c r="H71" s="126"/>
      <c r="I71" s="51">
        <v>0.53</v>
      </c>
      <c r="J71" s="127">
        <f t="shared" si="7"/>
        <v>14.813372522211854</v>
      </c>
      <c r="K71" s="128">
        <f t="shared" si="8"/>
        <v>50.468588377512603</v>
      </c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</row>
    <row r="72" spans="1:24" ht="15.5">
      <c r="A72" s="121">
        <v>4</v>
      </c>
      <c r="B72" s="122" t="s">
        <v>344</v>
      </c>
      <c r="C72" s="137" t="s">
        <v>127</v>
      </c>
      <c r="D72" s="122">
        <v>7</v>
      </c>
      <c r="E72" s="124">
        <f>SUM(49.9+36.3)</f>
        <v>86.199999999999989</v>
      </c>
      <c r="F72" s="125">
        <f t="shared" si="6"/>
        <v>27.452229299363054</v>
      </c>
      <c r="G72" s="126"/>
      <c r="H72" s="126"/>
      <c r="I72" s="51">
        <v>0.53</v>
      </c>
      <c r="J72" s="127">
        <f t="shared" si="7"/>
        <v>27.44950989086778</v>
      </c>
      <c r="K72" s="128">
        <f t="shared" si="8"/>
        <v>155.53477664220566</v>
      </c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</row>
    <row r="73" spans="1:24" ht="15.5">
      <c r="A73" s="121">
        <v>4</v>
      </c>
      <c r="B73" s="122" t="s">
        <v>344</v>
      </c>
      <c r="C73" s="137" t="s">
        <v>127</v>
      </c>
      <c r="D73" s="122">
        <v>7.5</v>
      </c>
      <c r="E73" s="124">
        <v>65.5</v>
      </c>
      <c r="F73" s="125">
        <f t="shared" si="6"/>
        <v>20.859872611464969</v>
      </c>
      <c r="G73" s="126"/>
      <c r="H73" s="126"/>
      <c r="I73" s="51">
        <v>0.53</v>
      </c>
      <c r="J73" s="127">
        <f t="shared" si="7"/>
        <v>20.407974990871843</v>
      </c>
      <c r="K73" s="128">
        <f t="shared" si="8"/>
        <v>97.333972933363469</v>
      </c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</row>
    <row r="74" spans="1:24" ht="15.5">
      <c r="A74" s="121">
        <v>4</v>
      </c>
      <c r="B74" s="122" t="s">
        <v>91</v>
      </c>
      <c r="C74" s="141" t="s">
        <v>91</v>
      </c>
      <c r="D74" s="122">
        <v>5</v>
      </c>
      <c r="E74" s="124">
        <v>31.7</v>
      </c>
      <c r="F74" s="125">
        <f t="shared" si="6"/>
        <v>10.095541401273884</v>
      </c>
      <c r="G74" s="122" t="s">
        <v>91</v>
      </c>
      <c r="H74" s="126"/>
      <c r="I74" s="51">
        <f>AVERAGE(0.45,0.51)</f>
        <v>0.48</v>
      </c>
      <c r="J74" s="127">
        <f t="shared" si="7"/>
        <v>10.769299233234612</v>
      </c>
      <c r="K74" s="128">
        <f t="shared" si="8"/>
        <v>14.426541950053817</v>
      </c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</row>
    <row r="75" spans="1:24" ht="15.5">
      <c r="A75" s="121">
        <v>4</v>
      </c>
      <c r="B75" s="122" t="s">
        <v>91</v>
      </c>
      <c r="C75" s="141" t="s">
        <v>91</v>
      </c>
      <c r="D75" s="122">
        <v>7</v>
      </c>
      <c r="E75" s="124">
        <v>53</v>
      </c>
      <c r="F75" s="125">
        <f t="shared" si="6"/>
        <v>16.878980891719745</v>
      </c>
      <c r="G75" s="122" t="s">
        <v>91</v>
      </c>
      <c r="H75" s="126"/>
      <c r="I75" s="51">
        <f>AVERAGE(0.45,0.51)</f>
        <v>0.48</v>
      </c>
      <c r="J75" s="127">
        <f t="shared" si="7"/>
        <v>15.965749900604486</v>
      </c>
      <c r="K75" s="128">
        <f t="shared" si="8"/>
        <v>54.638909550309535</v>
      </c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</row>
    <row r="76" spans="1:24" ht="15.5">
      <c r="A76" s="121">
        <v>4</v>
      </c>
      <c r="B76" s="129" t="s">
        <v>425</v>
      </c>
      <c r="C76" s="126"/>
      <c r="D76" s="122">
        <v>3</v>
      </c>
      <c r="E76" s="125">
        <f>SUM(8.3+7.5)</f>
        <v>15.8</v>
      </c>
      <c r="F76" s="125">
        <f t="shared" si="6"/>
        <v>5.031847133757962</v>
      </c>
      <c r="G76" s="126"/>
      <c r="H76" s="126"/>
      <c r="I76" s="126"/>
      <c r="J76" s="127">
        <f t="shared" si="7"/>
        <v>9.2515545985638354</v>
      </c>
      <c r="K76" s="128">
        <f t="shared" si="8"/>
        <v>0</v>
      </c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</row>
    <row r="77" spans="1:24" ht="15.5">
      <c r="A77" s="121">
        <v>4</v>
      </c>
      <c r="B77" s="129" t="s">
        <v>426</v>
      </c>
      <c r="C77" s="126"/>
      <c r="D77" s="122">
        <v>4.5</v>
      </c>
      <c r="E77" s="124">
        <v>23.4</v>
      </c>
      <c r="F77" s="125">
        <f t="shared" si="6"/>
        <v>7.452229299363057</v>
      </c>
      <c r="G77" s="126"/>
      <c r="H77" s="126"/>
      <c r="I77" s="126"/>
      <c r="J77" s="127">
        <f t="shared" si="7"/>
        <v>9.8603876141019917</v>
      </c>
      <c r="K77" s="128">
        <f t="shared" si="8"/>
        <v>0</v>
      </c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</row>
    <row r="78" spans="1:24" ht="15.5">
      <c r="A78" s="121">
        <v>4</v>
      </c>
      <c r="B78" s="122" t="s">
        <v>91</v>
      </c>
      <c r="C78" s="126"/>
      <c r="D78" s="122">
        <v>7</v>
      </c>
      <c r="E78" s="124">
        <v>35.299999999999997</v>
      </c>
      <c r="F78" s="125">
        <f t="shared" si="6"/>
        <v>11.242038216560509</v>
      </c>
      <c r="G78" s="122" t="s">
        <v>91</v>
      </c>
      <c r="H78" s="126"/>
      <c r="I78" s="51">
        <f>AVERAGE(0.45,0.51)</f>
        <v>0.48</v>
      </c>
      <c r="J78" s="127">
        <f t="shared" si="7"/>
        <v>12.082093869933871</v>
      </c>
      <c r="K78" s="128">
        <f t="shared" si="8"/>
        <v>24.715633742112662</v>
      </c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</row>
    <row r="79" spans="1:24" ht="15.5">
      <c r="A79" s="121">
        <v>5</v>
      </c>
      <c r="B79" s="122" t="s">
        <v>286</v>
      </c>
      <c r="C79" s="16" t="s">
        <v>287</v>
      </c>
      <c r="D79" s="122">
        <v>7</v>
      </c>
      <c r="E79" s="124">
        <f>SUM(33.4+16.5)</f>
        <v>49.9</v>
      </c>
      <c r="F79" s="125">
        <f t="shared" si="6"/>
        <v>15.891719745222929</v>
      </c>
      <c r="G79" s="126"/>
      <c r="H79" s="126"/>
      <c r="I79" s="51">
        <f>AVERAGE(0.5,0.7)</f>
        <v>0.6</v>
      </c>
      <c r="J79" s="127">
        <f t="shared" si="7"/>
        <v>15.173095533287354</v>
      </c>
      <c r="K79" s="128">
        <f t="shared" si="8"/>
        <v>60.393745381320102</v>
      </c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</row>
    <row r="80" spans="1:24" ht="15.5">
      <c r="A80" s="121">
        <v>5</v>
      </c>
      <c r="B80" s="122" t="s">
        <v>414</v>
      </c>
      <c r="C80" s="16" t="s">
        <v>341</v>
      </c>
      <c r="D80" s="122">
        <v>7</v>
      </c>
      <c r="E80" s="124">
        <f>SUM(43.4+27.5)</f>
        <v>70.900000000000006</v>
      </c>
      <c r="F80" s="125">
        <f t="shared" si="6"/>
        <v>22.579617834394906</v>
      </c>
      <c r="G80" s="126"/>
      <c r="H80" s="126"/>
      <c r="I80" s="126"/>
      <c r="J80" s="127">
        <f t="shared" si="7"/>
        <v>21.476758967909451</v>
      </c>
      <c r="K80" s="128">
        <f t="shared" si="8"/>
        <v>0</v>
      </c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</row>
    <row r="81" spans="1:24" ht="15.5">
      <c r="A81" s="121">
        <v>5</v>
      </c>
      <c r="B81" s="122" t="s">
        <v>414</v>
      </c>
      <c r="C81" s="16" t="s">
        <v>341</v>
      </c>
      <c r="D81" s="122">
        <v>8</v>
      </c>
      <c r="E81" s="124">
        <v>43.3</v>
      </c>
      <c r="F81" s="125">
        <f t="shared" si="6"/>
        <v>13.789808917197451</v>
      </c>
      <c r="G81" s="126"/>
      <c r="H81" s="126"/>
      <c r="I81" s="126"/>
      <c r="J81" s="127">
        <f t="shared" si="7"/>
        <v>14.310147239238914</v>
      </c>
      <c r="K81" s="128">
        <f t="shared" si="8"/>
        <v>0</v>
      </c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</row>
    <row r="82" spans="1:24" ht="15.5">
      <c r="A82" s="121">
        <v>5</v>
      </c>
      <c r="B82" s="129" t="s">
        <v>352</v>
      </c>
      <c r="C82" s="137" t="s">
        <v>56</v>
      </c>
      <c r="D82" s="122">
        <v>8</v>
      </c>
      <c r="E82" s="124">
        <f>SUM(29.4+14.3)</f>
        <v>43.7</v>
      </c>
      <c r="F82" s="125">
        <f t="shared" si="6"/>
        <v>13.917197452229299</v>
      </c>
      <c r="G82" s="126"/>
      <c r="H82" s="126"/>
      <c r="I82" s="51">
        <f>AVERAGE(0.58,0.77)</f>
        <v>0.67500000000000004</v>
      </c>
      <c r="J82" s="127">
        <f t="shared" si="7"/>
        <v>14.408974777881454</v>
      </c>
      <c r="K82" s="128">
        <f t="shared" si="8"/>
        <v>59.572313420287735</v>
      </c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</row>
    <row r="83" spans="1:24" ht="15.5">
      <c r="A83" s="121">
        <v>5</v>
      </c>
      <c r="B83" s="129" t="s">
        <v>352</v>
      </c>
      <c r="C83" s="137" t="s">
        <v>56</v>
      </c>
      <c r="D83" s="122">
        <v>3.5</v>
      </c>
      <c r="E83" s="124">
        <f>SUM(10.5+9.6)</f>
        <v>20.100000000000001</v>
      </c>
      <c r="F83" s="125">
        <f t="shared" si="6"/>
        <v>6.401273885350319</v>
      </c>
      <c r="G83" s="126"/>
      <c r="H83" s="126"/>
      <c r="I83" s="51">
        <f>AVERAGE(0.58,0.77)</f>
        <v>0.67500000000000004</v>
      </c>
      <c r="J83" s="127">
        <f t="shared" si="7"/>
        <v>9.4876597651020322</v>
      </c>
      <c r="K83" s="128">
        <f t="shared" si="8"/>
        <v>5.8379179770026006</v>
      </c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</row>
    <row r="84" spans="1:24" ht="15.5">
      <c r="A84" s="121">
        <v>5</v>
      </c>
      <c r="B84" s="122" t="s">
        <v>344</v>
      </c>
      <c r="C84" s="137" t="s">
        <v>127</v>
      </c>
      <c r="D84" s="122">
        <v>15</v>
      </c>
      <c r="E84" s="124">
        <v>117.5</v>
      </c>
      <c r="F84" s="125">
        <f t="shared" si="6"/>
        <v>37.420382165605091</v>
      </c>
      <c r="G84" s="126"/>
      <c r="H84" s="126"/>
      <c r="I84" s="51">
        <v>0.53</v>
      </c>
      <c r="J84" s="127">
        <f t="shared" si="7"/>
        <v>82.50066257454661</v>
      </c>
      <c r="K84" s="128">
        <f t="shared" si="8"/>
        <v>599.074210899165</v>
      </c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</row>
    <row r="85" spans="1:24" ht="15.5">
      <c r="A85" s="121">
        <v>5</v>
      </c>
      <c r="B85" s="122" t="s">
        <v>344</v>
      </c>
      <c r="C85" s="137" t="s">
        <v>127</v>
      </c>
      <c r="D85" s="122">
        <v>12</v>
      </c>
      <c r="E85" s="124">
        <f>SUM(53.4+60.7)</f>
        <v>114.1</v>
      </c>
      <c r="F85" s="125">
        <f t="shared" si="6"/>
        <v>36.337579617834393</v>
      </c>
      <c r="G85" s="126"/>
      <c r="H85" s="126"/>
      <c r="I85" s="51">
        <v>0.53</v>
      </c>
      <c r="J85" s="127">
        <f t="shared" si="7"/>
        <v>64.443327084263046</v>
      </c>
      <c r="K85" s="128">
        <f t="shared" si="8"/>
        <v>454.99237015778601</v>
      </c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</row>
    <row r="86" spans="1:24" ht="15.5">
      <c r="A86" s="121">
        <v>5</v>
      </c>
      <c r="B86" s="122" t="s">
        <v>344</v>
      </c>
      <c r="C86" s="137" t="s">
        <v>127</v>
      </c>
      <c r="D86" s="122">
        <v>10</v>
      </c>
      <c r="E86" s="124">
        <v>51.6</v>
      </c>
      <c r="F86" s="125">
        <f t="shared" si="6"/>
        <v>16.433121019108281</v>
      </c>
      <c r="G86" s="126"/>
      <c r="H86" s="126"/>
      <c r="I86" s="51">
        <v>0.53</v>
      </c>
      <c r="J86" s="127">
        <f t="shared" si="7"/>
        <v>18.437361325003042</v>
      </c>
      <c r="K86" s="128">
        <f t="shared" si="8"/>
        <v>80.908445569176521</v>
      </c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</row>
    <row r="87" spans="1:24" ht="15.5">
      <c r="A87" s="121">
        <v>5</v>
      </c>
      <c r="B87" s="122" t="s">
        <v>344</v>
      </c>
      <c r="C87" s="137" t="s">
        <v>127</v>
      </c>
      <c r="D87" s="122">
        <v>11</v>
      </c>
      <c r="E87" s="124">
        <v>67.400000000000006</v>
      </c>
      <c r="F87" s="125">
        <f t="shared" si="6"/>
        <v>21.464968152866241</v>
      </c>
      <c r="G87" s="126"/>
      <c r="H87" s="126"/>
      <c r="I87" s="51">
        <v>0.53</v>
      </c>
      <c r="J87" s="127">
        <f t="shared" si="7"/>
        <v>26.724377025437136</v>
      </c>
      <c r="K87" s="128">
        <f t="shared" si="8"/>
        <v>149.57018081278497</v>
      </c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</row>
    <row r="88" spans="1:24" ht="15.5">
      <c r="A88" s="121">
        <v>5</v>
      </c>
      <c r="B88" s="122" t="s">
        <v>409</v>
      </c>
      <c r="C88" s="16" t="s">
        <v>107</v>
      </c>
      <c r="D88" s="122">
        <v>7.5</v>
      </c>
      <c r="E88" s="124">
        <v>32.6</v>
      </c>
      <c r="F88" s="125">
        <f t="shared" si="6"/>
        <v>10.382165605095542</v>
      </c>
      <c r="G88" s="126"/>
      <c r="H88" s="126"/>
      <c r="I88" s="51">
        <f>AVERAGE(0.56,0.7)</f>
        <v>0.63</v>
      </c>
      <c r="J88" s="127">
        <f t="shared" si="7"/>
        <v>11.815170769605258</v>
      </c>
      <c r="K88" s="128">
        <f t="shared" si="8"/>
        <v>29.513812633019207</v>
      </c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</row>
    <row r="89" spans="1:24" ht="15.5">
      <c r="A89" s="121">
        <v>5</v>
      </c>
      <c r="B89" s="122" t="s">
        <v>91</v>
      </c>
      <c r="C89" s="141" t="s">
        <v>91</v>
      </c>
      <c r="D89" s="122">
        <v>10</v>
      </c>
      <c r="E89" s="124">
        <f>SUM(54.6+90.3)</f>
        <v>144.9</v>
      </c>
      <c r="F89" s="125">
        <f t="shared" si="6"/>
        <v>46.146496815286625</v>
      </c>
      <c r="G89" s="122" t="s">
        <v>91</v>
      </c>
      <c r="H89" s="126"/>
      <c r="I89" s="51">
        <f>AVERAGE(0.45,0.51)</f>
        <v>0.48</v>
      </c>
      <c r="J89" s="127">
        <f t="shared" si="7"/>
        <v>83.518170891314057</v>
      </c>
      <c r="K89" s="128">
        <f t="shared" si="8"/>
        <v>551.19507355871508</v>
      </c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</row>
    <row r="90" spans="1:24" ht="15.5">
      <c r="A90" s="121">
        <v>5</v>
      </c>
      <c r="B90" s="122" t="s">
        <v>91</v>
      </c>
      <c r="C90" s="141" t="s">
        <v>91</v>
      </c>
      <c r="D90" s="122">
        <v>6</v>
      </c>
      <c r="E90" s="124">
        <v>35.5</v>
      </c>
      <c r="F90" s="125">
        <f t="shared" si="6"/>
        <v>11.305732484076433</v>
      </c>
      <c r="G90" s="122" t="s">
        <v>91</v>
      </c>
      <c r="H90" s="126"/>
      <c r="I90" s="51">
        <f>AVERAGE(0.45,0.51)</f>
        <v>0.48</v>
      </c>
      <c r="J90" s="127">
        <f t="shared" si="7"/>
        <v>11.669911327031523</v>
      </c>
      <c r="K90" s="128">
        <f t="shared" si="8"/>
        <v>21.499145772750627</v>
      </c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</row>
    <row r="91" spans="1:24" ht="15.5">
      <c r="A91" s="121">
        <v>5</v>
      </c>
      <c r="B91" s="122" t="s">
        <v>91</v>
      </c>
      <c r="C91" s="141" t="s">
        <v>91</v>
      </c>
      <c r="D91" s="129">
        <v>6</v>
      </c>
      <c r="E91" s="125">
        <v>76.5</v>
      </c>
      <c r="F91" s="125">
        <f t="shared" si="6"/>
        <v>24.363057324840764</v>
      </c>
      <c r="G91" s="122" t="s">
        <v>91</v>
      </c>
      <c r="H91" s="126"/>
      <c r="I91" s="51">
        <f>AVERAGE(0.45,0.51)</f>
        <v>0.48</v>
      </c>
      <c r="J91" s="127">
        <f t="shared" si="7"/>
        <v>21.450429806483022</v>
      </c>
      <c r="K91" s="128">
        <f t="shared" si="8"/>
        <v>96.223817040976201</v>
      </c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</row>
    <row r="92" spans="1:24" ht="15.5">
      <c r="A92" s="121">
        <v>5</v>
      </c>
      <c r="B92" s="122" t="s">
        <v>91</v>
      </c>
      <c r="C92" s="141" t="s">
        <v>91</v>
      </c>
      <c r="D92" s="129">
        <v>8.4</v>
      </c>
      <c r="E92" s="125">
        <v>37.5</v>
      </c>
      <c r="F92" s="125">
        <f t="shared" si="6"/>
        <v>11.942675159235668</v>
      </c>
      <c r="G92" s="122" t="s">
        <v>91</v>
      </c>
      <c r="H92" s="126"/>
      <c r="I92" s="51">
        <f>AVERAGE(0.45,0.51)</f>
        <v>0.48</v>
      </c>
      <c r="J92" s="127">
        <f t="shared" si="7"/>
        <v>13.178948204795326</v>
      </c>
      <c r="K92" s="128">
        <f t="shared" si="8"/>
        <v>33.228096010718112</v>
      </c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</row>
    <row r="93" spans="1:24" ht="15.5">
      <c r="A93" s="121">
        <v>5</v>
      </c>
      <c r="B93" s="122" t="s">
        <v>426</v>
      </c>
      <c r="C93" s="126"/>
      <c r="D93" s="122">
        <v>5</v>
      </c>
      <c r="E93" s="124">
        <v>22.4</v>
      </c>
      <c r="F93" s="125">
        <f t="shared" si="6"/>
        <v>7.1337579617834388</v>
      </c>
      <c r="G93" s="126"/>
      <c r="H93" s="126"/>
      <c r="I93" s="126"/>
      <c r="J93" s="127">
        <f t="shared" si="7"/>
        <v>9.8762837965029</v>
      </c>
      <c r="K93" s="128">
        <f t="shared" si="8"/>
        <v>0</v>
      </c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</row>
    <row r="94" spans="1:24" ht="14.5">
      <c r="A94" s="109"/>
      <c r="B94" s="109"/>
      <c r="C94" s="109"/>
      <c r="D94" s="109"/>
      <c r="E94" s="110"/>
      <c r="F94" s="110"/>
      <c r="G94" s="109"/>
      <c r="H94" s="109"/>
      <c r="I94" s="109"/>
      <c r="J94" s="142"/>
      <c r="K94" s="111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</row>
    <row r="95" spans="1:24" ht="14.5">
      <c r="A95" s="109"/>
      <c r="B95" s="109"/>
      <c r="C95" s="109"/>
      <c r="D95" s="109"/>
      <c r="E95" s="110"/>
      <c r="F95" s="110"/>
      <c r="G95" s="109"/>
      <c r="H95" s="109"/>
      <c r="I95" s="109"/>
      <c r="J95" s="142"/>
      <c r="K95" s="111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</row>
    <row r="96" spans="1:24" ht="14.5">
      <c r="A96" s="109"/>
      <c r="B96" s="109"/>
      <c r="C96" s="109"/>
      <c r="D96" s="109"/>
      <c r="E96" s="110"/>
      <c r="F96" s="110"/>
      <c r="G96" s="109"/>
      <c r="H96" s="109"/>
      <c r="I96" s="109"/>
      <c r="J96" s="142"/>
      <c r="K96" s="111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</row>
    <row r="97" spans="1:24" ht="14.5">
      <c r="A97" s="109"/>
      <c r="B97" s="109"/>
      <c r="C97" s="109"/>
      <c r="D97" s="109"/>
      <c r="E97" s="110"/>
      <c r="F97" s="110"/>
      <c r="G97" s="109"/>
      <c r="H97" s="109"/>
      <c r="I97" s="109"/>
      <c r="J97" s="142"/>
      <c r="K97" s="111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</row>
    <row r="98" spans="1:24" ht="14.5">
      <c r="A98" s="109"/>
      <c r="B98" s="109"/>
      <c r="C98" s="109"/>
      <c r="D98" s="109"/>
      <c r="E98" s="110"/>
      <c r="F98" s="110"/>
      <c r="G98" s="109"/>
      <c r="H98" s="109"/>
      <c r="I98" s="109"/>
      <c r="J98" s="142"/>
      <c r="K98" s="111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</row>
    <row r="99" spans="1:24" ht="14.5">
      <c r="A99" s="109"/>
      <c r="B99" s="109"/>
      <c r="C99" s="109"/>
      <c r="D99" s="109"/>
      <c r="E99" s="110"/>
      <c r="F99" s="110"/>
      <c r="G99" s="109"/>
      <c r="H99" s="109"/>
      <c r="I99" s="109"/>
      <c r="J99" s="142"/>
      <c r="K99" s="111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</row>
    <row r="100" spans="1:24" ht="14.5">
      <c r="A100" s="109"/>
      <c r="B100" s="109"/>
      <c r="C100" s="109"/>
      <c r="D100" s="109"/>
      <c r="E100" s="110"/>
      <c r="F100" s="110"/>
      <c r="G100" s="109"/>
      <c r="H100" s="109"/>
      <c r="I100" s="109"/>
      <c r="J100" s="142"/>
      <c r="K100" s="111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</row>
    <row r="101" spans="1:24" ht="14.5">
      <c r="A101" s="109"/>
      <c r="B101" s="109"/>
      <c r="C101" s="109"/>
      <c r="D101" s="109"/>
      <c r="E101" s="110"/>
      <c r="F101" s="110"/>
      <c r="G101" s="109"/>
      <c r="H101" s="109"/>
      <c r="I101" s="109"/>
      <c r="J101" s="142"/>
      <c r="K101" s="111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</row>
    <row r="102" spans="1:24" ht="14.5">
      <c r="A102" s="109"/>
      <c r="B102" s="109"/>
      <c r="C102" s="109"/>
      <c r="D102" s="109"/>
      <c r="E102" s="110"/>
      <c r="F102" s="110"/>
      <c r="G102" s="109"/>
      <c r="H102" s="109"/>
      <c r="I102" s="109"/>
      <c r="J102" s="142"/>
      <c r="K102" s="111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</row>
    <row r="103" spans="1:24" ht="14.5">
      <c r="A103" s="109"/>
      <c r="B103" s="109"/>
      <c r="C103" s="109"/>
      <c r="D103" s="109"/>
      <c r="E103" s="110"/>
      <c r="F103" s="110"/>
      <c r="G103" s="109"/>
      <c r="H103" s="109"/>
      <c r="I103" s="109"/>
      <c r="J103" s="142"/>
      <c r="K103" s="111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</row>
    <row r="104" spans="1:24" ht="14.5">
      <c r="A104" s="109"/>
      <c r="B104" s="109"/>
      <c r="C104" s="109"/>
      <c r="D104" s="109"/>
      <c r="E104" s="110"/>
      <c r="F104" s="110"/>
      <c r="G104" s="109"/>
      <c r="H104" s="109"/>
      <c r="I104" s="109"/>
      <c r="J104" s="142"/>
      <c r="K104" s="111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</row>
    <row r="105" spans="1:24" ht="14.5">
      <c r="A105" s="109"/>
      <c r="B105" s="109"/>
      <c r="C105" s="109"/>
      <c r="D105" s="109"/>
      <c r="E105" s="110"/>
      <c r="F105" s="110"/>
      <c r="G105" s="109"/>
      <c r="H105" s="109"/>
      <c r="I105" s="109"/>
      <c r="J105" s="142"/>
      <c r="K105" s="111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</row>
    <row r="106" spans="1:24" ht="14.5">
      <c r="A106" s="109"/>
      <c r="B106" s="109"/>
      <c r="C106" s="109"/>
      <c r="D106" s="109"/>
      <c r="E106" s="110"/>
      <c r="F106" s="110"/>
      <c r="G106" s="109"/>
      <c r="H106" s="109"/>
      <c r="I106" s="109"/>
      <c r="J106" s="142"/>
      <c r="K106" s="111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</row>
    <row r="107" spans="1:24" ht="14.5">
      <c r="A107" s="109"/>
      <c r="B107" s="109"/>
      <c r="C107" s="109"/>
      <c r="D107" s="109"/>
      <c r="E107" s="110"/>
      <c r="F107" s="110"/>
      <c r="G107" s="109"/>
      <c r="H107" s="109"/>
      <c r="I107" s="109"/>
      <c r="J107" s="142"/>
      <c r="K107" s="111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</row>
    <row r="108" spans="1:24" ht="14.5">
      <c r="A108" s="109"/>
      <c r="B108" s="109"/>
      <c r="C108" s="109"/>
      <c r="D108" s="109"/>
      <c r="E108" s="110"/>
      <c r="F108" s="110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</row>
    <row r="109" spans="1:24" ht="14.5">
      <c r="A109" s="109"/>
      <c r="B109" s="109"/>
      <c r="C109" s="109"/>
      <c r="D109" s="109"/>
      <c r="E109" s="110"/>
      <c r="F109" s="110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</row>
    <row r="110" spans="1:24" ht="14.5">
      <c r="A110" s="109"/>
      <c r="B110" s="109"/>
      <c r="C110" s="109"/>
      <c r="D110" s="109"/>
      <c r="E110" s="110"/>
      <c r="F110" s="110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</row>
    <row r="111" spans="1:24" ht="14.5">
      <c r="A111" s="109"/>
      <c r="B111" s="109"/>
      <c r="C111" s="109"/>
      <c r="D111" s="109"/>
      <c r="E111" s="110"/>
      <c r="F111" s="110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</row>
    <row r="112" spans="1:24" ht="14.5">
      <c r="A112" s="109"/>
      <c r="B112" s="109"/>
      <c r="C112" s="109"/>
      <c r="D112" s="109"/>
      <c r="E112" s="110"/>
      <c r="F112" s="110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</row>
    <row r="113" spans="1:24" ht="14.5">
      <c r="A113" s="109"/>
      <c r="B113" s="109"/>
      <c r="C113" s="109"/>
      <c r="D113" s="109"/>
      <c r="E113" s="110"/>
      <c r="F113" s="110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</row>
    <row r="114" spans="1:24" ht="14.5">
      <c r="A114" s="109"/>
      <c r="B114" s="109"/>
      <c r="C114" s="109"/>
      <c r="D114" s="109"/>
      <c r="E114" s="110"/>
      <c r="F114" s="110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</row>
    <row r="115" spans="1:24" ht="14.5">
      <c r="A115" s="109"/>
      <c r="B115" s="109"/>
      <c r="C115" s="109"/>
      <c r="D115" s="109"/>
      <c r="E115" s="110"/>
      <c r="F115" s="110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</row>
    <row r="116" spans="1:24" ht="14.5">
      <c r="A116" s="109"/>
      <c r="B116" s="109"/>
      <c r="C116" s="109"/>
      <c r="D116" s="109"/>
      <c r="E116" s="110"/>
      <c r="F116" s="110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</row>
    <row r="117" spans="1:24" ht="14.5">
      <c r="A117" s="109"/>
      <c r="B117" s="109"/>
      <c r="C117" s="109"/>
      <c r="D117" s="109"/>
      <c r="E117" s="110"/>
      <c r="F117" s="110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</row>
    <row r="118" spans="1:24" ht="14.5">
      <c r="A118" s="109"/>
      <c r="B118" s="109"/>
      <c r="C118" s="109"/>
      <c r="D118" s="109"/>
      <c r="E118" s="110"/>
      <c r="F118" s="110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</row>
    <row r="119" spans="1:24" ht="14.5">
      <c r="A119" s="109"/>
      <c r="B119" s="109"/>
      <c r="C119" s="109"/>
      <c r="D119" s="109"/>
      <c r="E119" s="110"/>
      <c r="F119" s="110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</row>
    <row r="120" spans="1:24" ht="14.5">
      <c r="A120" s="109"/>
      <c r="B120" s="109"/>
      <c r="C120" s="109"/>
      <c r="D120" s="109"/>
      <c r="E120" s="110"/>
      <c r="F120" s="110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</row>
    <row r="121" spans="1:24" ht="14.5">
      <c r="A121" s="109"/>
      <c r="B121" s="109"/>
      <c r="C121" s="109"/>
      <c r="D121" s="109"/>
      <c r="E121" s="110"/>
      <c r="F121" s="110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</row>
    <row r="122" spans="1:24" ht="14.5">
      <c r="A122" s="109"/>
      <c r="B122" s="109"/>
      <c r="C122" s="109"/>
      <c r="D122" s="109"/>
      <c r="E122" s="110"/>
      <c r="F122" s="110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</row>
    <row r="123" spans="1:24" ht="14.5">
      <c r="A123" s="109"/>
      <c r="B123" s="109"/>
      <c r="C123" s="109"/>
      <c r="D123" s="109"/>
      <c r="E123" s="110"/>
      <c r="F123" s="110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</row>
    <row r="124" spans="1:24" ht="14.5">
      <c r="A124" s="109"/>
      <c r="B124" s="109"/>
      <c r="C124" s="109"/>
      <c r="D124" s="109"/>
      <c r="E124" s="110"/>
      <c r="F124" s="110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</row>
    <row r="125" spans="1:24" ht="14.5">
      <c r="A125" s="109"/>
      <c r="B125" s="109"/>
      <c r="C125" s="109"/>
      <c r="D125" s="109"/>
      <c r="E125" s="110"/>
      <c r="F125" s="110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</row>
    <row r="126" spans="1:24" ht="14.5">
      <c r="A126" s="109"/>
      <c r="B126" s="109"/>
      <c r="C126" s="109"/>
      <c r="D126" s="109"/>
      <c r="E126" s="110"/>
      <c r="F126" s="110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</row>
    <row r="127" spans="1:24" ht="14.5">
      <c r="A127" s="109"/>
      <c r="B127" s="109"/>
      <c r="C127" s="109"/>
      <c r="D127" s="109"/>
      <c r="E127" s="110"/>
      <c r="F127" s="110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</row>
    <row r="128" spans="1:24" ht="14.5">
      <c r="A128" s="109"/>
      <c r="B128" s="109"/>
      <c r="C128" s="109"/>
      <c r="D128" s="109"/>
      <c r="E128" s="110"/>
      <c r="F128" s="110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</row>
    <row r="129" spans="1:24" ht="14.5">
      <c r="A129" s="109"/>
      <c r="B129" s="109"/>
      <c r="C129" s="109"/>
      <c r="D129" s="109"/>
      <c r="E129" s="110"/>
      <c r="F129" s="110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</row>
    <row r="130" spans="1:24" ht="14.5">
      <c r="A130" s="109"/>
      <c r="B130" s="109"/>
      <c r="C130" s="109"/>
      <c r="D130" s="109"/>
      <c r="E130" s="110"/>
      <c r="F130" s="110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</row>
    <row r="131" spans="1:24" ht="14.5">
      <c r="A131" s="109"/>
      <c r="B131" s="109"/>
      <c r="C131" s="109"/>
      <c r="D131" s="109"/>
      <c r="E131" s="110"/>
      <c r="F131" s="110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</row>
    <row r="132" spans="1:24" ht="14.5">
      <c r="A132" s="109"/>
      <c r="B132" s="109"/>
      <c r="C132" s="109"/>
      <c r="D132" s="109"/>
      <c r="E132" s="110"/>
      <c r="F132" s="110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</row>
    <row r="133" spans="1:24" ht="14.5">
      <c r="A133" s="109"/>
      <c r="B133" s="109"/>
      <c r="C133" s="109"/>
      <c r="D133" s="109"/>
      <c r="E133" s="110"/>
      <c r="F133" s="110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</row>
    <row r="134" spans="1:24" ht="14.5">
      <c r="A134" s="109"/>
      <c r="B134" s="109"/>
      <c r="C134" s="109"/>
      <c r="D134" s="109"/>
      <c r="E134" s="110"/>
      <c r="F134" s="110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</row>
    <row r="135" spans="1:24" ht="14.5">
      <c r="A135" s="109"/>
      <c r="B135" s="109"/>
      <c r="C135" s="109"/>
      <c r="D135" s="109"/>
      <c r="E135" s="110"/>
      <c r="F135" s="110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</row>
    <row r="136" spans="1:24" ht="14.5">
      <c r="A136" s="109"/>
      <c r="B136" s="109"/>
      <c r="C136" s="109"/>
      <c r="D136" s="109"/>
      <c r="E136" s="110"/>
      <c r="F136" s="110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</row>
    <row r="137" spans="1:24" ht="14.5">
      <c r="A137" s="109"/>
      <c r="B137" s="109"/>
      <c r="C137" s="109"/>
      <c r="D137" s="109"/>
      <c r="E137" s="110"/>
      <c r="F137" s="110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</row>
    <row r="138" spans="1:24" ht="14.5">
      <c r="A138" s="109"/>
      <c r="B138" s="109"/>
      <c r="C138" s="109"/>
      <c r="D138" s="109"/>
      <c r="E138" s="110"/>
      <c r="F138" s="110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</row>
    <row r="139" spans="1:24" ht="14.5">
      <c r="A139" s="109"/>
      <c r="B139" s="109"/>
      <c r="C139" s="109"/>
      <c r="D139" s="109"/>
      <c r="E139" s="110"/>
      <c r="F139" s="110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</row>
    <row r="140" spans="1:24" ht="14.5">
      <c r="A140" s="109"/>
      <c r="B140" s="109"/>
      <c r="C140" s="109"/>
      <c r="D140" s="109"/>
      <c r="E140" s="110"/>
      <c r="F140" s="110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</row>
    <row r="141" spans="1:24" ht="14.5">
      <c r="A141" s="109"/>
      <c r="B141" s="109"/>
      <c r="C141" s="109"/>
      <c r="D141" s="109"/>
      <c r="E141" s="110"/>
      <c r="F141" s="110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</row>
    <row r="142" spans="1:24" ht="14.5">
      <c r="A142" s="109"/>
      <c r="B142" s="109"/>
      <c r="C142" s="109"/>
      <c r="D142" s="109"/>
      <c r="E142" s="110"/>
      <c r="F142" s="110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</row>
    <row r="143" spans="1:24" ht="14.5">
      <c r="A143" s="109"/>
      <c r="B143" s="109"/>
      <c r="C143" s="109"/>
      <c r="D143" s="109"/>
      <c r="E143" s="110"/>
      <c r="F143" s="110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</row>
    <row r="144" spans="1:24" ht="14.5">
      <c r="A144" s="109"/>
      <c r="B144" s="109"/>
      <c r="C144" s="109"/>
      <c r="D144" s="109"/>
      <c r="E144" s="110"/>
      <c r="F144" s="110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</row>
    <row r="145" spans="1:24" ht="14.5">
      <c r="A145" s="109"/>
      <c r="B145" s="109"/>
      <c r="C145" s="109"/>
      <c r="D145" s="109"/>
      <c r="E145" s="110"/>
      <c r="F145" s="110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</row>
    <row r="146" spans="1:24" ht="14.5">
      <c r="A146" s="109"/>
      <c r="B146" s="109"/>
      <c r="C146" s="109"/>
      <c r="D146" s="109"/>
      <c r="E146" s="110"/>
      <c r="F146" s="110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</row>
    <row r="147" spans="1:24" ht="14.5">
      <c r="A147" s="109"/>
      <c r="B147" s="109"/>
      <c r="C147" s="109"/>
      <c r="D147" s="109"/>
      <c r="E147" s="110"/>
      <c r="F147" s="110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</row>
    <row r="148" spans="1:24" ht="14.5">
      <c r="A148" s="109"/>
      <c r="B148" s="109"/>
      <c r="C148" s="109"/>
      <c r="D148" s="109"/>
      <c r="E148" s="110"/>
      <c r="F148" s="110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</row>
    <row r="149" spans="1:24" ht="14.5">
      <c r="A149" s="109"/>
      <c r="B149" s="109"/>
      <c r="C149" s="109"/>
      <c r="D149" s="109"/>
      <c r="E149" s="110"/>
      <c r="F149" s="110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</row>
    <row r="150" spans="1:24" ht="14.5">
      <c r="A150" s="109"/>
      <c r="B150" s="109"/>
      <c r="C150" s="109"/>
      <c r="D150" s="109"/>
      <c r="E150" s="110"/>
      <c r="F150" s="110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</row>
    <row r="151" spans="1:24" ht="14.5">
      <c r="A151" s="109"/>
      <c r="B151" s="109"/>
      <c r="C151" s="109"/>
      <c r="D151" s="109"/>
      <c r="E151" s="110"/>
      <c r="F151" s="110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</row>
    <row r="152" spans="1:24" ht="14.5">
      <c r="A152" s="109"/>
      <c r="B152" s="109"/>
      <c r="C152" s="109"/>
      <c r="D152" s="109"/>
      <c r="E152" s="110"/>
      <c r="F152" s="110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</row>
    <row r="153" spans="1:24" ht="14.5">
      <c r="A153" s="109"/>
      <c r="B153" s="109"/>
      <c r="C153" s="109"/>
      <c r="D153" s="109"/>
      <c r="E153" s="110"/>
      <c r="F153" s="110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</row>
    <row r="154" spans="1:24" ht="14.5">
      <c r="A154" s="109"/>
      <c r="B154" s="109"/>
      <c r="C154" s="109"/>
      <c r="D154" s="109"/>
      <c r="E154" s="110"/>
      <c r="F154" s="110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</row>
    <row r="155" spans="1:24" ht="14.5">
      <c r="A155" s="109"/>
      <c r="B155" s="109"/>
      <c r="C155" s="109"/>
      <c r="D155" s="109"/>
      <c r="E155" s="110"/>
      <c r="F155" s="110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</row>
    <row r="156" spans="1:24" ht="14.5">
      <c r="A156" s="109"/>
      <c r="B156" s="109"/>
      <c r="C156" s="109"/>
      <c r="D156" s="109"/>
      <c r="E156" s="110"/>
      <c r="F156" s="110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</row>
    <row r="157" spans="1:24" ht="14.5">
      <c r="A157" s="109"/>
      <c r="B157" s="109"/>
      <c r="C157" s="109"/>
      <c r="D157" s="109"/>
      <c r="E157" s="110"/>
      <c r="F157" s="110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</row>
    <row r="158" spans="1:24" ht="14.5">
      <c r="A158" s="109"/>
      <c r="B158" s="109"/>
      <c r="C158" s="109"/>
      <c r="D158" s="109"/>
      <c r="E158" s="110"/>
      <c r="F158" s="110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</row>
    <row r="159" spans="1:24" ht="14.5">
      <c r="A159" s="109"/>
      <c r="B159" s="109"/>
      <c r="C159" s="109"/>
      <c r="D159" s="109"/>
      <c r="E159" s="110"/>
      <c r="F159" s="110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</row>
    <row r="160" spans="1:24" ht="14.5">
      <c r="A160" s="109"/>
      <c r="B160" s="109"/>
      <c r="C160" s="109"/>
      <c r="D160" s="109"/>
      <c r="E160" s="110"/>
      <c r="F160" s="110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</row>
    <row r="161" spans="1:24" ht="14.5">
      <c r="A161" s="109"/>
      <c r="B161" s="109"/>
      <c r="C161" s="109"/>
      <c r="D161" s="109"/>
      <c r="E161" s="110"/>
      <c r="F161" s="110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</row>
    <row r="162" spans="1:24" ht="14.5">
      <c r="A162" s="109"/>
      <c r="B162" s="109"/>
      <c r="C162" s="109"/>
      <c r="D162" s="109"/>
      <c r="E162" s="110"/>
      <c r="F162" s="110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</row>
    <row r="163" spans="1:24" ht="14.5">
      <c r="A163" s="109"/>
      <c r="B163" s="109"/>
      <c r="C163" s="109"/>
      <c r="D163" s="109"/>
      <c r="E163" s="110"/>
      <c r="F163" s="110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</row>
    <row r="164" spans="1:24" ht="14.5">
      <c r="A164" s="109"/>
      <c r="B164" s="109"/>
      <c r="C164" s="109"/>
      <c r="D164" s="109"/>
      <c r="E164" s="110"/>
      <c r="F164" s="110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</row>
    <row r="165" spans="1:24" ht="14.5">
      <c r="A165" s="109"/>
      <c r="B165" s="109"/>
      <c r="C165" s="109"/>
      <c r="D165" s="109"/>
      <c r="E165" s="110"/>
      <c r="F165" s="110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</row>
    <row r="166" spans="1:24" ht="14.5">
      <c r="A166" s="109"/>
      <c r="B166" s="109"/>
      <c r="C166" s="109"/>
      <c r="D166" s="109"/>
      <c r="E166" s="110"/>
      <c r="F166" s="110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</row>
    <row r="167" spans="1:24" ht="14.5">
      <c r="A167" s="109"/>
      <c r="B167" s="109"/>
      <c r="C167" s="109"/>
      <c r="D167" s="109"/>
      <c r="E167" s="110"/>
      <c r="F167" s="110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</row>
    <row r="168" spans="1:24" ht="14.5">
      <c r="A168" s="109"/>
      <c r="B168" s="109"/>
      <c r="C168" s="109"/>
      <c r="D168" s="109"/>
      <c r="E168" s="110"/>
      <c r="F168" s="110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</row>
    <row r="169" spans="1:24" ht="14.5">
      <c r="A169" s="109"/>
      <c r="B169" s="109"/>
      <c r="C169" s="109"/>
      <c r="D169" s="109"/>
      <c r="E169" s="110"/>
      <c r="F169" s="110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</row>
    <row r="170" spans="1:24" ht="14.5">
      <c r="A170" s="109"/>
      <c r="B170" s="109"/>
      <c r="C170" s="109"/>
      <c r="D170" s="109"/>
      <c r="E170" s="110"/>
      <c r="F170" s="110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</row>
    <row r="171" spans="1:24" ht="14.5">
      <c r="A171" s="109"/>
      <c r="B171" s="109"/>
      <c r="C171" s="109"/>
      <c r="D171" s="109"/>
      <c r="E171" s="110"/>
      <c r="F171" s="110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</row>
    <row r="172" spans="1:24" ht="14.5">
      <c r="A172" s="109"/>
      <c r="B172" s="109"/>
      <c r="C172" s="109"/>
      <c r="D172" s="109"/>
      <c r="E172" s="110"/>
      <c r="F172" s="110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</row>
    <row r="173" spans="1:24" ht="14.5">
      <c r="A173" s="109"/>
      <c r="B173" s="109"/>
      <c r="C173" s="109"/>
      <c r="D173" s="109"/>
      <c r="E173" s="110"/>
      <c r="F173" s="110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</row>
    <row r="174" spans="1:24" ht="14.5">
      <c r="A174" s="109"/>
      <c r="B174" s="109"/>
      <c r="C174" s="109"/>
      <c r="D174" s="109"/>
      <c r="E174" s="110"/>
      <c r="F174" s="110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</row>
    <row r="175" spans="1:24" ht="14.5">
      <c r="A175" s="109"/>
      <c r="B175" s="109"/>
      <c r="C175" s="109"/>
      <c r="D175" s="109"/>
      <c r="E175" s="110"/>
      <c r="F175" s="110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</row>
    <row r="176" spans="1:24" ht="14.5">
      <c r="A176" s="109"/>
      <c r="B176" s="109"/>
      <c r="C176" s="109"/>
      <c r="D176" s="109"/>
      <c r="E176" s="110"/>
      <c r="F176" s="110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</row>
    <row r="177" spans="1:24" ht="14.5">
      <c r="A177" s="109"/>
      <c r="B177" s="109"/>
      <c r="C177" s="109"/>
      <c r="D177" s="109"/>
      <c r="E177" s="110"/>
      <c r="F177" s="110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</row>
    <row r="178" spans="1:24" ht="14.5">
      <c r="A178" s="109"/>
      <c r="B178" s="109"/>
      <c r="C178" s="109"/>
      <c r="D178" s="109"/>
      <c r="E178" s="110"/>
      <c r="F178" s="110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</row>
    <row r="179" spans="1:24" ht="14.5">
      <c r="A179" s="109"/>
      <c r="B179" s="109"/>
      <c r="C179" s="109"/>
      <c r="D179" s="109"/>
      <c r="E179" s="110"/>
      <c r="F179" s="110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</row>
    <row r="180" spans="1:24" ht="14.5">
      <c r="A180" s="109"/>
      <c r="B180" s="109"/>
      <c r="C180" s="109"/>
      <c r="D180" s="109"/>
      <c r="E180" s="110"/>
      <c r="F180" s="110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</row>
    <row r="181" spans="1:24" ht="14.5">
      <c r="A181" s="109"/>
      <c r="B181" s="109"/>
      <c r="C181" s="109"/>
      <c r="D181" s="109"/>
      <c r="E181" s="110"/>
      <c r="F181" s="110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</row>
    <row r="182" spans="1:24" ht="14.5">
      <c r="A182" s="109"/>
      <c r="B182" s="109"/>
      <c r="C182" s="109"/>
      <c r="D182" s="109"/>
      <c r="E182" s="110"/>
      <c r="F182" s="110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</row>
    <row r="183" spans="1:24" ht="14.5">
      <c r="A183" s="109"/>
      <c r="B183" s="109"/>
      <c r="C183" s="109"/>
      <c r="D183" s="109"/>
      <c r="E183" s="110"/>
      <c r="F183" s="110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</row>
    <row r="184" spans="1:24" ht="14.5">
      <c r="A184" s="109"/>
      <c r="B184" s="109"/>
      <c r="C184" s="109"/>
      <c r="D184" s="109"/>
      <c r="E184" s="110"/>
      <c r="F184" s="110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</row>
    <row r="185" spans="1:24" ht="14.5">
      <c r="A185" s="109"/>
      <c r="B185" s="109"/>
      <c r="C185" s="109"/>
      <c r="D185" s="109"/>
      <c r="E185" s="110"/>
      <c r="F185" s="110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</row>
    <row r="186" spans="1:24" ht="14.5">
      <c r="A186" s="109"/>
      <c r="B186" s="109"/>
      <c r="C186" s="109"/>
      <c r="D186" s="109"/>
      <c r="E186" s="110"/>
      <c r="F186" s="110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</row>
    <row r="187" spans="1:24" ht="14.5">
      <c r="A187" s="109"/>
      <c r="B187" s="109"/>
      <c r="C187" s="109"/>
      <c r="D187" s="109"/>
      <c r="E187" s="110"/>
      <c r="F187" s="110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</row>
    <row r="188" spans="1:24" ht="14.5">
      <c r="A188" s="109"/>
      <c r="B188" s="109"/>
      <c r="C188" s="109"/>
      <c r="D188" s="109"/>
      <c r="E188" s="110"/>
      <c r="F188" s="110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</row>
    <row r="189" spans="1:24" ht="14.5">
      <c r="A189" s="109"/>
      <c r="B189" s="109"/>
      <c r="C189" s="109"/>
      <c r="D189" s="109"/>
      <c r="E189" s="110"/>
      <c r="F189" s="110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</row>
    <row r="190" spans="1:24" ht="14.5">
      <c r="A190" s="109"/>
      <c r="B190" s="109"/>
      <c r="C190" s="109"/>
      <c r="D190" s="109"/>
      <c r="E190" s="110"/>
      <c r="F190" s="110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</row>
    <row r="191" spans="1:24" ht="14.5">
      <c r="A191" s="109"/>
      <c r="B191" s="109"/>
      <c r="C191" s="109"/>
      <c r="D191" s="109"/>
      <c r="E191" s="110"/>
      <c r="F191" s="110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</row>
    <row r="192" spans="1:24" ht="14.5">
      <c r="A192" s="109"/>
      <c r="B192" s="109"/>
      <c r="C192" s="109"/>
      <c r="D192" s="109"/>
      <c r="E192" s="110"/>
      <c r="F192" s="110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</row>
    <row r="193" spans="1:24" ht="14.5">
      <c r="A193" s="109"/>
      <c r="B193" s="109"/>
      <c r="C193" s="109"/>
      <c r="D193" s="109"/>
      <c r="E193" s="110"/>
      <c r="F193" s="110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</row>
    <row r="194" spans="1:24" ht="14.5">
      <c r="A194" s="109"/>
      <c r="B194" s="109"/>
      <c r="C194" s="109"/>
      <c r="D194" s="109"/>
      <c r="E194" s="110"/>
      <c r="F194" s="110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</row>
    <row r="195" spans="1:24" ht="14.5">
      <c r="A195" s="109"/>
      <c r="B195" s="109"/>
      <c r="C195" s="109"/>
      <c r="D195" s="109"/>
      <c r="E195" s="110"/>
      <c r="F195" s="110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</row>
    <row r="196" spans="1:24" ht="14.5">
      <c r="A196" s="109"/>
      <c r="B196" s="109"/>
      <c r="C196" s="109"/>
      <c r="D196" s="109"/>
      <c r="E196" s="110"/>
      <c r="F196" s="110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</row>
    <row r="197" spans="1:24" ht="14.5">
      <c r="A197" s="109"/>
      <c r="B197" s="109"/>
      <c r="C197" s="109"/>
      <c r="D197" s="109"/>
      <c r="E197" s="110"/>
      <c r="F197" s="110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</row>
    <row r="198" spans="1:24" ht="14.5">
      <c r="A198" s="109"/>
      <c r="B198" s="109"/>
      <c r="C198" s="109"/>
      <c r="D198" s="109"/>
      <c r="E198" s="110"/>
      <c r="F198" s="110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</row>
    <row r="199" spans="1:24" ht="14.5">
      <c r="A199" s="109"/>
      <c r="B199" s="109"/>
      <c r="C199" s="109"/>
      <c r="D199" s="109"/>
      <c r="E199" s="110"/>
      <c r="F199" s="110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</row>
    <row r="200" spans="1:24" ht="14.5">
      <c r="A200" s="109"/>
      <c r="B200" s="109"/>
      <c r="C200" s="109"/>
      <c r="D200" s="109"/>
      <c r="E200" s="110"/>
      <c r="F200" s="110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</row>
    <row r="201" spans="1:24" ht="14.5">
      <c r="A201" s="109"/>
      <c r="B201" s="109"/>
      <c r="C201" s="109"/>
      <c r="D201" s="109"/>
      <c r="E201" s="110"/>
      <c r="F201" s="110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</row>
    <row r="202" spans="1:24" ht="14.5">
      <c r="A202" s="109"/>
      <c r="B202" s="109"/>
      <c r="C202" s="109"/>
      <c r="D202" s="109"/>
      <c r="E202" s="110"/>
      <c r="F202" s="110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</row>
    <row r="203" spans="1:24" ht="14.5">
      <c r="A203" s="109"/>
      <c r="B203" s="109"/>
      <c r="C203" s="109"/>
      <c r="D203" s="109"/>
      <c r="E203" s="110"/>
      <c r="F203" s="110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</row>
    <row r="204" spans="1:24" ht="14.5">
      <c r="A204" s="109"/>
      <c r="B204" s="109"/>
      <c r="C204" s="109"/>
      <c r="D204" s="109"/>
      <c r="E204" s="110"/>
      <c r="F204" s="110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</row>
    <row r="205" spans="1:24" ht="14.5">
      <c r="A205" s="109"/>
      <c r="B205" s="109"/>
      <c r="C205" s="109"/>
      <c r="D205" s="109"/>
      <c r="E205" s="110"/>
      <c r="F205" s="110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</row>
    <row r="206" spans="1:24" ht="14.5">
      <c r="A206" s="109"/>
      <c r="B206" s="109"/>
      <c r="C206" s="109"/>
      <c r="D206" s="109"/>
      <c r="E206" s="110"/>
      <c r="F206" s="110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</row>
    <row r="207" spans="1:24" ht="14.5">
      <c r="A207" s="109"/>
      <c r="B207" s="109"/>
      <c r="C207" s="109"/>
      <c r="D207" s="109"/>
      <c r="E207" s="110"/>
      <c r="F207" s="110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</row>
    <row r="208" spans="1:24" ht="14.5">
      <c r="A208" s="109"/>
      <c r="B208" s="109"/>
      <c r="C208" s="109"/>
      <c r="D208" s="109"/>
      <c r="E208" s="110"/>
      <c r="F208" s="110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</row>
    <row r="209" spans="1:24" ht="14.5">
      <c r="A209" s="109"/>
      <c r="B209" s="109"/>
      <c r="C209" s="109"/>
      <c r="D209" s="109"/>
      <c r="E209" s="110"/>
      <c r="F209" s="110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</row>
    <row r="210" spans="1:24" ht="14.5">
      <c r="A210" s="109"/>
      <c r="B210" s="109"/>
      <c r="C210" s="109"/>
      <c r="D210" s="109"/>
      <c r="E210" s="110"/>
      <c r="F210" s="110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</row>
    <row r="211" spans="1:24" ht="14.5">
      <c r="A211" s="109"/>
      <c r="B211" s="109"/>
      <c r="C211" s="109"/>
      <c r="D211" s="109"/>
      <c r="E211" s="110"/>
      <c r="F211" s="110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</row>
    <row r="212" spans="1:24" ht="14.5">
      <c r="A212" s="109"/>
      <c r="B212" s="109"/>
      <c r="C212" s="109"/>
      <c r="D212" s="109"/>
      <c r="E212" s="110"/>
      <c r="F212" s="110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</row>
    <row r="213" spans="1:24" ht="14.5">
      <c r="A213" s="109"/>
      <c r="B213" s="109"/>
      <c r="C213" s="109"/>
      <c r="D213" s="109"/>
      <c r="E213" s="110"/>
      <c r="F213" s="110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</row>
    <row r="214" spans="1:24" ht="14.5">
      <c r="A214" s="109"/>
      <c r="B214" s="109"/>
      <c r="C214" s="109"/>
      <c r="D214" s="109"/>
      <c r="E214" s="110"/>
      <c r="F214" s="110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</row>
    <row r="215" spans="1:24" ht="14.5">
      <c r="A215" s="109"/>
      <c r="B215" s="109"/>
      <c r="C215" s="109"/>
      <c r="D215" s="109"/>
      <c r="E215" s="110"/>
      <c r="F215" s="110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</row>
    <row r="216" spans="1:24" ht="14.5">
      <c r="A216" s="109"/>
      <c r="B216" s="109"/>
      <c r="C216" s="109"/>
      <c r="D216" s="109"/>
      <c r="E216" s="109"/>
      <c r="F216" s="110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</row>
    <row r="217" spans="1:24" ht="14.5">
      <c r="A217" s="109"/>
      <c r="B217" s="109"/>
      <c r="C217" s="109"/>
      <c r="D217" s="109"/>
      <c r="E217" s="109"/>
      <c r="F217" s="110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</row>
    <row r="218" spans="1:24" ht="14.5">
      <c r="A218" s="109"/>
      <c r="B218" s="109"/>
      <c r="C218" s="109"/>
      <c r="D218" s="109"/>
      <c r="E218" s="109"/>
      <c r="F218" s="110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</row>
    <row r="219" spans="1:24" ht="14.5">
      <c r="A219" s="109"/>
      <c r="B219" s="109"/>
      <c r="C219" s="109"/>
      <c r="D219" s="109"/>
      <c r="E219" s="109"/>
      <c r="F219" s="110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</row>
    <row r="220" spans="1:24" ht="14.5">
      <c r="A220" s="109"/>
      <c r="B220" s="109"/>
      <c r="C220" s="109"/>
      <c r="D220" s="109"/>
      <c r="E220" s="109"/>
      <c r="F220" s="110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</row>
    <row r="221" spans="1:24" ht="14.5">
      <c r="A221" s="109"/>
      <c r="B221" s="109"/>
      <c r="C221" s="109"/>
      <c r="D221" s="109"/>
      <c r="E221" s="109"/>
      <c r="F221" s="110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</row>
    <row r="222" spans="1:24" ht="14.5">
      <c r="A222" s="109"/>
      <c r="B222" s="109"/>
      <c r="C222" s="109"/>
      <c r="D222" s="109"/>
      <c r="E222" s="109"/>
      <c r="F222" s="110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</row>
    <row r="223" spans="1:24" ht="14.5">
      <c r="A223" s="109"/>
      <c r="B223" s="109"/>
      <c r="C223" s="109"/>
      <c r="D223" s="109"/>
      <c r="E223" s="109"/>
      <c r="F223" s="110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</row>
    <row r="224" spans="1:24" ht="14.5">
      <c r="A224" s="109"/>
      <c r="B224" s="109"/>
      <c r="C224" s="109"/>
      <c r="D224" s="109"/>
      <c r="E224" s="109"/>
      <c r="F224" s="110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</row>
    <row r="225" spans="1:24" ht="14.5">
      <c r="A225" s="109"/>
      <c r="B225" s="109"/>
      <c r="C225" s="109"/>
      <c r="D225" s="109"/>
      <c r="E225" s="109"/>
      <c r="F225" s="110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</row>
    <row r="226" spans="1:24" ht="14.5">
      <c r="A226" s="109"/>
      <c r="B226" s="109"/>
      <c r="C226" s="109"/>
      <c r="D226" s="109"/>
      <c r="E226" s="109"/>
      <c r="F226" s="110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</row>
    <row r="227" spans="1:24" ht="14.5">
      <c r="A227" s="109"/>
      <c r="B227" s="109"/>
      <c r="C227" s="109"/>
      <c r="D227" s="109"/>
      <c r="E227" s="109"/>
      <c r="F227" s="110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</row>
    <row r="228" spans="1:24" ht="14.5">
      <c r="A228" s="109"/>
      <c r="B228" s="109"/>
      <c r="C228" s="109"/>
      <c r="D228" s="109"/>
      <c r="E228" s="109"/>
      <c r="F228" s="110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</row>
    <row r="229" spans="1:24" ht="14.5">
      <c r="A229" s="109"/>
      <c r="B229" s="109"/>
      <c r="C229" s="109"/>
      <c r="D229" s="109"/>
      <c r="E229" s="109"/>
      <c r="F229" s="110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</row>
    <row r="230" spans="1:24" ht="14.5">
      <c r="A230" s="109"/>
      <c r="B230" s="109"/>
      <c r="C230" s="109"/>
      <c r="D230" s="109"/>
      <c r="E230" s="109"/>
      <c r="F230" s="110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</row>
    <row r="231" spans="1:24" ht="14.5">
      <c r="A231" s="109"/>
      <c r="B231" s="109"/>
      <c r="C231" s="109"/>
      <c r="D231" s="109"/>
      <c r="E231" s="109"/>
      <c r="F231" s="110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</row>
    <row r="232" spans="1:24" ht="14.5">
      <c r="A232" s="109"/>
      <c r="B232" s="109"/>
      <c r="C232" s="109"/>
      <c r="D232" s="109"/>
      <c r="E232" s="109"/>
      <c r="F232" s="110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</row>
    <row r="233" spans="1:24" ht="14.5">
      <c r="A233" s="109"/>
      <c r="B233" s="109"/>
      <c r="C233" s="109"/>
      <c r="D233" s="109"/>
      <c r="E233" s="109"/>
      <c r="F233" s="110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</row>
    <row r="234" spans="1:24" ht="14.5">
      <c r="A234" s="109"/>
      <c r="B234" s="109"/>
      <c r="C234" s="109"/>
      <c r="D234" s="109"/>
      <c r="E234" s="109"/>
      <c r="F234" s="110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</row>
    <row r="235" spans="1:24" ht="14.5">
      <c r="A235" s="109"/>
      <c r="B235" s="109"/>
      <c r="C235" s="109"/>
      <c r="D235" s="109"/>
      <c r="E235" s="109"/>
      <c r="F235" s="110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</row>
    <row r="236" spans="1:24" ht="14.5">
      <c r="A236" s="109"/>
      <c r="B236" s="109"/>
      <c r="C236" s="109"/>
      <c r="D236" s="109"/>
      <c r="E236" s="109"/>
      <c r="F236" s="110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</row>
    <row r="237" spans="1:24" ht="14.5">
      <c r="A237" s="109"/>
      <c r="B237" s="109"/>
      <c r="C237" s="109"/>
      <c r="D237" s="109"/>
      <c r="E237" s="109"/>
      <c r="F237" s="110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</row>
    <row r="238" spans="1:24" ht="14.5">
      <c r="A238" s="109"/>
      <c r="B238" s="109"/>
      <c r="C238" s="109"/>
      <c r="D238" s="109"/>
      <c r="E238" s="109"/>
      <c r="F238" s="110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</row>
    <row r="239" spans="1:24" ht="14.5">
      <c r="A239" s="109"/>
      <c r="B239" s="109"/>
      <c r="C239" s="109"/>
      <c r="D239" s="109"/>
      <c r="E239" s="109"/>
      <c r="F239" s="110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</row>
    <row r="240" spans="1:24" ht="14.5">
      <c r="A240" s="109"/>
      <c r="B240" s="109"/>
      <c r="C240" s="109"/>
      <c r="D240" s="109"/>
      <c r="E240" s="109"/>
      <c r="F240" s="110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</row>
    <row r="241" spans="1:24" ht="14.5">
      <c r="A241" s="109"/>
      <c r="B241" s="109"/>
      <c r="C241" s="109"/>
      <c r="D241" s="109"/>
      <c r="E241" s="109"/>
      <c r="F241" s="110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</row>
    <row r="242" spans="1:24" ht="14.5">
      <c r="A242" s="109"/>
      <c r="B242" s="109"/>
      <c r="C242" s="109"/>
      <c r="D242" s="109"/>
      <c r="E242" s="109"/>
      <c r="F242" s="110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</row>
    <row r="243" spans="1:24" ht="14.5">
      <c r="A243" s="109"/>
      <c r="B243" s="109"/>
      <c r="C243" s="109"/>
      <c r="D243" s="109"/>
      <c r="E243" s="109"/>
      <c r="F243" s="110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</row>
    <row r="244" spans="1:24" ht="14.5">
      <c r="A244" s="109"/>
      <c r="B244" s="109"/>
      <c r="C244" s="109"/>
      <c r="D244" s="109"/>
      <c r="E244" s="109"/>
      <c r="F244" s="110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</row>
    <row r="245" spans="1:24" ht="14.5">
      <c r="A245" s="109"/>
      <c r="B245" s="109"/>
      <c r="C245" s="109"/>
      <c r="D245" s="109"/>
      <c r="E245" s="109"/>
      <c r="F245" s="110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</row>
    <row r="246" spans="1:24" ht="14.5">
      <c r="A246" s="109"/>
      <c r="B246" s="109"/>
      <c r="C246" s="109"/>
      <c r="D246" s="109"/>
      <c r="E246" s="109"/>
      <c r="F246" s="110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</row>
    <row r="247" spans="1:24" ht="14.5">
      <c r="A247" s="109"/>
      <c r="B247" s="109"/>
      <c r="C247" s="109"/>
      <c r="D247" s="109"/>
      <c r="E247" s="109"/>
      <c r="F247" s="110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</row>
    <row r="248" spans="1:24" ht="14.5">
      <c r="A248" s="109"/>
      <c r="B248" s="109"/>
      <c r="C248" s="109"/>
      <c r="D248" s="109"/>
      <c r="E248" s="109"/>
      <c r="F248" s="110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</row>
    <row r="249" spans="1:24" ht="14.5">
      <c r="A249" s="109"/>
      <c r="B249" s="109"/>
      <c r="C249" s="109"/>
      <c r="D249" s="109"/>
      <c r="E249" s="109"/>
      <c r="F249" s="110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</row>
    <row r="250" spans="1:24" ht="14.5">
      <c r="A250" s="109"/>
      <c r="B250" s="109"/>
      <c r="C250" s="109"/>
      <c r="D250" s="109"/>
      <c r="E250" s="109"/>
      <c r="F250" s="110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</row>
    <row r="251" spans="1:24" ht="14.5">
      <c r="A251" s="109"/>
      <c r="B251" s="109"/>
      <c r="C251" s="109"/>
      <c r="D251" s="109"/>
      <c r="E251" s="109"/>
      <c r="F251" s="110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</row>
    <row r="252" spans="1:24" ht="14.5">
      <c r="A252" s="109"/>
      <c r="B252" s="109"/>
      <c r="C252" s="109"/>
      <c r="D252" s="109"/>
      <c r="E252" s="109"/>
      <c r="F252" s="110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</row>
    <row r="253" spans="1:24" ht="14.5">
      <c r="A253" s="109"/>
      <c r="B253" s="109"/>
      <c r="C253" s="109"/>
      <c r="D253" s="109"/>
      <c r="E253" s="109"/>
      <c r="F253" s="110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</row>
    <row r="254" spans="1:24" ht="14.5">
      <c r="A254" s="109"/>
      <c r="B254" s="109"/>
      <c r="C254" s="109"/>
      <c r="D254" s="109"/>
      <c r="E254" s="109"/>
      <c r="F254" s="110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</row>
    <row r="255" spans="1:24" ht="14.5">
      <c r="A255" s="109"/>
      <c r="B255" s="109"/>
      <c r="C255" s="109"/>
      <c r="D255" s="109"/>
      <c r="E255" s="109"/>
      <c r="F255" s="110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</row>
    <row r="256" spans="1:24" ht="14.5">
      <c r="A256" s="109"/>
      <c r="B256" s="109"/>
      <c r="C256" s="109"/>
      <c r="D256" s="109"/>
      <c r="E256" s="109"/>
      <c r="F256" s="110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</row>
    <row r="257" spans="1:24" ht="14.5">
      <c r="A257" s="109"/>
      <c r="B257" s="109"/>
      <c r="C257" s="109"/>
      <c r="D257" s="109"/>
      <c r="E257" s="109"/>
      <c r="F257" s="110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</row>
    <row r="258" spans="1:24" ht="14.5">
      <c r="A258" s="109"/>
      <c r="B258" s="109"/>
      <c r="C258" s="109"/>
      <c r="D258" s="109"/>
      <c r="E258" s="109"/>
      <c r="F258" s="110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</row>
    <row r="259" spans="1:24" ht="14.5">
      <c r="A259" s="109"/>
      <c r="B259" s="109"/>
      <c r="C259" s="109"/>
      <c r="D259" s="109"/>
      <c r="E259" s="109"/>
      <c r="F259" s="110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</row>
    <row r="260" spans="1:24" ht="14.5">
      <c r="A260" s="109"/>
      <c r="B260" s="109"/>
      <c r="C260" s="109"/>
      <c r="D260" s="109"/>
      <c r="E260" s="109"/>
      <c r="F260" s="110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</row>
    <row r="261" spans="1:24" ht="14.5">
      <c r="A261" s="109"/>
      <c r="B261" s="109"/>
      <c r="C261" s="109"/>
      <c r="D261" s="109"/>
      <c r="E261" s="109"/>
      <c r="F261" s="110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</row>
    <row r="262" spans="1:24" ht="14.5">
      <c r="A262" s="109"/>
      <c r="B262" s="109"/>
      <c r="C262" s="109"/>
      <c r="D262" s="109"/>
      <c r="E262" s="109"/>
      <c r="F262" s="110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</row>
    <row r="263" spans="1:24" ht="14.5">
      <c r="A263" s="109"/>
      <c r="B263" s="109"/>
      <c r="C263" s="109"/>
      <c r="D263" s="109"/>
      <c r="E263" s="109"/>
      <c r="F263" s="110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</row>
    <row r="264" spans="1:24" ht="14.5">
      <c r="A264" s="109"/>
      <c r="B264" s="109"/>
      <c r="C264" s="109"/>
      <c r="D264" s="109"/>
      <c r="E264" s="109"/>
      <c r="F264" s="110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</row>
    <row r="265" spans="1:24" ht="14.5">
      <c r="A265" s="109"/>
      <c r="B265" s="109"/>
      <c r="C265" s="109"/>
      <c r="D265" s="109"/>
      <c r="E265" s="109"/>
      <c r="F265" s="110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</row>
    <row r="266" spans="1:24" ht="14.5">
      <c r="A266" s="109"/>
      <c r="B266" s="109"/>
      <c r="C266" s="109"/>
      <c r="D266" s="109"/>
      <c r="E266" s="109"/>
      <c r="F266" s="110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</row>
    <row r="267" spans="1:24" ht="14.5">
      <c r="A267" s="109"/>
      <c r="B267" s="109"/>
      <c r="C267" s="109"/>
      <c r="D267" s="109"/>
      <c r="E267" s="109"/>
      <c r="F267" s="110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</row>
    <row r="268" spans="1:24" ht="14.5">
      <c r="A268" s="109"/>
      <c r="B268" s="109"/>
      <c r="C268" s="109"/>
      <c r="D268" s="109"/>
      <c r="E268" s="109"/>
      <c r="F268" s="110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</row>
    <row r="269" spans="1:24" ht="14.5">
      <c r="A269" s="109"/>
      <c r="B269" s="109"/>
      <c r="C269" s="109"/>
      <c r="D269" s="109"/>
      <c r="E269" s="109"/>
      <c r="F269" s="110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</row>
    <row r="270" spans="1:24" ht="14.5">
      <c r="A270" s="109"/>
      <c r="B270" s="109"/>
      <c r="C270" s="109"/>
      <c r="D270" s="109"/>
      <c r="E270" s="109"/>
      <c r="F270" s="110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</row>
    <row r="271" spans="1:24" ht="14.5">
      <c r="A271" s="109"/>
      <c r="B271" s="109"/>
      <c r="C271" s="109"/>
      <c r="D271" s="109"/>
      <c r="E271" s="109"/>
      <c r="F271" s="110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</row>
    <row r="272" spans="1:24" ht="14.5">
      <c r="A272" s="109"/>
      <c r="B272" s="109"/>
      <c r="C272" s="109"/>
      <c r="D272" s="109"/>
      <c r="E272" s="109"/>
      <c r="F272" s="110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</row>
    <row r="273" spans="1:24" ht="14.5">
      <c r="A273" s="109"/>
      <c r="B273" s="109"/>
      <c r="C273" s="109"/>
      <c r="D273" s="109"/>
      <c r="E273" s="109"/>
      <c r="F273" s="110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</row>
    <row r="274" spans="1:24" ht="14.5">
      <c r="A274" s="109"/>
      <c r="B274" s="109"/>
      <c r="C274" s="109"/>
      <c r="D274" s="109"/>
      <c r="E274" s="109"/>
      <c r="F274" s="110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</row>
    <row r="275" spans="1:24" ht="14.5">
      <c r="A275" s="109"/>
      <c r="B275" s="109"/>
      <c r="C275" s="109"/>
      <c r="D275" s="109"/>
      <c r="E275" s="109"/>
      <c r="F275" s="110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</row>
    <row r="276" spans="1:24" ht="14.5">
      <c r="A276" s="109"/>
      <c r="B276" s="109"/>
      <c r="C276" s="109"/>
      <c r="D276" s="109"/>
      <c r="E276" s="109"/>
      <c r="F276" s="110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</row>
    <row r="277" spans="1:24" ht="14.5">
      <c r="A277" s="109"/>
      <c r="B277" s="109"/>
      <c r="C277" s="109"/>
      <c r="D277" s="109"/>
      <c r="E277" s="109"/>
      <c r="F277" s="110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</row>
    <row r="278" spans="1:24" ht="14.5">
      <c r="A278" s="109"/>
      <c r="B278" s="109"/>
      <c r="C278" s="109"/>
      <c r="D278" s="109"/>
      <c r="E278" s="109"/>
      <c r="F278" s="110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</row>
    <row r="279" spans="1:24" ht="14.5">
      <c r="A279" s="109"/>
      <c r="B279" s="109"/>
      <c r="C279" s="109"/>
      <c r="D279" s="109"/>
      <c r="E279" s="109"/>
      <c r="F279" s="110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</row>
    <row r="280" spans="1:24" ht="14.5">
      <c r="A280" s="109"/>
      <c r="B280" s="109"/>
      <c r="C280" s="109"/>
      <c r="D280" s="109"/>
      <c r="E280" s="109"/>
      <c r="F280" s="110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</row>
    <row r="281" spans="1:24" ht="14.5">
      <c r="A281" s="109"/>
      <c r="B281" s="109"/>
      <c r="C281" s="109"/>
      <c r="D281" s="109"/>
      <c r="E281" s="109"/>
      <c r="F281" s="110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</row>
    <row r="282" spans="1:24" ht="14.5">
      <c r="A282" s="109"/>
      <c r="B282" s="109"/>
      <c r="C282" s="109"/>
      <c r="D282" s="109"/>
      <c r="E282" s="109"/>
      <c r="F282" s="110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</row>
    <row r="283" spans="1:24" ht="14.5">
      <c r="A283" s="109"/>
      <c r="B283" s="109"/>
      <c r="C283" s="109"/>
      <c r="D283" s="109"/>
      <c r="E283" s="109"/>
      <c r="F283" s="110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</row>
    <row r="284" spans="1:24" ht="14.5">
      <c r="A284" s="109"/>
      <c r="B284" s="109"/>
      <c r="C284" s="109"/>
      <c r="D284" s="109"/>
      <c r="E284" s="109"/>
      <c r="F284" s="110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</row>
    <row r="285" spans="1:24" ht="14.5">
      <c r="A285" s="109"/>
      <c r="B285" s="109"/>
      <c r="C285" s="109"/>
      <c r="D285" s="109"/>
      <c r="E285" s="109"/>
      <c r="F285" s="110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</row>
    <row r="286" spans="1:24" ht="14.5">
      <c r="A286" s="109"/>
      <c r="B286" s="109"/>
      <c r="C286" s="109"/>
      <c r="D286" s="109"/>
      <c r="E286" s="109"/>
      <c r="F286" s="110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</row>
    <row r="287" spans="1:24" ht="14.5">
      <c r="A287" s="109"/>
      <c r="B287" s="109"/>
      <c r="C287" s="109"/>
      <c r="D287" s="109"/>
      <c r="E287" s="109"/>
      <c r="F287" s="110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</row>
    <row r="288" spans="1:24" ht="14.5">
      <c r="A288" s="109"/>
      <c r="B288" s="109"/>
      <c r="C288" s="109"/>
      <c r="D288" s="109"/>
      <c r="E288" s="109"/>
      <c r="F288" s="110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</row>
    <row r="289" spans="1:24" ht="14.5">
      <c r="A289" s="109"/>
      <c r="B289" s="109"/>
      <c r="C289" s="109"/>
      <c r="D289" s="109"/>
      <c r="E289" s="109"/>
      <c r="F289" s="110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</row>
    <row r="290" spans="1:24" ht="14.5">
      <c r="A290" s="109"/>
      <c r="B290" s="109"/>
      <c r="C290" s="109"/>
      <c r="D290" s="109"/>
      <c r="E290" s="109"/>
      <c r="F290" s="110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</row>
    <row r="291" spans="1:24" ht="14.5">
      <c r="A291" s="109"/>
      <c r="B291" s="109"/>
      <c r="C291" s="109"/>
      <c r="D291" s="109"/>
      <c r="E291" s="109"/>
      <c r="F291" s="110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</row>
    <row r="292" spans="1:24" ht="14.5">
      <c r="A292" s="109"/>
      <c r="B292" s="109"/>
      <c r="C292" s="109"/>
      <c r="D292" s="109"/>
      <c r="E292" s="109"/>
      <c r="F292" s="110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</row>
    <row r="293" spans="1:24" ht="14.5">
      <c r="A293" s="109"/>
      <c r="B293" s="109"/>
      <c r="C293" s="109"/>
      <c r="D293" s="109"/>
      <c r="E293" s="109"/>
      <c r="F293" s="110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</row>
    <row r="294" spans="1:24" ht="14.5">
      <c r="A294" s="109"/>
      <c r="B294" s="109"/>
      <c r="C294" s="109"/>
      <c r="D294" s="109"/>
      <c r="E294" s="109"/>
      <c r="F294" s="110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</row>
    <row r="295" spans="1:24" ht="14.5">
      <c r="A295" s="109"/>
      <c r="B295" s="109"/>
      <c r="C295" s="109"/>
      <c r="D295" s="109"/>
      <c r="E295" s="109"/>
      <c r="F295" s="110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</row>
    <row r="296" spans="1:24" ht="14.5">
      <c r="A296" s="109"/>
      <c r="B296" s="109"/>
      <c r="C296" s="109"/>
      <c r="D296" s="109"/>
      <c r="E296" s="109"/>
      <c r="F296" s="110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</row>
    <row r="297" spans="1:24" ht="14.5">
      <c r="A297" s="109"/>
      <c r="B297" s="109"/>
      <c r="C297" s="109"/>
      <c r="D297" s="109"/>
      <c r="E297" s="109"/>
      <c r="F297" s="110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</row>
    <row r="298" spans="1:24" ht="14.5">
      <c r="A298" s="109"/>
      <c r="B298" s="109"/>
      <c r="C298" s="109"/>
      <c r="D298" s="109"/>
      <c r="E298" s="109"/>
      <c r="F298" s="110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</row>
    <row r="299" spans="1:24" ht="14.5">
      <c r="A299" s="109"/>
      <c r="B299" s="109"/>
      <c r="C299" s="109"/>
      <c r="D299" s="109"/>
      <c r="E299" s="109"/>
      <c r="F299" s="110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</row>
    <row r="300" spans="1:24" ht="14.5">
      <c r="A300" s="109"/>
      <c r="B300" s="109"/>
      <c r="C300" s="109"/>
      <c r="D300" s="109"/>
      <c r="E300" s="109"/>
      <c r="F300" s="110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</row>
    <row r="301" spans="1:24" ht="14.5">
      <c r="A301" s="109"/>
      <c r="B301" s="109"/>
      <c r="C301" s="109"/>
      <c r="D301" s="109"/>
      <c r="E301" s="109"/>
      <c r="F301" s="110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</row>
    <row r="302" spans="1:24" ht="14.5">
      <c r="A302" s="109"/>
      <c r="B302" s="109"/>
      <c r="C302" s="109"/>
      <c r="D302" s="109"/>
      <c r="E302" s="109"/>
      <c r="F302" s="110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</row>
    <row r="303" spans="1:24" ht="14.5">
      <c r="A303" s="109"/>
      <c r="B303" s="109"/>
      <c r="C303" s="109"/>
      <c r="D303" s="109"/>
      <c r="E303" s="109"/>
      <c r="F303" s="110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</row>
    <row r="304" spans="1:24" ht="14.5">
      <c r="A304" s="109"/>
      <c r="B304" s="109"/>
      <c r="C304" s="109"/>
      <c r="D304" s="109"/>
      <c r="E304" s="109"/>
      <c r="F304" s="110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</row>
    <row r="305" spans="1:24" ht="14.5">
      <c r="A305" s="109"/>
      <c r="B305" s="109"/>
      <c r="C305" s="109"/>
      <c r="D305" s="109"/>
      <c r="E305" s="109"/>
      <c r="F305" s="110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</row>
    <row r="306" spans="1:24" ht="14.5">
      <c r="A306" s="109"/>
      <c r="B306" s="109"/>
      <c r="C306" s="109"/>
      <c r="D306" s="109"/>
      <c r="E306" s="109"/>
      <c r="F306" s="110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</row>
    <row r="307" spans="1:24" ht="14.5">
      <c r="A307" s="109"/>
      <c r="B307" s="109"/>
      <c r="C307" s="109"/>
      <c r="D307" s="109"/>
      <c r="E307" s="109"/>
      <c r="F307" s="110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</row>
    <row r="308" spans="1:24" ht="14.5">
      <c r="A308" s="109"/>
      <c r="B308" s="109"/>
      <c r="C308" s="109"/>
      <c r="D308" s="109"/>
      <c r="E308" s="109"/>
      <c r="F308" s="110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</row>
    <row r="309" spans="1:24" ht="14.5">
      <c r="A309" s="109"/>
      <c r="B309" s="109"/>
      <c r="C309" s="109"/>
      <c r="D309" s="109"/>
      <c r="E309" s="109"/>
      <c r="F309" s="110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</row>
    <row r="310" spans="1:24" ht="14.5">
      <c r="A310" s="109"/>
      <c r="B310" s="109"/>
      <c r="C310" s="109"/>
      <c r="D310" s="109"/>
      <c r="E310" s="109"/>
      <c r="F310" s="110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</row>
    <row r="311" spans="1:24" ht="14.5">
      <c r="A311" s="109"/>
      <c r="B311" s="109"/>
      <c r="C311" s="109"/>
      <c r="D311" s="109"/>
      <c r="E311" s="109"/>
      <c r="F311" s="110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</row>
    <row r="312" spans="1:24" ht="14.5">
      <c r="A312" s="109"/>
      <c r="B312" s="109"/>
      <c r="C312" s="109"/>
      <c r="D312" s="109"/>
      <c r="E312" s="109"/>
      <c r="F312" s="110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</row>
    <row r="313" spans="1:24" ht="14.5">
      <c r="A313" s="109"/>
      <c r="B313" s="109"/>
      <c r="C313" s="109"/>
      <c r="D313" s="109"/>
      <c r="E313" s="109"/>
      <c r="F313" s="110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</row>
    <row r="314" spans="1:24" ht="14.5">
      <c r="A314" s="109"/>
      <c r="B314" s="109"/>
      <c r="C314" s="109"/>
      <c r="D314" s="109"/>
      <c r="E314" s="109"/>
      <c r="F314" s="110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</row>
    <row r="315" spans="1:24" ht="14.5">
      <c r="A315" s="109"/>
      <c r="B315" s="109"/>
      <c r="C315" s="109"/>
      <c r="D315" s="109"/>
      <c r="E315" s="109"/>
      <c r="F315" s="110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</row>
    <row r="316" spans="1:24" ht="14.5">
      <c r="A316" s="109"/>
      <c r="B316" s="109"/>
      <c r="C316" s="109"/>
      <c r="D316" s="109"/>
      <c r="E316" s="109"/>
      <c r="F316" s="110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</row>
    <row r="317" spans="1:24" ht="14.5">
      <c r="A317" s="109"/>
      <c r="B317" s="109"/>
      <c r="C317" s="109"/>
      <c r="D317" s="109"/>
      <c r="E317" s="109"/>
      <c r="F317" s="110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</row>
    <row r="318" spans="1:24" ht="14.5">
      <c r="A318" s="109"/>
      <c r="B318" s="109"/>
      <c r="C318" s="109"/>
      <c r="D318" s="109"/>
      <c r="E318" s="109"/>
      <c r="F318" s="110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</row>
    <row r="319" spans="1:24" ht="14.5">
      <c r="A319" s="109"/>
      <c r="B319" s="109"/>
      <c r="C319" s="109"/>
      <c r="D319" s="109"/>
      <c r="E319" s="109"/>
      <c r="F319" s="110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</row>
    <row r="320" spans="1:24" ht="14.5">
      <c r="A320" s="109"/>
      <c r="B320" s="109"/>
      <c r="C320" s="109"/>
      <c r="D320" s="109"/>
      <c r="E320" s="109"/>
      <c r="F320" s="110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</row>
    <row r="321" spans="1:24" ht="14.5">
      <c r="A321" s="109"/>
      <c r="B321" s="109"/>
      <c r="C321" s="109"/>
      <c r="D321" s="109"/>
      <c r="E321" s="109"/>
      <c r="F321" s="110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</row>
    <row r="322" spans="1:24" ht="14.5">
      <c r="A322" s="109"/>
      <c r="B322" s="109"/>
      <c r="C322" s="109"/>
      <c r="D322" s="109"/>
      <c r="E322" s="109"/>
      <c r="F322" s="110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</row>
    <row r="323" spans="1:24" ht="14.5">
      <c r="A323" s="109"/>
      <c r="B323" s="109"/>
      <c r="C323" s="109"/>
      <c r="D323" s="109"/>
      <c r="E323" s="109"/>
      <c r="F323" s="110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</row>
    <row r="324" spans="1:24" ht="14.5">
      <c r="A324" s="109"/>
      <c r="B324" s="109"/>
      <c r="C324" s="109"/>
      <c r="D324" s="109"/>
      <c r="E324" s="109"/>
      <c r="F324" s="110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</row>
    <row r="325" spans="1:24" ht="14.5">
      <c r="A325" s="109"/>
      <c r="B325" s="109"/>
      <c r="C325" s="109"/>
      <c r="D325" s="109"/>
      <c r="E325" s="109"/>
      <c r="F325" s="110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</row>
    <row r="326" spans="1:24" ht="14.5">
      <c r="A326" s="109"/>
      <c r="B326" s="109"/>
      <c r="C326" s="109"/>
      <c r="D326" s="109"/>
      <c r="E326" s="109"/>
      <c r="F326" s="110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</row>
    <row r="327" spans="1:24" ht="14.5">
      <c r="A327" s="109"/>
      <c r="B327" s="109"/>
      <c r="C327" s="109"/>
      <c r="D327" s="109"/>
      <c r="E327" s="109"/>
      <c r="F327" s="110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</row>
    <row r="328" spans="1:24" ht="14.5">
      <c r="A328" s="109"/>
      <c r="B328" s="109"/>
      <c r="C328" s="109"/>
      <c r="D328" s="109"/>
      <c r="E328" s="109"/>
      <c r="F328" s="110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</row>
    <row r="329" spans="1:24" ht="14.5">
      <c r="A329" s="109"/>
      <c r="B329" s="109"/>
      <c r="C329" s="109"/>
      <c r="D329" s="109"/>
      <c r="E329" s="109"/>
      <c r="F329" s="110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</row>
    <row r="330" spans="1:24" ht="14.5">
      <c r="A330" s="109"/>
      <c r="B330" s="109"/>
      <c r="C330" s="109"/>
      <c r="D330" s="109"/>
      <c r="E330" s="109"/>
      <c r="F330" s="110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</row>
    <row r="331" spans="1:24" ht="14.5">
      <c r="A331" s="109"/>
      <c r="B331" s="109"/>
      <c r="C331" s="109"/>
      <c r="D331" s="109"/>
      <c r="E331" s="109"/>
      <c r="F331" s="110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</row>
    <row r="332" spans="1:24" ht="14.5">
      <c r="A332" s="109"/>
      <c r="B332" s="109"/>
      <c r="C332" s="109"/>
      <c r="D332" s="109"/>
      <c r="E332" s="109"/>
      <c r="F332" s="110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</row>
    <row r="333" spans="1:24" ht="14.5">
      <c r="A333" s="109"/>
      <c r="B333" s="109"/>
      <c r="C333" s="109"/>
      <c r="D333" s="109"/>
      <c r="E333" s="109"/>
      <c r="F333" s="110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</row>
    <row r="334" spans="1:24" ht="14.5">
      <c r="A334" s="109"/>
      <c r="B334" s="109"/>
      <c r="C334" s="109"/>
      <c r="D334" s="109"/>
      <c r="E334" s="109"/>
      <c r="F334" s="110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</row>
    <row r="335" spans="1:24" ht="14.5">
      <c r="A335" s="109"/>
      <c r="B335" s="109"/>
      <c r="C335" s="109"/>
      <c r="D335" s="109"/>
      <c r="E335" s="109"/>
      <c r="F335" s="110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</row>
    <row r="336" spans="1:24" ht="14.5">
      <c r="A336" s="109"/>
      <c r="B336" s="109"/>
      <c r="C336" s="109"/>
      <c r="D336" s="109"/>
      <c r="E336" s="109"/>
      <c r="F336" s="110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</row>
    <row r="337" spans="1:24" ht="14.5">
      <c r="A337" s="109"/>
      <c r="B337" s="109"/>
      <c r="C337" s="109"/>
      <c r="D337" s="109"/>
      <c r="E337" s="109"/>
      <c r="F337" s="110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</row>
    <row r="338" spans="1:24" ht="14.5">
      <c r="A338" s="109"/>
      <c r="B338" s="109"/>
      <c r="C338" s="109"/>
      <c r="D338" s="109"/>
      <c r="E338" s="109"/>
      <c r="F338" s="110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</row>
    <row r="339" spans="1:24" ht="14.5">
      <c r="A339" s="109"/>
      <c r="B339" s="109"/>
      <c r="C339" s="109"/>
      <c r="D339" s="109"/>
      <c r="E339" s="109"/>
      <c r="F339" s="110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</row>
    <row r="340" spans="1:24" ht="14.5">
      <c r="A340" s="109"/>
      <c r="B340" s="109"/>
      <c r="C340" s="109"/>
      <c r="D340" s="109"/>
      <c r="E340" s="109"/>
      <c r="F340" s="110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</row>
    <row r="341" spans="1:24" ht="14.5">
      <c r="A341" s="109"/>
      <c r="B341" s="109"/>
      <c r="C341" s="109"/>
      <c r="D341" s="109"/>
      <c r="E341" s="109"/>
      <c r="F341" s="110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</row>
    <row r="342" spans="1:24" ht="14.5">
      <c r="A342" s="109"/>
      <c r="B342" s="109"/>
      <c r="C342" s="109"/>
      <c r="D342" s="109"/>
      <c r="E342" s="109"/>
      <c r="F342" s="110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</row>
    <row r="343" spans="1:24" ht="14.5">
      <c r="A343" s="109"/>
      <c r="B343" s="109"/>
      <c r="C343" s="109"/>
      <c r="D343" s="109"/>
      <c r="E343" s="109"/>
      <c r="F343" s="110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</row>
    <row r="344" spans="1:24" ht="14.5">
      <c r="A344" s="109"/>
      <c r="B344" s="109"/>
      <c r="C344" s="109"/>
      <c r="D344" s="109"/>
      <c r="E344" s="109"/>
      <c r="F344" s="110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</row>
    <row r="345" spans="1:24" ht="14.5">
      <c r="A345" s="109"/>
      <c r="B345" s="109"/>
      <c r="C345" s="109"/>
      <c r="D345" s="109"/>
      <c r="E345" s="109"/>
      <c r="F345" s="110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</row>
    <row r="346" spans="1:24" ht="14.5">
      <c r="A346" s="109"/>
      <c r="B346" s="109"/>
      <c r="C346" s="109"/>
      <c r="D346" s="109"/>
      <c r="E346" s="109"/>
      <c r="F346" s="110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</row>
    <row r="347" spans="1:24" ht="14.5">
      <c r="A347" s="109"/>
      <c r="B347" s="109"/>
      <c r="C347" s="109"/>
      <c r="D347" s="109"/>
      <c r="E347" s="109"/>
      <c r="F347" s="110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</row>
    <row r="348" spans="1:24" ht="14.5">
      <c r="A348" s="109"/>
      <c r="B348" s="109"/>
      <c r="C348" s="109"/>
      <c r="D348" s="109"/>
      <c r="E348" s="109"/>
      <c r="F348" s="110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</row>
    <row r="349" spans="1:24" ht="14.5">
      <c r="A349" s="109"/>
      <c r="B349" s="109"/>
      <c r="C349" s="109"/>
      <c r="D349" s="109"/>
      <c r="E349" s="109"/>
      <c r="F349" s="110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</row>
    <row r="350" spans="1:24" ht="14.5">
      <c r="A350" s="109"/>
      <c r="B350" s="109"/>
      <c r="C350" s="109"/>
      <c r="D350" s="109"/>
      <c r="E350" s="109"/>
      <c r="F350" s="110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</row>
    <row r="351" spans="1:24" ht="14.5">
      <c r="A351" s="109"/>
      <c r="B351" s="109"/>
      <c r="C351" s="109"/>
      <c r="D351" s="109"/>
      <c r="E351" s="109"/>
      <c r="F351" s="110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</row>
    <row r="352" spans="1:24" ht="14.5">
      <c r="A352" s="109"/>
      <c r="B352" s="109"/>
      <c r="C352" s="109"/>
      <c r="D352" s="109"/>
      <c r="E352" s="109"/>
      <c r="F352" s="110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</row>
    <row r="353" spans="1:24" ht="14.5">
      <c r="A353" s="109"/>
      <c r="B353" s="109"/>
      <c r="C353" s="109"/>
      <c r="D353" s="109"/>
      <c r="E353" s="109"/>
      <c r="F353" s="110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</row>
    <row r="354" spans="1:24" ht="14.5">
      <c r="A354" s="109"/>
      <c r="B354" s="109"/>
      <c r="C354" s="109"/>
      <c r="D354" s="109"/>
      <c r="E354" s="109"/>
      <c r="F354" s="110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</row>
    <row r="355" spans="1:24" ht="14.5">
      <c r="A355" s="109"/>
      <c r="B355" s="109"/>
      <c r="C355" s="109"/>
      <c r="D355" s="109"/>
      <c r="E355" s="109"/>
      <c r="F355" s="110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</row>
    <row r="356" spans="1:24" ht="14.5">
      <c r="A356" s="109"/>
      <c r="B356" s="109"/>
      <c r="C356" s="109"/>
      <c r="D356" s="109"/>
      <c r="E356" s="109"/>
      <c r="F356" s="110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</row>
    <row r="357" spans="1:24" ht="14.5">
      <c r="A357" s="109"/>
      <c r="B357" s="109"/>
      <c r="C357" s="109"/>
      <c r="D357" s="109"/>
      <c r="E357" s="109"/>
      <c r="F357" s="110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</row>
    <row r="358" spans="1:24" ht="14.5">
      <c r="A358" s="109"/>
      <c r="B358" s="109"/>
      <c r="C358" s="109"/>
      <c r="D358" s="109"/>
      <c r="E358" s="109"/>
      <c r="F358" s="110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</row>
    <row r="359" spans="1:24" ht="14.5">
      <c r="A359" s="109"/>
      <c r="B359" s="109"/>
      <c r="C359" s="109"/>
      <c r="D359" s="109"/>
      <c r="E359" s="109"/>
      <c r="F359" s="110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</row>
    <row r="360" spans="1:24" ht="14.5">
      <c r="A360" s="109"/>
      <c r="B360" s="109"/>
      <c r="C360" s="109"/>
      <c r="D360" s="109"/>
      <c r="E360" s="109"/>
      <c r="F360" s="110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</row>
    <row r="361" spans="1:24" ht="14.5">
      <c r="A361" s="109"/>
      <c r="B361" s="109"/>
      <c r="C361" s="109"/>
      <c r="D361" s="109"/>
      <c r="E361" s="109"/>
      <c r="F361" s="110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</row>
    <row r="362" spans="1:24" ht="14.5">
      <c r="A362" s="109"/>
      <c r="B362" s="109"/>
      <c r="C362" s="109"/>
      <c r="D362" s="109"/>
      <c r="E362" s="109"/>
      <c r="F362" s="110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</row>
    <row r="363" spans="1:24" ht="14.5">
      <c r="A363" s="109"/>
      <c r="B363" s="109"/>
      <c r="C363" s="109"/>
      <c r="D363" s="109"/>
      <c r="E363" s="109"/>
      <c r="F363" s="110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</row>
    <row r="364" spans="1:24" ht="14.5">
      <c r="A364" s="109"/>
      <c r="B364" s="109"/>
      <c r="C364" s="109"/>
      <c r="D364" s="109"/>
      <c r="E364" s="109"/>
      <c r="F364" s="110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</row>
    <row r="365" spans="1:24" ht="14.5">
      <c r="A365" s="109"/>
      <c r="B365" s="109"/>
      <c r="C365" s="109"/>
      <c r="D365" s="109"/>
      <c r="E365" s="109"/>
      <c r="F365" s="110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</row>
    <row r="366" spans="1:24" ht="14.5">
      <c r="A366" s="109"/>
      <c r="B366" s="109"/>
      <c r="C366" s="109"/>
      <c r="D366" s="109"/>
      <c r="E366" s="109"/>
      <c r="F366" s="110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</row>
    <row r="367" spans="1:24" ht="14.5">
      <c r="A367" s="109"/>
      <c r="B367" s="109"/>
      <c r="C367" s="109"/>
      <c r="D367" s="109"/>
      <c r="E367" s="109"/>
      <c r="F367" s="110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</row>
    <row r="368" spans="1:24" ht="14.5">
      <c r="A368" s="109"/>
      <c r="B368" s="109"/>
      <c r="C368" s="109"/>
      <c r="D368" s="109"/>
      <c r="E368" s="109"/>
      <c r="F368" s="110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</row>
    <row r="369" spans="1:24" ht="14.5">
      <c r="A369" s="109"/>
      <c r="B369" s="109"/>
      <c r="C369" s="109"/>
      <c r="D369" s="109"/>
      <c r="E369" s="109"/>
      <c r="F369" s="110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</row>
    <row r="370" spans="1:24" ht="14.5">
      <c r="A370" s="109"/>
      <c r="B370" s="109"/>
      <c r="C370" s="109"/>
      <c r="D370" s="109"/>
      <c r="E370" s="109"/>
      <c r="F370" s="110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</row>
    <row r="371" spans="1:24" ht="14.5">
      <c r="A371" s="109"/>
      <c r="B371" s="109"/>
      <c r="C371" s="109"/>
      <c r="D371" s="109"/>
      <c r="E371" s="109"/>
      <c r="F371" s="110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</row>
    <row r="372" spans="1:24" ht="14.5">
      <c r="A372" s="109"/>
      <c r="B372" s="109"/>
      <c r="C372" s="109"/>
      <c r="D372" s="109"/>
      <c r="E372" s="109"/>
      <c r="F372" s="110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</row>
    <row r="373" spans="1:24" ht="14.5">
      <c r="A373" s="109"/>
      <c r="B373" s="109"/>
      <c r="C373" s="109"/>
      <c r="D373" s="109"/>
      <c r="E373" s="109"/>
      <c r="F373" s="110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</row>
    <row r="374" spans="1:24" ht="14.5">
      <c r="A374" s="109"/>
      <c r="B374" s="109"/>
      <c r="C374" s="109"/>
      <c r="D374" s="109"/>
      <c r="E374" s="109"/>
      <c r="F374" s="110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</row>
    <row r="375" spans="1:24" ht="14.5">
      <c r="A375" s="109"/>
      <c r="B375" s="109"/>
      <c r="C375" s="109"/>
      <c r="D375" s="109"/>
      <c r="E375" s="109"/>
      <c r="F375" s="110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</row>
    <row r="376" spans="1:24" ht="14.5">
      <c r="A376" s="109"/>
      <c r="B376" s="109"/>
      <c r="C376" s="109"/>
      <c r="D376" s="109"/>
      <c r="E376" s="109"/>
      <c r="F376" s="110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</row>
    <row r="377" spans="1:24" ht="14.5">
      <c r="A377" s="109"/>
      <c r="B377" s="109"/>
      <c r="C377" s="109"/>
      <c r="D377" s="109"/>
      <c r="E377" s="109"/>
      <c r="F377" s="110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</row>
    <row r="378" spans="1:24" ht="14.5">
      <c r="A378" s="109"/>
      <c r="B378" s="109"/>
      <c r="C378" s="109"/>
      <c r="D378" s="109"/>
      <c r="E378" s="109"/>
      <c r="F378" s="110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</row>
    <row r="379" spans="1:24" ht="14.5">
      <c r="A379" s="109"/>
      <c r="B379" s="109"/>
      <c r="C379" s="109"/>
      <c r="D379" s="109"/>
      <c r="E379" s="109"/>
      <c r="F379" s="110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</row>
    <row r="380" spans="1:24" ht="14.5">
      <c r="A380" s="109"/>
      <c r="B380" s="109"/>
      <c r="C380" s="109"/>
      <c r="D380" s="109"/>
      <c r="E380" s="109"/>
      <c r="F380" s="110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</row>
    <row r="381" spans="1:24" ht="14.5">
      <c r="A381" s="109"/>
      <c r="B381" s="109"/>
      <c r="C381" s="109"/>
      <c r="D381" s="109"/>
      <c r="E381" s="109"/>
      <c r="F381" s="110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</row>
    <row r="382" spans="1:24" ht="14.5">
      <c r="A382" s="109"/>
      <c r="B382" s="109"/>
      <c r="C382" s="109"/>
      <c r="D382" s="109"/>
      <c r="E382" s="109"/>
      <c r="F382" s="110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</row>
    <row r="383" spans="1:24" ht="14.5">
      <c r="A383" s="109"/>
      <c r="B383" s="109"/>
      <c r="C383" s="109"/>
      <c r="D383" s="109"/>
      <c r="E383" s="109"/>
      <c r="F383" s="110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</row>
    <row r="384" spans="1:24" ht="14.5">
      <c r="A384" s="109"/>
      <c r="B384" s="109"/>
      <c r="C384" s="109"/>
      <c r="D384" s="109"/>
      <c r="E384" s="109"/>
      <c r="F384" s="110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</row>
    <row r="385" spans="1:24" ht="14.5">
      <c r="A385" s="109"/>
      <c r="B385" s="109"/>
      <c r="C385" s="109"/>
      <c r="D385" s="109"/>
      <c r="E385" s="109"/>
      <c r="F385" s="110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</row>
    <row r="386" spans="1:24" ht="14.5">
      <c r="A386" s="109"/>
      <c r="B386" s="109"/>
      <c r="C386" s="109"/>
      <c r="D386" s="109"/>
      <c r="E386" s="109"/>
      <c r="F386" s="110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</row>
    <row r="387" spans="1:24" ht="14.5">
      <c r="A387" s="109"/>
      <c r="B387" s="109"/>
      <c r="C387" s="109"/>
      <c r="D387" s="109"/>
      <c r="E387" s="109"/>
      <c r="F387" s="110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</row>
    <row r="388" spans="1:24" ht="14.5">
      <c r="A388" s="109"/>
      <c r="B388" s="109"/>
      <c r="C388" s="109"/>
      <c r="D388" s="109"/>
      <c r="E388" s="109"/>
      <c r="F388" s="110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</row>
    <row r="389" spans="1:24" ht="14.5">
      <c r="A389" s="109"/>
      <c r="B389" s="109"/>
      <c r="C389" s="109"/>
      <c r="D389" s="109"/>
      <c r="E389" s="109"/>
      <c r="F389" s="110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</row>
    <row r="390" spans="1:24" ht="14.5">
      <c r="A390" s="109"/>
      <c r="B390" s="109"/>
      <c r="C390" s="109"/>
      <c r="D390" s="109"/>
      <c r="E390" s="109"/>
      <c r="F390" s="110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</row>
    <row r="391" spans="1:24" ht="14.5">
      <c r="A391" s="109"/>
      <c r="B391" s="109"/>
      <c r="C391" s="109"/>
      <c r="D391" s="109"/>
      <c r="E391" s="109"/>
      <c r="F391" s="110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</row>
    <row r="392" spans="1:24" ht="14.5">
      <c r="A392" s="109"/>
      <c r="B392" s="109"/>
      <c r="C392" s="109"/>
      <c r="D392" s="109"/>
      <c r="E392" s="109"/>
      <c r="F392" s="110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</row>
    <row r="393" spans="1:24" ht="14.5">
      <c r="A393" s="109"/>
      <c r="B393" s="109"/>
      <c r="C393" s="109"/>
      <c r="D393" s="109"/>
      <c r="E393" s="109"/>
      <c r="F393" s="110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</row>
    <row r="394" spans="1:24" ht="14.5">
      <c r="A394" s="109"/>
      <c r="B394" s="109"/>
      <c r="C394" s="109"/>
      <c r="D394" s="109"/>
      <c r="E394" s="109"/>
      <c r="F394" s="110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</row>
    <row r="395" spans="1:24" ht="14.5">
      <c r="A395" s="109"/>
      <c r="B395" s="109"/>
      <c r="C395" s="109"/>
      <c r="D395" s="109"/>
      <c r="E395" s="109"/>
      <c r="F395" s="110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</row>
    <row r="396" spans="1:24" ht="14.5">
      <c r="A396" s="109"/>
      <c r="B396" s="109"/>
      <c r="C396" s="109"/>
      <c r="D396" s="109"/>
      <c r="E396" s="109"/>
      <c r="F396" s="110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</row>
    <row r="397" spans="1:24" ht="14.5">
      <c r="A397" s="109"/>
      <c r="B397" s="109"/>
      <c r="C397" s="109"/>
      <c r="D397" s="109"/>
      <c r="E397" s="109"/>
      <c r="F397" s="110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</row>
    <row r="398" spans="1:24" ht="14.5">
      <c r="A398" s="109"/>
      <c r="B398" s="109"/>
      <c r="C398" s="109"/>
      <c r="D398" s="109"/>
      <c r="E398" s="109"/>
      <c r="F398" s="110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</row>
    <row r="399" spans="1:24" ht="14.5">
      <c r="A399" s="109"/>
      <c r="B399" s="109"/>
      <c r="C399" s="109"/>
      <c r="D399" s="109"/>
      <c r="E399" s="109"/>
      <c r="F399" s="110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</row>
    <row r="400" spans="1:24" ht="14.5">
      <c r="A400" s="109"/>
      <c r="B400" s="109"/>
      <c r="C400" s="109"/>
      <c r="D400" s="109"/>
      <c r="E400" s="109"/>
      <c r="F400" s="110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</row>
    <row r="401" spans="1:24" ht="14.5">
      <c r="A401" s="109"/>
      <c r="B401" s="109"/>
      <c r="C401" s="109"/>
      <c r="D401" s="109"/>
      <c r="E401" s="109"/>
      <c r="F401" s="110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</row>
    <row r="402" spans="1:24" ht="14.5">
      <c r="A402" s="109"/>
      <c r="B402" s="109"/>
      <c r="C402" s="109"/>
      <c r="D402" s="109"/>
      <c r="E402" s="109"/>
      <c r="F402" s="110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</row>
    <row r="403" spans="1:24" ht="14.5">
      <c r="A403" s="109"/>
      <c r="B403" s="109"/>
      <c r="C403" s="109"/>
      <c r="D403" s="109"/>
      <c r="E403" s="109"/>
      <c r="F403" s="110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</row>
    <row r="404" spans="1:24" ht="14.5">
      <c r="A404" s="109"/>
      <c r="B404" s="109"/>
      <c r="C404" s="109"/>
      <c r="D404" s="109"/>
      <c r="E404" s="109"/>
      <c r="F404" s="110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</row>
    <row r="405" spans="1:24" ht="14.5">
      <c r="A405" s="109"/>
      <c r="B405" s="109"/>
      <c r="C405" s="109"/>
      <c r="D405" s="109"/>
      <c r="E405" s="109"/>
      <c r="F405" s="110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</row>
    <row r="406" spans="1:24" ht="14.5">
      <c r="A406" s="109"/>
      <c r="B406" s="109"/>
      <c r="C406" s="109"/>
      <c r="D406" s="109"/>
      <c r="E406" s="109"/>
      <c r="F406" s="110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</row>
    <row r="407" spans="1:24" ht="14.5">
      <c r="A407" s="109"/>
      <c r="B407" s="109"/>
      <c r="C407" s="109"/>
      <c r="D407" s="109"/>
      <c r="E407" s="109"/>
      <c r="F407" s="110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</row>
    <row r="408" spans="1:24" ht="14.5">
      <c r="A408" s="109"/>
      <c r="B408" s="109"/>
      <c r="C408" s="109"/>
      <c r="D408" s="109"/>
      <c r="E408" s="109"/>
      <c r="F408" s="110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</row>
    <row r="409" spans="1:24" ht="14.5">
      <c r="A409" s="109"/>
      <c r="B409" s="109"/>
      <c r="C409" s="109"/>
      <c r="D409" s="109"/>
      <c r="E409" s="109"/>
      <c r="F409" s="110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</row>
    <row r="410" spans="1:24" ht="14.5">
      <c r="A410" s="109"/>
      <c r="B410" s="109"/>
      <c r="C410" s="109"/>
      <c r="D410" s="109"/>
      <c r="E410" s="109"/>
      <c r="F410" s="110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</row>
    <row r="411" spans="1:24" ht="14.5">
      <c r="A411" s="109"/>
      <c r="B411" s="109"/>
      <c r="C411" s="109"/>
      <c r="D411" s="109"/>
      <c r="E411" s="109"/>
      <c r="F411" s="110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</row>
    <row r="412" spans="1:24" ht="14.5">
      <c r="A412" s="109"/>
      <c r="B412" s="109"/>
      <c r="C412" s="109"/>
      <c r="D412" s="109"/>
      <c r="E412" s="109"/>
      <c r="F412" s="110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</row>
    <row r="413" spans="1:24" ht="14.5">
      <c r="A413" s="109"/>
      <c r="B413" s="109"/>
      <c r="C413" s="109"/>
      <c r="D413" s="109"/>
      <c r="E413" s="109"/>
      <c r="F413" s="110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</row>
    <row r="414" spans="1:24" ht="14.5">
      <c r="A414" s="109"/>
      <c r="B414" s="109"/>
      <c r="C414" s="109"/>
      <c r="D414" s="109"/>
      <c r="E414" s="109"/>
      <c r="F414" s="110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</row>
    <row r="415" spans="1:24" ht="14.5">
      <c r="A415" s="109"/>
      <c r="B415" s="109"/>
      <c r="C415" s="109"/>
      <c r="D415" s="109"/>
      <c r="E415" s="109"/>
      <c r="F415" s="110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</row>
    <row r="416" spans="1:24" ht="14.5">
      <c r="A416" s="109"/>
      <c r="B416" s="109"/>
      <c r="C416" s="109"/>
      <c r="D416" s="109"/>
      <c r="E416" s="109"/>
      <c r="F416" s="110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</row>
    <row r="417" spans="1:24" ht="14.5">
      <c r="A417" s="109"/>
      <c r="B417" s="109"/>
      <c r="C417" s="109"/>
      <c r="D417" s="109"/>
      <c r="E417" s="109"/>
      <c r="F417" s="110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</row>
    <row r="418" spans="1:24" ht="14.5">
      <c r="A418" s="109"/>
      <c r="B418" s="109"/>
      <c r="C418" s="109"/>
      <c r="D418" s="109"/>
      <c r="E418" s="109"/>
      <c r="F418" s="110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</row>
    <row r="419" spans="1:24" ht="14.5">
      <c r="A419" s="109"/>
      <c r="B419" s="109"/>
      <c r="C419" s="109"/>
      <c r="D419" s="109"/>
      <c r="E419" s="109"/>
      <c r="F419" s="110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</row>
    <row r="420" spans="1:24" ht="14.5">
      <c r="A420" s="109"/>
      <c r="B420" s="109"/>
      <c r="C420" s="109"/>
      <c r="D420" s="109"/>
      <c r="E420" s="109"/>
      <c r="F420" s="110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</row>
    <row r="421" spans="1:24" ht="14.5">
      <c r="A421" s="109"/>
      <c r="B421" s="109"/>
      <c r="C421" s="109"/>
      <c r="D421" s="109"/>
      <c r="E421" s="109"/>
      <c r="F421" s="110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</row>
    <row r="422" spans="1:24" ht="14.5">
      <c r="A422" s="109"/>
      <c r="B422" s="109"/>
      <c r="C422" s="109"/>
      <c r="D422" s="109"/>
      <c r="E422" s="109"/>
      <c r="F422" s="110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</row>
    <row r="423" spans="1:24" ht="14.5">
      <c r="A423" s="109"/>
      <c r="B423" s="109"/>
      <c r="C423" s="109"/>
      <c r="D423" s="109"/>
      <c r="E423" s="109"/>
      <c r="F423" s="110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</row>
    <row r="424" spans="1:24" ht="14.5">
      <c r="A424" s="109"/>
      <c r="B424" s="109"/>
      <c r="C424" s="109"/>
      <c r="D424" s="109"/>
      <c r="E424" s="109"/>
      <c r="F424" s="110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</row>
    <row r="425" spans="1:24" ht="14.5">
      <c r="A425" s="109"/>
      <c r="B425" s="109"/>
      <c r="C425" s="109"/>
      <c r="D425" s="109"/>
      <c r="E425" s="109"/>
      <c r="F425" s="110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</row>
    <row r="426" spans="1:24" ht="14.5">
      <c r="A426" s="109"/>
      <c r="B426" s="109"/>
      <c r="C426" s="109"/>
      <c r="D426" s="109"/>
      <c r="E426" s="109"/>
      <c r="F426" s="110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</row>
    <row r="427" spans="1:24" ht="14.5">
      <c r="A427" s="109"/>
      <c r="B427" s="109"/>
      <c r="C427" s="109"/>
      <c r="D427" s="109"/>
      <c r="E427" s="109"/>
      <c r="F427" s="110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</row>
    <row r="428" spans="1:24" ht="14.5">
      <c r="A428" s="109"/>
      <c r="B428" s="109"/>
      <c r="C428" s="109"/>
      <c r="D428" s="109"/>
      <c r="E428" s="109"/>
      <c r="F428" s="110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</row>
    <row r="429" spans="1:24" ht="14.5">
      <c r="A429" s="109"/>
      <c r="B429" s="109"/>
      <c r="C429" s="109"/>
      <c r="D429" s="109"/>
      <c r="E429" s="109"/>
      <c r="F429" s="110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</row>
    <row r="430" spans="1:24" ht="14.5">
      <c r="A430" s="109"/>
      <c r="B430" s="109"/>
      <c r="C430" s="109"/>
      <c r="D430" s="109"/>
      <c r="E430" s="109"/>
      <c r="F430" s="110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</row>
    <row r="431" spans="1:24" ht="14.5">
      <c r="A431" s="109"/>
      <c r="B431" s="109"/>
      <c r="C431" s="109"/>
      <c r="D431" s="109"/>
      <c r="E431" s="109"/>
      <c r="F431" s="110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</row>
    <row r="432" spans="1:24" ht="14.5">
      <c r="A432" s="109"/>
      <c r="B432" s="109"/>
      <c r="C432" s="109"/>
      <c r="D432" s="109"/>
      <c r="E432" s="109"/>
      <c r="F432" s="110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</row>
    <row r="433" spans="1:24" ht="14.5">
      <c r="A433" s="109"/>
      <c r="B433" s="109"/>
      <c r="C433" s="109"/>
      <c r="D433" s="109"/>
      <c r="E433" s="109"/>
      <c r="F433" s="110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</row>
    <row r="434" spans="1:24" ht="14.5">
      <c r="A434" s="109"/>
      <c r="B434" s="109"/>
      <c r="C434" s="109"/>
      <c r="D434" s="109"/>
      <c r="E434" s="109"/>
      <c r="F434" s="110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</row>
    <row r="435" spans="1:24" ht="14.5">
      <c r="A435" s="109"/>
      <c r="B435" s="109"/>
      <c r="C435" s="109"/>
      <c r="D435" s="109"/>
      <c r="E435" s="109"/>
      <c r="F435" s="110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</row>
    <row r="436" spans="1:24" ht="14.5">
      <c r="A436" s="109"/>
      <c r="B436" s="109"/>
      <c r="C436" s="109"/>
      <c r="D436" s="109"/>
      <c r="E436" s="109"/>
      <c r="F436" s="110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</row>
    <row r="437" spans="1:24" ht="14.5">
      <c r="A437" s="109"/>
      <c r="B437" s="109"/>
      <c r="C437" s="109"/>
      <c r="D437" s="109"/>
      <c r="E437" s="109"/>
      <c r="F437" s="110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</row>
    <row r="438" spans="1:24" ht="14.5">
      <c r="A438" s="109"/>
      <c r="B438" s="109"/>
      <c r="C438" s="109"/>
      <c r="D438" s="109"/>
      <c r="E438" s="109"/>
      <c r="F438" s="110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</row>
    <row r="439" spans="1:24" ht="14.5">
      <c r="A439" s="109"/>
      <c r="B439" s="109"/>
      <c r="C439" s="109"/>
      <c r="D439" s="109"/>
      <c r="E439" s="109"/>
      <c r="F439" s="110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</row>
    <row r="440" spans="1:24" ht="14.5">
      <c r="A440" s="109"/>
      <c r="B440" s="109"/>
      <c r="C440" s="109"/>
      <c r="D440" s="109"/>
      <c r="E440" s="109"/>
      <c r="F440" s="110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</row>
    <row r="441" spans="1:24" ht="14.5">
      <c r="A441" s="109"/>
      <c r="B441" s="109"/>
      <c r="C441" s="109"/>
      <c r="D441" s="109"/>
      <c r="E441" s="109"/>
      <c r="F441" s="110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</row>
    <row r="442" spans="1:24" ht="14.5">
      <c r="A442" s="109"/>
      <c r="B442" s="109"/>
      <c r="C442" s="109"/>
      <c r="D442" s="109"/>
      <c r="E442" s="109"/>
      <c r="F442" s="110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</row>
    <row r="443" spans="1:24" ht="14.5">
      <c r="A443" s="109"/>
      <c r="B443" s="109"/>
      <c r="C443" s="109"/>
      <c r="D443" s="109"/>
      <c r="E443" s="109"/>
      <c r="F443" s="110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</row>
    <row r="444" spans="1:24" ht="14.5">
      <c r="A444" s="109"/>
      <c r="B444" s="109"/>
      <c r="C444" s="109"/>
      <c r="D444" s="109"/>
      <c r="E444" s="109"/>
      <c r="F444" s="110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</row>
    <row r="445" spans="1:24" ht="14.5">
      <c r="A445" s="109"/>
      <c r="B445" s="109"/>
      <c r="C445" s="109"/>
      <c r="D445" s="109"/>
      <c r="E445" s="109"/>
      <c r="F445" s="110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</row>
    <row r="446" spans="1:24" ht="14.5">
      <c r="A446" s="109"/>
      <c r="B446" s="109"/>
      <c r="C446" s="109"/>
      <c r="D446" s="109"/>
      <c r="E446" s="109"/>
      <c r="F446" s="110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</row>
    <row r="447" spans="1:24" ht="14.5">
      <c r="A447" s="109"/>
      <c r="B447" s="109"/>
      <c r="C447" s="109"/>
      <c r="D447" s="109"/>
      <c r="E447" s="109"/>
      <c r="F447" s="110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</row>
    <row r="448" spans="1:24" ht="14.5">
      <c r="A448" s="109"/>
      <c r="B448" s="109"/>
      <c r="C448" s="109"/>
      <c r="D448" s="109"/>
      <c r="E448" s="109"/>
      <c r="F448" s="110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</row>
    <row r="449" spans="1:24" ht="14.5">
      <c r="A449" s="109"/>
      <c r="B449" s="109"/>
      <c r="C449" s="109"/>
      <c r="D449" s="109"/>
      <c r="E449" s="109"/>
      <c r="F449" s="110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</row>
    <row r="450" spans="1:24" ht="14.5">
      <c r="A450" s="109"/>
      <c r="B450" s="109"/>
      <c r="C450" s="109"/>
      <c r="D450" s="109"/>
      <c r="E450" s="109"/>
      <c r="F450" s="110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</row>
    <row r="451" spans="1:24" ht="14.5">
      <c r="A451" s="109"/>
      <c r="B451" s="109"/>
      <c r="C451" s="109"/>
      <c r="D451" s="109"/>
      <c r="E451" s="109"/>
      <c r="F451" s="110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</row>
    <row r="452" spans="1:24" ht="14.5">
      <c r="A452" s="109"/>
      <c r="B452" s="109"/>
      <c r="C452" s="109"/>
      <c r="D452" s="109"/>
      <c r="E452" s="109"/>
      <c r="F452" s="110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</row>
    <row r="453" spans="1:24" ht="14.5">
      <c r="A453" s="109"/>
      <c r="B453" s="109"/>
      <c r="C453" s="109"/>
      <c r="D453" s="109"/>
      <c r="E453" s="109"/>
      <c r="F453" s="110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</row>
    <row r="454" spans="1:24" ht="14.5">
      <c r="A454" s="109"/>
      <c r="B454" s="109"/>
      <c r="C454" s="109"/>
      <c r="D454" s="109"/>
      <c r="E454" s="109"/>
      <c r="F454" s="110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</row>
    <row r="455" spans="1:24" ht="14.5">
      <c r="A455" s="109"/>
      <c r="B455" s="109"/>
      <c r="C455" s="109"/>
      <c r="D455" s="109"/>
      <c r="E455" s="109"/>
      <c r="F455" s="110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</row>
    <row r="456" spans="1:24" ht="14.5">
      <c r="A456" s="109"/>
      <c r="B456" s="109"/>
      <c r="C456" s="109"/>
      <c r="D456" s="109"/>
      <c r="E456" s="109"/>
      <c r="F456" s="110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</row>
    <row r="457" spans="1:24" ht="14.5">
      <c r="A457" s="109"/>
      <c r="B457" s="109"/>
      <c r="C457" s="109"/>
      <c r="D457" s="109"/>
      <c r="E457" s="109"/>
      <c r="F457" s="110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</row>
    <row r="458" spans="1:24" ht="14.5">
      <c r="A458" s="109"/>
      <c r="B458" s="109"/>
      <c r="C458" s="109"/>
      <c r="D458" s="109"/>
      <c r="E458" s="109"/>
      <c r="F458" s="110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</row>
    <row r="459" spans="1:24" ht="14.5">
      <c r="A459" s="109"/>
      <c r="B459" s="109"/>
      <c r="C459" s="109"/>
      <c r="D459" s="109"/>
      <c r="E459" s="109"/>
      <c r="F459" s="110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</row>
    <row r="460" spans="1:24" ht="14.5">
      <c r="A460" s="109"/>
      <c r="B460" s="109"/>
      <c r="C460" s="109"/>
      <c r="D460" s="109"/>
      <c r="E460" s="109"/>
      <c r="F460" s="110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</row>
    <row r="461" spans="1:24" ht="14.5">
      <c r="A461" s="109"/>
      <c r="B461" s="109"/>
      <c r="C461" s="109"/>
      <c r="D461" s="109"/>
      <c r="E461" s="109"/>
      <c r="F461" s="110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</row>
    <row r="462" spans="1:24" ht="14.5">
      <c r="A462" s="109"/>
      <c r="B462" s="109"/>
      <c r="C462" s="109"/>
      <c r="D462" s="109"/>
      <c r="E462" s="109"/>
      <c r="F462" s="110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</row>
    <row r="463" spans="1:24" ht="14.5">
      <c r="A463" s="109"/>
      <c r="B463" s="109"/>
      <c r="C463" s="109"/>
      <c r="D463" s="109"/>
      <c r="E463" s="109"/>
      <c r="F463" s="110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</row>
    <row r="464" spans="1:24" ht="14.5">
      <c r="A464" s="109"/>
      <c r="B464" s="109"/>
      <c r="C464" s="109"/>
      <c r="D464" s="109"/>
      <c r="E464" s="109"/>
      <c r="F464" s="110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</row>
    <row r="465" spans="1:24" ht="14.5">
      <c r="A465" s="109"/>
      <c r="B465" s="109"/>
      <c r="C465" s="109"/>
      <c r="D465" s="109"/>
      <c r="E465" s="109"/>
      <c r="F465" s="110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</row>
    <row r="466" spans="1:24" ht="14.5">
      <c r="A466" s="109"/>
      <c r="B466" s="109"/>
      <c r="C466" s="109"/>
      <c r="D466" s="109"/>
      <c r="E466" s="109"/>
      <c r="F466" s="110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</row>
    <row r="467" spans="1:24" ht="14.5">
      <c r="A467" s="109"/>
      <c r="B467" s="109"/>
      <c r="C467" s="109"/>
      <c r="D467" s="109"/>
      <c r="E467" s="109"/>
      <c r="F467" s="110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</row>
    <row r="468" spans="1:24" ht="14.5">
      <c r="A468" s="109"/>
      <c r="B468" s="109"/>
      <c r="C468" s="109"/>
      <c r="D468" s="109"/>
      <c r="E468" s="109"/>
      <c r="F468" s="110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</row>
    <row r="469" spans="1:24" ht="14.5">
      <c r="A469" s="109"/>
      <c r="B469" s="109"/>
      <c r="C469" s="109"/>
      <c r="D469" s="109"/>
      <c r="E469" s="109"/>
      <c r="F469" s="110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</row>
    <row r="470" spans="1:24" ht="14.5">
      <c r="A470" s="109"/>
      <c r="B470" s="109"/>
      <c r="C470" s="109"/>
      <c r="D470" s="109"/>
      <c r="E470" s="109"/>
      <c r="F470" s="110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</row>
    <row r="471" spans="1:24" ht="14.5">
      <c r="A471" s="109"/>
      <c r="B471" s="109"/>
      <c r="C471" s="109"/>
      <c r="D471" s="109"/>
      <c r="E471" s="109"/>
      <c r="F471" s="110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</row>
    <row r="472" spans="1:24" ht="14.5">
      <c r="A472" s="109"/>
      <c r="B472" s="109"/>
      <c r="C472" s="109"/>
      <c r="D472" s="109"/>
      <c r="E472" s="109"/>
      <c r="F472" s="110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</row>
    <row r="473" spans="1:24" ht="14.5">
      <c r="A473" s="109"/>
      <c r="B473" s="109"/>
      <c r="C473" s="109"/>
      <c r="D473" s="109"/>
      <c r="E473" s="109"/>
      <c r="F473" s="110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</row>
    <row r="474" spans="1:24" ht="14.5">
      <c r="A474" s="109"/>
      <c r="B474" s="109"/>
      <c r="C474" s="109"/>
      <c r="D474" s="109"/>
      <c r="E474" s="109"/>
      <c r="F474" s="110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</row>
    <row r="475" spans="1:24" ht="14.5">
      <c r="A475" s="109"/>
      <c r="B475" s="109"/>
      <c r="C475" s="109"/>
      <c r="D475" s="109"/>
      <c r="E475" s="109"/>
      <c r="F475" s="110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</row>
    <row r="476" spans="1:24" ht="14.5">
      <c r="A476" s="109"/>
      <c r="B476" s="109"/>
      <c r="C476" s="109"/>
      <c r="D476" s="109"/>
      <c r="E476" s="109"/>
      <c r="F476" s="110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</row>
    <row r="477" spans="1:24" ht="14.5">
      <c r="A477" s="109"/>
      <c r="B477" s="109"/>
      <c r="C477" s="109"/>
      <c r="D477" s="109"/>
      <c r="E477" s="109"/>
      <c r="F477" s="110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</row>
    <row r="478" spans="1:24" ht="14.5">
      <c r="A478" s="109"/>
      <c r="B478" s="109"/>
      <c r="C478" s="109"/>
      <c r="D478" s="109"/>
      <c r="E478" s="109"/>
      <c r="F478" s="110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</row>
    <row r="479" spans="1:24" ht="14.5">
      <c r="A479" s="109"/>
      <c r="B479" s="109"/>
      <c r="C479" s="109"/>
      <c r="D479" s="109"/>
      <c r="E479" s="109"/>
      <c r="F479" s="110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</row>
    <row r="480" spans="1:24" ht="14.5">
      <c r="A480" s="109"/>
      <c r="B480" s="109"/>
      <c r="C480" s="109"/>
      <c r="D480" s="109"/>
      <c r="E480" s="109"/>
      <c r="F480" s="110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</row>
    <row r="481" spans="1:24" ht="14.5">
      <c r="A481" s="109"/>
      <c r="B481" s="109"/>
      <c r="C481" s="109"/>
      <c r="D481" s="109"/>
      <c r="E481" s="109"/>
      <c r="F481" s="110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</row>
    <row r="482" spans="1:24" ht="14.5">
      <c r="A482" s="109"/>
      <c r="B482" s="109"/>
      <c r="C482" s="109"/>
      <c r="D482" s="109"/>
      <c r="E482" s="109"/>
      <c r="F482" s="110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</row>
    <row r="483" spans="1:24" ht="14.5">
      <c r="A483" s="109"/>
      <c r="B483" s="109"/>
      <c r="C483" s="109"/>
      <c r="D483" s="109"/>
      <c r="E483" s="109"/>
      <c r="F483" s="110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</row>
    <row r="484" spans="1:24" ht="14.5">
      <c r="A484" s="109"/>
      <c r="B484" s="109"/>
      <c r="C484" s="109"/>
      <c r="D484" s="109"/>
      <c r="E484" s="109"/>
      <c r="F484" s="110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</row>
    <row r="485" spans="1:24" ht="14.5">
      <c r="A485" s="109"/>
      <c r="B485" s="109"/>
      <c r="C485" s="109"/>
      <c r="D485" s="109"/>
      <c r="E485" s="109"/>
      <c r="F485" s="110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</row>
    <row r="486" spans="1:24" ht="14.5">
      <c r="A486" s="109"/>
      <c r="B486" s="109"/>
      <c r="C486" s="109"/>
      <c r="D486" s="109"/>
      <c r="E486" s="109"/>
      <c r="F486" s="110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</row>
    <row r="487" spans="1:24" ht="14.5">
      <c r="A487" s="109"/>
      <c r="B487" s="109"/>
      <c r="C487" s="109"/>
      <c r="D487" s="109"/>
      <c r="E487" s="109"/>
      <c r="F487" s="110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</row>
    <row r="488" spans="1:24" ht="14.5">
      <c r="A488" s="109"/>
      <c r="B488" s="109"/>
      <c r="C488" s="109"/>
      <c r="D488" s="109"/>
      <c r="E488" s="109"/>
      <c r="F488" s="110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</row>
    <row r="489" spans="1:24" ht="14.5">
      <c r="A489" s="109"/>
      <c r="B489" s="109"/>
      <c r="C489" s="109"/>
      <c r="D489" s="109"/>
      <c r="E489" s="109"/>
      <c r="F489" s="110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</row>
    <row r="490" spans="1:24" ht="14.5">
      <c r="A490" s="109"/>
      <c r="B490" s="109"/>
      <c r="C490" s="109"/>
      <c r="D490" s="109"/>
      <c r="E490" s="109"/>
      <c r="F490" s="110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</row>
    <row r="491" spans="1:24" ht="14.5">
      <c r="A491" s="109"/>
      <c r="B491" s="109"/>
      <c r="C491" s="109"/>
      <c r="D491" s="109"/>
      <c r="E491" s="109"/>
      <c r="F491" s="110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</row>
    <row r="492" spans="1:24" ht="14.5">
      <c r="A492" s="109"/>
      <c r="B492" s="109"/>
      <c r="C492" s="109"/>
      <c r="D492" s="109"/>
      <c r="E492" s="109"/>
      <c r="F492" s="110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</row>
    <row r="493" spans="1:24" ht="14.5">
      <c r="A493" s="109"/>
      <c r="B493" s="109"/>
      <c r="C493" s="109"/>
      <c r="D493" s="109"/>
      <c r="E493" s="109"/>
      <c r="F493" s="110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</row>
    <row r="494" spans="1:24" ht="14.5">
      <c r="A494" s="109"/>
      <c r="B494" s="109"/>
      <c r="C494" s="109"/>
      <c r="D494" s="109"/>
      <c r="E494" s="109"/>
      <c r="F494" s="110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</row>
    <row r="495" spans="1:24" ht="14.5">
      <c r="A495" s="109"/>
      <c r="B495" s="109"/>
      <c r="C495" s="109"/>
      <c r="D495" s="109"/>
      <c r="E495" s="109"/>
      <c r="F495" s="110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</row>
    <row r="496" spans="1:24" ht="14.5">
      <c r="A496" s="109"/>
      <c r="B496" s="109"/>
      <c r="C496" s="109"/>
      <c r="D496" s="109"/>
      <c r="E496" s="109"/>
      <c r="F496" s="110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</row>
    <row r="497" spans="1:24" ht="14.5">
      <c r="A497" s="109"/>
      <c r="B497" s="109"/>
      <c r="C497" s="109"/>
      <c r="D497" s="109"/>
      <c r="E497" s="109"/>
      <c r="F497" s="110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</row>
    <row r="498" spans="1:24" ht="14.5">
      <c r="A498" s="109"/>
      <c r="B498" s="109"/>
      <c r="C498" s="109"/>
      <c r="D498" s="109"/>
      <c r="E498" s="109"/>
      <c r="F498" s="110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</row>
    <row r="499" spans="1:24" ht="14.5">
      <c r="A499" s="109"/>
      <c r="B499" s="109"/>
      <c r="C499" s="109"/>
      <c r="D499" s="109"/>
      <c r="E499" s="109"/>
      <c r="F499" s="110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</row>
    <row r="500" spans="1:24" ht="14.5">
      <c r="A500" s="109"/>
      <c r="B500" s="109"/>
      <c r="C500" s="109"/>
      <c r="D500" s="109"/>
      <c r="E500" s="109"/>
      <c r="F500" s="110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</row>
    <row r="501" spans="1:24" ht="14.5">
      <c r="A501" s="109"/>
      <c r="B501" s="109"/>
      <c r="C501" s="109"/>
      <c r="D501" s="109"/>
      <c r="E501" s="109"/>
      <c r="F501" s="110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</row>
    <row r="502" spans="1:24" ht="14.5">
      <c r="A502" s="109"/>
      <c r="B502" s="109"/>
      <c r="C502" s="109"/>
      <c r="D502" s="109"/>
      <c r="E502" s="109"/>
      <c r="F502" s="110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</row>
    <row r="503" spans="1:24" ht="14.5">
      <c r="A503" s="109"/>
      <c r="B503" s="109"/>
      <c r="C503" s="109"/>
      <c r="D503" s="109"/>
      <c r="E503" s="109"/>
      <c r="F503" s="110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</row>
    <row r="504" spans="1:24" ht="14.5">
      <c r="A504" s="109"/>
      <c r="B504" s="109"/>
      <c r="C504" s="109"/>
      <c r="D504" s="109"/>
      <c r="E504" s="109"/>
      <c r="F504" s="110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</row>
    <row r="505" spans="1:24" ht="14.5">
      <c r="A505" s="109"/>
      <c r="B505" s="109"/>
      <c r="C505" s="109"/>
      <c r="D505" s="109"/>
      <c r="E505" s="109"/>
      <c r="F505" s="110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</row>
    <row r="506" spans="1:24" ht="14.5">
      <c r="A506" s="109"/>
      <c r="B506" s="109"/>
      <c r="C506" s="109"/>
      <c r="D506" s="109"/>
      <c r="E506" s="109"/>
      <c r="F506" s="110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</row>
    <row r="507" spans="1:24" ht="14.5">
      <c r="A507" s="109"/>
      <c r="B507" s="109"/>
      <c r="C507" s="109"/>
      <c r="D507" s="109"/>
      <c r="E507" s="109"/>
      <c r="F507" s="110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</row>
    <row r="508" spans="1:24" ht="14.5">
      <c r="A508" s="109"/>
      <c r="B508" s="109"/>
      <c r="C508" s="109"/>
      <c r="D508" s="109"/>
      <c r="E508" s="109"/>
      <c r="F508" s="110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</row>
    <row r="509" spans="1:24" ht="14.5">
      <c r="A509" s="109"/>
      <c r="B509" s="109"/>
      <c r="C509" s="109"/>
      <c r="D509" s="109"/>
      <c r="E509" s="109"/>
      <c r="F509" s="110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</row>
    <row r="510" spans="1:24" ht="14.5">
      <c r="A510" s="109"/>
      <c r="B510" s="109"/>
      <c r="C510" s="109"/>
      <c r="D510" s="109"/>
      <c r="E510" s="109"/>
      <c r="F510" s="110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</row>
    <row r="511" spans="1:24" ht="14.5">
      <c r="A511" s="109"/>
      <c r="B511" s="109"/>
      <c r="C511" s="109"/>
      <c r="D511" s="109"/>
      <c r="E511" s="109"/>
      <c r="F511" s="110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</row>
    <row r="512" spans="1:24" ht="14.5">
      <c r="A512" s="109"/>
      <c r="B512" s="109"/>
      <c r="C512" s="109"/>
      <c r="D512" s="109"/>
      <c r="E512" s="109"/>
      <c r="F512" s="110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</row>
    <row r="513" spans="1:24" ht="14.5">
      <c r="A513" s="109"/>
      <c r="B513" s="109"/>
      <c r="C513" s="109"/>
      <c r="D513" s="109"/>
      <c r="E513" s="109"/>
      <c r="F513" s="110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</row>
    <row r="514" spans="1:24" ht="14.5">
      <c r="A514" s="109"/>
      <c r="B514" s="109"/>
      <c r="C514" s="109"/>
      <c r="D514" s="109"/>
      <c r="E514" s="109"/>
      <c r="F514" s="110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</row>
    <row r="515" spans="1:24" ht="14.5">
      <c r="A515" s="109"/>
      <c r="B515" s="109"/>
      <c r="C515" s="109"/>
      <c r="D515" s="109"/>
      <c r="E515" s="109"/>
      <c r="F515" s="110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</row>
    <row r="516" spans="1:24" ht="14.5">
      <c r="A516" s="109"/>
      <c r="B516" s="109"/>
      <c r="C516" s="109"/>
      <c r="D516" s="109"/>
      <c r="E516" s="109"/>
      <c r="F516" s="110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</row>
    <row r="517" spans="1:24" ht="14.5">
      <c r="A517" s="109"/>
      <c r="B517" s="109"/>
      <c r="C517" s="109"/>
      <c r="D517" s="109"/>
      <c r="E517" s="109"/>
      <c r="F517" s="110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</row>
    <row r="518" spans="1:24" ht="14.5">
      <c r="A518" s="109"/>
      <c r="B518" s="109"/>
      <c r="C518" s="109"/>
      <c r="D518" s="109"/>
      <c r="E518" s="109"/>
      <c r="F518" s="110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</row>
    <row r="519" spans="1:24" ht="14.5">
      <c r="A519" s="109"/>
      <c r="B519" s="109"/>
      <c r="C519" s="109"/>
      <c r="D519" s="109"/>
      <c r="E519" s="109"/>
      <c r="F519" s="110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</row>
    <row r="520" spans="1:24" ht="14.5">
      <c r="A520" s="109"/>
      <c r="B520" s="109"/>
      <c r="C520" s="109"/>
      <c r="D520" s="109"/>
      <c r="E520" s="109"/>
      <c r="F520" s="110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</row>
    <row r="521" spans="1:24" ht="14.5">
      <c r="A521" s="109"/>
      <c r="B521" s="109"/>
      <c r="C521" s="109"/>
      <c r="D521" s="109"/>
      <c r="E521" s="109"/>
      <c r="F521" s="110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</row>
    <row r="522" spans="1:24" ht="14.5">
      <c r="A522" s="109"/>
      <c r="B522" s="109"/>
      <c r="C522" s="109"/>
      <c r="D522" s="109"/>
      <c r="E522" s="109"/>
      <c r="F522" s="110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</row>
    <row r="523" spans="1:24" ht="14.5">
      <c r="A523" s="109"/>
      <c r="B523" s="109"/>
      <c r="C523" s="109"/>
      <c r="D523" s="109"/>
      <c r="E523" s="109"/>
      <c r="F523" s="110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</row>
    <row r="524" spans="1:24" ht="14.5">
      <c r="A524" s="109"/>
      <c r="B524" s="109"/>
      <c r="C524" s="109"/>
      <c r="D524" s="109"/>
      <c r="E524" s="109"/>
      <c r="F524" s="110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</row>
    <row r="525" spans="1:24" ht="14.5">
      <c r="A525" s="109"/>
      <c r="B525" s="109"/>
      <c r="C525" s="109"/>
      <c r="D525" s="109"/>
      <c r="E525" s="109"/>
      <c r="F525" s="110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</row>
    <row r="526" spans="1:24" ht="14.5">
      <c r="A526" s="109"/>
      <c r="B526" s="109"/>
      <c r="C526" s="109"/>
      <c r="D526" s="109"/>
      <c r="E526" s="109"/>
      <c r="F526" s="110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</row>
    <row r="527" spans="1:24" ht="14.5">
      <c r="A527" s="109"/>
      <c r="B527" s="109"/>
      <c r="C527" s="109"/>
      <c r="D527" s="109"/>
      <c r="E527" s="109"/>
      <c r="F527" s="110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</row>
    <row r="528" spans="1:24" ht="14.5">
      <c r="A528" s="109"/>
      <c r="B528" s="109"/>
      <c r="C528" s="109"/>
      <c r="D528" s="109"/>
      <c r="E528" s="109"/>
      <c r="F528" s="110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</row>
    <row r="529" spans="1:24" ht="14.5">
      <c r="A529" s="109"/>
      <c r="B529" s="109"/>
      <c r="C529" s="109"/>
      <c r="D529" s="109"/>
      <c r="E529" s="109"/>
      <c r="F529" s="110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</row>
    <row r="530" spans="1:24" ht="14.5">
      <c r="A530" s="109"/>
      <c r="B530" s="109"/>
      <c r="C530" s="109"/>
      <c r="D530" s="109"/>
      <c r="E530" s="109"/>
      <c r="F530" s="110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</row>
    <row r="531" spans="1:24" ht="14.5">
      <c r="A531" s="109"/>
      <c r="B531" s="109"/>
      <c r="C531" s="109"/>
      <c r="D531" s="109"/>
      <c r="E531" s="109"/>
      <c r="F531" s="110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</row>
    <row r="532" spans="1:24" ht="14.5">
      <c r="A532" s="109"/>
      <c r="B532" s="109"/>
      <c r="C532" s="109"/>
      <c r="D532" s="109"/>
      <c r="E532" s="109"/>
      <c r="F532" s="110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</row>
    <row r="533" spans="1:24" ht="14.5">
      <c r="A533" s="109"/>
      <c r="B533" s="109"/>
      <c r="C533" s="109"/>
      <c r="D533" s="109"/>
      <c r="E533" s="109"/>
      <c r="F533" s="110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</row>
    <row r="534" spans="1:24" ht="14.5">
      <c r="A534" s="109"/>
      <c r="B534" s="109"/>
      <c r="C534" s="109"/>
      <c r="D534" s="109"/>
      <c r="E534" s="109"/>
      <c r="F534" s="110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</row>
    <row r="535" spans="1:24" ht="14.5">
      <c r="A535" s="109"/>
      <c r="B535" s="109"/>
      <c r="C535" s="109"/>
      <c r="D535" s="109"/>
      <c r="E535" s="109"/>
      <c r="F535" s="110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</row>
    <row r="536" spans="1:24" ht="14.5">
      <c r="A536" s="109"/>
      <c r="B536" s="109"/>
      <c r="C536" s="109"/>
      <c r="D536" s="109"/>
      <c r="E536" s="109"/>
      <c r="F536" s="110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</row>
    <row r="537" spans="1:24" ht="14.5">
      <c r="A537" s="109"/>
      <c r="B537" s="109"/>
      <c r="C537" s="109"/>
      <c r="D537" s="109"/>
      <c r="E537" s="109"/>
      <c r="F537" s="110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</row>
    <row r="538" spans="1:24" ht="14.5">
      <c r="A538" s="109"/>
      <c r="B538" s="109"/>
      <c r="C538" s="109"/>
      <c r="D538" s="109"/>
      <c r="E538" s="109"/>
      <c r="F538" s="110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</row>
    <row r="539" spans="1:24" ht="14.5">
      <c r="A539" s="109"/>
      <c r="B539" s="109"/>
      <c r="C539" s="109"/>
      <c r="D539" s="109"/>
      <c r="E539" s="109"/>
      <c r="F539" s="110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</row>
    <row r="540" spans="1:24" ht="14.5">
      <c r="A540" s="109"/>
      <c r="B540" s="109"/>
      <c r="C540" s="109"/>
      <c r="D540" s="109"/>
      <c r="E540" s="109"/>
      <c r="F540" s="110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</row>
    <row r="541" spans="1:24" ht="14.5">
      <c r="A541" s="109"/>
      <c r="B541" s="109"/>
      <c r="C541" s="109"/>
      <c r="D541" s="109"/>
      <c r="E541" s="109"/>
      <c r="F541" s="110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</row>
    <row r="542" spans="1:24" ht="14.5">
      <c r="A542" s="109"/>
      <c r="B542" s="109"/>
      <c r="C542" s="109"/>
      <c r="D542" s="109"/>
      <c r="E542" s="109"/>
      <c r="F542" s="110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</row>
    <row r="543" spans="1:24" ht="14.5">
      <c r="A543" s="109"/>
      <c r="B543" s="109"/>
      <c r="C543" s="109"/>
      <c r="D543" s="109"/>
      <c r="E543" s="109"/>
      <c r="F543" s="110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</row>
    <row r="544" spans="1:24" ht="14.5">
      <c r="A544" s="109"/>
      <c r="B544" s="109"/>
      <c r="C544" s="109"/>
      <c r="D544" s="109"/>
      <c r="E544" s="109"/>
      <c r="F544" s="110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</row>
    <row r="545" spans="1:24" ht="14.5">
      <c r="A545" s="109"/>
      <c r="B545" s="109"/>
      <c r="C545" s="109"/>
      <c r="D545" s="109"/>
      <c r="E545" s="109"/>
      <c r="F545" s="110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</row>
    <row r="546" spans="1:24" ht="14.5">
      <c r="A546" s="109"/>
      <c r="B546" s="109"/>
      <c r="C546" s="109"/>
      <c r="D546" s="109"/>
      <c r="E546" s="109"/>
      <c r="F546" s="110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</row>
    <row r="547" spans="1:24" ht="14.5">
      <c r="A547" s="109"/>
      <c r="B547" s="109"/>
      <c r="C547" s="109"/>
      <c r="D547" s="109"/>
      <c r="E547" s="109"/>
      <c r="F547" s="110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</row>
    <row r="548" spans="1:24" ht="14.5">
      <c r="A548" s="109"/>
      <c r="B548" s="109"/>
      <c r="C548" s="109"/>
      <c r="D548" s="109"/>
      <c r="E548" s="109"/>
      <c r="F548" s="110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</row>
    <row r="549" spans="1:24" ht="14.5">
      <c r="A549" s="109"/>
      <c r="B549" s="109"/>
      <c r="C549" s="109"/>
      <c r="D549" s="109"/>
      <c r="E549" s="109"/>
      <c r="F549" s="110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</row>
    <row r="550" spans="1:24" ht="14.5">
      <c r="A550" s="109"/>
      <c r="B550" s="109"/>
      <c r="C550" s="109"/>
      <c r="D550" s="109"/>
      <c r="E550" s="109"/>
      <c r="F550" s="110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</row>
    <row r="551" spans="1:24" ht="14.5">
      <c r="A551" s="109"/>
      <c r="B551" s="109"/>
      <c r="C551" s="109"/>
      <c r="D551" s="109"/>
      <c r="E551" s="109"/>
      <c r="F551" s="110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</row>
    <row r="552" spans="1:24" ht="14.5">
      <c r="A552" s="109"/>
      <c r="B552" s="109"/>
      <c r="C552" s="109"/>
      <c r="D552" s="109"/>
      <c r="E552" s="109"/>
      <c r="F552" s="110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</row>
    <row r="553" spans="1:24" ht="14.5">
      <c r="A553" s="109"/>
      <c r="B553" s="109"/>
      <c r="C553" s="109"/>
      <c r="D553" s="109"/>
      <c r="E553" s="109"/>
      <c r="F553" s="110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</row>
    <row r="554" spans="1:24" ht="14.5">
      <c r="A554" s="109"/>
      <c r="B554" s="109"/>
      <c r="C554" s="109"/>
      <c r="D554" s="109"/>
      <c r="E554" s="109"/>
      <c r="F554" s="110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</row>
    <row r="555" spans="1:24" ht="14.5">
      <c r="A555" s="109"/>
      <c r="B555" s="109"/>
      <c r="C555" s="109"/>
      <c r="D555" s="109"/>
      <c r="E555" s="109"/>
      <c r="F555" s="110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</row>
    <row r="556" spans="1:24" ht="14.5">
      <c r="A556" s="109"/>
      <c r="B556" s="109"/>
      <c r="C556" s="109"/>
      <c r="D556" s="109"/>
      <c r="E556" s="109"/>
      <c r="F556" s="110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</row>
    <row r="557" spans="1:24" ht="14.5">
      <c r="A557" s="109"/>
      <c r="B557" s="109"/>
      <c r="C557" s="109"/>
      <c r="D557" s="109"/>
      <c r="E557" s="109"/>
      <c r="F557" s="110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</row>
    <row r="558" spans="1:24" ht="14.5">
      <c r="A558" s="109"/>
      <c r="B558" s="109"/>
      <c r="C558" s="109"/>
      <c r="D558" s="109"/>
      <c r="E558" s="109"/>
      <c r="F558" s="110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</row>
    <row r="559" spans="1:24" ht="14.5">
      <c r="A559" s="109"/>
      <c r="B559" s="109"/>
      <c r="C559" s="109"/>
      <c r="D559" s="109"/>
      <c r="E559" s="109"/>
      <c r="F559" s="110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</row>
    <row r="560" spans="1:24" ht="14.5">
      <c r="A560" s="109"/>
      <c r="B560" s="109"/>
      <c r="C560" s="109"/>
      <c r="D560" s="109"/>
      <c r="E560" s="109"/>
      <c r="F560" s="110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</row>
    <row r="561" spans="1:24" ht="14.5">
      <c r="A561" s="109"/>
      <c r="B561" s="109"/>
      <c r="C561" s="109"/>
      <c r="D561" s="109"/>
      <c r="E561" s="109"/>
      <c r="F561" s="110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</row>
    <row r="562" spans="1:24" ht="14.5">
      <c r="A562" s="109"/>
      <c r="B562" s="109"/>
      <c r="C562" s="109"/>
      <c r="D562" s="109"/>
      <c r="E562" s="109"/>
      <c r="F562" s="110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</row>
    <row r="563" spans="1:24" ht="14.5">
      <c r="A563" s="109"/>
      <c r="B563" s="109"/>
      <c r="C563" s="109"/>
      <c r="D563" s="109"/>
      <c r="E563" s="109"/>
      <c r="F563" s="110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</row>
    <row r="564" spans="1:24" ht="14.5">
      <c r="A564" s="109"/>
      <c r="B564" s="109"/>
      <c r="C564" s="109"/>
      <c r="D564" s="109"/>
      <c r="E564" s="109"/>
      <c r="F564" s="110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</row>
    <row r="565" spans="1:24" ht="14.5">
      <c r="A565" s="109"/>
      <c r="B565" s="109"/>
      <c r="C565" s="109"/>
      <c r="D565" s="109"/>
      <c r="E565" s="109"/>
      <c r="F565" s="110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</row>
    <row r="566" spans="1:24" ht="14.5">
      <c r="A566" s="109"/>
      <c r="B566" s="109"/>
      <c r="C566" s="109"/>
      <c r="D566" s="109"/>
      <c r="E566" s="109"/>
      <c r="F566" s="110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</row>
    <row r="567" spans="1:24" ht="14.5">
      <c r="A567" s="109"/>
      <c r="B567" s="109"/>
      <c r="C567" s="109"/>
      <c r="D567" s="109"/>
      <c r="E567" s="109"/>
      <c r="F567" s="110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</row>
    <row r="568" spans="1:24" ht="14.5">
      <c r="A568" s="109"/>
      <c r="B568" s="109"/>
      <c r="C568" s="109"/>
      <c r="D568" s="109"/>
      <c r="E568" s="109"/>
      <c r="F568" s="110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</row>
    <row r="569" spans="1:24" ht="14.5">
      <c r="A569" s="109"/>
      <c r="B569" s="109"/>
      <c r="C569" s="109"/>
      <c r="D569" s="109"/>
      <c r="E569" s="109"/>
      <c r="F569" s="110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</row>
    <row r="570" spans="1:24" ht="14.5">
      <c r="A570" s="109"/>
      <c r="B570" s="109"/>
      <c r="C570" s="109"/>
      <c r="D570" s="109"/>
      <c r="E570" s="109"/>
      <c r="F570" s="110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</row>
    <row r="571" spans="1:24" ht="14.5">
      <c r="A571" s="109"/>
      <c r="B571" s="109"/>
      <c r="C571" s="109"/>
      <c r="D571" s="109"/>
      <c r="E571" s="109"/>
      <c r="F571" s="110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</row>
    <row r="572" spans="1:24" ht="14.5">
      <c r="A572" s="109"/>
      <c r="B572" s="109"/>
      <c r="C572" s="109"/>
      <c r="D572" s="109"/>
      <c r="E572" s="109"/>
      <c r="F572" s="110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</row>
    <row r="573" spans="1:24" ht="14.5">
      <c r="A573" s="109"/>
      <c r="B573" s="109"/>
      <c r="C573" s="109"/>
      <c r="D573" s="109"/>
      <c r="E573" s="109"/>
      <c r="F573" s="110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</row>
    <row r="574" spans="1:24" ht="14.5">
      <c r="A574" s="109"/>
      <c r="B574" s="109"/>
      <c r="C574" s="109"/>
      <c r="D574" s="109"/>
      <c r="E574" s="109"/>
      <c r="F574" s="110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</row>
    <row r="575" spans="1:24" ht="14.5">
      <c r="A575" s="109"/>
      <c r="B575" s="109"/>
      <c r="C575" s="109"/>
      <c r="D575" s="109"/>
      <c r="E575" s="109"/>
      <c r="F575" s="110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</row>
    <row r="576" spans="1:24" ht="14.5">
      <c r="A576" s="109"/>
      <c r="B576" s="109"/>
      <c r="C576" s="109"/>
      <c r="D576" s="109"/>
      <c r="E576" s="109"/>
      <c r="F576" s="110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</row>
    <row r="577" spans="1:24" ht="14.5">
      <c r="A577" s="109"/>
      <c r="B577" s="109"/>
      <c r="C577" s="109"/>
      <c r="D577" s="109"/>
      <c r="E577" s="109"/>
      <c r="F577" s="110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</row>
    <row r="578" spans="1:24" ht="14.5">
      <c r="A578" s="109"/>
      <c r="B578" s="109"/>
      <c r="C578" s="109"/>
      <c r="D578" s="109"/>
      <c r="E578" s="109"/>
      <c r="F578" s="110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</row>
    <row r="579" spans="1:24" ht="14.5">
      <c r="A579" s="109"/>
      <c r="B579" s="109"/>
      <c r="C579" s="109"/>
      <c r="D579" s="109"/>
      <c r="E579" s="109"/>
      <c r="F579" s="110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</row>
    <row r="580" spans="1:24" ht="14.5">
      <c r="A580" s="109"/>
      <c r="B580" s="109"/>
      <c r="C580" s="109"/>
      <c r="D580" s="109"/>
      <c r="E580" s="109"/>
      <c r="F580" s="110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</row>
    <row r="581" spans="1:24" ht="14.5">
      <c r="A581" s="109"/>
      <c r="B581" s="109"/>
      <c r="C581" s="109"/>
      <c r="D581" s="109"/>
      <c r="E581" s="109"/>
      <c r="F581" s="110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</row>
    <row r="582" spans="1:24" ht="14.5">
      <c r="A582" s="109"/>
      <c r="B582" s="109"/>
      <c r="C582" s="109"/>
      <c r="D582" s="109"/>
      <c r="E582" s="109"/>
      <c r="F582" s="110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</row>
    <row r="583" spans="1:24" ht="14.5">
      <c r="A583" s="109"/>
      <c r="B583" s="109"/>
      <c r="C583" s="109"/>
      <c r="D583" s="109"/>
      <c r="E583" s="109"/>
      <c r="F583" s="110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</row>
    <row r="584" spans="1:24" ht="14.5">
      <c r="A584" s="109"/>
      <c r="B584" s="109"/>
      <c r="C584" s="109"/>
      <c r="D584" s="109"/>
      <c r="E584" s="109"/>
      <c r="F584" s="110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</row>
    <row r="585" spans="1:24" ht="14.5">
      <c r="A585" s="109"/>
      <c r="B585" s="109"/>
      <c r="C585" s="109"/>
      <c r="D585" s="109"/>
      <c r="E585" s="109"/>
      <c r="F585" s="110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</row>
    <row r="586" spans="1:24" ht="14.5">
      <c r="A586" s="109"/>
      <c r="B586" s="109"/>
      <c r="C586" s="109"/>
      <c r="D586" s="109"/>
      <c r="E586" s="109"/>
      <c r="F586" s="110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</row>
    <row r="587" spans="1:24" ht="14.5">
      <c r="A587" s="109"/>
      <c r="B587" s="109"/>
      <c r="C587" s="109"/>
      <c r="D587" s="109"/>
      <c r="E587" s="109"/>
      <c r="F587" s="110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</row>
    <row r="588" spans="1:24" ht="14.5">
      <c r="A588" s="109"/>
      <c r="B588" s="109"/>
      <c r="C588" s="109"/>
      <c r="D588" s="109"/>
      <c r="E588" s="109"/>
      <c r="F588" s="110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</row>
    <row r="589" spans="1:24" ht="14.5">
      <c r="A589" s="109"/>
      <c r="B589" s="109"/>
      <c r="C589" s="109"/>
      <c r="D589" s="109"/>
      <c r="E589" s="109"/>
      <c r="F589" s="110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</row>
    <row r="590" spans="1:24" ht="14.5">
      <c r="A590" s="109"/>
      <c r="B590" s="109"/>
      <c r="C590" s="109"/>
      <c r="D590" s="109"/>
      <c r="E590" s="109"/>
      <c r="F590" s="110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</row>
    <row r="591" spans="1:24" ht="14.5">
      <c r="A591" s="109"/>
      <c r="B591" s="109"/>
      <c r="C591" s="109"/>
      <c r="D591" s="109"/>
      <c r="E591" s="109"/>
      <c r="F591" s="110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</row>
    <row r="592" spans="1:24" ht="14.5">
      <c r="A592" s="109"/>
      <c r="B592" s="109"/>
      <c r="C592" s="109"/>
      <c r="D592" s="109"/>
      <c r="E592" s="109"/>
      <c r="F592" s="110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</row>
    <row r="593" spans="1:24" ht="14.5">
      <c r="A593" s="109"/>
      <c r="B593" s="109"/>
      <c r="C593" s="109"/>
      <c r="D593" s="109"/>
      <c r="E593" s="109"/>
      <c r="F593" s="110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</row>
    <row r="594" spans="1:24" ht="14.5">
      <c r="A594" s="109"/>
      <c r="B594" s="109"/>
      <c r="C594" s="109"/>
      <c r="D594" s="109"/>
      <c r="E594" s="109"/>
      <c r="F594" s="110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</row>
    <row r="595" spans="1:24" ht="14.5">
      <c r="A595" s="109"/>
      <c r="B595" s="109"/>
      <c r="C595" s="109"/>
      <c r="D595" s="109"/>
      <c r="E595" s="109"/>
      <c r="F595" s="110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</row>
    <row r="596" spans="1:24" ht="14.5">
      <c r="A596" s="109"/>
      <c r="B596" s="109"/>
      <c r="C596" s="109"/>
      <c r="D596" s="109"/>
      <c r="E596" s="109"/>
      <c r="F596" s="110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</row>
    <row r="597" spans="1:24" ht="14.5">
      <c r="A597" s="109"/>
      <c r="B597" s="109"/>
      <c r="C597" s="109"/>
      <c r="D597" s="109"/>
      <c r="E597" s="109"/>
      <c r="F597" s="110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</row>
    <row r="598" spans="1:24" ht="14.5">
      <c r="A598" s="109"/>
      <c r="B598" s="109"/>
      <c r="C598" s="109"/>
      <c r="D598" s="109"/>
      <c r="E598" s="109"/>
      <c r="F598" s="110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</row>
    <row r="599" spans="1:24" ht="14.5">
      <c r="A599" s="109"/>
      <c r="B599" s="109"/>
      <c r="C599" s="109"/>
      <c r="D599" s="109"/>
      <c r="E599" s="109"/>
      <c r="F599" s="110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</row>
    <row r="600" spans="1:24" ht="14.5">
      <c r="A600" s="109"/>
      <c r="B600" s="109"/>
      <c r="C600" s="109"/>
      <c r="D600" s="109"/>
      <c r="E600" s="109"/>
      <c r="F600" s="110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</row>
    <row r="601" spans="1:24" ht="14.5">
      <c r="A601" s="109"/>
      <c r="B601" s="109"/>
      <c r="C601" s="109"/>
      <c r="D601" s="109"/>
      <c r="E601" s="109"/>
      <c r="F601" s="110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</row>
    <row r="602" spans="1:24" ht="14.5">
      <c r="A602" s="109"/>
      <c r="B602" s="109"/>
      <c r="C602" s="109"/>
      <c r="D602" s="109"/>
      <c r="E602" s="109"/>
      <c r="F602" s="110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</row>
    <row r="603" spans="1:24" ht="14.5">
      <c r="A603" s="109"/>
      <c r="B603" s="109"/>
      <c r="C603" s="109"/>
      <c r="D603" s="109"/>
      <c r="E603" s="109"/>
      <c r="F603" s="110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</row>
    <row r="604" spans="1:24" ht="14.5">
      <c r="A604" s="109"/>
      <c r="B604" s="109"/>
      <c r="C604" s="109"/>
      <c r="D604" s="109"/>
      <c r="E604" s="109"/>
      <c r="F604" s="110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</row>
    <row r="605" spans="1:24" ht="14.5">
      <c r="A605" s="109"/>
      <c r="B605" s="109"/>
      <c r="C605" s="109"/>
      <c r="D605" s="109"/>
      <c r="E605" s="109"/>
      <c r="F605" s="110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</row>
    <row r="606" spans="1:24" ht="14.5">
      <c r="A606" s="109"/>
      <c r="B606" s="109"/>
      <c r="C606" s="109"/>
      <c r="D606" s="109"/>
      <c r="E606" s="109"/>
      <c r="F606" s="110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</row>
    <row r="607" spans="1:24" ht="14.5">
      <c r="A607" s="109"/>
      <c r="B607" s="109"/>
      <c r="C607" s="109"/>
      <c r="D607" s="109"/>
      <c r="E607" s="109"/>
      <c r="F607" s="110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</row>
    <row r="608" spans="1:24" ht="14.5">
      <c r="A608" s="109"/>
      <c r="B608" s="109"/>
      <c r="C608" s="109"/>
      <c r="D608" s="109"/>
      <c r="E608" s="109"/>
      <c r="F608" s="110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</row>
    <row r="609" spans="1:24" ht="14.5">
      <c r="A609" s="109"/>
      <c r="B609" s="109"/>
      <c r="C609" s="109"/>
      <c r="D609" s="109"/>
      <c r="E609" s="109"/>
      <c r="F609" s="110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</row>
    <row r="610" spans="1:24" ht="14.5">
      <c r="A610" s="109"/>
      <c r="B610" s="109"/>
      <c r="C610" s="109"/>
      <c r="D610" s="109"/>
      <c r="E610" s="109"/>
      <c r="F610" s="110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</row>
    <row r="611" spans="1:24" ht="14.5">
      <c r="A611" s="109"/>
      <c r="B611" s="109"/>
      <c r="C611" s="109"/>
      <c r="D611" s="109"/>
      <c r="E611" s="109"/>
      <c r="F611" s="110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</row>
    <row r="612" spans="1:24" ht="14.5">
      <c r="A612" s="109"/>
      <c r="B612" s="109"/>
      <c r="C612" s="109"/>
      <c r="D612" s="109"/>
      <c r="E612" s="109"/>
      <c r="F612" s="110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</row>
    <row r="613" spans="1:24" ht="14.5">
      <c r="A613" s="109"/>
      <c r="B613" s="109"/>
      <c r="C613" s="109"/>
      <c r="D613" s="109"/>
      <c r="E613" s="109"/>
      <c r="F613" s="110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</row>
    <row r="614" spans="1:24" ht="14.5">
      <c r="A614" s="109"/>
      <c r="B614" s="109"/>
      <c r="C614" s="109"/>
      <c r="D614" s="109"/>
      <c r="E614" s="109"/>
      <c r="F614" s="110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</row>
    <row r="615" spans="1:24" ht="14.5">
      <c r="A615" s="109"/>
      <c r="B615" s="109"/>
      <c r="C615" s="109"/>
      <c r="D615" s="109"/>
      <c r="E615" s="109"/>
      <c r="F615" s="110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</row>
    <row r="616" spans="1:24" ht="14.5">
      <c r="A616" s="109"/>
      <c r="B616" s="109"/>
      <c r="C616" s="109"/>
      <c r="D616" s="109"/>
      <c r="E616" s="109"/>
      <c r="F616" s="110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</row>
    <row r="617" spans="1:24" ht="14.5">
      <c r="A617" s="109"/>
      <c r="B617" s="109"/>
      <c r="C617" s="109"/>
      <c r="D617" s="109"/>
      <c r="E617" s="109"/>
      <c r="F617" s="110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</row>
    <row r="618" spans="1:24" ht="14.5">
      <c r="A618" s="109"/>
      <c r="B618" s="109"/>
      <c r="C618" s="109"/>
      <c r="D618" s="109"/>
      <c r="E618" s="109"/>
      <c r="F618" s="110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</row>
    <row r="619" spans="1:24" ht="14.5">
      <c r="A619" s="109"/>
      <c r="B619" s="109"/>
      <c r="C619" s="109"/>
      <c r="D619" s="109"/>
      <c r="E619" s="109"/>
      <c r="F619" s="110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</row>
    <row r="620" spans="1:24" ht="14.5">
      <c r="A620" s="109"/>
      <c r="B620" s="109"/>
      <c r="C620" s="109"/>
      <c r="D620" s="109"/>
      <c r="E620" s="109"/>
      <c r="F620" s="110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</row>
    <row r="621" spans="1:24" ht="14.5">
      <c r="A621" s="109"/>
      <c r="B621" s="109"/>
      <c r="C621" s="109"/>
      <c r="D621" s="109"/>
      <c r="E621" s="109"/>
      <c r="F621" s="110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</row>
    <row r="622" spans="1:24" ht="14.5">
      <c r="A622" s="109"/>
      <c r="B622" s="109"/>
      <c r="C622" s="109"/>
      <c r="D622" s="109"/>
      <c r="E622" s="109"/>
      <c r="F622" s="110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</row>
    <row r="623" spans="1:24" ht="14.5">
      <c r="A623" s="109"/>
      <c r="B623" s="109"/>
      <c r="C623" s="109"/>
      <c r="D623" s="109"/>
      <c r="E623" s="109"/>
      <c r="F623" s="110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</row>
    <row r="624" spans="1:24" ht="14.5">
      <c r="A624" s="109"/>
      <c r="B624" s="109"/>
      <c r="C624" s="109"/>
      <c r="D624" s="109"/>
      <c r="E624" s="109"/>
      <c r="F624" s="110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</row>
    <row r="625" spans="1:24" ht="14.5">
      <c r="A625" s="109"/>
      <c r="B625" s="109"/>
      <c r="C625" s="109"/>
      <c r="D625" s="109"/>
      <c r="E625" s="109"/>
      <c r="F625" s="110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</row>
    <row r="626" spans="1:24" ht="14.5">
      <c r="A626" s="109"/>
      <c r="B626" s="109"/>
      <c r="C626" s="109"/>
      <c r="D626" s="109"/>
      <c r="E626" s="109"/>
      <c r="F626" s="110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</row>
    <row r="627" spans="1:24" ht="14.5">
      <c r="A627" s="109"/>
      <c r="B627" s="109"/>
      <c r="C627" s="109"/>
      <c r="D627" s="109"/>
      <c r="E627" s="109"/>
      <c r="F627" s="110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</row>
    <row r="628" spans="1:24" ht="14.5">
      <c r="A628" s="109"/>
      <c r="B628" s="109"/>
      <c r="C628" s="109"/>
      <c r="D628" s="109"/>
      <c r="E628" s="109"/>
      <c r="F628" s="110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</row>
    <row r="629" spans="1:24" ht="14.5">
      <c r="A629" s="109"/>
      <c r="B629" s="109"/>
      <c r="C629" s="109"/>
      <c r="D629" s="109"/>
      <c r="E629" s="109"/>
      <c r="F629" s="110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</row>
    <row r="630" spans="1:24" ht="14.5">
      <c r="A630" s="109"/>
      <c r="B630" s="109"/>
      <c r="C630" s="109"/>
      <c r="D630" s="109"/>
      <c r="E630" s="109"/>
      <c r="F630" s="110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</row>
    <row r="631" spans="1:24" ht="14.5">
      <c r="A631" s="109"/>
      <c r="B631" s="109"/>
      <c r="C631" s="109"/>
      <c r="D631" s="109"/>
      <c r="E631" s="109"/>
      <c r="F631" s="110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</row>
    <row r="632" spans="1:24" ht="14.5">
      <c r="A632" s="109"/>
      <c r="B632" s="109"/>
      <c r="C632" s="109"/>
      <c r="D632" s="109"/>
      <c r="E632" s="109"/>
      <c r="F632" s="110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</row>
    <row r="633" spans="1:24" ht="14.5">
      <c r="A633" s="109"/>
      <c r="B633" s="109"/>
      <c r="C633" s="109"/>
      <c r="D633" s="109"/>
      <c r="E633" s="109"/>
      <c r="F633" s="110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</row>
    <row r="634" spans="1:24" ht="14.5">
      <c r="A634" s="109"/>
      <c r="B634" s="109"/>
      <c r="C634" s="109"/>
      <c r="D634" s="109"/>
      <c r="E634" s="109"/>
      <c r="F634" s="110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</row>
    <row r="635" spans="1:24" ht="14.5">
      <c r="A635" s="109"/>
      <c r="B635" s="109"/>
      <c r="C635" s="109"/>
      <c r="D635" s="109"/>
      <c r="E635" s="109"/>
      <c r="F635" s="110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</row>
    <row r="636" spans="1:24" ht="14.5">
      <c r="A636" s="109"/>
      <c r="B636" s="109"/>
      <c r="C636" s="109"/>
      <c r="D636" s="109"/>
      <c r="E636" s="109"/>
      <c r="F636" s="110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</row>
    <row r="637" spans="1:24" ht="14.5">
      <c r="A637" s="109"/>
      <c r="B637" s="109"/>
      <c r="C637" s="109"/>
      <c r="D637" s="109"/>
      <c r="E637" s="109"/>
      <c r="F637" s="110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</row>
    <row r="638" spans="1:24" ht="14.5">
      <c r="A638" s="109"/>
      <c r="B638" s="109"/>
      <c r="C638" s="109"/>
      <c r="D638" s="109"/>
      <c r="E638" s="109"/>
      <c r="F638" s="110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</row>
    <row r="639" spans="1:24" ht="14.5">
      <c r="A639" s="109"/>
      <c r="B639" s="109"/>
      <c r="C639" s="109"/>
      <c r="D639" s="109"/>
      <c r="E639" s="109"/>
      <c r="F639" s="110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</row>
    <row r="640" spans="1:24" ht="14.5">
      <c r="A640" s="109"/>
      <c r="B640" s="109"/>
      <c r="C640" s="109"/>
      <c r="D640" s="109"/>
      <c r="E640" s="109"/>
      <c r="F640" s="110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</row>
    <row r="641" spans="1:24" ht="14.5">
      <c r="A641" s="109"/>
      <c r="B641" s="109"/>
      <c r="C641" s="109"/>
      <c r="D641" s="109"/>
      <c r="E641" s="109"/>
      <c r="F641" s="110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</row>
    <row r="642" spans="1:24" ht="14.5">
      <c r="A642" s="109"/>
      <c r="B642" s="109"/>
      <c r="C642" s="109"/>
      <c r="D642" s="109"/>
      <c r="E642" s="109"/>
      <c r="F642" s="110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</row>
    <row r="643" spans="1:24" ht="14.5">
      <c r="A643" s="109"/>
      <c r="B643" s="109"/>
      <c r="C643" s="109"/>
      <c r="D643" s="109"/>
      <c r="E643" s="109"/>
      <c r="F643" s="110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</row>
    <row r="644" spans="1:24" ht="14.5">
      <c r="A644" s="109"/>
      <c r="B644" s="109"/>
      <c r="C644" s="109"/>
      <c r="D644" s="109"/>
      <c r="E644" s="109"/>
      <c r="F644" s="110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</row>
    <row r="645" spans="1:24" ht="14.5">
      <c r="A645" s="109"/>
      <c r="B645" s="109"/>
      <c r="C645" s="109"/>
      <c r="D645" s="109"/>
      <c r="E645" s="109"/>
      <c r="F645" s="110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</row>
    <row r="646" spans="1:24" ht="14.5">
      <c r="A646" s="109"/>
      <c r="B646" s="109"/>
      <c r="C646" s="109"/>
      <c r="D646" s="109"/>
      <c r="E646" s="109"/>
      <c r="F646" s="110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</row>
    <row r="647" spans="1:24" ht="14.5">
      <c r="A647" s="109"/>
      <c r="B647" s="109"/>
      <c r="C647" s="109"/>
      <c r="D647" s="109"/>
      <c r="E647" s="109"/>
      <c r="F647" s="110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</row>
    <row r="648" spans="1:24" ht="14.5">
      <c r="A648" s="109"/>
      <c r="B648" s="109"/>
      <c r="C648" s="109"/>
      <c r="D648" s="109"/>
      <c r="E648" s="109"/>
      <c r="F648" s="110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</row>
    <row r="649" spans="1:24" ht="14.5">
      <c r="A649" s="109"/>
      <c r="B649" s="109"/>
      <c r="C649" s="109"/>
      <c r="D649" s="109"/>
      <c r="E649" s="109"/>
      <c r="F649" s="110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</row>
    <row r="650" spans="1:24" ht="14.5">
      <c r="A650" s="109"/>
      <c r="B650" s="109"/>
      <c r="C650" s="109"/>
      <c r="D650" s="109"/>
      <c r="E650" s="109"/>
      <c r="F650" s="110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</row>
    <row r="651" spans="1:24" ht="14.5">
      <c r="A651" s="109"/>
      <c r="B651" s="109"/>
      <c r="C651" s="109"/>
      <c r="D651" s="109"/>
      <c r="E651" s="109"/>
      <c r="F651" s="110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</row>
    <row r="652" spans="1:24" ht="14.5">
      <c r="A652" s="109"/>
      <c r="B652" s="109"/>
      <c r="C652" s="109"/>
      <c r="D652" s="109"/>
      <c r="E652" s="109"/>
      <c r="F652" s="110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</row>
    <row r="653" spans="1:24" ht="14.5">
      <c r="A653" s="109"/>
      <c r="B653" s="109"/>
      <c r="C653" s="109"/>
      <c r="D653" s="109"/>
      <c r="E653" s="109"/>
      <c r="F653" s="110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</row>
    <row r="654" spans="1:24" ht="14.5">
      <c r="A654" s="109"/>
      <c r="B654" s="109"/>
      <c r="C654" s="109"/>
      <c r="D654" s="109"/>
      <c r="E654" s="109"/>
      <c r="F654" s="110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</row>
    <row r="655" spans="1:24" ht="14.5">
      <c r="A655" s="109"/>
      <c r="B655" s="109"/>
      <c r="C655" s="109"/>
      <c r="D655" s="109"/>
      <c r="E655" s="109"/>
      <c r="F655" s="110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</row>
    <row r="656" spans="1:24" ht="14.5">
      <c r="A656" s="109"/>
      <c r="B656" s="109"/>
      <c r="C656" s="109"/>
      <c r="D656" s="109"/>
      <c r="E656" s="109"/>
      <c r="F656" s="110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</row>
    <row r="657" spans="1:24" ht="14.5">
      <c r="A657" s="109"/>
      <c r="B657" s="109"/>
      <c r="C657" s="109"/>
      <c r="D657" s="109"/>
      <c r="E657" s="109"/>
      <c r="F657" s="110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</row>
    <row r="658" spans="1:24" ht="14.5">
      <c r="A658" s="109"/>
      <c r="B658" s="109"/>
      <c r="C658" s="109"/>
      <c r="D658" s="109"/>
      <c r="E658" s="109"/>
      <c r="F658" s="110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</row>
    <row r="659" spans="1:24" ht="14.5">
      <c r="A659" s="109"/>
      <c r="B659" s="109"/>
      <c r="C659" s="109"/>
      <c r="D659" s="109"/>
      <c r="E659" s="109"/>
      <c r="F659" s="110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</row>
    <row r="660" spans="1:24" ht="14.5">
      <c r="A660" s="109"/>
      <c r="B660" s="109"/>
      <c r="C660" s="109"/>
      <c r="D660" s="109"/>
      <c r="E660" s="109"/>
      <c r="F660" s="110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</row>
    <row r="661" spans="1:24" ht="14.5">
      <c r="A661" s="109"/>
      <c r="B661" s="109"/>
      <c r="C661" s="109"/>
      <c r="D661" s="109"/>
      <c r="E661" s="109"/>
      <c r="F661" s="110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</row>
    <row r="662" spans="1:24" ht="14.5">
      <c r="A662" s="109"/>
      <c r="B662" s="109"/>
      <c r="C662" s="109"/>
      <c r="D662" s="109"/>
      <c r="E662" s="109"/>
      <c r="F662" s="110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</row>
    <row r="663" spans="1:24" ht="14.5">
      <c r="A663" s="109"/>
      <c r="B663" s="109"/>
      <c r="C663" s="109"/>
      <c r="D663" s="109"/>
      <c r="E663" s="109"/>
      <c r="F663" s="110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</row>
    <row r="664" spans="1:24" ht="14.5">
      <c r="A664" s="109"/>
      <c r="B664" s="109"/>
      <c r="C664" s="109"/>
      <c r="D664" s="109"/>
      <c r="E664" s="109"/>
      <c r="F664" s="110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</row>
    <row r="665" spans="1:24" ht="14.5">
      <c r="A665" s="109"/>
      <c r="B665" s="109"/>
      <c r="C665" s="109"/>
      <c r="D665" s="109"/>
      <c r="E665" s="109"/>
      <c r="F665" s="110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</row>
    <row r="666" spans="1:24" ht="14.5">
      <c r="A666" s="109"/>
      <c r="B666" s="109"/>
      <c r="C666" s="109"/>
      <c r="D666" s="109"/>
      <c r="E666" s="109"/>
      <c r="F666" s="110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</row>
    <row r="667" spans="1:24" ht="14.5">
      <c r="A667" s="109"/>
      <c r="B667" s="109"/>
      <c r="C667" s="109"/>
      <c r="D667" s="109"/>
      <c r="E667" s="109"/>
      <c r="F667" s="110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</row>
    <row r="668" spans="1:24" ht="14.5">
      <c r="A668" s="109"/>
      <c r="B668" s="109"/>
      <c r="C668" s="109"/>
      <c r="D668" s="109"/>
      <c r="E668" s="109"/>
      <c r="F668" s="110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</row>
    <row r="669" spans="1:24" ht="14.5">
      <c r="A669" s="109"/>
      <c r="B669" s="109"/>
      <c r="C669" s="109"/>
      <c r="D669" s="109"/>
      <c r="E669" s="109"/>
      <c r="F669" s="110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</row>
    <row r="670" spans="1:24" ht="14.5">
      <c r="A670" s="109"/>
      <c r="B670" s="109"/>
      <c r="C670" s="109"/>
      <c r="D670" s="109"/>
      <c r="E670" s="109"/>
      <c r="F670" s="110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</row>
    <row r="671" spans="1:24" ht="14.5">
      <c r="A671" s="109"/>
      <c r="B671" s="109"/>
      <c r="C671" s="109"/>
      <c r="D671" s="109"/>
      <c r="E671" s="109"/>
      <c r="F671" s="110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</row>
    <row r="672" spans="1:24" ht="14.5">
      <c r="A672" s="109"/>
      <c r="B672" s="109"/>
      <c r="C672" s="109"/>
      <c r="D672" s="109"/>
      <c r="E672" s="109"/>
      <c r="F672" s="110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</row>
    <row r="673" spans="1:24" ht="14.5">
      <c r="A673" s="109"/>
      <c r="B673" s="109"/>
      <c r="C673" s="109"/>
      <c r="D673" s="109"/>
      <c r="E673" s="109"/>
      <c r="F673" s="110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</row>
    <row r="674" spans="1:24" ht="14.5">
      <c r="A674" s="109"/>
      <c r="B674" s="109"/>
      <c r="C674" s="109"/>
      <c r="D674" s="109"/>
      <c r="E674" s="109"/>
      <c r="F674" s="110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</row>
    <row r="675" spans="1:24" ht="14.5">
      <c r="A675" s="109"/>
      <c r="B675" s="109"/>
      <c r="C675" s="109"/>
      <c r="D675" s="109"/>
      <c r="E675" s="109"/>
      <c r="F675" s="110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</row>
    <row r="676" spans="1:24" ht="14.5">
      <c r="A676" s="109"/>
      <c r="B676" s="109"/>
      <c r="C676" s="109"/>
      <c r="D676" s="109"/>
      <c r="E676" s="109"/>
      <c r="F676" s="110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</row>
    <row r="677" spans="1:24" ht="14.5">
      <c r="A677" s="109"/>
      <c r="B677" s="109"/>
      <c r="C677" s="109"/>
      <c r="D677" s="109"/>
      <c r="E677" s="109"/>
      <c r="F677" s="110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</row>
    <row r="678" spans="1:24" ht="14.5">
      <c r="A678" s="109"/>
      <c r="B678" s="109"/>
      <c r="C678" s="109"/>
      <c r="D678" s="109"/>
      <c r="E678" s="109"/>
      <c r="F678" s="110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</row>
    <row r="679" spans="1:24" ht="14.5">
      <c r="A679" s="109"/>
      <c r="B679" s="109"/>
      <c r="C679" s="109"/>
      <c r="D679" s="109"/>
      <c r="E679" s="109"/>
      <c r="F679" s="110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</row>
    <row r="680" spans="1:24" ht="14.5">
      <c r="A680" s="109"/>
      <c r="B680" s="109"/>
      <c r="C680" s="109"/>
      <c r="D680" s="109"/>
      <c r="E680" s="109"/>
      <c r="F680" s="110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</row>
    <row r="681" spans="1:24" ht="14.5">
      <c r="A681" s="109"/>
      <c r="B681" s="109"/>
      <c r="C681" s="109"/>
      <c r="D681" s="109"/>
      <c r="E681" s="109"/>
      <c r="F681" s="110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</row>
    <row r="682" spans="1:24" ht="14.5">
      <c r="A682" s="109"/>
      <c r="B682" s="109"/>
      <c r="C682" s="109"/>
      <c r="D682" s="109"/>
      <c r="E682" s="109"/>
      <c r="F682" s="110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</row>
    <row r="683" spans="1:24" ht="14.5">
      <c r="A683" s="109"/>
      <c r="B683" s="109"/>
      <c r="C683" s="109"/>
      <c r="D683" s="109"/>
      <c r="E683" s="109"/>
      <c r="F683" s="110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</row>
    <row r="684" spans="1:24" ht="14.5">
      <c r="A684" s="109"/>
      <c r="B684" s="109"/>
      <c r="C684" s="109"/>
      <c r="D684" s="109"/>
      <c r="E684" s="109"/>
      <c r="F684" s="110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</row>
    <row r="685" spans="1:24" ht="14.5">
      <c r="A685" s="109"/>
      <c r="B685" s="109"/>
      <c r="C685" s="109"/>
      <c r="D685" s="109"/>
      <c r="E685" s="109"/>
      <c r="F685" s="110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</row>
    <row r="686" spans="1:24" ht="14.5">
      <c r="A686" s="109"/>
      <c r="B686" s="109"/>
      <c r="C686" s="109"/>
      <c r="D686" s="109"/>
      <c r="E686" s="109"/>
      <c r="F686" s="110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</row>
    <row r="687" spans="1:24" ht="14.5">
      <c r="A687" s="109"/>
      <c r="B687" s="109"/>
      <c r="C687" s="109"/>
      <c r="D687" s="109"/>
      <c r="E687" s="109"/>
      <c r="F687" s="110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</row>
    <row r="688" spans="1:24" ht="14.5">
      <c r="A688" s="109"/>
      <c r="B688" s="109"/>
      <c r="C688" s="109"/>
      <c r="D688" s="109"/>
      <c r="E688" s="109"/>
      <c r="F688" s="110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</row>
    <row r="689" spans="1:24" ht="14.5">
      <c r="A689" s="109"/>
      <c r="B689" s="109"/>
      <c r="C689" s="109"/>
      <c r="D689" s="109"/>
      <c r="E689" s="109"/>
      <c r="F689" s="110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</row>
    <row r="690" spans="1:24" ht="14.5">
      <c r="A690" s="109"/>
      <c r="B690" s="109"/>
      <c r="C690" s="109"/>
      <c r="D690" s="109"/>
      <c r="E690" s="109"/>
      <c r="F690" s="110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</row>
    <row r="691" spans="1:24" ht="14.5">
      <c r="A691" s="109"/>
      <c r="B691" s="109"/>
      <c r="C691" s="109"/>
      <c r="D691" s="109"/>
      <c r="E691" s="109"/>
      <c r="F691" s="110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</row>
    <row r="692" spans="1:24" ht="14.5">
      <c r="A692" s="109"/>
      <c r="B692" s="109"/>
      <c r="C692" s="109"/>
      <c r="D692" s="109"/>
      <c r="E692" s="109"/>
      <c r="F692" s="110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</row>
    <row r="693" spans="1:24" ht="14.5">
      <c r="A693" s="109"/>
      <c r="B693" s="109"/>
      <c r="C693" s="109"/>
      <c r="D693" s="109"/>
      <c r="E693" s="109"/>
      <c r="F693" s="110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</row>
    <row r="694" spans="1:24" ht="14.5">
      <c r="A694" s="109"/>
      <c r="B694" s="109"/>
      <c r="C694" s="109"/>
      <c r="D694" s="109"/>
      <c r="E694" s="109"/>
      <c r="F694" s="110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</row>
    <row r="695" spans="1:24" ht="14.5">
      <c r="A695" s="109"/>
      <c r="B695" s="109"/>
      <c r="C695" s="109"/>
      <c r="D695" s="109"/>
      <c r="E695" s="109"/>
      <c r="F695" s="110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</row>
    <row r="696" spans="1:24" ht="14.5">
      <c r="A696" s="109"/>
      <c r="B696" s="109"/>
      <c r="C696" s="109"/>
      <c r="D696" s="109"/>
      <c r="E696" s="109"/>
      <c r="F696" s="110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</row>
    <row r="697" spans="1:24" ht="14.5">
      <c r="A697" s="109"/>
      <c r="B697" s="109"/>
      <c r="C697" s="109"/>
      <c r="D697" s="109"/>
      <c r="E697" s="109"/>
      <c r="F697" s="110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</row>
    <row r="698" spans="1:24" ht="14.5">
      <c r="A698" s="109"/>
      <c r="B698" s="109"/>
      <c r="C698" s="109"/>
      <c r="D698" s="109"/>
      <c r="E698" s="109"/>
      <c r="F698" s="110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</row>
    <row r="699" spans="1:24" ht="14.5">
      <c r="A699" s="109"/>
      <c r="B699" s="109"/>
      <c r="C699" s="109"/>
      <c r="D699" s="109"/>
      <c r="E699" s="109"/>
      <c r="F699" s="110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</row>
    <row r="700" spans="1:24" ht="14.5">
      <c r="A700" s="109"/>
      <c r="B700" s="109"/>
      <c r="C700" s="109"/>
      <c r="D700" s="109"/>
      <c r="E700" s="109"/>
      <c r="F700" s="110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</row>
    <row r="701" spans="1:24" ht="14.5">
      <c r="A701" s="109"/>
      <c r="B701" s="109"/>
      <c r="C701" s="109"/>
      <c r="D701" s="109"/>
      <c r="E701" s="109"/>
      <c r="F701" s="110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</row>
    <row r="702" spans="1:24" ht="14.5">
      <c r="A702" s="109"/>
      <c r="B702" s="109"/>
      <c r="C702" s="109"/>
      <c r="D702" s="109"/>
      <c r="E702" s="109"/>
      <c r="F702" s="110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</row>
    <row r="703" spans="1:24" ht="14.5">
      <c r="A703" s="109"/>
      <c r="B703" s="109"/>
      <c r="C703" s="109"/>
      <c r="D703" s="109"/>
      <c r="E703" s="109"/>
      <c r="F703" s="110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</row>
    <row r="704" spans="1:24" ht="14.5">
      <c r="A704" s="109"/>
      <c r="B704" s="109"/>
      <c r="C704" s="109"/>
      <c r="D704" s="109"/>
      <c r="E704" s="109"/>
      <c r="F704" s="110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</row>
    <row r="705" spans="1:24" ht="14.5">
      <c r="A705" s="109"/>
      <c r="B705" s="109"/>
      <c r="C705" s="109"/>
      <c r="D705" s="109"/>
      <c r="E705" s="109"/>
      <c r="F705" s="110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</row>
    <row r="706" spans="1:24" ht="14.5">
      <c r="A706" s="109"/>
      <c r="B706" s="109"/>
      <c r="C706" s="109"/>
      <c r="D706" s="109"/>
      <c r="E706" s="109"/>
      <c r="F706" s="110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</row>
    <row r="707" spans="1:24" ht="14.5">
      <c r="A707" s="109"/>
      <c r="B707" s="109"/>
      <c r="C707" s="109"/>
      <c r="D707" s="109"/>
      <c r="E707" s="109"/>
      <c r="F707" s="110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</row>
    <row r="708" spans="1:24" ht="14.5">
      <c r="A708" s="109"/>
      <c r="B708" s="109"/>
      <c r="C708" s="109"/>
      <c r="D708" s="109"/>
      <c r="E708" s="109"/>
      <c r="F708" s="110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</row>
    <row r="709" spans="1:24" ht="14.5">
      <c r="A709" s="109"/>
      <c r="B709" s="109"/>
      <c r="C709" s="109"/>
      <c r="D709" s="109"/>
      <c r="E709" s="109"/>
      <c r="F709" s="110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</row>
    <row r="710" spans="1:24" ht="14.5">
      <c r="A710" s="109"/>
      <c r="B710" s="109"/>
      <c r="C710" s="109"/>
      <c r="D710" s="109"/>
      <c r="E710" s="109"/>
      <c r="F710" s="110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</row>
    <row r="711" spans="1:24" ht="14.5">
      <c r="A711" s="109"/>
      <c r="B711" s="109"/>
      <c r="C711" s="109"/>
      <c r="D711" s="109"/>
      <c r="E711" s="109"/>
      <c r="F711" s="110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</row>
    <row r="712" spans="1:24" ht="14.5">
      <c r="A712" s="109"/>
      <c r="B712" s="109"/>
      <c r="C712" s="109"/>
      <c r="D712" s="109"/>
      <c r="E712" s="109"/>
      <c r="F712" s="110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</row>
    <row r="713" spans="1:24" ht="14.5">
      <c r="A713" s="109"/>
      <c r="B713" s="109"/>
      <c r="C713" s="109"/>
      <c r="D713" s="109"/>
      <c r="E713" s="109"/>
      <c r="F713" s="110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</row>
    <row r="714" spans="1:24" ht="14.5">
      <c r="A714" s="109"/>
      <c r="B714" s="109"/>
      <c r="C714" s="109"/>
      <c r="D714" s="109"/>
      <c r="E714" s="109"/>
      <c r="F714" s="110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</row>
    <row r="715" spans="1:24" ht="14.5">
      <c r="A715" s="109"/>
      <c r="B715" s="109"/>
      <c r="C715" s="109"/>
      <c r="D715" s="109"/>
      <c r="E715" s="109"/>
      <c r="F715" s="110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</row>
    <row r="716" spans="1:24" ht="14.5">
      <c r="A716" s="109"/>
      <c r="B716" s="109"/>
      <c r="C716" s="109"/>
      <c r="D716" s="109"/>
      <c r="E716" s="109"/>
      <c r="F716" s="110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</row>
    <row r="717" spans="1:24" ht="14.5">
      <c r="A717" s="109"/>
      <c r="B717" s="109"/>
      <c r="C717" s="109"/>
      <c r="D717" s="109"/>
      <c r="E717" s="109"/>
      <c r="F717" s="110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</row>
    <row r="718" spans="1:24" ht="14.5">
      <c r="A718" s="109"/>
      <c r="B718" s="109"/>
      <c r="C718" s="109"/>
      <c r="D718" s="109"/>
      <c r="E718" s="109"/>
      <c r="F718" s="110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</row>
    <row r="719" spans="1:24" ht="14.5">
      <c r="A719" s="109"/>
      <c r="B719" s="109"/>
      <c r="C719" s="109"/>
      <c r="D719" s="109"/>
      <c r="E719" s="109"/>
      <c r="F719" s="110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</row>
    <row r="720" spans="1:24" ht="14.5">
      <c r="A720" s="109"/>
      <c r="B720" s="109"/>
      <c r="C720" s="109"/>
      <c r="D720" s="109"/>
      <c r="E720" s="109"/>
      <c r="F720" s="110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</row>
    <row r="721" spans="1:24" ht="14.5">
      <c r="A721" s="109"/>
      <c r="B721" s="109"/>
      <c r="C721" s="109"/>
      <c r="D721" s="109"/>
      <c r="E721" s="109"/>
      <c r="F721" s="110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</row>
    <row r="722" spans="1:24" ht="14.5">
      <c r="A722" s="109"/>
      <c r="B722" s="109"/>
      <c r="C722" s="109"/>
      <c r="D722" s="109"/>
      <c r="E722" s="109"/>
      <c r="F722" s="110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</row>
    <row r="723" spans="1:24" ht="14.5">
      <c r="A723" s="109"/>
      <c r="B723" s="109"/>
      <c r="C723" s="109"/>
      <c r="D723" s="109"/>
      <c r="E723" s="109"/>
      <c r="F723" s="110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</row>
    <row r="724" spans="1:24" ht="14.5">
      <c r="A724" s="109"/>
      <c r="B724" s="109"/>
      <c r="C724" s="109"/>
      <c r="D724" s="109"/>
      <c r="E724" s="109"/>
      <c r="F724" s="110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</row>
    <row r="725" spans="1:24" ht="14.5">
      <c r="A725" s="109"/>
      <c r="B725" s="109"/>
      <c r="C725" s="109"/>
      <c r="D725" s="109"/>
      <c r="E725" s="109"/>
      <c r="F725" s="110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</row>
    <row r="726" spans="1:24" ht="14.5">
      <c r="A726" s="109"/>
      <c r="B726" s="109"/>
      <c r="C726" s="109"/>
      <c r="D726" s="109"/>
      <c r="E726" s="109"/>
      <c r="F726" s="110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</row>
    <row r="727" spans="1:24" ht="14.5">
      <c r="A727" s="109"/>
      <c r="B727" s="109"/>
      <c r="C727" s="109"/>
      <c r="D727" s="109"/>
      <c r="E727" s="109"/>
      <c r="F727" s="110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</row>
    <row r="728" spans="1:24" ht="14.5">
      <c r="A728" s="109"/>
      <c r="B728" s="109"/>
      <c r="C728" s="109"/>
      <c r="D728" s="109"/>
      <c r="E728" s="109"/>
      <c r="F728" s="110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</row>
    <row r="729" spans="1:24" ht="14.5">
      <c r="A729" s="109"/>
      <c r="B729" s="109"/>
      <c r="C729" s="109"/>
      <c r="D729" s="109"/>
      <c r="E729" s="109"/>
      <c r="F729" s="110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</row>
    <row r="730" spans="1:24" ht="14.5">
      <c r="A730" s="109"/>
      <c r="B730" s="109"/>
      <c r="C730" s="109"/>
      <c r="D730" s="109"/>
      <c r="E730" s="109"/>
      <c r="F730" s="110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</row>
    <row r="731" spans="1:24" ht="14.5">
      <c r="A731" s="109"/>
      <c r="B731" s="109"/>
      <c r="C731" s="109"/>
      <c r="D731" s="109"/>
      <c r="E731" s="109"/>
      <c r="F731" s="110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</row>
    <row r="732" spans="1:24" ht="14.5">
      <c r="A732" s="109"/>
      <c r="B732" s="109"/>
      <c r="C732" s="109"/>
      <c r="D732" s="109"/>
      <c r="E732" s="109"/>
      <c r="F732" s="110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</row>
    <row r="733" spans="1:24" ht="14.5">
      <c r="A733" s="109"/>
      <c r="B733" s="109"/>
      <c r="C733" s="109"/>
      <c r="D733" s="109"/>
      <c r="E733" s="109"/>
      <c r="F733" s="110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</row>
    <row r="734" spans="1:24" ht="14.5">
      <c r="A734" s="109"/>
      <c r="B734" s="109"/>
      <c r="C734" s="109"/>
      <c r="D734" s="109"/>
      <c r="E734" s="109"/>
      <c r="F734" s="110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</row>
    <row r="735" spans="1:24" ht="14.5">
      <c r="A735" s="109"/>
      <c r="B735" s="109"/>
      <c r="C735" s="109"/>
      <c r="D735" s="109"/>
      <c r="E735" s="109"/>
      <c r="F735" s="110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</row>
    <row r="736" spans="1:24" ht="14.5">
      <c r="A736" s="109"/>
      <c r="B736" s="109"/>
      <c r="C736" s="109"/>
      <c r="D736" s="109"/>
      <c r="E736" s="109"/>
      <c r="F736" s="110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</row>
    <row r="737" spans="1:24" ht="14.5">
      <c r="A737" s="109"/>
      <c r="B737" s="109"/>
      <c r="C737" s="109"/>
      <c r="D737" s="109"/>
      <c r="E737" s="109"/>
      <c r="F737" s="110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</row>
    <row r="738" spans="1:24" ht="14.5">
      <c r="A738" s="109"/>
      <c r="B738" s="109"/>
      <c r="C738" s="109"/>
      <c r="D738" s="109"/>
      <c r="E738" s="109"/>
      <c r="F738" s="110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</row>
    <row r="739" spans="1:24" ht="14.5">
      <c r="A739" s="109"/>
      <c r="B739" s="109"/>
      <c r="C739" s="109"/>
      <c r="D739" s="109"/>
      <c r="E739" s="109"/>
      <c r="F739" s="110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</row>
    <row r="740" spans="1:24" ht="14.5">
      <c r="A740" s="109"/>
      <c r="B740" s="109"/>
      <c r="C740" s="109"/>
      <c r="D740" s="109"/>
      <c r="E740" s="109"/>
      <c r="F740" s="110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</row>
    <row r="741" spans="1:24" ht="14.5">
      <c r="A741" s="109"/>
      <c r="B741" s="109"/>
      <c r="C741" s="109"/>
      <c r="D741" s="109"/>
      <c r="E741" s="109"/>
      <c r="F741" s="110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</row>
    <row r="742" spans="1:24" ht="14.5">
      <c r="A742" s="109"/>
      <c r="B742" s="109"/>
      <c r="C742" s="109"/>
      <c r="D742" s="109"/>
      <c r="E742" s="109"/>
      <c r="F742" s="110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</row>
    <row r="743" spans="1:24" ht="14.5">
      <c r="A743" s="109"/>
      <c r="B743" s="109"/>
      <c r="C743" s="109"/>
      <c r="D743" s="109"/>
      <c r="E743" s="109"/>
      <c r="F743" s="110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</row>
    <row r="744" spans="1:24" ht="14.5">
      <c r="A744" s="109"/>
      <c r="B744" s="109"/>
      <c r="C744" s="109"/>
      <c r="D744" s="109"/>
      <c r="E744" s="109"/>
      <c r="F744" s="110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</row>
    <row r="745" spans="1:24" ht="14.5">
      <c r="A745" s="109"/>
      <c r="B745" s="109"/>
      <c r="C745" s="109"/>
      <c r="D745" s="109"/>
      <c r="E745" s="109"/>
      <c r="F745" s="110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</row>
    <row r="746" spans="1:24" ht="14.5">
      <c r="A746" s="109"/>
      <c r="B746" s="109"/>
      <c r="C746" s="109"/>
      <c r="D746" s="109"/>
      <c r="E746" s="109"/>
      <c r="F746" s="110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</row>
    <row r="747" spans="1:24" ht="14.5">
      <c r="A747" s="109"/>
      <c r="B747" s="109"/>
      <c r="C747" s="109"/>
      <c r="D747" s="109"/>
      <c r="E747" s="109"/>
      <c r="F747" s="110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</row>
    <row r="748" spans="1:24" ht="14.5">
      <c r="A748" s="109"/>
      <c r="B748" s="109"/>
      <c r="C748" s="109"/>
      <c r="D748" s="109"/>
      <c r="E748" s="109"/>
      <c r="F748" s="110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</row>
    <row r="749" spans="1:24" ht="14.5">
      <c r="A749" s="109"/>
      <c r="B749" s="109"/>
      <c r="C749" s="109"/>
      <c r="D749" s="109"/>
      <c r="E749" s="109"/>
      <c r="F749" s="110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</row>
    <row r="750" spans="1:24" ht="14.5">
      <c r="A750" s="109"/>
      <c r="B750" s="109"/>
      <c r="C750" s="109"/>
      <c r="D750" s="109"/>
      <c r="E750" s="109"/>
      <c r="F750" s="110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</row>
    <row r="751" spans="1:24" ht="14.5">
      <c r="A751" s="109"/>
      <c r="B751" s="109"/>
      <c r="C751" s="109"/>
      <c r="D751" s="109"/>
      <c r="E751" s="109"/>
      <c r="F751" s="110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</row>
    <row r="752" spans="1:24" ht="14.5">
      <c r="A752" s="109"/>
      <c r="B752" s="109"/>
      <c r="C752" s="109"/>
      <c r="D752" s="109"/>
      <c r="E752" s="109"/>
      <c r="F752" s="110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</row>
    <row r="753" spans="1:24" ht="14.5">
      <c r="A753" s="109"/>
      <c r="B753" s="109"/>
      <c r="C753" s="109"/>
      <c r="D753" s="109"/>
      <c r="E753" s="109"/>
      <c r="F753" s="110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</row>
    <row r="754" spans="1:24" ht="14.5">
      <c r="A754" s="109"/>
      <c r="B754" s="109"/>
      <c r="C754" s="109"/>
      <c r="D754" s="109"/>
      <c r="E754" s="109"/>
      <c r="F754" s="110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</row>
    <row r="755" spans="1:24" ht="14.5">
      <c r="A755" s="109"/>
      <c r="B755" s="109"/>
      <c r="C755" s="109"/>
      <c r="D755" s="109"/>
      <c r="E755" s="109"/>
      <c r="F755" s="110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</row>
    <row r="756" spans="1:24" ht="14.5">
      <c r="A756" s="109"/>
      <c r="B756" s="109"/>
      <c r="C756" s="109"/>
      <c r="D756" s="109"/>
      <c r="E756" s="109"/>
      <c r="F756" s="110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</row>
    <row r="757" spans="1:24" ht="14.5">
      <c r="A757" s="109"/>
      <c r="B757" s="109"/>
      <c r="C757" s="109"/>
      <c r="D757" s="109"/>
      <c r="E757" s="109"/>
      <c r="F757" s="110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</row>
    <row r="758" spans="1:24" ht="14.5">
      <c r="A758" s="109"/>
      <c r="B758" s="109"/>
      <c r="C758" s="109"/>
      <c r="D758" s="109"/>
      <c r="E758" s="109"/>
      <c r="F758" s="110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</row>
    <row r="759" spans="1:24" ht="14.5">
      <c r="A759" s="109"/>
      <c r="B759" s="109"/>
      <c r="C759" s="109"/>
      <c r="D759" s="109"/>
      <c r="E759" s="109"/>
      <c r="F759" s="110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</row>
    <row r="760" spans="1:24" ht="14.5">
      <c r="A760" s="109"/>
      <c r="B760" s="109"/>
      <c r="C760" s="109"/>
      <c r="D760" s="109"/>
      <c r="E760" s="109"/>
      <c r="F760" s="110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</row>
    <row r="761" spans="1:24" ht="14.5">
      <c r="A761" s="109"/>
      <c r="B761" s="109"/>
      <c r="C761" s="109"/>
      <c r="D761" s="109"/>
      <c r="E761" s="109"/>
      <c r="F761" s="110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</row>
    <row r="762" spans="1:24" ht="14.5">
      <c r="A762" s="109"/>
      <c r="B762" s="109"/>
      <c r="C762" s="109"/>
      <c r="D762" s="109"/>
      <c r="E762" s="109"/>
      <c r="F762" s="110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</row>
    <row r="763" spans="1:24" ht="14.5">
      <c r="A763" s="109"/>
      <c r="B763" s="109"/>
      <c r="C763" s="109"/>
      <c r="D763" s="109"/>
      <c r="E763" s="109"/>
      <c r="F763" s="110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</row>
    <row r="764" spans="1:24" ht="14.5">
      <c r="A764" s="109"/>
      <c r="B764" s="109"/>
      <c r="C764" s="109"/>
      <c r="D764" s="109"/>
      <c r="E764" s="109"/>
      <c r="F764" s="110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</row>
    <row r="765" spans="1:24" ht="14.5">
      <c r="A765" s="109"/>
      <c r="B765" s="109"/>
      <c r="C765" s="109"/>
      <c r="D765" s="109"/>
      <c r="E765" s="109"/>
      <c r="F765" s="110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</row>
    <row r="766" spans="1:24" ht="14.5">
      <c r="A766" s="109"/>
      <c r="B766" s="109"/>
      <c r="C766" s="109"/>
      <c r="D766" s="109"/>
      <c r="E766" s="109"/>
      <c r="F766" s="110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</row>
    <row r="767" spans="1:24" ht="14.5">
      <c r="A767" s="109"/>
      <c r="B767" s="109"/>
      <c r="C767" s="109"/>
      <c r="D767" s="109"/>
      <c r="E767" s="109"/>
      <c r="F767" s="110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</row>
    <row r="768" spans="1:24" ht="14.5">
      <c r="A768" s="109"/>
      <c r="B768" s="109"/>
      <c r="C768" s="109"/>
      <c r="D768" s="109"/>
      <c r="E768" s="109"/>
      <c r="F768" s="110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</row>
    <row r="769" spans="1:24" ht="14.5">
      <c r="A769" s="109"/>
      <c r="B769" s="109"/>
      <c r="C769" s="109"/>
      <c r="D769" s="109"/>
      <c r="E769" s="109"/>
      <c r="F769" s="110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</row>
    <row r="770" spans="1:24" ht="14.5">
      <c r="A770" s="109"/>
      <c r="B770" s="109"/>
      <c r="C770" s="109"/>
      <c r="D770" s="109"/>
      <c r="E770" s="109"/>
      <c r="F770" s="110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</row>
    <row r="771" spans="1:24" ht="14.5">
      <c r="A771" s="109"/>
      <c r="B771" s="109"/>
      <c r="C771" s="109"/>
      <c r="D771" s="109"/>
      <c r="E771" s="109"/>
      <c r="F771" s="110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</row>
    <row r="772" spans="1:24" ht="14.5">
      <c r="A772" s="109"/>
      <c r="B772" s="109"/>
      <c r="C772" s="109"/>
      <c r="D772" s="109"/>
      <c r="E772" s="109"/>
      <c r="F772" s="110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</row>
    <row r="773" spans="1:24" ht="14.5">
      <c r="A773" s="109"/>
      <c r="B773" s="109"/>
      <c r="C773" s="109"/>
      <c r="D773" s="109"/>
      <c r="E773" s="109"/>
      <c r="F773" s="110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</row>
    <row r="774" spans="1:24" ht="14.5">
      <c r="A774" s="109"/>
      <c r="B774" s="109"/>
      <c r="C774" s="109"/>
      <c r="D774" s="109"/>
      <c r="E774" s="109"/>
      <c r="F774" s="110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</row>
    <row r="775" spans="1:24" ht="14.5">
      <c r="A775" s="109"/>
      <c r="B775" s="109"/>
      <c r="C775" s="109"/>
      <c r="D775" s="109"/>
      <c r="E775" s="109"/>
      <c r="F775" s="110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</row>
    <row r="776" spans="1:24" ht="14.5">
      <c r="A776" s="109"/>
      <c r="B776" s="109"/>
      <c r="C776" s="109"/>
      <c r="D776" s="109"/>
      <c r="E776" s="109"/>
      <c r="F776" s="110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</row>
    <row r="777" spans="1:24" ht="14.5">
      <c r="A777" s="109"/>
      <c r="B777" s="109"/>
      <c r="C777" s="109"/>
      <c r="D777" s="109"/>
      <c r="E777" s="109"/>
      <c r="F777" s="110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</row>
    <row r="778" spans="1:24" ht="14.5">
      <c r="A778" s="109"/>
      <c r="B778" s="109"/>
      <c r="C778" s="109"/>
      <c r="D778" s="109"/>
      <c r="E778" s="109"/>
      <c r="F778" s="110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</row>
    <row r="779" spans="1:24" ht="14.5">
      <c r="A779" s="109"/>
      <c r="B779" s="109"/>
      <c r="C779" s="109"/>
      <c r="D779" s="109"/>
      <c r="E779" s="109"/>
      <c r="F779" s="110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</row>
    <row r="780" spans="1:24" ht="14.5">
      <c r="A780" s="109"/>
      <c r="B780" s="109"/>
      <c r="C780" s="109"/>
      <c r="D780" s="109"/>
      <c r="E780" s="109"/>
      <c r="F780" s="110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</row>
    <row r="781" spans="1:24" ht="14.5">
      <c r="A781" s="109"/>
      <c r="B781" s="109"/>
      <c r="C781" s="109"/>
      <c r="D781" s="109"/>
      <c r="E781" s="109"/>
      <c r="F781" s="110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</row>
    <row r="782" spans="1:24" ht="14.5">
      <c r="A782" s="109"/>
      <c r="B782" s="109"/>
      <c r="C782" s="109"/>
      <c r="D782" s="109"/>
      <c r="E782" s="109"/>
      <c r="F782" s="110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</row>
    <row r="783" spans="1:24" ht="14.5">
      <c r="A783" s="109"/>
      <c r="B783" s="109"/>
      <c r="C783" s="109"/>
      <c r="D783" s="109"/>
      <c r="E783" s="109"/>
      <c r="F783" s="110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</row>
    <row r="784" spans="1:24" ht="14.5">
      <c r="A784" s="109"/>
      <c r="B784" s="109"/>
      <c r="C784" s="109"/>
      <c r="D784" s="109"/>
      <c r="E784" s="109"/>
      <c r="F784" s="110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</row>
    <row r="785" spans="1:24" ht="14.5">
      <c r="A785" s="109"/>
      <c r="B785" s="109"/>
      <c r="C785" s="109"/>
      <c r="D785" s="109"/>
      <c r="E785" s="109"/>
      <c r="F785" s="110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</row>
    <row r="786" spans="1:24" ht="14.5">
      <c r="A786" s="109"/>
      <c r="B786" s="109"/>
      <c r="C786" s="109"/>
      <c r="D786" s="109"/>
      <c r="E786" s="109"/>
      <c r="F786" s="110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</row>
    <row r="787" spans="1:24" ht="14.5">
      <c r="A787" s="109"/>
      <c r="B787" s="109"/>
      <c r="C787" s="109"/>
      <c r="D787" s="109"/>
      <c r="E787" s="109"/>
      <c r="F787" s="110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</row>
    <row r="788" spans="1:24" ht="14.5">
      <c r="A788" s="109"/>
      <c r="B788" s="109"/>
      <c r="C788" s="109"/>
      <c r="D788" s="109"/>
      <c r="E788" s="109"/>
      <c r="F788" s="110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</row>
    <row r="789" spans="1:24" ht="14.5">
      <c r="A789" s="109"/>
      <c r="B789" s="109"/>
      <c r="C789" s="109"/>
      <c r="D789" s="109"/>
      <c r="E789" s="109"/>
      <c r="F789" s="110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</row>
    <row r="790" spans="1:24" ht="14.5">
      <c r="A790" s="109"/>
      <c r="B790" s="109"/>
      <c r="C790" s="109"/>
      <c r="D790" s="109"/>
      <c r="E790" s="109"/>
      <c r="F790" s="110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</row>
    <row r="791" spans="1:24" ht="14.5">
      <c r="A791" s="109"/>
      <c r="B791" s="109"/>
      <c r="C791" s="109"/>
      <c r="D791" s="109"/>
      <c r="E791" s="109"/>
      <c r="F791" s="110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</row>
    <row r="792" spans="1:24" ht="14.5">
      <c r="A792" s="109"/>
      <c r="B792" s="109"/>
      <c r="C792" s="109"/>
      <c r="D792" s="109"/>
      <c r="E792" s="109"/>
      <c r="F792" s="110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</row>
    <row r="793" spans="1:24" ht="14.5">
      <c r="A793" s="109"/>
      <c r="B793" s="109"/>
      <c r="C793" s="109"/>
      <c r="D793" s="109"/>
      <c r="E793" s="109"/>
      <c r="F793" s="110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</row>
    <row r="794" spans="1:24" ht="14.5">
      <c r="A794" s="109"/>
      <c r="B794" s="109"/>
      <c r="C794" s="109"/>
      <c r="D794" s="109"/>
      <c r="E794" s="109"/>
      <c r="F794" s="110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</row>
    <row r="795" spans="1:24" ht="14.5">
      <c r="A795" s="109"/>
      <c r="B795" s="109"/>
      <c r="C795" s="109"/>
      <c r="D795" s="109"/>
      <c r="E795" s="109"/>
      <c r="F795" s="110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</row>
    <row r="796" spans="1:24" ht="14.5">
      <c r="A796" s="109"/>
      <c r="B796" s="109"/>
      <c r="C796" s="109"/>
      <c r="D796" s="109"/>
      <c r="E796" s="109"/>
      <c r="F796" s="110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</row>
    <row r="797" spans="1:24" ht="14.5">
      <c r="A797" s="109"/>
      <c r="B797" s="109"/>
      <c r="C797" s="109"/>
      <c r="D797" s="109"/>
      <c r="E797" s="109"/>
      <c r="F797" s="110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</row>
    <row r="798" spans="1:24" ht="14.5">
      <c r="A798" s="109"/>
      <c r="B798" s="109"/>
      <c r="C798" s="109"/>
      <c r="D798" s="109"/>
      <c r="E798" s="109"/>
      <c r="F798" s="110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</row>
    <row r="799" spans="1:24" ht="14.5">
      <c r="A799" s="109"/>
      <c r="B799" s="109"/>
      <c r="C799" s="109"/>
      <c r="D799" s="109"/>
      <c r="E799" s="109"/>
      <c r="F799" s="110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</row>
    <row r="800" spans="1:24" ht="14.5">
      <c r="A800" s="109"/>
      <c r="B800" s="109"/>
      <c r="C800" s="109"/>
      <c r="D800" s="109"/>
      <c r="E800" s="109"/>
      <c r="F800" s="110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</row>
    <row r="801" spans="1:24" ht="14.5">
      <c r="A801" s="109"/>
      <c r="B801" s="109"/>
      <c r="C801" s="109"/>
      <c r="D801" s="109"/>
      <c r="E801" s="109"/>
      <c r="F801" s="110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</row>
    <row r="802" spans="1:24" ht="14.5">
      <c r="A802" s="109"/>
      <c r="B802" s="109"/>
      <c r="C802" s="109"/>
      <c r="D802" s="109"/>
      <c r="E802" s="109"/>
      <c r="F802" s="110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</row>
    <row r="803" spans="1:24" ht="14.5">
      <c r="A803" s="109"/>
      <c r="B803" s="109"/>
      <c r="C803" s="109"/>
      <c r="D803" s="109"/>
      <c r="E803" s="109"/>
      <c r="F803" s="110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</row>
    <row r="804" spans="1:24" ht="14.5">
      <c r="A804" s="109"/>
      <c r="B804" s="109"/>
      <c r="C804" s="109"/>
      <c r="D804" s="109"/>
      <c r="E804" s="109"/>
      <c r="F804" s="110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</row>
    <row r="805" spans="1:24" ht="14.5">
      <c r="A805" s="109"/>
      <c r="B805" s="109"/>
      <c r="C805" s="109"/>
      <c r="D805" s="109"/>
      <c r="E805" s="109"/>
      <c r="F805" s="110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</row>
    <row r="806" spans="1:24" ht="14.5">
      <c r="A806" s="109"/>
      <c r="B806" s="109"/>
      <c r="C806" s="109"/>
      <c r="D806" s="109"/>
      <c r="E806" s="109"/>
      <c r="F806" s="110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</row>
    <row r="807" spans="1:24" ht="14.5">
      <c r="A807" s="109"/>
      <c r="B807" s="109"/>
      <c r="C807" s="109"/>
      <c r="D807" s="109"/>
      <c r="E807" s="109"/>
      <c r="F807" s="110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</row>
    <row r="808" spans="1:24" ht="14.5">
      <c r="A808" s="109"/>
      <c r="B808" s="109"/>
      <c r="C808" s="109"/>
      <c r="D808" s="109"/>
      <c r="E808" s="109"/>
      <c r="F808" s="110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</row>
    <row r="809" spans="1:24" ht="14.5">
      <c r="A809" s="109"/>
      <c r="B809" s="109"/>
      <c r="C809" s="109"/>
      <c r="D809" s="109"/>
      <c r="E809" s="109"/>
      <c r="F809" s="110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</row>
    <row r="810" spans="1:24" ht="14.5">
      <c r="A810" s="109"/>
      <c r="B810" s="109"/>
      <c r="C810" s="109"/>
      <c r="D810" s="109"/>
      <c r="E810" s="109"/>
      <c r="F810" s="110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</row>
    <row r="811" spans="1:24" ht="14.5">
      <c r="A811" s="109"/>
      <c r="B811" s="109"/>
      <c r="C811" s="109"/>
      <c r="D811" s="109"/>
      <c r="E811" s="109"/>
      <c r="F811" s="110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</row>
    <row r="812" spans="1:24" ht="14.5">
      <c r="A812" s="109"/>
      <c r="B812" s="109"/>
      <c r="C812" s="109"/>
      <c r="D812" s="109"/>
      <c r="E812" s="109"/>
      <c r="F812" s="110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</row>
    <row r="813" spans="1:24" ht="14.5">
      <c r="A813" s="109"/>
      <c r="B813" s="109"/>
      <c r="C813" s="109"/>
      <c r="D813" s="109"/>
      <c r="E813" s="109"/>
      <c r="F813" s="110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</row>
    <row r="814" spans="1:24" ht="14.5">
      <c r="A814" s="109"/>
      <c r="B814" s="109"/>
      <c r="C814" s="109"/>
      <c r="D814" s="109"/>
      <c r="E814" s="109"/>
      <c r="F814" s="110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</row>
    <row r="815" spans="1:24" ht="14.5">
      <c r="A815" s="109"/>
      <c r="B815" s="109"/>
      <c r="C815" s="109"/>
      <c r="D815" s="109"/>
      <c r="E815" s="109"/>
      <c r="F815" s="110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</row>
    <row r="816" spans="1:24" ht="14.5">
      <c r="A816" s="109"/>
      <c r="B816" s="109"/>
      <c r="C816" s="109"/>
      <c r="D816" s="109"/>
      <c r="E816" s="109"/>
      <c r="F816" s="110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</row>
    <row r="817" spans="1:24" ht="14.5">
      <c r="A817" s="109"/>
      <c r="B817" s="109"/>
      <c r="C817" s="109"/>
      <c r="D817" s="109"/>
      <c r="E817" s="109"/>
      <c r="F817" s="110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</row>
    <row r="818" spans="1:24" ht="14.5">
      <c r="A818" s="109"/>
      <c r="B818" s="109"/>
      <c r="C818" s="109"/>
      <c r="D818" s="109"/>
      <c r="E818" s="109"/>
      <c r="F818" s="110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</row>
    <row r="819" spans="1:24" ht="14.5">
      <c r="A819" s="109"/>
      <c r="B819" s="109"/>
      <c r="C819" s="109"/>
      <c r="D819" s="109"/>
      <c r="E819" s="109"/>
      <c r="F819" s="110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</row>
    <row r="820" spans="1:24" ht="14.5">
      <c r="A820" s="109"/>
      <c r="B820" s="109"/>
      <c r="C820" s="109"/>
      <c r="D820" s="109"/>
      <c r="E820" s="109"/>
      <c r="F820" s="110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</row>
    <row r="821" spans="1:24" ht="14.5">
      <c r="A821" s="109"/>
      <c r="B821" s="109"/>
      <c r="C821" s="109"/>
      <c r="D821" s="109"/>
      <c r="E821" s="109"/>
      <c r="F821" s="110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</row>
    <row r="822" spans="1:24" ht="14.5">
      <c r="A822" s="109"/>
      <c r="B822" s="109"/>
      <c r="C822" s="109"/>
      <c r="D822" s="109"/>
      <c r="E822" s="109"/>
      <c r="F822" s="110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</row>
    <row r="823" spans="1:24" ht="14.5">
      <c r="A823" s="109"/>
      <c r="B823" s="109"/>
      <c r="C823" s="109"/>
      <c r="D823" s="109"/>
      <c r="E823" s="109"/>
      <c r="F823" s="110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</row>
    <row r="824" spans="1:24" ht="14.5">
      <c r="A824" s="109"/>
      <c r="B824" s="109"/>
      <c r="C824" s="109"/>
      <c r="D824" s="109"/>
      <c r="E824" s="109"/>
      <c r="F824" s="110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</row>
    <row r="825" spans="1:24" ht="14.5">
      <c r="A825" s="109"/>
      <c r="B825" s="109"/>
      <c r="C825" s="109"/>
      <c r="D825" s="109"/>
      <c r="E825" s="109"/>
      <c r="F825" s="110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</row>
    <row r="826" spans="1:24" ht="14.5">
      <c r="A826" s="109"/>
      <c r="B826" s="109"/>
      <c r="C826" s="109"/>
      <c r="D826" s="109"/>
      <c r="E826" s="109"/>
      <c r="F826" s="110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</row>
    <row r="827" spans="1:24" ht="14.5">
      <c r="A827" s="109"/>
      <c r="B827" s="109"/>
      <c r="C827" s="109"/>
      <c r="D827" s="109"/>
      <c r="E827" s="109"/>
      <c r="F827" s="110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</row>
    <row r="828" spans="1:24" ht="14.5">
      <c r="A828" s="109"/>
      <c r="B828" s="109"/>
      <c r="C828" s="109"/>
      <c r="D828" s="109"/>
      <c r="E828" s="109"/>
      <c r="F828" s="110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</row>
    <row r="829" spans="1:24" ht="14.5">
      <c r="A829" s="109"/>
      <c r="B829" s="109"/>
      <c r="C829" s="109"/>
      <c r="D829" s="109"/>
      <c r="E829" s="109"/>
      <c r="F829" s="110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</row>
    <row r="830" spans="1:24" ht="14.5">
      <c r="A830" s="109"/>
      <c r="B830" s="109"/>
      <c r="C830" s="109"/>
      <c r="D830" s="109"/>
      <c r="E830" s="109"/>
      <c r="F830" s="110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</row>
    <row r="831" spans="1:24" ht="14.5">
      <c r="A831" s="109"/>
      <c r="B831" s="109"/>
      <c r="C831" s="109"/>
      <c r="D831" s="109"/>
      <c r="E831" s="109"/>
      <c r="F831" s="110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</row>
    <row r="832" spans="1:24" ht="14.5">
      <c r="A832" s="109"/>
      <c r="B832" s="109"/>
      <c r="C832" s="109"/>
      <c r="D832" s="109"/>
      <c r="E832" s="109"/>
      <c r="F832" s="110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</row>
    <row r="833" spans="1:24" ht="14.5">
      <c r="A833" s="109"/>
      <c r="B833" s="109"/>
      <c r="C833" s="109"/>
      <c r="D833" s="109"/>
      <c r="E833" s="109"/>
      <c r="F833" s="110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</row>
    <row r="834" spans="1:24" ht="14.5">
      <c r="A834" s="109"/>
      <c r="B834" s="109"/>
      <c r="C834" s="109"/>
      <c r="D834" s="109"/>
      <c r="E834" s="109"/>
      <c r="F834" s="110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</row>
    <row r="835" spans="1:24" ht="14.5">
      <c r="A835" s="109"/>
      <c r="B835" s="109"/>
      <c r="C835" s="109"/>
      <c r="D835" s="109"/>
      <c r="E835" s="109"/>
      <c r="F835" s="110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</row>
    <row r="836" spans="1:24" ht="14.5">
      <c r="A836" s="109"/>
      <c r="B836" s="109"/>
      <c r="C836" s="109"/>
      <c r="D836" s="109"/>
      <c r="E836" s="109"/>
      <c r="F836" s="110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</row>
    <row r="837" spans="1:24" ht="14.5">
      <c r="A837" s="109"/>
      <c r="B837" s="109"/>
      <c r="C837" s="109"/>
      <c r="D837" s="109"/>
      <c r="E837" s="109"/>
      <c r="F837" s="110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</row>
    <row r="838" spans="1:24" ht="14.5">
      <c r="A838" s="109"/>
      <c r="B838" s="109"/>
      <c r="C838" s="109"/>
      <c r="D838" s="109"/>
      <c r="E838" s="109"/>
      <c r="F838" s="110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</row>
    <row r="839" spans="1:24" ht="14.5">
      <c r="A839" s="109"/>
      <c r="B839" s="109"/>
      <c r="C839" s="109"/>
      <c r="D839" s="109"/>
      <c r="E839" s="109"/>
      <c r="F839" s="110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</row>
    <row r="840" spans="1:24" ht="14.5">
      <c r="A840" s="109"/>
      <c r="B840" s="109"/>
      <c r="C840" s="109"/>
      <c r="D840" s="109"/>
      <c r="E840" s="109"/>
      <c r="F840" s="110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</row>
    <row r="841" spans="1:24" ht="14.5">
      <c r="A841" s="109"/>
      <c r="B841" s="109"/>
      <c r="C841" s="109"/>
      <c r="D841" s="109"/>
      <c r="E841" s="109"/>
      <c r="F841" s="110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</row>
    <row r="842" spans="1:24" ht="14.5">
      <c r="A842" s="109"/>
      <c r="B842" s="109"/>
      <c r="C842" s="109"/>
      <c r="D842" s="109"/>
      <c r="E842" s="109"/>
      <c r="F842" s="110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</row>
    <row r="843" spans="1:24" ht="14.5">
      <c r="A843" s="109"/>
      <c r="B843" s="109"/>
      <c r="C843" s="109"/>
      <c r="D843" s="109"/>
      <c r="E843" s="109"/>
      <c r="F843" s="110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</row>
    <row r="844" spans="1:24" ht="14.5">
      <c r="A844" s="109"/>
      <c r="B844" s="109"/>
      <c r="C844" s="109"/>
      <c r="D844" s="109"/>
      <c r="E844" s="109"/>
      <c r="F844" s="110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</row>
    <row r="845" spans="1:24" ht="14.5">
      <c r="A845" s="109"/>
      <c r="B845" s="109"/>
      <c r="C845" s="109"/>
      <c r="D845" s="109"/>
      <c r="E845" s="109"/>
      <c r="F845" s="110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</row>
    <row r="846" spans="1:24" ht="14.5">
      <c r="A846" s="109"/>
      <c r="B846" s="109"/>
      <c r="C846" s="109"/>
      <c r="D846" s="109"/>
      <c r="E846" s="109"/>
      <c r="F846" s="110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</row>
    <row r="847" spans="1:24" ht="14.5">
      <c r="A847" s="109"/>
      <c r="B847" s="109"/>
      <c r="C847" s="109"/>
      <c r="D847" s="109"/>
      <c r="E847" s="109"/>
      <c r="F847" s="110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</row>
    <row r="848" spans="1:24" ht="14.5">
      <c r="A848" s="109"/>
      <c r="B848" s="109"/>
      <c r="C848" s="109"/>
      <c r="D848" s="109"/>
      <c r="E848" s="109"/>
      <c r="F848" s="110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</row>
    <row r="849" spans="1:24" ht="14.5">
      <c r="A849" s="109"/>
      <c r="B849" s="109"/>
      <c r="C849" s="109"/>
      <c r="D849" s="109"/>
      <c r="E849" s="109"/>
      <c r="F849" s="110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</row>
    <row r="850" spans="1:24" ht="14.5">
      <c r="A850" s="109"/>
      <c r="B850" s="109"/>
      <c r="C850" s="109"/>
      <c r="D850" s="109"/>
      <c r="E850" s="109"/>
      <c r="F850" s="110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</row>
    <row r="851" spans="1:24" ht="14.5">
      <c r="A851" s="109"/>
      <c r="B851" s="109"/>
      <c r="C851" s="109"/>
      <c r="D851" s="109"/>
      <c r="E851" s="109"/>
      <c r="F851" s="110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</row>
    <row r="852" spans="1:24" ht="14.5">
      <c r="A852" s="109"/>
      <c r="B852" s="109"/>
      <c r="C852" s="109"/>
      <c r="D852" s="109"/>
      <c r="E852" s="109"/>
      <c r="F852" s="110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</row>
    <row r="853" spans="1:24" ht="14.5">
      <c r="A853" s="109"/>
      <c r="B853" s="109"/>
      <c r="C853" s="109"/>
      <c r="D853" s="109"/>
      <c r="E853" s="109"/>
      <c r="F853" s="110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</row>
    <row r="854" spans="1:24" ht="14.5">
      <c r="A854" s="109"/>
      <c r="B854" s="109"/>
      <c r="C854" s="109"/>
      <c r="D854" s="109"/>
      <c r="E854" s="109"/>
      <c r="F854" s="110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</row>
    <row r="855" spans="1:24" ht="14.5">
      <c r="A855" s="109"/>
      <c r="B855" s="109"/>
      <c r="C855" s="109"/>
      <c r="D855" s="109"/>
      <c r="E855" s="109"/>
      <c r="F855" s="110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</row>
    <row r="856" spans="1:24" ht="14.5">
      <c r="A856" s="109"/>
      <c r="B856" s="109"/>
      <c r="C856" s="109"/>
      <c r="D856" s="109"/>
      <c r="E856" s="109"/>
      <c r="F856" s="110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</row>
    <row r="857" spans="1:24" ht="14.5">
      <c r="A857" s="109"/>
      <c r="B857" s="109"/>
      <c r="C857" s="109"/>
      <c r="D857" s="109"/>
      <c r="E857" s="109"/>
      <c r="F857" s="110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</row>
    <row r="858" spans="1:24" ht="14.5">
      <c r="A858" s="109"/>
      <c r="B858" s="109"/>
      <c r="C858" s="109"/>
      <c r="D858" s="109"/>
      <c r="E858" s="109"/>
      <c r="F858" s="110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</row>
    <row r="859" spans="1:24" ht="14.5">
      <c r="A859" s="109"/>
      <c r="B859" s="109"/>
      <c r="C859" s="109"/>
      <c r="D859" s="109"/>
      <c r="E859" s="109"/>
      <c r="F859" s="110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</row>
    <row r="860" spans="1:24" ht="14.5">
      <c r="A860" s="109"/>
      <c r="B860" s="109"/>
      <c r="C860" s="109"/>
      <c r="D860" s="109"/>
      <c r="E860" s="109"/>
      <c r="F860" s="110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</row>
    <row r="861" spans="1:24" ht="14.5">
      <c r="A861" s="109"/>
      <c r="B861" s="109"/>
      <c r="C861" s="109"/>
      <c r="D861" s="109"/>
      <c r="E861" s="109"/>
      <c r="F861" s="110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</row>
    <row r="862" spans="1:24" ht="14.5">
      <c r="A862" s="109"/>
      <c r="B862" s="109"/>
      <c r="C862" s="109"/>
      <c r="D862" s="109"/>
      <c r="E862" s="109"/>
      <c r="F862" s="110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</row>
    <row r="863" spans="1:24" ht="14.5">
      <c r="A863" s="109"/>
      <c r="B863" s="109"/>
      <c r="C863" s="109"/>
      <c r="D863" s="109"/>
      <c r="E863" s="109"/>
      <c r="F863" s="110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</row>
    <row r="864" spans="1:24" ht="14.5">
      <c r="A864" s="109"/>
      <c r="B864" s="109"/>
      <c r="C864" s="109"/>
      <c r="D864" s="109"/>
      <c r="E864" s="109"/>
      <c r="F864" s="110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</row>
    <row r="865" spans="1:24" ht="14.5">
      <c r="A865" s="109"/>
      <c r="B865" s="109"/>
      <c r="C865" s="109"/>
      <c r="D865" s="109"/>
      <c r="E865" s="109"/>
      <c r="F865" s="110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</row>
    <row r="866" spans="1:24" ht="14.5">
      <c r="A866" s="109"/>
      <c r="B866" s="109"/>
      <c r="C866" s="109"/>
      <c r="D866" s="109"/>
      <c r="E866" s="109"/>
      <c r="F866" s="110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</row>
    <row r="867" spans="1:24" ht="14.5">
      <c r="A867" s="109"/>
      <c r="B867" s="109"/>
      <c r="C867" s="109"/>
      <c r="D867" s="109"/>
      <c r="E867" s="109"/>
      <c r="F867" s="110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</row>
    <row r="868" spans="1:24" ht="14.5">
      <c r="A868" s="109"/>
      <c r="B868" s="109"/>
      <c r="C868" s="109"/>
      <c r="D868" s="109"/>
      <c r="E868" s="109"/>
      <c r="F868" s="110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</row>
    <row r="869" spans="1:24" ht="14.5">
      <c r="A869" s="109"/>
      <c r="B869" s="109"/>
      <c r="C869" s="109"/>
      <c r="D869" s="109"/>
      <c r="E869" s="109"/>
      <c r="F869" s="110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</row>
    <row r="870" spans="1:24" ht="14.5">
      <c r="A870" s="109"/>
      <c r="B870" s="109"/>
      <c r="C870" s="109"/>
      <c r="D870" s="109"/>
      <c r="E870" s="109"/>
      <c r="F870" s="110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</row>
    <row r="871" spans="1:24" ht="14.5">
      <c r="A871" s="109"/>
      <c r="B871" s="109"/>
      <c r="C871" s="109"/>
      <c r="D871" s="109"/>
      <c r="E871" s="109"/>
      <c r="F871" s="110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</row>
    <row r="872" spans="1:24" ht="14.5">
      <c r="A872" s="109"/>
      <c r="B872" s="109"/>
      <c r="C872" s="109"/>
      <c r="D872" s="109"/>
      <c r="E872" s="109"/>
      <c r="F872" s="110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</row>
    <row r="873" spans="1:24" ht="14.5">
      <c r="A873" s="109"/>
      <c r="B873" s="109"/>
      <c r="C873" s="109"/>
      <c r="D873" s="109"/>
      <c r="E873" s="109"/>
      <c r="F873" s="110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</row>
    <row r="874" spans="1:24" ht="14.5">
      <c r="A874" s="109"/>
      <c r="B874" s="109"/>
      <c r="C874" s="109"/>
      <c r="D874" s="109"/>
      <c r="E874" s="109"/>
      <c r="F874" s="110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</row>
    <row r="875" spans="1:24" ht="14.5">
      <c r="A875" s="109"/>
      <c r="B875" s="109"/>
      <c r="C875" s="109"/>
      <c r="D875" s="109"/>
      <c r="E875" s="109"/>
      <c r="F875" s="110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</row>
    <row r="876" spans="1:24" ht="14.5">
      <c r="A876" s="109"/>
      <c r="B876" s="109"/>
      <c r="C876" s="109"/>
      <c r="D876" s="109"/>
      <c r="E876" s="109"/>
      <c r="F876" s="110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</row>
    <row r="877" spans="1:24" ht="14.5">
      <c r="A877" s="109"/>
      <c r="B877" s="109"/>
      <c r="C877" s="109"/>
      <c r="D877" s="109"/>
      <c r="E877" s="109"/>
      <c r="F877" s="110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</row>
    <row r="878" spans="1:24" ht="14.5">
      <c r="A878" s="109"/>
      <c r="B878" s="109"/>
      <c r="C878" s="109"/>
      <c r="D878" s="109"/>
      <c r="E878" s="109"/>
      <c r="F878" s="110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</row>
    <row r="879" spans="1:24" ht="14.5">
      <c r="A879" s="109"/>
      <c r="B879" s="109"/>
      <c r="C879" s="109"/>
      <c r="D879" s="109"/>
      <c r="E879" s="109"/>
      <c r="F879" s="110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</row>
    <row r="880" spans="1:24" ht="14.5">
      <c r="A880" s="109"/>
      <c r="B880" s="109"/>
      <c r="C880" s="109"/>
      <c r="D880" s="109"/>
      <c r="E880" s="109"/>
      <c r="F880" s="110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</row>
    <row r="881" spans="1:24" ht="14.5">
      <c r="A881" s="109"/>
      <c r="B881" s="109"/>
      <c r="C881" s="109"/>
      <c r="D881" s="109"/>
      <c r="E881" s="109"/>
      <c r="F881" s="110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</row>
    <row r="882" spans="1:24" ht="14.5">
      <c r="A882" s="109"/>
      <c r="B882" s="109"/>
      <c r="C882" s="109"/>
      <c r="D882" s="109"/>
      <c r="E882" s="109"/>
      <c r="F882" s="110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</row>
    <row r="883" spans="1:24" ht="14.5">
      <c r="A883" s="109"/>
      <c r="B883" s="109"/>
      <c r="C883" s="109"/>
      <c r="D883" s="109"/>
      <c r="E883" s="109"/>
      <c r="F883" s="110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</row>
    <row r="884" spans="1:24" ht="14.5">
      <c r="A884" s="109"/>
      <c r="B884" s="109"/>
      <c r="C884" s="109"/>
      <c r="D884" s="109"/>
      <c r="E884" s="109"/>
      <c r="F884" s="110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</row>
    <row r="885" spans="1:24" ht="14.5">
      <c r="A885" s="109"/>
      <c r="B885" s="109"/>
      <c r="C885" s="109"/>
      <c r="D885" s="109"/>
      <c r="E885" s="109"/>
      <c r="F885" s="110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</row>
    <row r="886" spans="1:24" ht="14.5">
      <c r="A886" s="109"/>
      <c r="B886" s="109"/>
      <c r="C886" s="109"/>
      <c r="D886" s="109"/>
      <c r="E886" s="109"/>
      <c r="F886" s="110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</row>
    <row r="887" spans="1:24" ht="14.5">
      <c r="A887" s="109"/>
      <c r="B887" s="109"/>
      <c r="C887" s="109"/>
      <c r="D887" s="109"/>
      <c r="E887" s="109"/>
      <c r="F887" s="110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</row>
    <row r="888" spans="1:24" ht="14.5">
      <c r="A888" s="109"/>
      <c r="B888" s="109"/>
      <c r="C888" s="109"/>
      <c r="D888" s="109"/>
      <c r="E888" s="109"/>
      <c r="F888" s="110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</row>
    <row r="889" spans="1:24" ht="14.5">
      <c r="A889" s="109"/>
      <c r="B889" s="109"/>
      <c r="C889" s="109"/>
      <c r="D889" s="109"/>
      <c r="E889" s="109"/>
      <c r="F889" s="110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</row>
    <row r="890" spans="1:24" ht="14.5">
      <c r="A890" s="109"/>
      <c r="B890" s="109"/>
      <c r="C890" s="109"/>
      <c r="D890" s="109"/>
      <c r="E890" s="109"/>
      <c r="F890" s="110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</row>
    <row r="891" spans="1:24" ht="14.5">
      <c r="A891" s="109"/>
      <c r="B891" s="109"/>
      <c r="C891" s="109"/>
      <c r="D891" s="109"/>
      <c r="E891" s="109"/>
      <c r="F891" s="110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</row>
    <row r="892" spans="1:24" ht="14.5">
      <c r="A892" s="109"/>
      <c r="B892" s="109"/>
      <c r="C892" s="109"/>
      <c r="D892" s="109"/>
      <c r="E892" s="109"/>
      <c r="F892" s="110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</row>
    <row r="893" spans="1:24" ht="14.5">
      <c r="A893" s="109"/>
      <c r="B893" s="109"/>
      <c r="C893" s="109"/>
      <c r="D893" s="109"/>
      <c r="E893" s="109"/>
      <c r="F893" s="110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</row>
    <row r="894" spans="1:24" ht="14.5">
      <c r="A894" s="109"/>
      <c r="B894" s="109"/>
      <c r="C894" s="109"/>
      <c r="D894" s="109"/>
      <c r="E894" s="109"/>
      <c r="F894" s="110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</row>
    <row r="895" spans="1:24" ht="14.5">
      <c r="A895" s="109"/>
      <c r="B895" s="109"/>
      <c r="C895" s="109"/>
      <c r="D895" s="109"/>
      <c r="E895" s="109"/>
      <c r="F895" s="110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</row>
    <row r="896" spans="1:24" ht="14.5">
      <c r="A896" s="109"/>
      <c r="B896" s="109"/>
      <c r="C896" s="109"/>
      <c r="D896" s="109"/>
      <c r="E896" s="109"/>
      <c r="F896" s="110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</row>
    <row r="897" spans="1:24" ht="14.5">
      <c r="A897" s="109"/>
      <c r="B897" s="109"/>
      <c r="C897" s="109"/>
      <c r="D897" s="109"/>
      <c r="E897" s="109"/>
      <c r="F897" s="110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</row>
    <row r="898" spans="1:24" ht="14.5">
      <c r="A898" s="109"/>
      <c r="B898" s="109"/>
      <c r="C898" s="109"/>
      <c r="D898" s="109"/>
      <c r="E898" s="109"/>
      <c r="F898" s="110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</row>
    <row r="899" spans="1:24" ht="14.5">
      <c r="A899" s="109"/>
      <c r="B899" s="109"/>
      <c r="C899" s="109"/>
      <c r="D899" s="109"/>
      <c r="E899" s="109"/>
      <c r="F899" s="110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</row>
    <row r="900" spans="1:24" ht="14.5">
      <c r="A900" s="109"/>
      <c r="B900" s="109"/>
      <c r="C900" s="109"/>
      <c r="D900" s="109"/>
      <c r="E900" s="109"/>
      <c r="F900" s="110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</row>
    <row r="901" spans="1:24" ht="14.5">
      <c r="A901" s="109"/>
      <c r="B901" s="109"/>
      <c r="C901" s="109"/>
      <c r="D901" s="109"/>
      <c r="E901" s="109"/>
      <c r="F901" s="110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</row>
    <row r="902" spans="1:24" ht="14.5">
      <c r="A902" s="109"/>
      <c r="B902" s="109"/>
      <c r="C902" s="109"/>
      <c r="D902" s="109"/>
      <c r="E902" s="109"/>
      <c r="F902" s="110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</row>
    <row r="903" spans="1:24" ht="14.5">
      <c r="A903" s="109"/>
      <c r="B903" s="109"/>
      <c r="C903" s="109"/>
      <c r="D903" s="109"/>
      <c r="E903" s="109"/>
      <c r="F903" s="110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</row>
    <row r="904" spans="1:24" ht="14.5">
      <c r="A904" s="109"/>
      <c r="B904" s="109"/>
      <c r="C904" s="109"/>
      <c r="D904" s="109"/>
      <c r="E904" s="109"/>
      <c r="F904" s="110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</row>
    <row r="905" spans="1:24" ht="14.5">
      <c r="A905" s="109"/>
      <c r="B905" s="109"/>
      <c r="C905" s="109"/>
      <c r="D905" s="109"/>
      <c r="E905" s="109"/>
      <c r="F905" s="110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</row>
    <row r="906" spans="1:24" ht="14.5">
      <c r="A906" s="109"/>
      <c r="B906" s="109"/>
      <c r="C906" s="109"/>
      <c r="D906" s="109"/>
      <c r="E906" s="109"/>
      <c r="F906" s="110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</row>
    <row r="907" spans="1:24" ht="14.5">
      <c r="A907" s="109"/>
      <c r="B907" s="109"/>
      <c r="C907" s="109"/>
      <c r="D907" s="109"/>
      <c r="E907" s="109"/>
      <c r="F907" s="110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</row>
    <row r="908" spans="1:24" ht="14.5">
      <c r="A908" s="109"/>
      <c r="B908" s="109"/>
      <c r="C908" s="109"/>
      <c r="D908" s="109"/>
      <c r="E908" s="109"/>
      <c r="F908" s="110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</row>
    <row r="909" spans="1:24" ht="14.5">
      <c r="A909" s="109"/>
      <c r="B909" s="109"/>
      <c r="C909" s="109"/>
      <c r="D909" s="109"/>
      <c r="E909" s="109"/>
      <c r="F909" s="110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</row>
    <row r="910" spans="1:24" ht="14.5">
      <c r="A910" s="109"/>
      <c r="B910" s="109"/>
      <c r="C910" s="109"/>
      <c r="D910" s="109"/>
      <c r="E910" s="109"/>
      <c r="F910" s="110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</row>
    <row r="911" spans="1:24" ht="14.5">
      <c r="A911" s="109"/>
      <c r="B911" s="109"/>
      <c r="C911" s="109"/>
      <c r="D911" s="109"/>
      <c r="E911" s="109"/>
      <c r="F911" s="110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</row>
    <row r="912" spans="1:24" ht="14.5">
      <c r="A912" s="109"/>
      <c r="B912" s="109"/>
      <c r="C912" s="109"/>
      <c r="D912" s="109"/>
      <c r="E912" s="109"/>
      <c r="F912" s="110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</row>
    <row r="913" spans="1:24" ht="14.5">
      <c r="A913" s="109"/>
      <c r="B913" s="109"/>
      <c r="C913" s="109"/>
      <c r="D913" s="109"/>
      <c r="E913" s="109"/>
      <c r="F913" s="110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</row>
    <row r="914" spans="1:24" ht="14.5">
      <c r="A914" s="109"/>
      <c r="B914" s="109"/>
      <c r="C914" s="109"/>
      <c r="D914" s="109"/>
      <c r="E914" s="109"/>
      <c r="F914" s="110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</row>
    <row r="915" spans="1:24" ht="14.5">
      <c r="A915" s="109"/>
      <c r="B915" s="109"/>
      <c r="C915" s="109"/>
      <c r="D915" s="109"/>
      <c r="E915" s="109"/>
      <c r="F915" s="110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</row>
    <row r="916" spans="1:24" ht="14.5">
      <c r="A916" s="109"/>
      <c r="B916" s="109"/>
      <c r="C916" s="109"/>
      <c r="D916" s="109"/>
      <c r="E916" s="109"/>
      <c r="F916" s="110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</row>
    <row r="917" spans="1:24" ht="14.5">
      <c r="A917" s="109"/>
      <c r="B917" s="109"/>
      <c r="C917" s="109"/>
      <c r="D917" s="109"/>
      <c r="E917" s="109"/>
      <c r="F917" s="110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</row>
    <row r="918" spans="1:24" ht="14.5">
      <c r="A918" s="109"/>
      <c r="B918" s="109"/>
      <c r="C918" s="109"/>
      <c r="D918" s="109"/>
      <c r="E918" s="109"/>
      <c r="F918" s="110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</row>
    <row r="919" spans="1:24" ht="14.5">
      <c r="A919" s="109"/>
      <c r="B919" s="109"/>
      <c r="C919" s="109"/>
      <c r="D919" s="109"/>
      <c r="E919" s="109"/>
      <c r="F919" s="110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</row>
    <row r="920" spans="1:24" ht="14.5">
      <c r="A920" s="109"/>
      <c r="B920" s="109"/>
      <c r="C920" s="109"/>
      <c r="D920" s="109"/>
      <c r="E920" s="109"/>
      <c r="F920" s="110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</row>
    <row r="921" spans="1:24" ht="14.5">
      <c r="A921" s="109"/>
      <c r="B921" s="109"/>
      <c r="C921" s="109"/>
      <c r="D921" s="109"/>
      <c r="E921" s="109"/>
      <c r="F921" s="110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</row>
    <row r="922" spans="1:24" ht="14.5">
      <c r="A922" s="109"/>
      <c r="B922" s="109"/>
      <c r="C922" s="109"/>
      <c r="D922" s="109"/>
      <c r="E922" s="109"/>
      <c r="F922" s="110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</row>
    <row r="923" spans="1:24" ht="14.5">
      <c r="A923" s="109"/>
      <c r="B923" s="109"/>
      <c r="C923" s="109"/>
      <c r="D923" s="109"/>
      <c r="E923" s="109"/>
      <c r="F923" s="110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</row>
    <row r="924" spans="1:24" ht="14.5">
      <c r="A924" s="109"/>
      <c r="B924" s="109"/>
      <c r="C924" s="109"/>
      <c r="D924" s="109"/>
      <c r="E924" s="109"/>
      <c r="F924" s="110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</row>
    <row r="925" spans="1:24" ht="14.5">
      <c r="A925" s="109"/>
      <c r="B925" s="109"/>
      <c r="C925" s="109"/>
      <c r="D925" s="109"/>
      <c r="E925" s="109"/>
      <c r="F925" s="110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</row>
    <row r="926" spans="1:24" ht="14.5">
      <c r="A926" s="109"/>
      <c r="B926" s="109"/>
      <c r="C926" s="109"/>
      <c r="D926" s="109"/>
      <c r="E926" s="109"/>
      <c r="F926" s="110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</row>
    <row r="927" spans="1:24" ht="14.5">
      <c r="A927" s="109"/>
      <c r="B927" s="109"/>
      <c r="C927" s="109"/>
      <c r="D927" s="109"/>
      <c r="E927" s="109"/>
      <c r="F927" s="110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</row>
    <row r="928" spans="1:24" ht="14.5">
      <c r="A928" s="109"/>
      <c r="B928" s="109"/>
      <c r="C928" s="109"/>
      <c r="D928" s="109"/>
      <c r="E928" s="109"/>
      <c r="F928" s="110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</row>
    <row r="929" spans="1:24" ht="14.5">
      <c r="A929" s="109"/>
      <c r="B929" s="109"/>
      <c r="C929" s="109"/>
      <c r="D929" s="109"/>
      <c r="E929" s="109"/>
      <c r="F929" s="110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</row>
    <row r="930" spans="1:24" ht="14.5">
      <c r="A930" s="109"/>
      <c r="B930" s="109"/>
      <c r="C930" s="109"/>
      <c r="D930" s="109"/>
      <c r="E930" s="109"/>
      <c r="F930" s="110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</row>
    <row r="931" spans="1:24" ht="14.5">
      <c r="A931" s="109"/>
      <c r="B931" s="109"/>
      <c r="C931" s="109"/>
      <c r="D931" s="109"/>
      <c r="E931" s="109"/>
      <c r="F931" s="110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</row>
    <row r="932" spans="1:24" ht="14.5">
      <c r="A932" s="109"/>
      <c r="B932" s="109"/>
      <c r="C932" s="109"/>
      <c r="D932" s="109"/>
      <c r="E932" s="109"/>
      <c r="F932" s="110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</row>
    <row r="933" spans="1:24" ht="14.5">
      <c r="A933" s="109"/>
      <c r="B933" s="109"/>
      <c r="C933" s="109"/>
      <c r="D933" s="109"/>
      <c r="E933" s="109"/>
      <c r="F933" s="110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</row>
    <row r="934" spans="1:24" ht="14.5">
      <c r="A934" s="109"/>
      <c r="B934" s="109"/>
      <c r="C934" s="109"/>
      <c r="D934" s="109"/>
      <c r="E934" s="109"/>
      <c r="F934" s="110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</row>
    <row r="935" spans="1:24" ht="14.5">
      <c r="A935" s="109"/>
      <c r="B935" s="109"/>
      <c r="C935" s="109"/>
      <c r="D935" s="109"/>
      <c r="E935" s="109"/>
      <c r="F935" s="110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</row>
    <row r="936" spans="1:24" ht="14.5">
      <c r="A936" s="109"/>
      <c r="B936" s="109"/>
      <c r="C936" s="109"/>
      <c r="D936" s="109"/>
      <c r="E936" s="109"/>
      <c r="F936" s="110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</row>
    <row r="937" spans="1:24" ht="14.5">
      <c r="A937" s="109"/>
      <c r="B937" s="109"/>
      <c r="C937" s="109"/>
      <c r="D937" s="109"/>
      <c r="E937" s="109"/>
      <c r="F937" s="110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</row>
    <row r="938" spans="1:24" ht="14.5">
      <c r="A938" s="109"/>
      <c r="B938" s="109"/>
      <c r="C938" s="109"/>
      <c r="D938" s="109"/>
      <c r="E938" s="109"/>
      <c r="F938" s="110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</row>
    <row r="939" spans="1:24" ht="14.5">
      <c r="A939" s="109"/>
      <c r="B939" s="109"/>
      <c r="C939" s="109"/>
      <c r="D939" s="109"/>
      <c r="E939" s="109"/>
      <c r="F939" s="110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</row>
    <row r="940" spans="1:24" ht="14.5">
      <c r="A940" s="109"/>
      <c r="B940" s="109"/>
      <c r="C940" s="109"/>
      <c r="D940" s="109"/>
      <c r="E940" s="109"/>
      <c r="F940" s="110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</row>
    <row r="941" spans="1:24" ht="14.5">
      <c r="A941" s="109"/>
      <c r="B941" s="109"/>
      <c r="C941" s="109"/>
      <c r="D941" s="109"/>
      <c r="E941" s="109"/>
      <c r="F941" s="110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</row>
    <row r="942" spans="1:24" ht="14.5">
      <c r="A942" s="109"/>
      <c r="B942" s="109"/>
      <c r="C942" s="109"/>
      <c r="D942" s="109"/>
      <c r="E942" s="109"/>
      <c r="F942" s="110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</row>
    <row r="943" spans="1:24" ht="14.5">
      <c r="A943" s="109"/>
      <c r="B943" s="109"/>
      <c r="C943" s="109"/>
      <c r="D943" s="109"/>
      <c r="E943" s="109"/>
      <c r="F943" s="110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</row>
    <row r="944" spans="1:24" ht="14.5">
      <c r="A944" s="109"/>
      <c r="B944" s="109"/>
      <c r="C944" s="109"/>
      <c r="D944" s="109"/>
      <c r="E944" s="109"/>
      <c r="F944" s="110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</row>
    <row r="945" spans="1:24" ht="14.5">
      <c r="A945" s="109"/>
      <c r="B945" s="109"/>
      <c r="C945" s="109"/>
      <c r="D945" s="109"/>
      <c r="E945" s="109"/>
      <c r="F945" s="110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</row>
    <row r="946" spans="1:24" ht="14.5">
      <c r="A946" s="109"/>
      <c r="B946" s="109"/>
      <c r="C946" s="109"/>
      <c r="D946" s="109"/>
      <c r="E946" s="109"/>
      <c r="F946" s="110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</row>
    <row r="947" spans="1:24" ht="14.5">
      <c r="A947" s="109"/>
      <c r="B947" s="109"/>
      <c r="C947" s="109"/>
      <c r="D947" s="109"/>
      <c r="E947" s="109"/>
      <c r="F947" s="110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</row>
    <row r="948" spans="1:24" ht="14.5">
      <c r="A948" s="109"/>
      <c r="B948" s="109"/>
      <c r="C948" s="109"/>
      <c r="D948" s="109"/>
      <c r="E948" s="109"/>
      <c r="F948" s="110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</row>
    <row r="949" spans="1:24" ht="14.5">
      <c r="A949" s="109"/>
      <c r="B949" s="109"/>
      <c r="C949" s="109"/>
      <c r="D949" s="109"/>
      <c r="E949" s="109"/>
      <c r="F949" s="110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</row>
    <row r="950" spans="1:24" ht="14.5">
      <c r="A950" s="109"/>
      <c r="B950" s="109"/>
      <c r="C950" s="109"/>
      <c r="D950" s="109"/>
      <c r="E950" s="109"/>
      <c r="F950" s="110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</row>
    <row r="951" spans="1:24" ht="14.5">
      <c r="A951" s="109"/>
      <c r="B951" s="109"/>
      <c r="C951" s="109"/>
      <c r="D951" s="109"/>
      <c r="E951" s="109"/>
      <c r="F951" s="110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</row>
    <row r="952" spans="1:24" ht="14.5">
      <c r="A952" s="109"/>
      <c r="B952" s="109"/>
      <c r="C952" s="109"/>
      <c r="D952" s="109"/>
      <c r="E952" s="109"/>
      <c r="F952" s="110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</row>
    <row r="953" spans="1:24" ht="14.5">
      <c r="A953" s="109"/>
      <c r="B953" s="109"/>
      <c r="C953" s="109"/>
      <c r="D953" s="109"/>
      <c r="E953" s="109"/>
      <c r="F953" s="110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</row>
    <row r="954" spans="1:24" ht="14.5">
      <c r="A954" s="109"/>
      <c r="B954" s="109"/>
      <c r="C954" s="109"/>
      <c r="D954" s="109"/>
      <c r="E954" s="109"/>
      <c r="F954" s="110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</row>
    <row r="955" spans="1:24" ht="14.5">
      <c r="A955" s="109"/>
      <c r="B955" s="109"/>
      <c r="C955" s="109"/>
      <c r="D955" s="109"/>
      <c r="E955" s="109"/>
      <c r="F955" s="110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</row>
    <row r="956" spans="1:24" ht="14.5">
      <c r="A956" s="109"/>
      <c r="B956" s="109"/>
      <c r="C956" s="109"/>
      <c r="D956" s="109"/>
      <c r="E956" s="109"/>
      <c r="F956" s="110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</row>
    <row r="957" spans="1:24" ht="14.5">
      <c r="A957" s="109"/>
      <c r="B957" s="109"/>
      <c r="C957" s="109"/>
      <c r="D957" s="109"/>
      <c r="E957" s="109"/>
      <c r="F957" s="110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</row>
    <row r="958" spans="1:24" ht="14.5">
      <c r="A958" s="109"/>
      <c r="B958" s="109"/>
      <c r="C958" s="109"/>
      <c r="D958" s="109"/>
      <c r="E958" s="109"/>
      <c r="F958" s="110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</row>
    <row r="959" spans="1:24" ht="14.5">
      <c r="A959" s="109"/>
      <c r="B959" s="109"/>
      <c r="C959" s="109"/>
      <c r="D959" s="109"/>
      <c r="E959" s="109"/>
      <c r="F959" s="110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</row>
    <row r="960" spans="1:24" ht="14.5">
      <c r="A960" s="109"/>
      <c r="B960" s="109"/>
      <c r="C960" s="109"/>
      <c r="D960" s="109"/>
      <c r="E960" s="109"/>
      <c r="F960" s="110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</row>
    <row r="961" spans="1:24" ht="14.5">
      <c r="A961" s="109"/>
      <c r="B961" s="109"/>
      <c r="C961" s="109"/>
      <c r="D961" s="109"/>
      <c r="E961" s="109"/>
      <c r="F961" s="110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</row>
    <row r="962" spans="1:24" ht="14.5">
      <c r="A962" s="109"/>
      <c r="B962" s="109"/>
      <c r="C962" s="109"/>
      <c r="D962" s="109"/>
      <c r="E962" s="109"/>
      <c r="F962" s="110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</row>
    <row r="963" spans="1:24" ht="14.5">
      <c r="A963" s="109"/>
      <c r="B963" s="109"/>
      <c r="C963" s="109"/>
      <c r="D963" s="109"/>
      <c r="E963" s="109"/>
      <c r="F963" s="110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</row>
    <row r="964" spans="1:24" ht="14.5">
      <c r="A964" s="109"/>
      <c r="B964" s="109"/>
      <c r="C964" s="109"/>
      <c r="D964" s="109"/>
      <c r="E964" s="109"/>
      <c r="F964" s="110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</row>
    <row r="965" spans="1:24" ht="14.5">
      <c r="A965" s="109"/>
      <c r="B965" s="109"/>
      <c r="C965" s="109"/>
      <c r="D965" s="109"/>
      <c r="E965" s="109"/>
      <c r="F965" s="110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</row>
    <row r="966" spans="1:24" ht="14.5">
      <c r="A966" s="109"/>
      <c r="B966" s="109"/>
      <c r="C966" s="109"/>
      <c r="D966" s="109"/>
      <c r="E966" s="109"/>
      <c r="F966" s="110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</row>
    <row r="967" spans="1:24" ht="14.5">
      <c r="A967" s="109"/>
      <c r="B967" s="109"/>
      <c r="C967" s="109"/>
      <c r="D967" s="109"/>
      <c r="E967" s="109"/>
      <c r="F967" s="110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</row>
    <row r="968" spans="1:24" ht="14.5">
      <c r="A968" s="109"/>
      <c r="B968" s="109"/>
      <c r="C968" s="109"/>
      <c r="D968" s="109"/>
      <c r="E968" s="109"/>
      <c r="F968" s="110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</row>
    <row r="969" spans="1:24" ht="14.5">
      <c r="A969" s="109"/>
      <c r="B969" s="109"/>
      <c r="C969" s="109"/>
      <c r="D969" s="109"/>
      <c r="E969" s="109"/>
      <c r="F969" s="110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</row>
    <row r="970" spans="1:24" ht="14.5">
      <c r="A970" s="109"/>
      <c r="B970" s="109"/>
      <c r="C970" s="109"/>
      <c r="D970" s="109"/>
      <c r="E970" s="109"/>
      <c r="F970" s="110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</row>
    <row r="971" spans="1:24" ht="14.5">
      <c r="A971" s="109"/>
      <c r="B971" s="109"/>
      <c r="C971" s="109"/>
      <c r="D971" s="109"/>
      <c r="E971" s="109"/>
      <c r="F971" s="110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</row>
    <row r="972" spans="1:24" ht="14.5">
      <c r="A972" s="109"/>
      <c r="B972" s="109"/>
      <c r="C972" s="109"/>
      <c r="D972" s="109"/>
      <c r="E972" s="109"/>
      <c r="F972" s="110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</row>
    <row r="973" spans="1:24" ht="14.5">
      <c r="A973" s="109"/>
      <c r="B973" s="109"/>
      <c r="C973" s="109"/>
      <c r="D973" s="109"/>
      <c r="E973" s="109"/>
      <c r="F973" s="110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</row>
    <row r="974" spans="1:24" ht="14.5">
      <c r="A974" s="109"/>
      <c r="B974" s="109"/>
      <c r="C974" s="109"/>
      <c r="D974" s="109"/>
      <c r="E974" s="109"/>
      <c r="F974" s="110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</row>
    <row r="975" spans="1:24" ht="14.5">
      <c r="A975" s="109"/>
      <c r="B975" s="109"/>
      <c r="C975" s="109"/>
      <c r="D975" s="109"/>
      <c r="E975" s="109"/>
      <c r="F975" s="110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</row>
    <row r="976" spans="1:24" ht="14.5">
      <c r="A976" s="109"/>
      <c r="B976" s="109"/>
      <c r="C976" s="109"/>
      <c r="D976" s="109"/>
      <c r="E976" s="109"/>
      <c r="F976" s="110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</row>
    <row r="977" spans="1:24" ht="14.5">
      <c r="A977" s="109"/>
      <c r="B977" s="109"/>
      <c r="C977" s="109"/>
      <c r="D977" s="109"/>
      <c r="E977" s="109"/>
      <c r="F977" s="110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</row>
    <row r="978" spans="1:24" ht="14.5">
      <c r="A978" s="109"/>
      <c r="B978" s="109"/>
      <c r="C978" s="109"/>
      <c r="D978" s="109"/>
      <c r="E978" s="109"/>
      <c r="F978" s="110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</row>
    <row r="979" spans="1:24" ht="14.5">
      <c r="A979" s="109"/>
      <c r="B979" s="109"/>
      <c r="C979" s="109"/>
      <c r="D979" s="109"/>
      <c r="E979" s="109"/>
      <c r="F979" s="110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</row>
    <row r="980" spans="1:24" ht="14.5">
      <c r="A980" s="109"/>
      <c r="B980" s="109"/>
      <c r="C980" s="109"/>
      <c r="D980" s="109"/>
      <c r="E980" s="109"/>
      <c r="F980" s="110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</row>
    <row r="981" spans="1:24" ht="14.5">
      <c r="A981" s="109"/>
      <c r="B981" s="109"/>
      <c r="C981" s="109"/>
      <c r="D981" s="109"/>
      <c r="E981" s="109"/>
      <c r="F981" s="110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</row>
    <row r="982" spans="1:24" ht="14.5">
      <c r="A982" s="109"/>
      <c r="B982" s="109"/>
      <c r="C982" s="109"/>
      <c r="D982" s="109"/>
      <c r="E982" s="109"/>
      <c r="F982" s="110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</row>
    <row r="983" spans="1:24" ht="14.5">
      <c r="A983" s="109"/>
      <c r="B983" s="109"/>
      <c r="C983" s="109"/>
      <c r="D983" s="109"/>
      <c r="E983" s="109"/>
      <c r="F983" s="110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</row>
    <row r="984" spans="1:24" ht="14.5">
      <c r="A984" s="109"/>
      <c r="B984" s="109"/>
      <c r="C984" s="109"/>
      <c r="D984" s="109"/>
      <c r="E984" s="109"/>
      <c r="F984" s="110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</row>
    <row r="985" spans="1:24" ht="14.5">
      <c r="A985" s="109"/>
      <c r="B985" s="109"/>
      <c r="C985" s="109"/>
      <c r="D985" s="109"/>
      <c r="E985" s="109"/>
      <c r="F985" s="110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</row>
    <row r="986" spans="1:24" ht="14.5">
      <c r="A986" s="109"/>
      <c r="B986" s="109"/>
      <c r="C986" s="109"/>
      <c r="D986" s="109"/>
      <c r="E986" s="109"/>
      <c r="F986" s="110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</row>
    <row r="987" spans="1:24" ht="14.5">
      <c r="A987" s="109"/>
      <c r="B987" s="109"/>
      <c r="C987" s="109"/>
      <c r="D987" s="109"/>
      <c r="E987" s="109"/>
      <c r="F987" s="110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</row>
    <row r="988" spans="1:24" ht="14.5">
      <c r="A988" s="109"/>
      <c r="B988" s="109"/>
      <c r="C988" s="109"/>
      <c r="D988" s="109"/>
      <c r="E988" s="109"/>
      <c r="F988" s="110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</row>
    <row r="989" spans="1:24" ht="14.5">
      <c r="A989" s="109"/>
      <c r="B989" s="109"/>
      <c r="C989" s="109"/>
      <c r="D989" s="109"/>
      <c r="E989" s="109"/>
      <c r="F989" s="110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</row>
    <row r="990" spans="1:24" ht="14.5">
      <c r="A990" s="109"/>
      <c r="B990" s="109"/>
      <c r="C990" s="109"/>
      <c r="D990" s="109"/>
      <c r="E990" s="109"/>
      <c r="F990" s="110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</row>
    <row r="991" spans="1:24" ht="14.5">
      <c r="A991" s="109"/>
      <c r="B991" s="109"/>
      <c r="C991" s="109"/>
      <c r="D991" s="109"/>
      <c r="E991" s="109"/>
      <c r="F991" s="110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</row>
    <row r="992" spans="1:24" ht="14.5">
      <c r="A992" s="109"/>
      <c r="B992" s="109"/>
      <c r="C992" s="109"/>
      <c r="D992" s="109"/>
      <c r="E992" s="109"/>
      <c r="F992" s="110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</row>
    <row r="993" spans="1:24" ht="14.5">
      <c r="A993" s="109"/>
      <c r="B993" s="109"/>
      <c r="C993" s="109"/>
      <c r="D993" s="109"/>
      <c r="E993" s="109"/>
      <c r="F993" s="110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</row>
    <row r="994" spans="1:24" ht="14.5">
      <c r="A994" s="109"/>
      <c r="B994" s="109"/>
      <c r="C994" s="109"/>
      <c r="D994" s="109"/>
      <c r="E994" s="109"/>
      <c r="F994" s="110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</row>
    <row r="995" spans="1:24" ht="14.5">
      <c r="A995" s="109"/>
      <c r="B995" s="109"/>
      <c r="C995" s="109"/>
      <c r="D995" s="109"/>
      <c r="E995" s="109"/>
      <c r="F995" s="110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</row>
    <row r="996" spans="1:24" ht="14.5">
      <c r="A996" s="109"/>
      <c r="B996" s="109"/>
      <c r="C996" s="109"/>
      <c r="D996" s="109"/>
      <c r="E996" s="109"/>
      <c r="F996" s="110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</row>
  </sheetData>
  <autoFilter ref="A3:K93" xr:uid="{00000000-0009-0000-0000-000009000000}">
    <sortState xmlns:xlrd2="http://schemas.microsoft.com/office/spreadsheetml/2017/richdata2" ref="A4:K93">
      <sortCondition ref="A3:A93"/>
    </sortState>
  </autoFilter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X1000"/>
  <sheetViews>
    <sheetView topLeftCell="C59" workbookViewId="0">
      <selection activeCell="F36" sqref="F36:F85"/>
    </sheetView>
  </sheetViews>
  <sheetFormatPr defaultColWidth="14.453125" defaultRowHeight="15" customHeight="1"/>
  <cols>
    <col min="2" max="2" width="59.90625" customWidth="1"/>
    <col min="3" max="3" width="34.6328125" customWidth="1"/>
    <col min="9" max="9" width="29.08984375" customWidth="1"/>
    <col min="10" max="10" width="31.36328125" customWidth="1"/>
    <col min="11" max="11" width="37" customWidth="1"/>
  </cols>
  <sheetData>
    <row r="1" spans="1:24">
      <c r="A1" s="132" t="s">
        <v>0</v>
      </c>
      <c r="B1" s="143" t="s">
        <v>431</v>
      </c>
      <c r="C1" s="144" t="s">
        <v>432</v>
      </c>
      <c r="D1" s="109"/>
      <c r="E1" s="109"/>
      <c r="F1" s="110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</row>
    <row r="2" spans="1:24">
      <c r="A2" s="133" t="s">
        <v>2</v>
      </c>
      <c r="B2" s="145"/>
      <c r="C2" s="146"/>
      <c r="D2" s="134" t="s">
        <v>433</v>
      </c>
      <c r="E2" s="113"/>
      <c r="F2" s="114"/>
      <c r="G2" s="113"/>
      <c r="H2" s="113"/>
      <c r="I2" s="113"/>
      <c r="J2" s="115" t="s">
        <v>323</v>
      </c>
      <c r="K2" s="115" t="s">
        <v>324</v>
      </c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</row>
    <row r="3" spans="1:24">
      <c r="A3" s="116" t="s">
        <v>6</v>
      </c>
      <c r="B3" s="117" t="s">
        <v>7</v>
      </c>
      <c r="C3" s="147" t="s">
        <v>8</v>
      </c>
      <c r="D3" s="117" t="s">
        <v>9</v>
      </c>
      <c r="E3" s="117" t="s">
        <v>10</v>
      </c>
      <c r="F3" s="118" t="s">
        <v>293</v>
      </c>
      <c r="G3" s="117" t="s">
        <v>13</v>
      </c>
      <c r="H3" s="135" t="s">
        <v>325</v>
      </c>
      <c r="I3" s="135" t="s">
        <v>326</v>
      </c>
      <c r="J3" s="120" t="s">
        <v>12</v>
      </c>
      <c r="K3" s="120" t="s">
        <v>12</v>
      </c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</row>
    <row r="4" spans="1:24">
      <c r="A4" s="121">
        <v>1</v>
      </c>
      <c r="B4" s="129" t="s">
        <v>211</v>
      </c>
      <c r="C4" s="16" t="s">
        <v>375</v>
      </c>
      <c r="D4" s="122">
        <v>5</v>
      </c>
      <c r="E4" s="125">
        <v>17.3</v>
      </c>
      <c r="F4" s="125">
        <f t="shared" ref="F4:F35" si="0">E4/3.14</f>
        <v>5.5095541401273884</v>
      </c>
      <c r="G4" s="126"/>
      <c r="H4" s="126"/>
      <c r="I4" s="51">
        <v>0.4</v>
      </c>
      <c r="J4" s="127">
        <f t="shared" ref="J4:J35" si="1">8.9857+0.0035*(F4)^2*(D4)</f>
        <v>9.5169157694024094</v>
      </c>
      <c r="K4" s="128">
        <f t="shared" ref="K4:K35" si="2">0.0673*(I4*F4^2*D4)^0.976</f>
        <v>3.7023686532779481</v>
      </c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</row>
    <row r="5" spans="1:24">
      <c r="A5" s="121">
        <v>1</v>
      </c>
      <c r="B5" s="122" t="s">
        <v>410</v>
      </c>
      <c r="C5" s="16" t="s">
        <v>411</v>
      </c>
      <c r="D5" s="122">
        <v>7</v>
      </c>
      <c r="E5" s="125">
        <f>SUM(27.8+21.2+24.3)</f>
        <v>73.3</v>
      </c>
      <c r="F5" s="125">
        <f t="shared" si="0"/>
        <v>23.343949044585987</v>
      </c>
      <c r="G5" s="126"/>
      <c r="H5" s="126"/>
      <c r="I5" s="51">
        <v>0.97</v>
      </c>
      <c r="J5" s="127">
        <f t="shared" si="1"/>
        <v>22.336728946407561</v>
      </c>
      <c r="K5" s="128">
        <f t="shared" si="2"/>
        <v>204.45430023083111</v>
      </c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</row>
    <row r="6" spans="1:24">
      <c r="A6" s="121">
        <v>1</v>
      </c>
      <c r="B6" s="122" t="s">
        <v>286</v>
      </c>
      <c r="C6" s="16" t="s">
        <v>287</v>
      </c>
      <c r="D6" s="122">
        <v>5</v>
      </c>
      <c r="E6" s="125">
        <v>13.5</v>
      </c>
      <c r="F6" s="125">
        <f t="shared" si="0"/>
        <v>4.2993630573248405</v>
      </c>
      <c r="G6" s="126"/>
      <c r="H6" s="126"/>
      <c r="I6" s="51">
        <v>0.6</v>
      </c>
      <c r="J6" s="127">
        <f t="shared" si="1"/>
        <v>9.3091791472270682</v>
      </c>
      <c r="K6" s="128">
        <f t="shared" si="2"/>
        <v>3.3891457956351494</v>
      </c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</row>
    <row r="7" spans="1:24">
      <c r="A7" s="121">
        <v>1</v>
      </c>
      <c r="B7" s="129" t="s">
        <v>439</v>
      </c>
      <c r="C7" s="16" t="s">
        <v>366</v>
      </c>
      <c r="D7" s="129">
        <v>5</v>
      </c>
      <c r="E7" s="125">
        <v>17.2</v>
      </c>
      <c r="F7" s="125">
        <f t="shared" si="0"/>
        <v>5.4777070063694264</v>
      </c>
      <c r="G7" s="126"/>
      <c r="H7" s="126"/>
      <c r="I7" s="131">
        <v>0.375</v>
      </c>
      <c r="J7" s="127">
        <f t="shared" si="1"/>
        <v>9.5107922958335021</v>
      </c>
      <c r="K7" s="128">
        <f t="shared" si="2"/>
        <v>3.4372344910286015</v>
      </c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</row>
    <row r="8" spans="1:24">
      <c r="A8" s="121">
        <v>1</v>
      </c>
      <c r="B8" s="122" t="s">
        <v>414</v>
      </c>
      <c r="C8" s="16" t="s">
        <v>341</v>
      </c>
      <c r="D8" s="122">
        <v>7</v>
      </c>
      <c r="E8" s="124">
        <f>SUM(27.2+13.3)</f>
        <v>40.5</v>
      </c>
      <c r="F8" s="125">
        <f t="shared" si="0"/>
        <v>12.898089171974522</v>
      </c>
      <c r="G8" s="126"/>
      <c r="H8" s="126"/>
      <c r="I8" s="126"/>
      <c r="J8" s="127">
        <f t="shared" si="1"/>
        <v>13.061537255061058</v>
      </c>
      <c r="K8" s="128">
        <f t="shared" si="2"/>
        <v>0</v>
      </c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</row>
    <row r="9" spans="1:24">
      <c r="A9" s="121">
        <v>1</v>
      </c>
      <c r="B9" s="122" t="s">
        <v>352</v>
      </c>
      <c r="C9" s="16" t="s">
        <v>56</v>
      </c>
      <c r="D9" s="122">
        <v>7</v>
      </c>
      <c r="E9" s="125">
        <f>SUM(24.4+39.6+32.2+25.5)</f>
        <v>121.7</v>
      </c>
      <c r="F9" s="125">
        <f t="shared" si="0"/>
        <v>38.757961783439491</v>
      </c>
      <c r="G9" s="126"/>
      <c r="H9" s="126"/>
      <c r="I9" s="51">
        <f>AVERAGE(0.58,0.77)</f>
        <v>0.67500000000000004</v>
      </c>
      <c r="J9" s="127">
        <f t="shared" si="1"/>
        <v>45.789100239360629</v>
      </c>
      <c r="K9" s="128">
        <f t="shared" si="2"/>
        <v>386.11063968208799</v>
      </c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</row>
    <row r="10" spans="1:24">
      <c r="A10" s="121">
        <v>1</v>
      </c>
      <c r="B10" s="129" t="s">
        <v>344</v>
      </c>
      <c r="C10" s="16" t="s">
        <v>127</v>
      </c>
      <c r="D10" s="129">
        <v>9</v>
      </c>
      <c r="E10" s="125">
        <f>SUM(94.3+15.2+23.3)</f>
        <v>132.80000000000001</v>
      </c>
      <c r="F10" s="125">
        <f t="shared" si="0"/>
        <v>42.29299363057325</v>
      </c>
      <c r="G10" s="126"/>
      <c r="H10" s="126"/>
      <c r="I10" s="51">
        <v>0.53</v>
      </c>
      <c r="J10" s="127">
        <f t="shared" si="1"/>
        <v>65.329665272424847</v>
      </c>
      <c r="K10" s="128">
        <f t="shared" si="2"/>
        <v>462.08829914650562</v>
      </c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</row>
    <row r="11" spans="1:24">
      <c r="A11" s="121">
        <v>1</v>
      </c>
      <c r="B11" s="129" t="s">
        <v>435</v>
      </c>
      <c r="C11" s="148" t="s">
        <v>472</v>
      </c>
      <c r="D11" s="122">
        <v>8</v>
      </c>
      <c r="E11" s="125">
        <f>SUM(28.5+29.4+12.3)</f>
        <v>70.2</v>
      </c>
      <c r="F11" s="125">
        <f t="shared" si="0"/>
        <v>22.356687898089174</v>
      </c>
      <c r="G11" s="126"/>
      <c r="H11" s="126"/>
      <c r="I11" s="51">
        <v>0.54</v>
      </c>
      <c r="J11" s="127">
        <f t="shared" si="1"/>
        <v>22.980701825631876</v>
      </c>
      <c r="K11" s="128">
        <f t="shared" si="2"/>
        <v>120.86222106787416</v>
      </c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</row>
    <row r="12" spans="1:24">
      <c r="A12" s="121">
        <v>1</v>
      </c>
      <c r="B12" s="122" t="s">
        <v>435</v>
      </c>
      <c r="C12" s="148" t="s">
        <v>472</v>
      </c>
      <c r="D12" s="129">
        <v>7</v>
      </c>
      <c r="E12" s="124">
        <f>SUM(29.3+22.4)</f>
        <v>51.7</v>
      </c>
      <c r="F12" s="125">
        <f t="shared" si="0"/>
        <v>16.464968152866241</v>
      </c>
      <c r="G12" s="126"/>
      <c r="H12" s="126"/>
      <c r="I12" s="51">
        <v>0.54</v>
      </c>
      <c r="J12" s="127">
        <f t="shared" si="1"/>
        <v>15.62753181873504</v>
      </c>
      <c r="K12" s="128">
        <f t="shared" si="2"/>
        <v>58.394766736399028</v>
      </c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</row>
    <row r="13" spans="1:24">
      <c r="A13" s="121">
        <v>1</v>
      </c>
      <c r="B13" s="122" t="s">
        <v>435</v>
      </c>
      <c r="C13" s="148" t="s">
        <v>472</v>
      </c>
      <c r="D13" s="122">
        <v>7</v>
      </c>
      <c r="E13" s="124">
        <v>36.6</v>
      </c>
      <c r="F13" s="125">
        <f t="shared" si="0"/>
        <v>11.656050955414013</v>
      </c>
      <c r="G13" s="126"/>
      <c r="H13" s="126"/>
      <c r="I13" s="51">
        <v>0.54</v>
      </c>
      <c r="J13" s="127">
        <f t="shared" si="1"/>
        <v>12.314356334942595</v>
      </c>
      <c r="K13" s="128">
        <f t="shared" si="2"/>
        <v>29.754692507557206</v>
      </c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</row>
    <row r="14" spans="1:24">
      <c r="A14" s="121">
        <v>1</v>
      </c>
      <c r="B14" s="129" t="s">
        <v>394</v>
      </c>
      <c r="C14" s="123" t="s">
        <v>29</v>
      </c>
      <c r="D14" s="129">
        <v>6</v>
      </c>
      <c r="E14" s="125">
        <f>SUM(11.5+12.3)</f>
        <v>23.8</v>
      </c>
      <c r="F14" s="125">
        <f t="shared" si="0"/>
        <v>7.5796178343949041</v>
      </c>
      <c r="G14" s="126"/>
      <c r="H14" s="126"/>
      <c r="I14" s="51">
        <v>0.8</v>
      </c>
      <c r="J14" s="127">
        <f t="shared" si="1"/>
        <v>10.192162736825022</v>
      </c>
      <c r="K14" s="128">
        <f t="shared" si="2"/>
        <v>16.217281640707292</v>
      </c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</row>
    <row r="15" spans="1:24">
      <c r="A15" s="121">
        <v>1</v>
      </c>
      <c r="B15" s="122" t="s">
        <v>438</v>
      </c>
      <c r="C15" s="16" t="s">
        <v>402</v>
      </c>
      <c r="D15" s="122">
        <v>7.5</v>
      </c>
      <c r="E15" s="124">
        <f>SUM(33.4+28.5)</f>
        <v>61.9</v>
      </c>
      <c r="F15" s="125">
        <f t="shared" si="0"/>
        <v>19.713375796178344</v>
      </c>
      <c r="G15" s="126"/>
      <c r="H15" s="126"/>
      <c r="I15" s="126"/>
      <c r="J15" s="127">
        <f t="shared" si="1"/>
        <v>19.186901113635443</v>
      </c>
      <c r="K15" s="128">
        <f t="shared" si="2"/>
        <v>0</v>
      </c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</row>
    <row r="16" spans="1:24">
      <c r="A16" s="121">
        <v>1</v>
      </c>
      <c r="B16" s="129" t="s">
        <v>399</v>
      </c>
      <c r="C16" s="16" t="s">
        <v>267</v>
      </c>
      <c r="D16" s="122">
        <v>3.5</v>
      </c>
      <c r="E16" s="125">
        <v>15.3</v>
      </c>
      <c r="F16" s="125">
        <f t="shared" si="0"/>
        <v>4.8726114649681529</v>
      </c>
      <c r="G16" s="126"/>
      <c r="H16" s="126"/>
      <c r="I16" s="51">
        <f>AVERAGE(0.75,
0.8)</f>
        <v>0.77500000000000002</v>
      </c>
      <c r="J16" s="127">
        <f t="shared" si="1"/>
        <v>9.2765436954846034</v>
      </c>
      <c r="K16" s="128">
        <f t="shared" si="2"/>
        <v>3.9218857424214031</v>
      </c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</row>
    <row r="17" spans="1:24">
      <c r="A17" s="121">
        <v>2</v>
      </c>
      <c r="B17" s="129" t="s">
        <v>410</v>
      </c>
      <c r="C17" s="16" t="s">
        <v>411</v>
      </c>
      <c r="D17" s="122">
        <v>9</v>
      </c>
      <c r="E17" s="125">
        <f>SUM(39.4+39.6)</f>
        <v>79</v>
      </c>
      <c r="F17" s="125">
        <f t="shared" si="0"/>
        <v>25.159235668789808</v>
      </c>
      <c r="G17" s="126"/>
      <c r="H17" s="126"/>
      <c r="I17" s="51">
        <v>0.97</v>
      </c>
      <c r="J17" s="127">
        <f t="shared" si="1"/>
        <v>28.924794892287714</v>
      </c>
      <c r="K17" s="128">
        <f t="shared" si="2"/>
        <v>302.41712143817352</v>
      </c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</row>
    <row r="18" spans="1:24">
      <c r="A18" s="121">
        <v>2</v>
      </c>
      <c r="B18" s="122" t="s">
        <v>410</v>
      </c>
      <c r="C18" s="16" t="s">
        <v>411</v>
      </c>
      <c r="D18" s="129">
        <v>8</v>
      </c>
      <c r="E18" s="124">
        <f>SUM(25.3+21.4+19.3+19.2)</f>
        <v>85.2</v>
      </c>
      <c r="F18" s="125">
        <f t="shared" si="0"/>
        <v>27.133757961783438</v>
      </c>
      <c r="G18" s="126"/>
      <c r="H18" s="126"/>
      <c r="I18" s="51">
        <v>0.97</v>
      </c>
      <c r="J18" s="127">
        <f t="shared" si="1"/>
        <v>29.600442991602087</v>
      </c>
      <c r="K18" s="128">
        <f t="shared" si="2"/>
        <v>312.41474290365932</v>
      </c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</row>
    <row r="19" spans="1:24">
      <c r="A19" s="121">
        <v>2</v>
      </c>
      <c r="B19" s="129" t="s">
        <v>128</v>
      </c>
      <c r="C19" s="123" t="s">
        <v>129</v>
      </c>
      <c r="D19" s="122">
        <v>8</v>
      </c>
      <c r="E19" s="125">
        <v>25.5</v>
      </c>
      <c r="F19" s="125">
        <f t="shared" si="0"/>
        <v>8.1210191082802545</v>
      </c>
      <c r="G19" s="126"/>
      <c r="H19" s="126"/>
      <c r="I19" s="51">
        <f>AVERAGE(0.25,0.41)</f>
        <v>0.32999999999999996</v>
      </c>
      <c r="J19" s="127">
        <f t="shared" si="1"/>
        <v>10.832326637997484</v>
      </c>
      <c r="K19" s="128">
        <f t="shared" si="2"/>
        <v>10.352857970359075</v>
      </c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</row>
    <row r="20" spans="1:24">
      <c r="A20" s="121">
        <v>2</v>
      </c>
      <c r="B20" s="129" t="s">
        <v>414</v>
      </c>
      <c r="C20" s="16" t="s">
        <v>341</v>
      </c>
      <c r="D20" s="122">
        <v>8</v>
      </c>
      <c r="E20" s="125">
        <f>SUM(35.7+31.4)</f>
        <v>67.099999999999994</v>
      </c>
      <c r="F20" s="125">
        <f t="shared" si="0"/>
        <v>21.369426751592353</v>
      </c>
      <c r="G20" s="126"/>
      <c r="H20" s="126"/>
      <c r="I20" s="126"/>
      <c r="J20" s="127">
        <f t="shared" si="1"/>
        <v>21.771967191366784</v>
      </c>
      <c r="K20" s="128">
        <f t="shared" si="2"/>
        <v>0</v>
      </c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</row>
    <row r="21" spans="1:24">
      <c r="A21" s="121">
        <v>2</v>
      </c>
      <c r="B21" s="122" t="s">
        <v>352</v>
      </c>
      <c r="C21" s="16" t="s">
        <v>56</v>
      </c>
      <c r="D21" s="129">
        <v>6</v>
      </c>
      <c r="E21" s="125">
        <f>SUM(28.5+20.4+18.6+24.4+22.2+20.4)</f>
        <v>134.5</v>
      </c>
      <c r="F21" s="125">
        <f t="shared" si="0"/>
        <v>42.834394904458598</v>
      </c>
      <c r="G21" s="126"/>
      <c r="H21" s="126"/>
      <c r="I21" s="51">
        <f>AVERAGE(0.58,0.77)</f>
        <v>0.67500000000000004</v>
      </c>
      <c r="J21" s="127">
        <f t="shared" si="1"/>
        <v>47.516193123453284</v>
      </c>
      <c r="K21" s="128">
        <f t="shared" si="2"/>
        <v>403.78519649779014</v>
      </c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</row>
    <row r="22" spans="1:24">
      <c r="A22" s="121">
        <v>2</v>
      </c>
      <c r="B22" s="129" t="s">
        <v>352</v>
      </c>
      <c r="C22" s="16" t="s">
        <v>56</v>
      </c>
      <c r="D22" s="129">
        <v>6.5</v>
      </c>
      <c r="E22" s="125">
        <f>SUM(32.5+22.4+16.6+23.4+18.6+20.5+24.7)</f>
        <v>158.69999999999999</v>
      </c>
      <c r="F22" s="125">
        <f t="shared" si="0"/>
        <v>50.541401273885342</v>
      </c>
      <c r="G22" s="126"/>
      <c r="H22" s="126"/>
      <c r="I22" s="51">
        <f>AVERAGE(0.58,0.77)</f>
        <v>0.67500000000000004</v>
      </c>
      <c r="J22" s="127">
        <f t="shared" si="1"/>
        <v>67.099056272059684</v>
      </c>
      <c r="K22" s="128">
        <f t="shared" si="2"/>
        <v>603.02937833375324</v>
      </c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</row>
    <row r="23" spans="1:24">
      <c r="A23" s="121">
        <v>2</v>
      </c>
      <c r="B23" s="122" t="s">
        <v>352</v>
      </c>
      <c r="C23" s="16" t="s">
        <v>56</v>
      </c>
      <c r="D23" s="129">
        <v>6.5</v>
      </c>
      <c r="E23" s="124">
        <f>SUM(19.3+19.4+28.3+23.2+23.4+18.6+20.3+20.5+22.4)</f>
        <v>195.4</v>
      </c>
      <c r="F23" s="125">
        <f t="shared" si="0"/>
        <v>62.229299363057322</v>
      </c>
      <c r="G23" s="126"/>
      <c r="H23" s="126"/>
      <c r="I23" s="51">
        <f>AVERAGE(0.58,0.77)</f>
        <v>0.67500000000000004</v>
      </c>
      <c r="J23" s="127">
        <f t="shared" si="1"/>
        <v>97.084749657186904</v>
      </c>
      <c r="K23" s="128">
        <f t="shared" si="2"/>
        <v>905.10100988253191</v>
      </c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</row>
    <row r="24" spans="1:24">
      <c r="A24" s="121">
        <v>2</v>
      </c>
      <c r="B24" s="122" t="s">
        <v>352</v>
      </c>
      <c r="C24" s="16" t="s">
        <v>56</v>
      </c>
      <c r="D24" s="122">
        <v>7</v>
      </c>
      <c r="E24" s="124">
        <f>SUM(21.6+24.5+22.2+18.3+23.4+24.5)</f>
        <v>134.5</v>
      </c>
      <c r="F24" s="125">
        <f t="shared" si="0"/>
        <v>42.834394904458598</v>
      </c>
      <c r="G24" s="126"/>
      <c r="H24" s="126"/>
      <c r="I24" s="51">
        <f>AVERAGE(0.58,0.77)</f>
        <v>0.67500000000000004</v>
      </c>
      <c r="J24" s="127">
        <f t="shared" si="1"/>
        <v>53.937941977362165</v>
      </c>
      <c r="K24" s="128">
        <f t="shared" si="2"/>
        <v>469.34312381668627</v>
      </c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</row>
    <row r="25" spans="1:24">
      <c r="A25" s="121">
        <v>2</v>
      </c>
      <c r="B25" s="122" t="s">
        <v>352</v>
      </c>
      <c r="C25" s="123" t="s">
        <v>56</v>
      </c>
      <c r="D25" s="122">
        <v>6</v>
      </c>
      <c r="E25" s="124">
        <f>SUM(19.3+16.4+22.5+30.2)</f>
        <v>88.4</v>
      </c>
      <c r="F25" s="125">
        <f t="shared" si="0"/>
        <v>28.152866242038218</v>
      </c>
      <c r="G25" s="126"/>
      <c r="H25" s="126"/>
      <c r="I25" s="51">
        <f>AVERAGE(0.58,0.77)</f>
        <v>0.67500000000000004</v>
      </c>
      <c r="J25" s="127">
        <f t="shared" si="1"/>
        <v>25.629961430483995</v>
      </c>
      <c r="K25" s="128">
        <f t="shared" si="2"/>
        <v>177.97512848916179</v>
      </c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</row>
    <row r="26" spans="1:24">
      <c r="A26" s="121">
        <v>2</v>
      </c>
      <c r="B26" s="129" t="s">
        <v>344</v>
      </c>
      <c r="C26" s="16" t="s">
        <v>127</v>
      </c>
      <c r="D26" s="129">
        <v>9</v>
      </c>
      <c r="E26" s="125">
        <v>64.2</v>
      </c>
      <c r="F26" s="125">
        <f t="shared" si="0"/>
        <v>20.445859872611464</v>
      </c>
      <c r="G26" s="126"/>
      <c r="H26" s="126"/>
      <c r="I26" s="51">
        <v>0.53</v>
      </c>
      <c r="J26" s="127">
        <f t="shared" si="1"/>
        <v>22.153745356809605</v>
      </c>
      <c r="K26" s="128">
        <f t="shared" si="2"/>
        <v>111.82803762945072</v>
      </c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</row>
    <row r="27" spans="1:24">
      <c r="A27" s="121">
        <v>2</v>
      </c>
      <c r="B27" s="122" t="s">
        <v>344</v>
      </c>
      <c r="C27" s="16" t="s">
        <v>127</v>
      </c>
      <c r="D27" s="122">
        <v>9</v>
      </c>
      <c r="E27" s="124">
        <v>96.3</v>
      </c>
      <c r="F27" s="125">
        <f t="shared" si="0"/>
        <v>30.668789808917197</v>
      </c>
      <c r="G27" s="126"/>
      <c r="H27" s="126"/>
      <c r="I27" s="51">
        <v>0.53</v>
      </c>
      <c r="J27" s="127">
        <f t="shared" si="1"/>
        <v>38.613802052821619</v>
      </c>
      <c r="K27" s="128">
        <f t="shared" si="2"/>
        <v>246.76345460771319</v>
      </c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</row>
    <row r="28" spans="1:24">
      <c r="A28" s="121">
        <v>2</v>
      </c>
      <c r="B28" s="129" t="s">
        <v>394</v>
      </c>
      <c r="C28" s="123" t="s">
        <v>29</v>
      </c>
      <c r="D28" s="129">
        <v>5</v>
      </c>
      <c r="E28" s="125">
        <f>SUM(11.4+11.3)</f>
        <v>22.700000000000003</v>
      </c>
      <c r="F28" s="125">
        <f t="shared" si="0"/>
        <v>7.2292993630573257</v>
      </c>
      <c r="G28" s="126"/>
      <c r="H28" s="126"/>
      <c r="I28" s="51">
        <v>0.8</v>
      </c>
      <c r="J28" s="127">
        <f t="shared" si="1"/>
        <v>9.9002984624122679</v>
      </c>
      <c r="K28" s="128">
        <f t="shared" si="2"/>
        <v>12.376031781682547</v>
      </c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</row>
    <row r="29" spans="1:24">
      <c r="A29" s="121">
        <v>2</v>
      </c>
      <c r="B29" s="122" t="s">
        <v>394</v>
      </c>
      <c r="C29" s="123" t="s">
        <v>29</v>
      </c>
      <c r="D29" s="122">
        <v>3</v>
      </c>
      <c r="E29" s="124">
        <f>SUM(9.5+10.6)</f>
        <v>20.100000000000001</v>
      </c>
      <c r="F29" s="125">
        <f t="shared" si="0"/>
        <v>6.401273885350319</v>
      </c>
      <c r="G29" s="126"/>
      <c r="H29" s="126"/>
      <c r="I29" s="51">
        <v>0.8</v>
      </c>
      <c r="J29" s="127">
        <f t="shared" si="1"/>
        <v>9.4159512272303125</v>
      </c>
      <c r="K29" s="128">
        <f t="shared" si="2"/>
        <v>5.9283422386240288</v>
      </c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</row>
    <row r="30" spans="1:24">
      <c r="A30" s="121">
        <v>2</v>
      </c>
      <c r="B30" s="122" t="s">
        <v>394</v>
      </c>
      <c r="C30" s="123" t="s">
        <v>29</v>
      </c>
      <c r="D30" s="149">
        <v>45418</v>
      </c>
      <c r="E30" s="124">
        <v>9.3000000000000007</v>
      </c>
      <c r="F30" s="125">
        <f t="shared" si="0"/>
        <v>2.9617834394904459</v>
      </c>
      <c r="G30" s="126"/>
      <c r="H30" s="126"/>
      <c r="I30" s="51">
        <v>0.8</v>
      </c>
      <c r="J30" s="127">
        <f t="shared" si="1"/>
        <v>1403.4347516856667</v>
      </c>
      <c r="K30" s="128">
        <f t="shared" si="2"/>
        <v>15825.501007100927</v>
      </c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</row>
    <row r="31" spans="1:24">
      <c r="A31" s="121">
        <v>2</v>
      </c>
      <c r="B31" s="129" t="s">
        <v>391</v>
      </c>
      <c r="C31" s="16" t="s">
        <v>91</v>
      </c>
      <c r="D31" s="129">
        <v>8</v>
      </c>
      <c r="E31" s="124">
        <f>SUM(32.4+30+17.5+23.3+32.2)</f>
        <v>135.4</v>
      </c>
      <c r="F31" s="125">
        <f t="shared" si="0"/>
        <v>43.121019108280258</v>
      </c>
      <c r="G31" s="126"/>
      <c r="H31" s="126"/>
      <c r="I31" s="51">
        <v>0.48</v>
      </c>
      <c r="J31" s="127">
        <f t="shared" si="1"/>
        <v>61.049524090226789</v>
      </c>
      <c r="K31" s="128">
        <f t="shared" si="2"/>
        <v>388.36072125396333</v>
      </c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</row>
    <row r="32" spans="1:24">
      <c r="A32" s="121">
        <v>2</v>
      </c>
      <c r="B32" s="129" t="s">
        <v>399</v>
      </c>
      <c r="C32" s="16" t="s">
        <v>267</v>
      </c>
      <c r="D32" s="122">
        <v>6</v>
      </c>
      <c r="E32" s="125">
        <v>16.5</v>
      </c>
      <c r="F32" s="125">
        <f t="shared" si="0"/>
        <v>5.2547770700636942</v>
      </c>
      <c r="G32" s="126"/>
      <c r="H32" s="126"/>
      <c r="I32" s="51">
        <f>AVERAGE(0.75,
0.8)</f>
        <v>0.77500000000000002</v>
      </c>
      <c r="J32" s="127">
        <f t="shared" si="1"/>
        <v>9.5655663231774106</v>
      </c>
      <c r="K32" s="128">
        <f t="shared" si="2"/>
        <v>7.6907931764698025</v>
      </c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</row>
    <row r="33" spans="1:24">
      <c r="A33" s="121">
        <v>2</v>
      </c>
      <c r="B33" s="122" t="s">
        <v>399</v>
      </c>
      <c r="C33" s="16" t="s">
        <v>267</v>
      </c>
      <c r="D33" s="122">
        <v>3.8</v>
      </c>
      <c r="E33" s="124">
        <v>14.5</v>
      </c>
      <c r="F33" s="125">
        <f t="shared" si="0"/>
        <v>4.6178343949044587</v>
      </c>
      <c r="G33" s="126"/>
      <c r="H33" s="126"/>
      <c r="I33" s="51">
        <f>AVERAGE(0.75,
0.8)</f>
        <v>0.77500000000000002</v>
      </c>
      <c r="J33" s="127">
        <f t="shared" si="1"/>
        <v>9.2693144468335422</v>
      </c>
      <c r="K33" s="128">
        <f t="shared" si="2"/>
        <v>3.8267138083323284</v>
      </c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</row>
    <row r="34" spans="1:24">
      <c r="A34" s="121">
        <v>2</v>
      </c>
      <c r="B34" s="122" t="s">
        <v>399</v>
      </c>
      <c r="C34" s="16" t="s">
        <v>267</v>
      </c>
      <c r="D34" s="122">
        <v>5.5</v>
      </c>
      <c r="E34" s="124">
        <f>SUM(26.5+7.6)</f>
        <v>34.1</v>
      </c>
      <c r="F34" s="125">
        <f t="shared" si="0"/>
        <v>10.859872611464969</v>
      </c>
      <c r="G34" s="126"/>
      <c r="H34" s="126"/>
      <c r="I34" s="51">
        <f>AVERAGE(0.75,
0.8)</f>
        <v>0.77500000000000002</v>
      </c>
      <c r="J34" s="127">
        <f t="shared" si="1"/>
        <v>11.255984037892004</v>
      </c>
      <c r="K34" s="128">
        <f t="shared" si="2"/>
        <v>29.140525922806802</v>
      </c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</row>
    <row r="35" spans="1:24">
      <c r="A35" s="121">
        <v>2</v>
      </c>
      <c r="B35" s="122" t="s">
        <v>436</v>
      </c>
      <c r="C35" s="150"/>
      <c r="D35" s="122">
        <v>8</v>
      </c>
      <c r="E35" s="124">
        <f>SUM(26.6+25.5+12.3)</f>
        <v>64.400000000000006</v>
      </c>
      <c r="F35" s="125">
        <f t="shared" si="0"/>
        <v>20.509554140127388</v>
      </c>
      <c r="G35" s="126"/>
      <c r="H35" s="126"/>
      <c r="I35" s="126"/>
      <c r="J35" s="127">
        <f t="shared" si="1"/>
        <v>20.763670708750862</v>
      </c>
      <c r="K35" s="128">
        <f t="shared" si="2"/>
        <v>0</v>
      </c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</row>
    <row r="36" spans="1:24">
      <c r="A36" s="121">
        <v>3</v>
      </c>
      <c r="B36" s="122" t="s">
        <v>318</v>
      </c>
      <c r="C36" s="16" t="s">
        <v>180</v>
      </c>
      <c r="D36" s="122">
        <v>5</v>
      </c>
      <c r="E36" s="124">
        <v>39.4</v>
      </c>
      <c r="F36" s="125">
        <f t="shared" ref="F36:F67" si="3">E36/3.14</f>
        <v>12.547770700636942</v>
      </c>
      <c r="G36" s="126"/>
      <c r="H36" s="126"/>
      <c r="I36" s="122">
        <v>0.41</v>
      </c>
      <c r="J36" s="127">
        <f t="shared" ref="J36:J67" si="4">8.9857+0.0035*(F36)^2*(D36)</f>
        <v>11.741014617225851</v>
      </c>
      <c r="K36" s="128">
        <f t="shared" ref="K36:K67" si="5">0.0673*(I36*F36^2*D36)^0.976</f>
        <v>18.909880509863576</v>
      </c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</row>
    <row r="37" spans="1:24">
      <c r="A37" s="121">
        <v>3</v>
      </c>
      <c r="B37" s="122" t="s">
        <v>332</v>
      </c>
      <c r="C37" s="16" t="s">
        <v>21</v>
      </c>
      <c r="D37" s="122">
        <v>7</v>
      </c>
      <c r="E37" s="124">
        <f>SUM(34.4+29.9+39.8+29.5)</f>
        <v>133.6</v>
      </c>
      <c r="F37" s="125">
        <f t="shared" si="3"/>
        <v>42.547770700636939</v>
      </c>
      <c r="G37" s="126"/>
      <c r="H37" s="126"/>
      <c r="I37" s="51">
        <f>AVERAGE(0.84,1.1)</f>
        <v>0.97</v>
      </c>
      <c r="J37" s="127">
        <f t="shared" si="4"/>
        <v>53.338363394052493</v>
      </c>
      <c r="K37" s="128">
        <f t="shared" si="5"/>
        <v>659.91423583316282</v>
      </c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</row>
    <row r="38" spans="1:24">
      <c r="A38" s="121">
        <v>3</v>
      </c>
      <c r="B38" s="129" t="s">
        <v>332</v>
      </c>
      <c r="C38" s="16" t="s">
        <v>21</v>
      </c>
      <c r="D38" s="129">
        <v>8</v>
      </c>
      <c r="E38" s="125">
        <f>SUM(46.6+47.7)</f>
        <v>94.300000000000011</v>
      </c>
      <c r="F38" s="125">
        <f t="shared" si="3"/>
        <v>30.031847133757964</v>
      </c>
      <c r="G38" s="126"/>
      <c r="H38" s="126"/>
      <c r="I38" s="51">
        <f>AVERAGE(0.84,1.1)</f>
        <v>0.97</v>
      </c>
      <c r="J38" s="127">
        <f t="shared" si="4"/>
        <v>34.239231583431383</v>
      </c>
      <c r="K38" s="128">
        <f t="shared" si="5"/>
        <v>380.85552074875005</v>
      </c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</row>
    <row r="39" spans="1:24">
      <c r="A39" s="121">
        <v>3</v>
      </c>
      <c r="B39" s="122" t="s">
        <v>332</v>
      </c>
      <c r="C39" s="16" t="s">
        <v>21</v>
      </c>
      <c r="D39" s="122">
        <v>4.5</v>
      </c>
      <c r="E39" s="124">
        <f>SUM(18.2+19.5)</f>
        <v>37.700000000000003</v>
      </c>
      <c r="F39" s="125">
        <f t="shared" si="3"/>
        <v>12.006369426751593</v>
      </c>
      <c r="G39" s="126"/>
      <c r="H39" s="126"/>
      <c r="I39" s="51">
        <f>AVERAGE(0.84,1.1)</f>
        <v>0.97</v>
      </c>
      <c r="J39" s="127">
        <f t="shared" si="4"/>
        <v>11.256108282283257</v>
      </c>
      <c r="K39" s="128">
        <f t="shared" si="5"/>
        <v>36.278667971607319</v>
      </c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</row>
    <row r="40" spans="1:24">
      <c r="A40" s="121">
        <v>3</v>
      </c>
      <c r="B40" s="122" t="s">
        <v>434</v>
      </c>
      <c r="C40" s="123" t="s">
        <v>328</v>
      </c>
      <c r="D40" s="122">
        <v>6</v>
      </c>
      <c r="E40" s="124">
        <f>SUM(17.5+10.2)</f>
        <v>27.7</v>
      </c>
      <c r="F40" s="125">
        <f t="shared" si="3"/>
        <v>8.8216560509554132</v>
      </c>
      <c r="G40" s="126"/>
      <c r="H40" s="126"/>
      <c r="I40" s="51">
        <v>0.98</v>
      </c>
      <c r="J40" s="127">
        <f t="shared" si="4"/>
        <v>10.619953925108522</v>
      </c>
      <c r="K40" s="128">
        <f t="shared" si="5"/>
        <v>26.585275832664891</v>
      </c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</row>
    <row r="41" spans="1:24">
      <c r="A41" s="121">
        <v>3</v>
      </c>
      <c r="B41" s="122" t="s">
        <v>410</v>
      </c>
      <c r="C41" s="16" t="s">
        <v>411</v>
      </c>
      <c r="D41" s="122">
        <v>5</v>
      </c>
      <c r="E41" s="124">
        <v>26.6</v>
      </c>
      <c r="F41" s="125">
        <f t="shared" si="3"/>
        <v>8.4713375796178347</v>
      </c>
      <c r="G41" s="126"/>
      <c r="H41" s="126"/>
      <c r="I41" s="51">
        <v>0.97</v>
      </c>
      <c r="J41" s="127">
        <f t="shared" si="4"/>
        <v>10.241562306787294</v>
      </c>
      <c r="K41" s="128">
        <f t="shared" si="5"/>
        <v>20.354539565287418</v>
      </c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</row>
    <row r="42" spans="1:24">
      <c r="A42" s="121">
        <v>3</v>
      </c>
      <c r="B42" s="129" t="s">
        <v>128</v>
      </c>
      <c r="C42" s="123" t="s">
        <v>129</v>
      </c>
      <c r="D42" s="129">
        <v>8</v>
      </c>
      <c r="E42" s="125">
        <v>24.3</v>
      </c>
      <c r="F42" s="125">
        <f t="shared" si="3"/>
        <v>7.7388535031847132</v>
      </c>
      <c r="G42" s="126"/>
      <c r="H42" s="126"/>
      <c r="I42" s="51">
        <f>AVERAGE(0.25,0.41)</f>
        <v>0.32999999999999996</v>
      </c>
      <c r="J42" s="127">
        <f t="shared" si="4"/>
        <v>10.66261589922512</v>
      </c>
      <c r="K42" s="128">
        <f t="shared" si="5"/>
        <v>9.4231752884890359</v>
      </c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</row>
    <row r="43" spans="1:24">
      <c r="A43" s="121">
        <v>3</v>
      </c>
      <c r="B43" s="129" t="s">
        <v>439</v>
      </c>
      <c r="C43" s="16" t="s">
        <v>366</v>
      </c>
      <c r="D43" s="129">
        <v>5</v>
      </c>
      <c r="E43" s="125">
        <f>SUM(12.5+12.8)</f>
        <v>25.3</v>
      </c>
      <c r="F43" s="125">
        <f t="shared" si="3"/>
        <v>8.0573248407643305</v>
      </c>
      <c r="G43" s="126"/>
      <c r="H43" s="126"/>
      <c r="I43" s="131">
        <v>0.375</v>
      </c>
      <c r="J43" s="127">
        <f t="shared" si="4"/>
        <v>10.121808462817963</v>
      </c>
      <c r="K43" s="128">
        <f t="shared" si="5"/>
        <v>7.3004375469198655</v>
      </c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</row>
    <row r="44" spans="1:24">
      <c r="A44" s="121">
        <v>3</v>
      </c>
      <c r="B44" s="122" t="s">
        <v>414</v>
      </c>
      <c r="C44" s="16" t="s">
        <v>341</v>
      </c>
      <c r="D44" s="122">
        <v>6.5</v>
      </c>
      <c r="E44" s="124">
        <f>SUM(39.5+37.3)</f>
        <v>76.8</v>
      </c>
      <c r="F44" s="125">
        <f t="shared" si="3"/>
        <v>24.458598726114648</v>
      </c>
      <c r="G44" s="126"/>
      <c r="H44" s="126"/>
      <c r="I44" s="126"/>
      <c r="J44" s="127">
        <f t="shared" si="4"/>
        <v>22.595274424925957</v>
      </c>
      <c r="K44" s="128">
        <f t="shared" si="5"/>
        <v>0</v>
      </c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</row>
    <row r="45" spans="1:24">
      <c r="A45" s="121">
        <v>3</v>
      </c>
      <c r="B45" s="129" t="s">
        <v>344</v>
      </c>
      <c r="C45" s="16" t="s">
        <v>127</v>
      </c>
      <c r="D45" s="129">
        <v>11</v>
      </c>
      <c r="E45" s="125">
        <v>68</v>
      </c>
      <c r="F45" s="125">
        <f t="shared" si="3"/>
        <v>21.656050955414013</v>
      </c>
      <c r="G45" s="126"/>
      <c r="H45" s="126"/>
      <c r="I45" s="51">
        <v>0.53</v>
      </c>
      <c r="J45" s="127">
        <f t="shared" si="4"/>
        <v>27.0416049048643</v>
      </c>
      <c r="K45" s="128">
        <f t="shared" si="5"/>
        <v>152.18025175667665</v>
      </c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</row>
    <row r="46" spans="1:24">
      <c r="A46" s="121">
        <v>3</v>
      </c>
      <c r="B46" s="122" t="s">
        <v>344</v>
      </c>
      <c r="C46" s="16" t="s">
        <v>127</v>
      </c>
      <c r="D46" s="122">
        <v>11</v>
      </c>
      <c r="E46" s="124">
        <f>SUM(56.4+34.5)</f>
        <v>90.9</v>
      </c>
      <c r="F46" s="125">
        <f t="shared" si="3"/>
        <v>28.949044585987263</v>
      </c>
      <c r="G46" s="126"/>
      <c r="H46" s="126"/>
      <c r="I46" s="51">
        <v>0.53</v>
      </c>
      <c r="J46" s="127">
        <f t="shared" si="4"/>
        <v>41.250516523996922</v>
      </c>
      <c r="K46" s="128">
        <f t="shared" si="5"/>
        <v>268.1745747833067</v>
      </c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</row>
    <row r="47" spans="1:24">
      <c r="A47" s="121">
        <v>3</v>
      </c>
      <c r="B47" s="129" t="s">
        <v>344</v>
      </c>
      <c r="C47" s="16" t="s">
        <v>127</v>
      </c>
      <c r="D47" s="129">
        <v>7</v>
      </c>
      <c r="E47" s="125">
        <f>SUM(36.6+24.4+29.9+37.7)</f>
        <v>128.60000000000002</v>
      </c>
      <c r="F47" s="125">
        <f t="shared" si="3"/>
        <v>40.955414012738856</v>
      </c>
      <c r="G47" s="126"/>
      <c r="H47" s="126"/>
      <c r="I47" s="51">
        <v>0.53</v>
      </c>
      <c r="J47" s="127">
        <f t="shared" si="4"/>
        <v>50.080675455393738</v>
      </c>
      <c r="K47" s="128">
        <f t="shared" si="5"/>
        <v>339.59062920965579</v>
      </c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</row>
    <row r="48" spans="1:24">
      <c r="A48" s="121">
        <v>3</v>
      </c>
      <c r="B48" s="122" t="s">
        <v>440</v>
      </c>
      <c r="C48" s="16" t="s">
        <v>168</v>
      </c>
      <c r="D48" s="122">
        <v>6</v>
      </c>
      <c r="E48" s="124">
        <f>SUM(50.9+31.2)</f>
        <v>82.1</v>
      </c>
      <c r="F48" s="125">
        <f t="shared" si="3"/>
        <v>26.146496815286621</v>
      </c>
      <c r="G48" s="126"/>
      <c r="H48" s="51" t="s">
        <v>441</v>
      </c>
      <c r="I48" s="51">
        <f>AVERAGE(0.75,0.78)</f>
        <v>0.76500000000000001</v>
      </c>
      <c r="J48" s="127">
        <f t="shared" si="4"/>
        <v>23.342125209947664</v>
      </c>
      <c r="K48" s="128">
        <f t="shared" si="5"/>
        <v>174.07460363467985</v>
      </c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</row>
    <row r="49" spans="1:24">
      <c r="A49" s="121">
        <v>3</v>
      </c>
      <c r="B49" s="129" t="s">
        <v>391</v>
      </c>
      <c r="C49" s="151" t="s">
        <v>91</v>
      </c>
      <c r="D49" s="129">
        <v>4</v>
      </c>
      <c r="E49" s="125">
        <v>17.5</v>
      </c>
      <c r="F49" s="125">
        <f t="shared" si="3"/>
        <v>5.5732484076433115</v>
      </c>
      <c r="G49" s="126"/>
      <c r="H49" s="126"/>
      <c r="I49" s="51">
        <v>0.48</v>
      </c>
      <c r="J49" s="127">
        <f t="shared" si="4"/>
        <v>9.4205553693861823</v>
      </c>
      <c r="K49" s="128">
        <f t="shared" si="5"/>
        <v>3.638485608190746</v>
      </c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</row>
    <row r="50" spans="1:24">
      <c r="A50" s="121">
        <v>3</v>
      </c>
      <c r="B50" s="122" t="s">
        <v>399</v>
      </c>
      <c r="C50" s="16" t="s">
        <v>267</v>
      </c>
      <c r="D50" s="122">
        <v>3.5</v>
      </c>
      <c r="E50" s="124">
        <v>17.2</v>
      </c>
      <c r="F50" s="125">
        <f t="shared" si="3"/>
        <v>5.4777070063694264</v>
      </c>
      <c r="G50" s="126"/>
      <c r="H50" s="126"/>
      <c r="I50" s="51">
        <f>AVERAGE(0.75,
0.8)</f>
        <v>0.77500000000000002</v>
      </c>
      <c r="J50" s="127">
        <f t="shared" si="4"/>
        <v>9.3532646070834513</v>
      </c>
      <c r="K50" s="128">
        <f t="shared" si="5"/>
        <v>4.9286592371353359</v>
      </c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</row>
    <row r="51" spans="1:24">
      <c r="A51" s="121">
        <v>4</v>
      </c>
      <c r="B51" s="122" t="s">
        <v>318</v>
      </c>
      <c r="C51" s="16" t="s">
        <v>180</v>
      </c>
      <c r="D51" s="122">
        <v>6.5</v>
      </c>
      <c r="E51" s="124">
        <f>SUM(34.3+42.3)</f>
        <v>76.599999999999994</v>
      </c>
      <c r="F51" s="125">
        <f t="shared" si="3"/>
        <v>24.394904458598724</v>
      </c>
      <c r="G51" s="126"/>
      <c r="H51" s="126"/>
      <c r="I51" s="122">
        <v>0.41</v>
      </c>
      <c r="J51" s="127">
        <f t="shared" si="4"/>
        <v>22.524483520629637</v>
      </c>
      <c r="K51" s="128">
        <f t="shared" si="5"/>
        <v>89.434159478026999</v>
      </c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</row>
    <row r="52" spans="1:24">
      <c r="A52" s="121">
        <v>4</v>
      </c>
      <c r="B52" s="129" t="s">
        <v>318</v>
      </c>
      <c r="C52" s="16" t="s">
        <v>180</v>
      </c>
      <c r="D52" s="122">
        <v>7</v>
      </c>
      <c r="E52" s="124">
        <v>36.700000000000003</v>
      </c>
      <c r="F52" s="125">
        <f t="shared" si="3"/>
        <v>11.687898089171975</v>
      </c>
      <c r="G52" s="126"/>
      <c r="H52" s="126"/>
      <c r="I52" s="122">
        <v>0.41</v>
      </c>
      <c r="J52" s="127">
        <f t="shared" si="4"/>
        <v>12.332570562700312</v>
      </c>
      <c r="K52" s="128">
        <f t="shared" si="5"/>
        <v>22.862792766305052</v>
      </c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</row>
    <row r="53" spans="1:24">
      <c r="A53" s="121">
        <v>4</v>
      </c>
      <c r="B53" s="122" t="s">
        <v>332</v>
      </c>
      <c r="C53" s="16" t="s">
        <v>21</v>
      </c>
      <c r="D53" s="122">
        <v>4.5</v>
      </c>
      <c r="E53" s="124">
        <f>SUM(21.2+10.4+19.4+5.6)</f>
        <v>56.6</v>
      </c>
      <c r="F53" s="125">
        <f t="shared" si="3"/>
        <v>18.02547770700637</v>
      </c>
      <c r="G53" s="126"/>
      <c r="H53" s="126"/>
      <c r="I53" s="51">
        <f>AVERAGE(0.84,1.1)</f>
        <v>0.97</v>
      </c>
      <c r="J53" s="127">
        <f t="shared" si="4"/>
        <v>14.103156083411092</v>
      </c>
      <c r="K53" s="128">
        <f t="shared" si="5"/>
        <v>80.191934629720762</v>
      </c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</row>
    <row r="54" spans="1:24">
      <c r="A54" s="121">
        <v>4</v>
      </c>
      <c r="B54" s="129" t="s">
        <v>332</v>
      </c>
      <c r="C54" s="16" t="s">
        <v>21</v>
      </c>
      <c r="D54" s="122">
        <v>8</v>
      </c>
      <c r="E54" s="124">
        <v>46.6</v>
      </c>
      <c r="F54" s="125">
        <f t="shared" si="3"/>
        <v>14.840764331210192</v>
      </c>
      <c r="G54" s="126"/>
      <c r="H54" s="126"/>
      <c r="I54" s="51">
        <f>AVERAGE(0.84,1.1)</f>
        <v>0.97</v>
      </c>
      <c r="J54" s="127">
        <f t="shared" si="4"/>
        <v>15.15265200616658</v>
      </c>
      <c r="K54" s="128">
        <f t="shared" si="5"/>
        <v>96.206129002578891</v>
      </c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</row>
    <row r="55" spans="1:24">
      <c r="A55" s="121">
        <v>4</v>
      </c>
      <c r="B55" s="129" t="s">
        <v>332</v>
      </c>
      <c r="C55" s="16" t="s">
        <v>21</v>
      </c>
      <c r="D55" s="122">
        <v>7</v>
      </c>
      <c r="E55" s="124">
        <v>56.3</v>
      </c>
      <c r="F55" s="125">
        <f t="shared" si="3"/>
        <v>17.929936305732483</v>
      </c>
      <c r="G55" s="126"/>
      <c r="H55" s="126"/>
      <c r="I55" s="51">
        <f>AVERAGE(0.84,1.1)</f>
        <v>0.97</v>
      </c>
      <c r="J55" s="127">
        <f t="shared" si="4"/>
        <v>16.862024090226782</v>
      </c>
      <c r="K55" s="128">
        <f t="shared" si="5"/>
        <v>122.15343320809892</v>
      </c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</row>
    <row r="56" spans="1:24">
      <c r="A56" s="121">
        <v>4</v>
      </c>
      <c r="B56" s="129" t="s">
        <v>332</v>
      </c>
      <c r="C56" s="16" t="s">
        <v>21</v>
      </c>
      <c r="D56" s="129">
        <v>8</v>
      </c>
      <c r="E56" s="125">
        <f>SUM(38.4+15.3)</f>
        <v>53.7</v>
      </c>
      <c r="F56" s="125">
        <f t="shared" si="3"/>
        <v>17.101910828025478</v>
      </c>
      <c r="G56" s="126"/>
      <c r="H56" s="126"/>
      <c r="I56" s="51">
        <f>AVERAGE(0.84,1.1)</f>
        <v>0.97</v>
      </c>
      <c r="J56" s="127">
        <f t="shared" si="4"/>
        <v>17.175009911152582</v>
      </c>
      <c r="K56" s="128">
        <f t="shared" si="5"/>
        <v>126.88878439288956</v>
      </c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</row>
    <row r="57" spans="1:24">
      <c r="A57" s="121">
        <v>4</v>
      </c>
      <c r="B57" s="129" t="s">
        <v>410</v>
      </c>
      <c r="C57" s="16" t="s">
        <v>411</v>
      </c>
      <c r="D57" s="129">
        <v>9</v>
      </c>
      <c r="E57" s="125">
        <v>48.6</v>
      </c>
      <c r="F57" s="125">
        <f t="shared" si="3"/>
        <v>15.477707006369426</v>
      </c>
      <c r="G57" s="126"/>
      <c r="H57" s="126"/>
      <c r="I57" s="51">
        <v>0.97</v>
      </c>
      <c r="J57" s="127">
        <f t="shared" si="4"/>
        <v>16.531821546513044</v>
      </c>
      <c r="K57" s="128">
        <f t="shared" si="5"/>
        <v>117.15269689140845</v>
      </c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</row>
    <row r="58" spans="1:24">
      <c r="A58" s="121">
        <v>4</v>
      </c>
      <c r="B58" s="129" t="s">
        <v>286</v>
      </c>
      <c r="C58" s="16" t="s">
        <v>287</v>
      </c>
      <c r="D58" s="129">
        <v>5.5</v>
      </c>
      <c r="E58" s="125">
        <v>17.399999999999999</v>
      </c>
      <c r="F58" s="125">
        <f t="shared" si="3"/>
        <v>5.5414012738853495</v>
      </c>
      <c r="G58" s="126"/>
      <c r="H58" s="126"/>
      <c r="I58" s="51">
        <v>0.6</v>
      </c>
      <c r="J58" s="127">
        <f t="shared" si="4"/>
        <v>9.5768122155056989</v>
      </c>
      <c r="K58" s="128">
        <f t="shared" si="5"/>
        <v>6.1042193207437743</v>
      </c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</row>
    <row r="59" spans="1:24">
      <c r="A59" s="121">
        <v>4</v>
      </c>
      <c r="B59" s="129" t="s">
        <v>404</v>
      </c>
      <c r="C59" s="16" t="s">
        <v>73</v>
      </c>
      <c r="D59" s="129">
        <v>3</v>
      </c>
      <c r="E59" s="125">
        <f>SUM(9.7+15.3)</f>
        <v>25</v>
      </c>
      <c r="F59" s="125">
        <f t="shared" si="3"/>
        <v>7.9617834394904454</v>
      </c>
      <c r="G59" s="126"/>
      <c r="H59" s="126"/>
      <c r="I59" s="51">
        <f>AVERAGE(0.58,0.66)</f>
        <v>0.62</v>
      </c>
      <c r="J59" s="127">
        <f t="shared" si="4"/>
        <v>9.6512949531421146</v>
      </c>
      <c r="K59" s="128">
        <f t="shared" si="5"/>
        <v>7.0767185199977378</v>
      </c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</row>
    <row r="60" spans="1:24">
      <c r="A60" s="121">
        <v>4</v>
      </c>
      <c r="B60" s="129" t="s">
        <v>404</v>
      </c>
      <c r="C60" s="16" t="s">
        <v>73</v>
      </c>
      <c r="D60" s="122">
        <v>5</v>
      </c>
      <c r="E60" s="124">
        <v>20.3</v>
      </c>
      <c r="F60" s="125">
        <f t="shared" si="3"/>
        <v>6.4649681528662422</v>
      </c>
      <c r="G60" s="126"/>
      <c r="H60" s="126"/>
      <c r="I60" s="51">
        <f>AVERAGE(0.58,0.66)</f>
        <v>0.62</v>
      </c>
      <c r="J60" s="127">
        <f t="shared" si="4"/>
        <v>9.7171267313075571</v>
      </c>
      <c r="K60" s="128">
        <f t="shared" si="5"/>
        <v>7.7590700073914585</v>
      </c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</row>
    <row r="61" spans="1:24">
      <c r="A61" s="121">
        <v>4</v>
      </c>
      <c r="B61" s="122" t="s">
        <v>439</v>
      </c>
      <c r="C61" s="16" t="s">
        <v>366</v>
      </c>
      <c r="D61" s="122">
        <v>5.5</v>
      </c>
      <c r="E61" s="124">
        <v>19.3</v>
      </c>
      <c r="F61" s="125">
        <f t="shared" si="3"/>
        <v>6.1464968152866239</v>
      </c>
      <c r="G61" s="126"/>
      <c r="H61" s="126"/>
      <c r="I61" s="131">
        <v>0.375</v>
      </c>
      <c r="J61" s="127">
        <f t="shared" si="4"/>
        <v>9.7129538946813252</v>
      </c>
      <c r="K61" s="128">
        <f t="shared" si="5"/>
        <v>4.7235091461245196</v>
      </c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</row>
    <row r="62" spans="1:24">
      <c r="A62" s="121">
        <v>4</v>
      </c>
      <c r="B62" s="129" t="s">
        <v>439</v>
      </c>
      <c r="C62" s="16" t="s">
        <v>366</v>
      </c>
      <c r="D62" s="129">
        <v>4.5</v>
      </c>
      <c r="E62" s="125">
        <f>SUM(14.3+11.5)</f>
        <v>25.8</v>
      </c>
      <c r="F62" s="125">
        <f t="shared" si="3"/>
        <v>8.2165605095541405</v>
      </c>
      <c r="G62" s="126"/>
      <c r="H62" s="126"/>
      <c r="I62" s="131">
        <v>0.375</v>
      </c>
      <c r="J62" s="127">
        <f t="shared" si="4"/>
        <v>10.049011899062842</v>
      </c>
      <c r="K62" s="128">
        <f t="shared" si="5"/>
        <v>6.8435270463320732</v>
      </c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</row>
    <row r="63" spans="1:24">
      <c r="A63" s="121">
        <v>4</v>
      </c>
      <c r="B63" s="129" t="s">
        <v>344</v>
      </c>
      <c r="C63" s="16" t="s">
        <v>127</v>
      </c>
      <c r="D63" s="122">
        <v>8</v>
      </c>
      <c r="E63" s="124">
        <v>46.3</v>
      </c>
      <c r="F63" s="125">
        <f t="shared" si="3"/>
        <v>14.745222929936304</v>
      </c>
      <c r="G63" s="126"/>
      <c r="H63" s="126"/>
      <c r="I63" s="51">
        <v>0.53</v>
      </c>
      <c r="J63" s="127">
        <f t="shared" si="4"/>
        <v>15.073504779098542</v>
      </c>
      <c r="K63" s="128">
        <f t="shared" si="5"/>
        <v>52.666148782053099</v>
      </c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</row>
    <row r="64" spans="1:24">
      <c r="A64" s="121">
        <v>4</v>
      </c>
      <c r="B64" s="129" t="s">
        <v>394</v>
      </c>
      <c r="C64" s="123" t="s">
        <v>29</v>
      </c>
      <c r="D64" s="129">
        <v>5</v>
      </c>
      <c r="E64" s="125">
        <f>SUM(17.5+15.3)</f>
        <v>32.799999999999997</v>
      </c>
      <c r="F64" s="125">
        <f t="shared" si="3"/>
        <v>10.445859872611464</v>
      </c>
      <c r="G64" s="126"/>
      <c r="H64" s="126"/>
      <c r="I64" s="51">
        <v>0.8</v>
      </c>
      <c r="J64" s="127">
        <f t="shared" si="4"/>
        <v>10.895229798369101</v>
      </c>
      <c r="K64" s="128">
        <f t="shared" si="5"/>
        <v>25.386608503439639</v>
      </c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</row>
    <row r="65" spans="1:24">
      <c r="A65" s="121">
        <v>4</v>
      </c>
      <c r="B65" s="129" t="s">
        <v>391</v>
      </c>
      <c r="C65" s="151" t="s">
        <v>91</v>
      </c>
      <c r="D65" s="129">
        <v>6</v>
      </c>
      <c r="E65" s="125">
        <v>32.299999999999997</v>
      </c>
      <c r="F65" s="125">
        <f t="shared" si="3"/>
        <v>10.286624203821654</v>
      </c>
      <c r="G65" s="126"/>
      <c r="H65" s="126"/>
      <c r="I65" s="51">
        <v>0.48</v>
      </c>
      <c r="J65" s="127">
        <f t="shared" si="4"/>
        <v>11.207807387723639</v>
      </c>
      <c r="K65" s="128">
        <f t="shared" si="5"/>
        <v>17.878817151494822</v>
      </c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</row>
    <row r="66" spans="1:24">
      <c r="A66" s="121">
        <v>4</v>
      </c>
      <c r="B66" s="129" t="s">
        <v>391</v>
      </c>
      <c r="C66" s="151" t="s">
        <v>91</v>
      </c>
      <c r="D66" s="122">
        <v>5</v>
      </c>
      <c r="E66" s="125">
        <v>29.5</v>
      </c>
      <c r="F66" s="125">
        <f t="shared" si="3"/>
        <v>9.3949044585987256</v>
      </c>
      <c r="G66" s="126"/>
      <c r="H66" s="126"/>
      <c r="I66" s="51">
        <v>0.48</v>
      </c>
      <c r="J66" s="127">
        <f t="shared" si="4"/>
        <v>10.530324021258469</v>
      </c>
      <c r="K66" s="128">
        <f t="shared" si="5"/>
        <v>12.53681272117108</v>
      </c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</row>
    <row r="67" spans="1:24">
      <c r="A67" s="121">
        <v>4</v>
      </c>
      <c r="B67" s="129" t="s">
        <v>391</v>
      </c>
      <c r="C67" s="151" t="s">
        <v>91</v>
      </c>
      <c r="D67" s="122">
        <v>6.5</v>
      </c>
      <c r="E67" s="124">
        <v>15.3</v>
      </c>
      <c r="F67" s="125">
        <f t="shared" si="3"/>
        <v>4.8726114649681529</v>
      </c>
      <c r="G67" s="126"/>
      <c r="H67" s="126"/>
      <c r="I67" s="51">
        <v>0.48</v>
      </c>
      <c r="J67" s="127">
        <f t="shared" si="4"/>
        <v>9.5258382916142637</v>
      </c>
      <c r="K67" s="128">
        <f t="shared" si="5"/>
        <v>4.4959445666594604</v>
      </c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</row>
    <row r="68" spans="1:24">
      <c r="A68" s="121">
        <v>4</v>
      </c>
      <c r="B68" s="129" t="s">
        <v>391</v>
      </c>
      <c r="C68" s="151" t="s">
        <v>91</v>
      </c>
      <c r="D68" s="122">
        <v>5</v>
      </c>
      <c r="E68" s="124">
        <v>23.3</v>
      </c>
      <c r="F68" s="125">
        <f t="shared" ref="F68:F86" si="6">E68/3.14</f>
        <v>7.4203821656050959</v>
      </c>
      <c r="G68" s="126"/>
      <c r="H68" s="126"/>
      <c r="I68" s="51">
        <v>0.48</v>
      </c>
      <c r="J68" s="127">
        <f t="shared" ref="J68:J86" si="7">8.9857+0.0035*(F68)^2*(D68)</f>
        <v>9.949286250963528</v>
      </c>
      <c r="K68" s="128">
        <f t="shared" ref="K68:K86" si="8">0.0673*(I68*F68^2*D68)^0.976</f>
        <v>7.9099423991001174</v>
      </c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</row>
    <row r="69" spans="1:24">
      <c r="A69" s="121">
        <v>4</v>
      </c>
      <c r="B69" s="129" t="s">
        <v>391</v>
      </c>
      <c r="C69" s="151" t="s">
        <v>91</v>
      </c>
      <c r="D69" s="122">
        <v>7</v>
      </c>
      <c r="E69" s="124">
        <v>46.3</v>
      </c>
      <c r="F69" s="125">
        <f t="shared" si="6"/>
        <v>14.745222929936304</v>
      </c>
      <c r="G69" s="126"/>
      <c r="H69" s="126"/>
      <c r="I69" s="51">
        <v>0.48</v>
      </c>
      <c r="J69" s="127">
        <f t="shared" si="7"/>
        <v>14.312529181711223</v>
      </c>
      <c r="K69" s="128">
        <f t="shared" si="8"/>
        <v>41.969096543801356</v>
      </c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</row>
    <row r="70" spans="1:24">
      <c r="A70" s="121">
        <v>5</v>
      </c>
      <c r="B70" s="122" t="s">
        <v>318</v>
      </c>
      <c r="C70" s="16" t="s">
        <v>180</v>
      </c>
      <c r="D70" s="122">
        <v>6</v>
      </c>
      <c r="E70" s="124">
        <v>26.3</v>
      </c>
      <c r="F70" s="125">
        <f t="shared" si="6"/>
        <v>8.3757961783439487</v>
      </c>
      <c r="G70" s="126"/>
      <c r="H70" s="126"/>
      <c r="I70" s="122">
        <v>0.41</v>
      </c>
      <c r="J70" s="127">
        <f t="shared" si="7"/>
        <v>10.458933194044382</v>
      </c>
      <c r="K70" s="128">
        <f t="shared" si="8"/>
        <v>10.263953522078275</v>
      </c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</row>
    <row r="71" spans="1:24">
      <c r="A71" s="121">
        <v>5</v>
      </c>
      <c r="B71" s="122" t="s">
        <v>318</v>
      </c>
      <c r="C71" s="16" t="s">
        <v>180</v>
      </c>
      <c r="D71" s="122">
        <v>6.5</v>
      </c>
      <c r="E71" s="124">
        <v>22.5</v>
      </c>
      <c r="F71" s="125">
        <f t="shared" si="6"/>
        <v>7.1656050955414008</v>
      </c>
      <c r="G71" s="126"/>
      <c r="H71" s="126"/>
      <c r="I71" s="122">
        <v>0.41</v>
      </c>
      <c r="J71" s="127">
        <f t="shared" si="7"/>
        <v>10.153819142764412</v>
      </c>
      <c r="K71" s="128">
        <f t="shared" si="8"/>
        <v>8.1836895653969037</v>
      </c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</row>
    <row r="72" spans="1:24">
      <c r="A72" s="121">
        <v>5</v>
      </c>
      <c r="B72" s="122" t="s">
        <v>128</v>
      </c>
      <c r="C72" s="123" t="s">
        <v>129</v>
      </c>
      <c r="D72" s="122">
        <v>6</v>
      </c>
      <c r="E72" s="124">
        <v>16.5</v>
      </c>
      <c r="F72" s="125">
        <f t="shared" si="6"/>
        <v>5.2547770700636942</v>
      </c>
      <c r="G72" s="126"/>
      <c r="H72" s="126"/>
      <c r="I72" s="51">
        <f>AVERAGE(0.25,0.41)</f>
        <v>0.32999999999999996</v>
      </c>
      <c r="J72" s="127">
        <f t="shared" si="7"/>
        <v>9.5655663231774106</v>
      </c>
      <c r="K72" s="128">
        <f t="shared" si="8"/>
        <v>3.3425835842467402</v>
      </c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</row>
    <row r="73" spans="1:24">
      <c r="A73" s="121">
        <v>5</v>
      </c>
      <c r="B73" s="122" t="s">
        <v>416</v>
      </c>
      <c r="C73" s="123" t="s">
        <v>417</v>
      </c>
      <c r="D73" s="122">
        <v>10</v>
      </c>
      <c r="E73" s="124">
        <v>66.400000000000006</v>
      </c>
      <c r="F73" s="125">
        <f t="shared" si="6"/>
        <v>21.146496815286625</v>
      </c>
      <c r="G73" s="126"/>
      <c r="H73" s="126"/>
      <c r="I73" s="51">
        <f>AVERAGE(0.64,0.86)</f>
        <v>0.75</v>
      </c>
      <c r="J73" s="127">
        <f t="shared" si="7"/>
        <v>24.63680146456246</v>
      </c>
      <c r="K73" s="128">
        <f t="shared" si="8"/>
        <v>185.75489846472297</v>
      </c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</row>
    <row r="74" spans="1:24">
      <c r="A74" s="121">
        <v>5</v>
      </c>
      <c r="B74" s="129" t="s">
        <v>160</v>
      </c>
      <c r="C74" s="16" t="s">
        <v>242</v>
      </c>
      <c r="D74" s="122">
        <v>3</v>
      </c>
      <c r="E74" s="124">
        <f>SUM(8.5+10.9)</f>
        <v>19.399999999999999</v>
      </c>
      <c r="F74" s="125">
        <f t="shared" si="6"/>
        <v>6.1783439490445851</v>
      </c>
      <c r="G74" s="126"/>
      <c r="H74" s="126"/>
      <c r="I74" s="51">
        <f>AVERAGE(0.5,0.68)</f>
        <v>0.59000000000000008</v>
      </c>
      <c r="J74" s="127">
        <f t="shared" si="7"/>
        <v>9.3865053065033059</v>
      </c>
      <c r="K74" s="128">
        <f t="shared" si="8"/>
        <v>4.1097866396195117</v>
      </c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</row>
    <row r="75" spans="1:24">
      <c r="A75" s="121">
        <v>5</v>
      </c>
      <c r="B75" s="122" t="s">
        <v>160</v>
      </c>
      <c r="C75" s="16" t="s">
        <v>242</v>
      </c>
      <c r="D75" s="122">
        <v>4</v>
      </c>
      <c r="E75" s="124">
        <f>SUM(12.3+13.2)</f>
        <v>25.5</v>
      </c>
      <c r="F75" s="125">
        <f t="shared" si="6"/>
        <v>8.1210191082802545</v>
      </c>
      <c r="G75" s="126"/>
      <c r="H75" s="126"/>
      <c r="I75" s="51">
        <f>AVERAGE(0.5,0.68)</f>
        <v>0.59000000000000008</v>
      </c>
      <c r="J75" s="127">
        <f t="shared" si="7"/>
        <v>9.9090133189987419</v>
      </c>
      <c r="K75" s="128">
        <f t="shared" si="8"/>
        <v>9.2797641446680448</v>
      </c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</row>
    <row r="76" spans="1:24">
      <c r="A76" s="121">
        <v>5</v>
      </c>
      <c r="B76" s="129" t="s">
        <v>344</v>
      </c>
      <c r="C76" s="16" t="s">
        <v>127</v>
      </c>
      <c r="D76" s="122">
        <v>11</v>
      </c>
      <c r="E76" s="124">
        <f>SUM(51.2+36.4)</f>
        <v>87.6</v>
      </c>
      <c r="F76" s="125">
        <f t="shared" si="6"/>
        <v>27.898089171974519</v>
      </c>
      <c r="G76" s="126"/>
      <c r="H76" s="126"/>
      <c r="I76" s="51">
        <v>0.53</v>
      </c>
      <c r="J76" s="127">
        <f t="shared" si="7"/>
        <v>38.950380108726513</v>
      </c>
      <c r="K76" s="128">
        <f t="shared" si="8"/>
        <v>249.4990612255757</v>
      </c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</row>
    <row r="77" spans="1:24">
      <c r="A77" s="121">
        <v>5</v>
      </c>
      <c r="B77" s="129" t="s">
        <v>344</v>
      </c>
      <c r="C77" s="16" t="s">
        <v>127</v>
      </c>
      <c r="D77" s="122">
        <v>7</v>
      </c>
      <c r="E77" s="124">
        <v>36.6</v>
      </c>
      <c r="F77" s="125">
        <f t="shared" si="6"/>
        <v>11.656050955414013</v>
      </c>
      <c r="G77" s="126"/>
      <c r="H77" s="126"/>
      <c r="I77" s="51">
        <v>0.53</v>
      </c>
      <c r="J77" s="127">
        <f t="shared" si="7"/>
        <v>12.314356334942595</v>
      </c>
      <c r="K77" s="128">
        <f t="shared" si="8"/>
        <v>29.216783719994236</v>
      </c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</row>
    <row r="78" spans="1:24">
      <c r="A78" s="121">
        <v>5</v>
      </c>
      <c r="B78" s="129" t="s">
        <v>344</v>
      </c>
      <c r="C78" s="16" t="s">
        <v>127</v>
      </c>
      <c r="D78" s="122">
        <v>8</v>
      </c>
      <c r="E78" s="124">
        <f>SUM(41.3+31.6)</f>
        <v>72.900000000000006</v>
      </c>
      <c r="F78" s="125">
        <f t="shared" si="6"/>
        <v>23.216560509554142</v>
      </c>
      <c r="G78" s="126"/>
      <c r="H78" s="126"/>
      <c r="I78" s="51">
        <v>0.53</v>
      </c>
      <c r="J78" s="127">
        <f t="shared" si="7"/>
        <v>24.077943093026089</v>
      </c>
      <c r="K78" s="128">
        <f t="shared" si="8"/>
        <v>127.75020405256956</v>
      </c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</row>
    <row r="79" spans="1:24">
      <c r="A79" s="121">
        <v>5</v>
      </c>
      <c r="B79" s="129" t="s">
        <v>344</v>
      </c>
      <c r="C79" s="16" t="s">
        <v>127</v>
      </c>
      <c r="D79" s="122">
        <v>7.5</v>
      </c>
      <c r="E79" s="124">
        <f>SUM(31.2+24.4+23.2+28.4+34.3)</f>
        <v>141.5</v>
      </c>
      <c r="F79" s="125">
        <f t="shared" si="6"/>
        <v>45.06369426751592</v>
      </c>
      <c r="G79" s="126"/>
      <c r="H79" s="126"/>
      <c r="I79" s="51">
        <v>0.53</v>
      </c>
      <c r="J79" s="127">
        <f t="shared" si="7"/>
        <v>62.292534202198866</v>
      </c>
      <c r="K79" s="128">
        <f t="shared" si="8"/>
        <v>437.76194327724426</v>
      </c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</row>
    <row r="80" spans="1:24">
      <c r="A80" s="121">
        <v>5</v>
      </c>
      <c r="B80" s="129" t="s">
        <v>344</v>
      </c>
      <c r="C80" s="16" t="s">
        <v>127</v>
      </c>
      <c r="D80" s="122">
        <v>7.5</v>
      </c>
      <c r="E80" s="124">
        <f>SUM(42.2+43.3)</f>
        <v>85.5</v>
      </c>
      <c r="F80" s="125">
        <f t="shared" si="6"/>
        <v>27.229299363057322</v>
      </c>
      <c r="G80" s="126"/>
      <c r="H80" s="126"/>
      <c r="I80" s="51">
        <v>0.53</v>
      </c>
      <c r="J80" s="127">
        <f t="shared" si="7"/>
        <v>28.44836202482859</v>
      </c>
      <c r="K80" s="128">
        <f t="shared" si="8"/>
        <v>163.74169770900502</v>
      </c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</row>
    <row r="81" spans="1:24">
      <c r="A81" s="121">
        <v>5</v>
      </c>
      <c r="B81" s="122" t="s">
        <v>344</v>
      </c>
      <c r="C81" s="16" t="s">
        <v>127</v>
      </c>
      <c r="D81" s="122">
        <v>8</v>
      </c>
      <c r="E81" s="124">
        <f>SUM(43.3+19.5)</f>
        <v>62.8</v>
      </c>
      <c r="F81" s="125">
        <f t="shared" si="6"/>
        <v>20</v>
      </c>
      <c r="G81" s="126"/>
      <c r="H81" s="126"/>
      <c r="I81" s="51">
        <v>0.53</v>
      </c>
      <c r="J81" s="127">
        <f t="shared" si="7"/>
        <v>20.185700000000001</v>
      </c>
      <c r="K81" s="128">
        <f t="shared" si="8"/>
        <v>95.484898722988206</v>
      </c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</row>
    <row r="82" spans="1:24">
      <c r="A82" s="121">
        <v>5</v>
      </c>
      <c r="B82" s="122" t="s">
        <v>344</v>
      </c>
      <c r="C82" s="16" t="s">
        <v>127</v>
      </c>
      <c r="D82" s="122">
        <v>7.5</v>
      </c>
      <c r="E82" s="124">
        <v>44.3</v>
      </c>
      <c r="F82" s="125">
        <f t="shared" si="6"/>
        <v>14.108280254777069</v>
      </c>
      <c r="G82" s="126"/>
      <c r="H82" s="126"/>
      <c r="I82" s="51">
        <v>0.53</v>
      </c>
      <c r="J82" s="127">
        <f t="shared" si="7"/>
        <v>14.210593758367478</v>
      </c>
      <c r="K82" s="128">
        <f t="shared" si="8"/>
        <v>45.367150957989487</v>
      </c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</row>
    <row r="83" spans="1:24">
      <c r="A83" s="121">
        <v>5</v>
      </c>
      <c r="B83" s="129" t="s">
        <v>394</v>
      </c>
      <c r="C83" s="123" t="s">
        <v>29</v>
      </c>
      <c r="D83" s="129">
        <v>4</v>
      </c>
      <c r="E83" s="125">
        <v>12.3</v>
      </c>
      <c r="F83" s="125">
        <f t="shared" si="6"/>
        <v>3.9171974522292996</v>
      </c>
      <c r="G83" s="126"/>
      <c r="H83" s="126"/>
      <c r="I83" s="51">
        <v>0.8</v>
      </c>
      <c r="J83" s="127">
        <f t="shared" si="7"/>
        <v>9.2005221023165245</v>
      </c>
      <c r="K83" s="128">
        <f t="shared" si="8"/>
        <v>3.009743932122328</v>
      </c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</row>
    <row r="84" spans="1:24">
      <c r="A84" s="121">
        <v>5</v>
      </c>
      <c r="B84" s="122" t="s">
        <v>336</v>
      </c>
      <c r="C84" s="16" t="s">
        <v>337</v>
      </c>
      <c r="D84" s="122">
        <v>6</v>
      </c>
      <c r="E84" s="124">
        <v>21.6</v>
      </c>
      <c r="F84" s="125">
        <f t="shared" si="6"/>
        <v>6.8789808917197455</v>
      </c>
      <c r="G84" s="126"/>
      <c r="H84" s="126"/>
      <c r="I84" s="51">
        <v>0.46800000000000003</v>
      </c>
      <c r="J84" s="127">
        <f t="shared" si="7"/>
        <v>9.9794279402815533</v>
      </c>
      <c r="K84" s="128">
        <f t="shared" si="8"/>
        <v>7.9523902908817687</v>
      </c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</row>
    <row r="85" spans="1:24">
      <c r="A85" s="121">
        <v>5</v>
      </c>
      <c r="B85" s="122" t="s">
        <v>399</v>
      </c>
      <c r="C85" s="16" t="s">
        <v>267</v>
      </c>
      <c r="D85" s="122">
        <v>6</v>
      </c>
      <c r="E85" s="124">
        <v>25.3</v>
      </c>
      <c r="F85" s="125">
        <f t="shared" si="6"/>
        <v>8.0573248407643305</v>
      </c>
      <c r="G85" s="126"/>
      <c r="H85" s="126"/>
      <c r="I85" s="51">
        <f>AVERAGE(0.75,
0.8)</f>
        <v>0.77500000000000002</v>
      </c>
      <c r="J85" s="127">
        <f t="shared" si="7"/>
        <v>10.349030155381557</v>
      </c>
      <c r="K85" s="128">
        <f t="shared" si="8"/>
        <v>17.714697088624547</v>
      </c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</row>
    <row r="86" spans="1:24">
      <c r="A86" s="121">
        <v>5</v>
      </c>
      <c r="B86" s="129" t="s">
        <v>437</v>
      </c>
      <c r="C86" s="150"/>
      <c r="D86" s="122">
        <v>5.5</v>
      </c>
      <c r="E86" s="124">
        <v>27.2</v>
      </c>
      <c r="F86" s="125">
        <f t="shared" si="6"/>
        <v>8.6624203821656049</v>
      </c>
      <c r="G86" s="126"/>
      <c r="H86" s="126"/>
      <c r="I86" s="126"/>
      <c r="J86" s="127">
        <f t="shared" si="7"/>
        <v>10.430172392389142</v>
      </c>
      <c r="K86" s="128">
        <f t="shared" si="8"/>
        <v>0</v>
      </c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</row>
    <row r="87" spans="1:24">
      <c r="A87" s="109"/>
      <c r="B87" s="143"/>
      <c r="C87" s="144"/>
      <c r="D87" s="109"/>
      <c r="E87" s="110"/>
      <c r="F87" s="110"/>
      <c r="G87" s="109"/>
      <c r="H87" s="109"/>
      <c r="I87" s="109"/>
      <c r="J87" s="142"/>
      <c r="K87" s="111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</row>
    <row r="88" spans="1:24">
      <c r="A88" s="109"/>
      <c r="B88" s="143"/>
      <c r="C88" s="144"/>
      <c r="D88" s="109"/>
      <c r="E88" s="110"/>
      <c r="F88" s="110"/>
      <c r="G88" s="109"/>
      <c r="H88" s="109"/>
      <c r="I88" s="109"/>
      <c r="J88" s="142"/>
      <c r="K88" s="111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</row>
    <row r="89" spans="1:24">
      <c r="A89" s="109"/>
      <c r="B89" s="143"/>
      <c r="C89" s="144"/>
      <c r="D89" s="109"/>
      <c r="E89" s="110"/>
      <c r="F89" s="110"/>
      <c r="G89" s="109"/>
      <c r="H89" s="109"/>
      <c r="I89" s="109"/>
      <c r="J89" s="142"/>
      <c r="K89" s="111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</row>
    <row r="90" spans="1:24">
      <c r="A90" s="109"/>
      <c r="B90" s="143"/>
      <c r="C90" s="144"/>
      <c r="D90" s="109"/>
      <c r="E90" s="110"/>
      <c r="F90" s="110"/>
      <c r="G90" s="109"/>
      <c r="H90" s="109"/>
      <c r="I90" s="109"/>
      <c r="J90" s="142"/>
      <c r="K90" s="142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</row>
    <row r="91" spans="1:24">
      <c r="A91" s="109"/>
      <c r="B91" s="143"/>
      <c r="C91" s="144"/>
      <c r="D91" s="109"/>
      <c r="E91" s="110"/>
      <c r="F91" s="110"/>
      <c r="G91" s="109"/>
      <c r="H91" s="109"/>
      <c r="I91" s="109"/>
      <c r="J91" s="142"/>
      <c r="K91" s="111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</row>
    <row r="92" spans="1:24">
      <c r="A92" s="109"/>
      <c r="B92" s="143"/>
      <c r="C92" s="144"/>
      <c r="D92" s="109"/>
      <c r="E92" s="110"/>
      <c r="F92" s="110"/>
      <c r="G92" s="109"/>
      <c r="H92" s="109"/>
      <c r="I92" s="109"/>
      <c r="J92" s="142"/>
      <c r="K92" s="111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</row>
    <row r="93" spans="1:24">
      <c r="A93" s="109"/>
      <c r="B93" s="143"/>
      <c r="C93" s="144"/>
      <c r="D93" s="109"/>
      <c r="E93" s="110"/>
      <c r="F93" s="110"/>
      <c r="G93" s="109"/>
      <c r="H93" s="109"/>
      <c r="I93" s="109"/>
      <c r="J93" s="142"/>
      <c r="K93" s="111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</row>
    <row r="94" spans="1:24">
      <c r="A94" s="109"/>
      <c r="B94" s="143"/>
      <c r="C94" s="144"/>
      <c r="D94" s="109"/>
      <c r="E94" s="110"/>
      <c r="F94" s="110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</row>
    <row r="95" spans="1:24">
      <c r="A95" s="109"/>
      <c r="B95" s="143"/>
      <c r="C95" s="144"/>
      <c r="D95" s="109"/>
      <c r="E95" s="110"/>
      <c r="F95" s="110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</row>
    <row r="96" spans="1:24">
      <c r="A96" s="109"/>
      <c r="B96" s="143"/>
      <c r="C96" s="144"/>
      <c r="D96" s="109"/>
      <c r="E96" s="110"/>
      <c r="F96" s="110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</row>
    <row r="97" spans="1:24">
      <c r="A97" s="109"/>
      <c r="B97" s="143"/>
      <c r="C97" s="144"/>
      <c r="D97" s="109"/>
      <c r="E97" s="110"/>
      <c r="F97" s="110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</row>
    <row r="98" spans="1:24">
      <c r="A98" s="109"/>
      <c r="B98" s="143"/>
      <c r="C98" s="144"/>
      <c r="D98" s="109"/>
      <c r="E98" s="110"/>
      <c r="F98" s="110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</row>
    <row r="99" spans="1:24">
      <c r="A99" s="109"/>
      <c r="B99" s="143"/>
      <c r="C99" s="144"/>
      <c r="D99" s="109"/>
      <c r="E99" s="110"/>
      <c r="F99" s="110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</row>
    <row r="100" spans="1:24">
      <c r="A100" s="109"/>
      <c r="B100" s="143"/>
      <c r="C100" s="144"/>
      <c r="D100" s="109"/>
      <c r="E100" s="110"/>
      <c r="F100" s="110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</row>
    <row r="101" spans="1:24">
      <c r="A101" s="109"/>
      <c r="B101" s="143"/>
      <c r="C101" s="144"/>
      <c r="D101" s="109"/>
      <c r="E101" s="110"/>
      <c r="F101" s="110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</row>
    <row r="102" spans="1:24">
      <c r="A102" s="109"/>
      <c r="B102" s="143"/>
      <c r="C102" s="144"/>
      <c r="D102" s="109"/>
      <c r="E102" s="110"/>
      <c r="F102" s="110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</row>
    <row r="103" spans="1:24">
      <c r="A103" s="109"/>
      <c r="B103" s="143"/>
      <c r="C103" s="144"/>
      <c r="D103" s="109"/>
      <c r="E103" s="110"/>
      <c r="F103" s="110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</row>
    <row r="104" spans="1:24">
      <c r="A104" s="109"/>
      <c r="B104" s="143"/>
      <c r="C104" s="144"/>
      <c r="D104" s="109"/>
      <c r="E104" s="110"/>
      <c r="F104" s="110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</row>
    <row r="105" spans="1:24">
      <c r="A105" s="109"/>
      <c r="B105" s="143"/>
      <c r="C105" s="144"/>
      <c r="D105" s="109"/>
      <c r="E105" s="110"/>
      <c r="F105" s="110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</row>
    <row r="106" spans="1:24">
      <c r="A106" s="109"/>
      <c r="B106" s="143"/>
      <c r="C106" s="144"/>
      <c r="D106" s="109"/>
      <c r="E106" s="110"/>
      <c r="F106" s="110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</row>
    <row r="107" spans="1:24">
      <c r="A107" s="109"/>
      <c r="B107" s="143"/>
      <c r="C107" s="144"/>
      <c r="D107" s="109"/>
      <c r="E107" s="110"/>
      <c r="F107" s="110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</row>
    <row r="108" spans="1:24">
      <c r="A108" s="109"/>
      <c r="B108" s="143"/>
      <c r="C108" s="144"/>
      <c r="D108" s="109"/>
      <c r="E108" s="110"/>
      <c r="F108" s="110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</row>
    <row r="109" spans="1:24">
      <c r="A109" s="109"/>
      <c r="B109" s="143"/>
      <c r="C109" s="144"/>
      <c r="D109" s="109"/>
      <c r="E109" s="110"/>
      <c r="F109" s="110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</row>
    <row r="110" spans="1:24">
      <c r="A110" s="109"/>
      <c r="B110" s="143"/>
      <c r="C110" s="144"/>
      <c r="D110" s="109"/>
      <c r="E110" s="110"/>
      <c r="F110" s="110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</row>
    <row r="111" spans="1:24">
      <c r="A111" s="109"/>
      <c r="B111" s="143"/>
      <c r="C111" s="144"/>
      <c r="D111" s="109"/>
      <c r="E111" s="110"/>
      <c r="F111" s="110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</row>
    <row r="112" spans="1:24">
      <c r="A112" s="109"/>
      <c r="B112" s="143"/>
      <c r="C112" s="144"/>
      <c r="D112" s="109"/>
      <c r="E112" s="110"/>
      <c r="F112" s="110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</row>
    <row r="113" spans="1:24">
      <c r="A113" s="109"/>
      <c r="B113" s="143"/>
      <c r="C113" s="144"/>
      <c r="D113" s="109"/>
      <c r="E113" s="110"/>
      <c r="F113" s="110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</row>
    <row r="114" spans="1:24">
      <c r="A114" s="109"/>
      <c r="B114" s="143"/>
      <c r="C114" s="144"/>
      <c r="D114" s="109"/>
      <c r="E114" s="110"/>
      <c r="F114" s="110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</row>
    <row r="115" spans="1:24">
      <c r="A115" s="109"/>
      <c r="B115" s="143"/>
      <c r="C115" s="144"/>
      <c r="D115" s="109"/>
      <c r="E115" s="110"/>
      <c r="F115" s="110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</row>
    <row r="116" spans="1:24">
      <c r="A116" s="109"/>
      <c r="B116" s="143"/>
      <c r="C116" s="144"/>
      <c r="D116" s="109"/>
      <c r="E116" s="110"/>
      <c r="F116" s="110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</row>
    <row r="117" spans="1:24">
      <c r="A117" s="109"/>
      <c r="B117" s="143"/>
      <c r="C117" s="144"/>
      <c r="D117" s="109"/>
      <c r="E117" s="110"/>
      <c r="F117" s="110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</row>
    <row r="118" spans="1:24">
      <c r="A118" s="109"/>
      <c r="B118" s="143"/>
      <c r="C118" s="144"/>
      <c r="D118" s="109"/>
      <c r="E118" s="110"/>
      <c r="F118" s="110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</row>
    <row r="119" spans="1:24">
      <c r="A119" s="109"/>
      <c r="B119" s="143"/>
      <c r="C119" s="144"/>
      <c r="D119" s="109"/>
      <c r="E119" s="110"/>
      <c r="F119" s="110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</row>
    <row r="120" spans="1:24">
      <c r="A120" s="109"/>
      <c r="B120" s="143"/>
      <c r="C120" s="144"/>
      <c r="D120" s="109"/>
      <c r="E120" s="110"/>
      <c r="F120" s="110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</row>
    <row r="121" spans="1:24">
      <c r="A121" s="109"/>
      <c r="B121" s="143"/>
      <c r="C121" s="144"/>
      <c r="D121" s="109"/>
      <c r="E121" s="110"/>
      <c r="F121" s="110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</row>
    <row r="122" spans="1:24">
      <c r="A122" s="109"/>
      <c r="B122" s="143"/>
      <c r="C122" s="144"/>
      <c r="D122" s="109"/>
      <c r="E122" s="110"/>
      <c r="F122" s="110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</row>
    <row r="123" spans="1:24">
      <c r="A123" s="109"/>
      <c r="B123" s="143"/>
      <c r="C123" s="144"/>
      <c r="D123" s="109"/>
      <c r="E123" s="110"/>
      <c r="F123" s="110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</row>
    <row r="124" spans="1:24">
      <c r="A124" s="109"/>
      <c r="B124" s="143"/>
      <c r="C124" s="144"/>
      <c r="D124" s="109"/>
      <c r="E124" s="110"/>
      <c r="F124" s="110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</row>
    <row r="125" spans="1:24">
      <c r="A125" s="109"/>
      <c r="B125" s="143"/>
      <c r="C125" s="144"/>
      <c r="D125" s="109"/>
      <c r="E125" s="110"/>
      <c r="F125" s="110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</row>
    <row r="126" spans="1:24">
      <c r="A126" s="109"/>
      <c r="B126" s="143"/>
      <c r="C126" s="144"/>
      <c r="D126" s="109"/>
      <c r="E126" s="110"/>
      <c r="F126" s="110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</row>
    <row r="127" spans="1:24">
      <c r="A127" s="109"/>
      <c r="B127" s="143"/>
      <c r="C127" s="144"/>
      <c r="D127" s="109"/>
      <c r="E127" s="110"/>
      <c r="F127" s="110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</row>
    <row r="128" spans="1:24">
      <c r="A128" s="109"/>
      <c r="B128" s="143"/>
      <c r="C128" s="144"/>
      <c r="D128" s="109"/>
      <c r="E128" s="110"/>
      <c r="F128" s="110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</row>
    <row r="129" spans="1:24">
      <c r="A129" s="109"/>
      <c r="B129" s="143"/>
      <c r="C129" s="144"/>
      <c r="D129" s="109"/>
      <c r="E129" s="110"/>
      <c r="F129" s="110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</row>
    <row r="130" spans="1:24">
      <c r="A130" s="109"/>
      <c r="B130" s="143"/>
      <c r="C130" s="144"/>
      <c r="D130" s="109"/>
      <c r="E130" s="110"/>
      <c r="F130" s="110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</row>
    <row r="131" spans="1:24">
      <c r="A131" s="109"/>
      <c r="B131" s="143"/>
      <c r="C131" s="144"/>
      <c r="D131" s="109"/>
      <c r="E131" s="110"/>
      <c r="F131" s="110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</row>
    <row r="132" spans="1:24">
      <c r="A132" s="109"/>
      <c r="B132" s="143"/>
      <c r="C132" s="144"/>
      <c r="D132" s="109"/>
      <c r="E132" s="110"/>
      <c r="F132" s="110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</row>
    <row r="133" spans="1:24">
      <c r="A133" s="109"/>
      <c r="B133" s="143"/>
      <c r="C133" s="144"/>
      <c r="D133" s="109"/>
      <c r="E133" s="110"/>
      <c r="F133" s="110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</row>
    <row r="134" spans="1:24">
      <c r="A134" s="109"/>
      <c r="B134" s="143"/>
      <c r="C134" s="144"/>
      <c r="D134" s="109"/>
      <c r="E134" s="110"/>
      <c r="F134" s="110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</row>
    <row r="135" spans="1:24">
      <c r="A135" s="109"/>
      <c r="B135" s="143"/>
      <c r="C135" s="144"/>
      <c r="D135" s="109"/>
      <c r="E135" s="110"/>
      <c r="F135" s="110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</row>
    <row r="136" spans="1:24">
      <c r="A136" s="109"/>
      <c r="B136" s="143"/>
      <c r="C136" s="144"/>
      <c r="D136" s="109"/>
      <c r="E136" s="110"/>
      <c r="F136" s="110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</row>
    <row r="137" spans="1:24">
      <c r="A137" s="109"/>
      <c r="B137" s="143"/>
      <c r="C137" s="144"/>
      <c r="D137" s="109"/>
      <c r="E137" s="110"/>
      <c r="F137" s="110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</row>
    <row r="138" spans="1:24">
      <c r="A138" s="109"/>
      <c r="B138" s="143"/>
      <c r="C138" s="144"/>
      <c r="D138" s="109"/>
      <c r="E138" s="110"/>
      <c r="F138" s="110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</row>
    <row r="139" spans="1:24">
      <c r="A139" s="109"/>
      <c r="B139" s="143"/>
      <c r="C139" s="144"/>
      <c r="D139" s="109"/>
      <c r="E139" s="110"/>
      <c r="F139" s="110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</row>
    <row r="140" spans="1:24">
      <c r="A140" s="109"/>
      <c r="B140" s="143"/>
      <c r="C140" s="144"/>
      <c r="D140" s="109"/>
      <c r="E140" s="110"/>
      <c r="F140" s="110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</row>
    <row r="141" spans="1:24">
      <c r="A141" s="109"/>
      <c r="B141" s="143"/>
      <c r="C141" s="144"/>
      <c r="D141" s="109"/>
      <c r="E141" s="110"/>
      <c r="F141" s="110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</row>
    <row r="142" spans="1:24">
      <c r="A142" s="109"/>
      <c r="B142" s="143"/>
      <c r="C142" s="144"/>
      <c r="D142" s="109"/>
      <c r="E142" s="110"/>
      <c r="F142" s="110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</row>
    <row r="143" spans="1:24">
      <c r="A143" s="109"/>
      <c r="B143" s="143"/>
      <c r="C143" s="144"/>
      <c r="D143" s="109"/>
      <c r="E143" s="110"/>
      <c r="F143" s="110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</row>
    <row r="144" spans="1:24">
      <c r="A144" s="109"/>
      <c r="B144" s="143"/>
      <c r="C144" s="144"/>
      <c r="D144" s="109"/>
      <c r="E144" s="110"/>
      <c r="F144" s="110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</row>
    <row r="145" spans="1:24">
      <c r="A145" s="109"/>
      <c r="B145" s="143"/>
      <c r="C145" s="144"/>
      <c r="D145" s="109"/>
      <c r="E145" s="110"/>
      <c r="F145" s="110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</row>
    <row r="146" spans="1:24">
      <c r="A146" s="109"/>
      <c r="B146" s="143"/>
      <c r="C146" s="144"/>
      <c r="D146" s="109"/>
      <c r="E146" s="110"/>
      <c r="F146" s="110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</row>
    <row r="147" spans="1:24">
      <c r="A147" s="109"/>
      <c r="B147" s="143"/>
      <c r="C147" s="144"/>
      <c r="D147" s="109"/>
      <c r="E147" s="110"/>
      <c r="F147" s="110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</row>
    <row r="148" spans="1:24">
      <c r="A148" s="109"/>
      <c r="B148" s="143"/>
      <c r="C148" s="144"/>
      <c r="D148" s="109"/>
      <c r="E148" s="110"/>
      <c r="F148" s="110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</row>
    <row r="149" spans="1:24">
      <c r="A149" s="109"/>
      <c r="B149" s="143"/>
      <c r="C149" s="144"/>
      <c r="D149" s="109"/>
      <c r="E149" s="110"/>
      <c r="F149" s="110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</row>
    <row r="150" spans="1:24">
      <c r="A150" s="109"/>
      <c r="B150" s="143"/>
      <c r="C150" s="144"/>
      <c r="D150" s="109"/>
      <c r="E150" s="110"/>
      <c r="F150" s="110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</row>
    <row r="151" spans="1:24">
      <c r="A151" s="109"/>
      <c r="B151" s="143"/>
      <c r="C151" s="144"/>
      <c r="D151" s="109"/>
      <c r="E151" s="110"/>
      <c r="F151" s="110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</row>
    <row r="152" spans="1:24">
      <c r="A152" s="109"/>
      <c r="B152" s="143"/>
      <c r="C152" s="144"/>
      <c r="D152" s="109"/>
      <c r="E152" s="110"/>
      <c r="F152" s="110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</row>
    <row r="153" spans="1:24">
      <c r="A153" s="109"/>
      <c r="B153" s="143"/>
      <c r="C153" s="144"/>
      <c r="D153" s="109"/>
      <c r="E153" s="110"/>
      <c r="F153" s="110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</row>
    <row r="154" spans="1:24">
      <c r="A154" s="109"/>
      <c r="B154" s="143"/>
      <c r="C154" s="144"/>
      <c r="D154" s="109"/>
      <c r="E154" s="110"/>
      <c r="F154" s="110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</row>
    <row r="155" spans="1:24">
      <c r="A155" s="109"/>
      <c r="B155" s="143"/>
      <c r="C155" s="144"/>
      <c r="D155" s="109"/>
      <c r="E155" s="110"/>
      <c r="F155" s="110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</row>
    <row r="156" spans="1:24">
      <c r="A156" s="109"/>
      <c r="B156" s="143"/>
      <c r="C156" s="144"/>
      <c r="D156" s="109"/>
      <c r="E156" s="110"/>
      <c r="F156" s="110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</row>
    <row r="157" spans="1:24">
      <c r="A157" s="109"/>
      <c r="B157" s="143"/>
      <c r="C157" s="144"/>
      <c r="D157" s="109"/>
      <c r="E157" s="110"/>
      <c r="F157" s="110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</row>
    <row r="158" spans="1:24">
      <c r="A158" s="109"/>
      <c r="B158" s="143"/>
      <c r="C158" s="144"/>
      <c r="D158" s="109"/>
      <c r="E158" s="110"/>
      <c r="F158" s="110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</row>
    <row r="159" spans="1:24">
      <c r="A159" s="109"/>
      <c r="B159" s="143"/>
      <c r="C159" s="144"/>
      <c r="D159" s="109"/>
      <c r="E159" s="110"/>
      <c r="F159" s="110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</row>
    <row r="160" spans="1:24">
      <c r="A160" s="109"/>
      <c r="B160" s="143"/>
      <c r="C160" s="144"/>
      <c r="D160" s="109"/>
      <c r="E160" s="110"/>
      <c r="F160" s="110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</row>
    <row r="161" spans="1:24">
      <c r="A161" s="109"/>
      <c r="B161" s="143"/>
      <c r="C161" s="144"/>
      <c r="D161" s="109"/>
      <c r="E161" s="110"/>
      <c r="F161" s="110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</row>
    <row r="162" spans="1:24">
      <c r="A162" s="109"/>
      <c r="B162" s="143"/>
      <c r="C162" s="144"/>
      <c r="D162" s="109"/>
      <c r="E162" s="110"/>
      <c r="F162" s="110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</row>
    <row r="163" spans="1:24">
      <c r="A163" s="109"/>
      <c r="B163" s="143"/>
      <c r="C163" s="144"/>
      <c r="D163" s="109"/>
      <c r="E163" s="110"/>
      <c r="F163" s="110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</row>
    <row r="164" spans="1:24">
      <c r="A164" s="109"/>
      <c r="B164" s="143"/>
      <c r="C164" s="144"/>
      <c r="D164" s="109"/>
      <c r="E164" s="110"/>
      <c r="F164" s="110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</row>
    <row r="165" spans="1:24">
      <c r="A165" s="109"/>
      <c r="B165" s="143"/>
      <c r="C165" s="144"/>
      <c r="D165" s="109"/>
      <c r="E165" s="110"/>
      <c r="F165" s="110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</row>
    <row r="166" spans="1:24">
      <c r="A166" s="109"/>
      <c r="B166" s="143"/>
      <c r="C166" s="144"/>
      <c r="D166" s="109"/>
      <c r="E166" s="110"/>
      <c r="F166" s="110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</row>
    <row r="167" spans="1:24">
      <c r="A167" s="109"/>
      <c r="B167" s="143"/>
      <c r="C167" s="144"/>
      <c r="D167" s="109"/>
      <c r="E167" s="110"/>
      <c r="F167" s="110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</row>
    <row r="168" spans="1:24">
      <c r="A168" s="109"/>
      <c r="B168" s="143"/>
      <c r="C168" s="144"/>
      <c r="D168" s="109"/>
      <c r="E168" s="110"/>
      <c r="F168" s="110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</row>
    <row r="169" spans="1:24">
      <c r="A169" s="109"/>
      <c r="B169" s="143"/>
      <c r="C169" s="144"/>
      <c r="D169" s="109"/>
      <c r="E169" s="110"/>
      <c r="F169" s="110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</row>
    <row r="170" spans="1:24">
      <c r="A170" s="109"/>
      <c r="B170" s="143"/>
      <c r="C170" s="144"/>
      <c r="D170" s="109"/>
      <c r="E170" s="110"/>
      <c r="F170" s="110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</row>
    <row r="171" spans="1:24">
      <c r="A171" s="109"/>
      <c r="B171" s="143"/>
      <c r="C171" s="144"/>
      <c r="D171" s="109"/>
      <c r="E171" s="110"/>
      <c r="F171" s="110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</row>
    <row r="172" spans="1:24">
      <c r="A172" s="109"/>
      <c r="B172" s="143"/>
      <c r="C172" s="144"/>
      <c r="D172" s="109"/>
      <c r="E172" s="110"/>
      <c r="F172" s="110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</row>
    <row r="173" spans="1:24">
      <c r="A173" s="109"/>
      <c r="B173" s="143"/>
      <c r="C173" s="144"/>
      <c r="D173" s="109"/>
      <c r="E173" s="110"/>
      <c r="F173" s="110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</row>
    <row r="174" spans="1:24">
      <c r="A174" s="109"/>
      <c r="B174" s="143"/>
      <c r="C174" s="144"/>
      <c r="D174" s="109"/>
      <c r="E174" s="110"/>
      <c r="F174" s="110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</row>
    <row r="175" spans="1:24">
      <c r="A175" s="109"/>
      <c r="B175" s="143"/>
      <c r="C175" s="144"/>
      <c r="D175" s="109"/>
      <c r="E175" s="110"/>
      <c r="F175" s="110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</row>
    <row r="176" spans="1:24">
      <c r="A176" s="109"/>
      <c r="B176" s="143"/>
      <c r="C176" s="144"/>
      <c r="D176" s="109"/>
      <c r="E176" s="110"/>
      <c r="F176" s="110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</row>
    <row r="177" spans="1:24">
      <c r="A177" s="109"/>
      <c r="B177" s="143"/>
      <c r="C177" s="144"/>
      <c r="D177" s="109"/>
      <c r="E177" s="110"/>
      <c r="F177" s="110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</row>
    <row r="178" spans="1:24">
      <c r="A178" s="109"/>
      <c r="B178" s="143"/>
      <c r="C178" s="144"/>
      <c r="D178" s="109"/>
      <c r="E178" s="110"/>
      <c r="F178" s="110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</row>
    <row r="179" spans="1:24">
      <c r="A179" s="109"/>
      <c r="B179" s="143"/>
      <c r="C179" s="144"/>
      <c r="D179" s="109"/>
      <c r="E179" s="110"/>
      <c r="F179" s="110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</row>
    <row r="180" spans="1:24">
      <c r="A180" s="109"/>
      <c r="B180" s="143"/>
      <c r="C180" s="144"/>
      <c r="D180" s="109"/>
      <c r="E180" s="110"/>
      <c r="F180" s="110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</row>
    <row r="181" spans="1:24">
      <c r="A181" s="109"/>
      <c r="B181" s="143"/>
      <c r="C181" s="144"/>
      <c r="D181" s="109"/>
      <c r="E181" s="110"/>
      <c r="F181" s="110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</row>
    <row r="182" spans="1:24">
      <c r="A182" s="109"/>
      <c r="B182" s="143"/>
      <c r="C182" s="144"/>
      <c r="D182" s="109"/>
      <c r="E182" s="110"/>
      <c r="F182" s="110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</row>
    <row r="183" spans="1:24">
      <c r="A183" s="109"/>
      <c r="B183" s="143"/>
      <c r="C183" s="144"/>
      <c r="D183" s="109"/>
      <c r="E183" s="110"/>
      <c r="F183" s="110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</row>
    <row r="184" spans="1:24">
      <c r="A184" s="109"/>
      <c r="B184" s="143"/>
      <c r="C184" s="144"/>
      <c r="D184" s="109"/>
      <c r="E184" s="110"/>
      <c r="F184" s="110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</row>
    <row r="185" spans="1:24">
      <c r="A185" s="109"/>
      <c r="B185" s="143"/>
      <c r="C185" s="144"/>
      <c r="D185" s="109"/>
      <c r="E185" s="110"/>
      <c r="F185" s="110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</row>
    <row r="186" spans="1:24">
      <c r="A186" s="109"/>
      <c r="B186" s="143"/>
      <c r="C186" s="144"/>
      <c r="D186" s="109"/>
      <c r="E186" s="110"/>
      <c r="F186" s="110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</row>
    <row r="187" spans="1:24">
      <c r="A187" s="109"/>
      <c r="B187" s="143"/>
      <c r="C187" s="144"/>
      <c r="D187" s="109"/>
      <c r="E187" s="110"/>
      <c r="F187" s="110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</row>
    <row r="188" spans="1:24">
      <c r="A188" s="109"/>
      <c r="B188" s="143"/>
      <c r="C188" s="144"/>
      <c r="D188" s="109"/>
      <c r="E188" s="110"/>
      <c r="F188" s="110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</row>
    <row r="189" spans="1:24">
      <c r="A189" s="109"/>
      <c r="B189" s="143"/>
      <c r="C189" s="144"/>
      <c r="D189" s="109"/>
      <c r="E189" s="110"/>
      <c r="F189" s="110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</row>
    <row r="190" spans="1:24">
      <c r="A190" s="109"/>
      <c r="B190" s="143"/>
      <c r="C190" s="144"/>
      <c r="D190" s="109"/>
      <c r="E190" s="110"/>
      <c r="F190" s="110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</row>
    <row r="191" spans="1:24">
      <c r="A191" s="109"/>
      <c r="B191" s="143"/>
      <c r="C191" s="144"/>
      <c r="D191" s="109"/>
      <c r="E191" s="110"/>
      <c r="F191" s="110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</row>
    <row r="192" spans="1:24">
      <c r="A192" s="109"/>
      <c r="B192" s="143"/>
      <c r="C192" s="144"/>
      <c r="D192" s="109"/>
      <c r="E192" s="110"/>
      <c r="F192" s="110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</row>
    <row r="193" spans="1:24">
      <c r="A193" s="109"/>
      <c r="B193" s="143"/>
      <c r="C193" s="144"/>
      <c r="D193" s="109"/>
      <c r="E193" s="110"/>
      <c r="F193" s="110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</row>
    <row r="194" spans="1:24">
      <c r="A194" s="109"/>
      <c r="B194" s="143"/>
      <c r="C194" s="144"/>
      <c r="D194" s="109"/>
      <c r="E194" s="110"/>
      <c r="F194" s="110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</row>
    <row r="195" spans="1:24">
      <c r="A195" s="109"/>
      <c r="B195" s="143"/>
      <c r="C195" s="144"/>
      <c r="D195" s="109"/>
      <c r="E195" s="110"/>
      <c r="F195" s="110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</row>
    <row r="196" spans="1:24">
      <c r="A196" s="109"/>
      <c r="B196" s="143"/>
      <c r="C196" s="144"/>
      <c r="D196" s="109"/>
      <c r="E196" s="110"/>
      <c r="F196" s="110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</row>
    <row r="197" spans="1:24">
      <c r="A197" s="109"/>
      <c r="B197" s="143"/>
      <c r="C197" s="144"/>
      <c r="D197" s="109"/>
      <c r="E197" s="110"/>
      <c r="F197" s="110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</row>
    <row r="198" spans="1:24">
      <c r="A198" s="109"/>
      <c r="B198" s="143"/>
      <c r="C198" s="144"/>
      <c r="D198" s="109"/>
      <c r="E198" s="110"/>
      <c r="F198" s="110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</row>
    <row r="199" spans="1:24">
      <c r="A199" s="109"/>
      <c r="B199" s="143"/>
      <c r="C199" s="144"/>
      <c r="D199" s="109"/>
      <c r="E199" s="110"/>
      <c r="F199" s="110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</row>
    <row r="200" spans="1:24">
      <c r="A200" s="109"/>
      <c r="B200" s="143"/>
      <c r="C200" s="144"/>
      <c r="D200" s="109"/>
      <c r="E200" s="110"/>
      <c r="F200" s="110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</row>
    <row r="201" spans="1:24">
      <c r="A201" s="109"/>
      <c r="B201" s="143"/>
      <c r="C201" s="144"/>
      <c r="D201" s="109"/>
      <c r="E201" s="110"/>
      <c r="F201" s="110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</row>
    <row r="202" spans="1:24">
      <c r="A202" s="109"/>
      <c r="B202" s="143"/>
      <c r="C202" s="144"/>
      <c r="D202" s="109"/>
      <c r="E202" s="110"/>
      <c r="F202" s="110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</row>
    <row r="203" spans="1:24">
      <c r="A203" s="109"/>
      <c r="B203" s="143"/>
      <c r="C203" s="144"/>
      <c r="D203" s="109"/>
      <c r="E203" s="110"/>
      <c r="F203" s="110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</row>
    <row r="204" spans="1:24">
      <c r="A204" s="109"/>
      <c r="B204" s="143"/>
      <c r="C204" s="144"/>
      <c r="D204" s="109"/>
      <c r="E204" s="110"/>
      <c r="F204" s="110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</row>
    <row r="205" spans="1:24">
      <c r="A205" s="109"/>
      <c r="B205" s="143"/>
      <c r="C205" s="144"/>
      <c r="D205" s="109"/>
      <c r="E205" s="110"/>
      <c r="F205" s="110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</row>
    <row r="206" spans="1:24">
      <c r="A206" s="109"/>
      <c r="B206" s="143"/>
      <c r="C206" s="144"/>
      <c r="D206" s="109"/>
      <c r="E206" s="110"/>
      <c r="F206" s="110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</row>
    <row r="207" spans="1:24">
      <c r="A207" s="109"/>
      <c r="B207" s="143"/>
      <c r="C207" s="144"/>
      <c r="D207" s="109"/>
      <c r="E207" s="110"/>
      <c r="F207" s="110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</row>
    <row r="208" spans="1:24">
      <c r="A208" s="109"/>
      <c r="B208" s="143"/>
      <c r="C208" s="144"/>
      <c r="D208" s="109"/>
      <c r="E208" s="110"/>
      <c r="F208" s="110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</row>
    <row r="209" spans="1:24">
      <c r="A209" s="109"/>
      <c r="B209" s="143"/>
      <c r="C209" s="144"/>
      <c r="D209" s="109"/>
      <c r="E209" s="110"/>
      <c r="F209" s="110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</row>
    <row r="210" spans="1:24">
      <c r="A210" s="109"/>
      <c r="B210" s="143"/>
      <c r="C210" s="144"/>
      <c r="D210" s="109"/>
      <c r="E210" s="110"/>
      <c r="F210" s="110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</row>
    <row r="211" spans="1:24">
      <c r="A211" s="109"/>
      <c r="B211" s="143"/>
      <c r="C211" s="144"/>
      <c r="D211" s="109"/>
      <c r="E211" s="110"/>
      <c r="F211" s="110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</row>
    <row r="212" spans="1:24">
      <c r="A212" s="109"/>
      <c r="B212" s="143"/>
      <c r="C212" s="144"/>
      <c r="D212" s="109"/>
      <c r="E212" s="110"/>
      <c r="F212" s="110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</row>
    <row r="213" spans="1:24">
      <c r="A213" s="109"/>
      <c r="B213" s="143"/>
      <c r="C213" s="144"/>
      <c r="D213" s="109"/>
      <c r="E213" s="110"/>
      <c r="F213" s="110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</row>
    <row r="214" spans="1:24">
      <c r="A214" s="109"/>
      <c r="B214" s="143"/>
      <c r="C214" s="144"/>
      <c r="D214" s="109"/>
      <c r="E214" s="110"/>
      <c r="F214" s="110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</row>
    <row r="215" spans="1:24">
      <c r="A215" s="109"/>
      <c r="B215" s="143"/>
      <c r="C215" s="144"/>
      <c r="D215" s="109"/>
      <c r="E215" s="110"/>
      <c r="F215" s="110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</row>
    <row r="216" spans="1:24">
      <c r="A216" s="109"/>
      <c r="B216" s="143"/>
      <c r="C216" s="144"/>
      <c r="D216" s="109"/>
      <c r="E216" s="110"/>
      <c r="F216" s="110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</row>
    <row r="217" spans="1:24">
      <c r="A217" s="109"/>
      <c r="B217" s="143"/>
      <c r="C217" s="144"/>
      <c r="D217" s="109"/>
      <c r="E217" s="110"/>
      <c r="F217" s="110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</row>
    <row r="218" spans="1:24">
      <c r="A218" s="109"/>
      <c r="B218" s="143"/>
      <c r="C218" s="144"/>
      <c r="D218" s="109"/>
      <c r="E218" s="109"/>
      <c r="F218" s="110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</row>
    <row r="219" spans="1:24">
      <c r="A219" s="109"/>
      <c r="B219" s="143"/>
      <c r="C219" s="144"/>
      <c r="D219" s="109"/>
      <c r="E219" s="109"/>
      <c r="F219" s="110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</row>
    <row r="220" spans="1:24">
      <c r="A220" s="109"/>
      <c r="B220" s="143"/>
      <c r="C220" s="144"/>
      <c r="D220" s="109"/>
      <c r="E220" s="109"/>
      <c r="F220" s="110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</row>
    <row r="221" spans="1:24">
      <c r="A221" s="109"/>
      <c r="B221" s="143"/>
      <c r="C221" s="144"/>
      <c r="D221" s="109"/>
      <c r="E221" s="109"/>
      <c r="F221" s="110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</row>
    <row r="222" spans="1:24">
      <c r="A222" s="109"/>
      <c r="B222" s="143"/>
      <c r="C222" s="144"/>
      <c r="D222" s="109"/>
      <c r="E222" s="109"/>
      <c r="F222" s="110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</row>
    <row r="223" spans="1:24">
      <c r="A223" s="109"/>
      <c r="B223" s="143"/>
      <c r="C223" s="144"/>
      <c r="D223" s="109"/>
      <c r="E223" s="109"/>
      <c r="F223" s="110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</row>
    <row r="224" spans="1:24">
      <c r="A224" s="109"/>
      <c r="B224" s="143"/>
      <c r="C224" s="144"/>
      <c r="D224" s="109"/>
      <c r="E224" s="109"/>
      <c r="F224" s="110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</row>
    <row r="225" spans="1:24">
      <c r="A225" s="109"/>
      <c r="B225" s="143"/>
      <c r="C225" s="144"/>
      <c r="D225" s="109"/>
      <c r="E225" s="109"/>
      <c r="F225" s="110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</row>
    <row r="226" spans="1:24">
      <c r="A226" s="109"/>
      <c r="B226" s="143"/>
      <c r="C226" s="144"/>
      <c r="D226" s="109"/>
      <c r="E226" s="109"/>
      <c r="F226" s="110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</row>
    <row r="227" spans="1:24">
      <c r="A227" s="109"/>
      <c r="B227" s="143"/>
      <c r="C227" s="144"/>
      <c r="D227" s="109"/>
      <c r="E227" s="109"/>
      <c r="F227" s="110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</row>
    <row r="228" spans="1:24">
      <c r="A228" s="109"/>
      <c r="B228" s="143"/>
      <c r="C228" s="144"/>
      <c r="D228" s="109"/>
      <c r="E228" s="109"/>
      <c r="F228" s="110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</row>
    <row r="229" spans="1:24">
      <c r="A229" s="109"/>
      <c r="B229" s="143"/>
      <c r="C229" s="144"/>
      <c r="D229" s="109"/>
      <c r="E229" s="109"/>
      <c r="F229" s="110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</row>
    <row r="230" spans="1:24">
      <c r="A230" s="109"/>
      <c r="B230" s="143"/>
      <c r="C230" s="144"/>
      <c r="D230" s="109"/>
      <c r="E230" s="109"/>
      <c r="F230" s="110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</row>
    <row r="231" spans="1:24">
      <c r="A231" s="109"/>
      <c r="B231" s="143"/>
      <c r="C231" s="144"/>
      <c r="D231" s="109"/>
      <c r="E231" s="109"/>
      <c r="F231" s="110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</row>
    <row r="232" spans="1:24">
      <c r="A232" s="109"/>
      <c r="B232" s="143"/>
      <c r="C232" s="144"/>
      <c r="D232" s="109"/>
      <c r="E232" s="109"/>
      <c r="F232" s="110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</row>
    <row r="233" spans="1:24">
      <c r="A233" s="109"/>
      <c r="B233" s="143"/>
      <c r="C233" s="144"/>
      <c r="D233" s="109"/>
      <c r="E233" s="109"/>
      <c r="F233" s="110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</row>
    <row r="234" spans="1:24">
      <c r="A234" s="109"/>
      <c r="B234" s="143"/>
      <c r="C234" s="144"/>
      <c r="D234" s="109"/>
      <c r="E234" s="109"/>
      <c r="F234" s="110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</row>
    <row r="235" spans="1:24">
      <c r="A235" s="109"/>
      <c r="B235" s="143"/>
      <c r="C235" s="144"/>
      <c r="D235" s="109"/>
      <c r="E235" s="109"/>
      <c r="F235" s="110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</row>
    <row r="236" spans="1:24">
      <c r="A236" s="109"/>
      <c r="B236" s="143"/>
      <c r="C236" s="144"/>
      <c r="D236" s="109"/>
      <c r="E236" s="109"/>
      <c r="F236" s="110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</row>
    <row r="237" spans="1:24">
      <c r="A237" s="109"/>
      <c r="B237" s="143"/>
      <c r="C237" s="144"/>
      <c r="D237" s="109"/>
      <c r="E237" s="109"/>
      <c r="F237" s="110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</row>
    <row r="238" spans="1:24">
      <c r="A238" s="109"/>
      <c r="B238" s="143"/>
      <c r="C238" s="144"/>
      <c r="D238" s="109"/>
      <c r="E238" s="109"/>
      <c r="F238" s="110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</row>
    <row r="239" spans="1:24">
      <c r="A239" s="109"/>
      <c r="B239" s="143"/>
      <c r="C239" s="144"/>
      <c r="D239" s="109"/>
      <c r="E239" s="109"/>
      <c r="F239" s="110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</row>
    <row r="240" spans="1:24">
      <c r="A240" s="109"/>
      <c r="B240" s="143"/>
      <c r="C240" s="144"/>
      <c r="D240" s="109"/>
      <c r="E240" s="109"/>
      <c r="F240" s="110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</row>
    <row r="241" spans="1:24">
      <c r="A241" s="109"/>
      <c r="B241" s="143"/>
      <c r="C241" s="144"/>
      <c r="D241" s="109"/>
      <c r="E241" s="109"/>
      <c r="F241" s="110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</row>
    <row r="242" spans="1:24">
      <c r="A242" s="109"/>
      <c r="B242" s="143"/>
      <c r="C242" s="144"/>
      <c r="D242" s="109"/>
      <c r="E242" s="109"/>
      <c r="F242" s="110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</row>
    <row r="243" spans="1:24">
      <c r="A243" s="109"/>
      <c r="B243" s="143"/>
      <c r="C243" s="144"/>
      <c r="D243" s="109"/>
      <c r="E243" s="109"/>
      <c r="F243" s="110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</row>
    <row r="244" spans="1:24">
      <c r="A244" s="109"/>
      <c r="B244" s="143"/>
      <c r="C244" s="144"/>
      <c r="D244" s="109"/>
      <c r="E244" s="109"/>
      <c r="F244" s="110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</row>
    <row r="245" spans="1:24">
      <c r="A245" s="109"/>
      <c r="B245" s="143"/>
      <c r="C245" s="144"/>
      <c r="D245" s="109"/>
      <c r="E245" s="109"/>
      <c r="F245" s="110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</row>
    <row r="246" spans="1:24">
      <c r="A246" s="109"/>
      <c r="B246" s="143"/>
      <c r="C246" s="144"/>
      <c r="D246" s="109"/>
      <c r="E246" s="109"/>
      <c r="F246" s="110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</row>
    <row r="247" spans="1:24">
      <c r="A247" s="109"/>
      <c r="B247" s="143"/>
      <c r="C247" s="144"/>
      <c r="D247" s="109"/>
      <c r="E247" s="109"/>
      <c r="F247" s="110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</row>
    <row r="248" spans="1:24">
      <c r="A248" s="109"/>
      <c r="B248" s="143"/>
      <c r="C248" s="144"/>
      <c r="D248" s="109"/>
      <c r="E248" s="109"/>
      <c r="F248" s="110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</row>
    <row r="249" spans="1:24">
      <c r="A249" s="109"/>
      <c r="B249" s="143"/>
      <c r="C249" s="144"/>
      <c r="D249" s="109"/>
      <c r="E249" s="109"/>
      <c r="F249" s="110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</row>
    <row r="250" spans="1:24">
      <c r="A250" s="109"/>
      <c r="B250" s="143"/>
      <c r="C250" s="144"/>
      <c r="D250" s="109"/>
      <c r="E250" s="109"/>
      <c r="F250" s="110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</row>
    <row r="251" spans="1:24">
      <c r="A251" s="109"/>
      <c r="B251" s="143"/>
      <c r="C251" s="144"/>
      <c r="D251" s="109"/>
      <c r="E251" s="109"/>
      <c r="F251" s="110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</row>
    <row r="252" spans="1:24">
      <c r="A252" s="109"/>
      <c r="B252" s="143"/>
      <c r="C252" s="144"/>
      <c r="D252" s="109"/>
      <c r="E252" s="109"/>
      <c r="F252" s="110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</row>
    <row r="253" spans="1:24">
      <c r="A253" s="109"/>
      <c r="B253" s="143"/>
      <c r="C253" s="144"/>
      <c r="D253" s="109"/>
      <c r="E253" s="109"/>
      <c r="F253" s="110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</row>
    <row r="254" spans="1:24">
      <c r="A254" s="109"/>
      <c r="B254" s="143"/>
      <c r="C254" s="144"/>
      <c r="D254" s="109"/>
      <c r="E254" s="109"/>
      <c r="F254" s="110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</row>
    <row r="255" spans="1:24">
      <c r="A255" s="109"/>
      <c r="B255" s="143"/>
      <c r="C255" s="144"/>
      <c r="D255" s="109"/>
      <c r="E255" s="109"/>
      <c r="F255" s="110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</row>
    <row r="256" spans="1:24">
      <c r="A256" s="109"/>
      <c r="B256" s="143"/>
      <c r="C256" s="144"/>
      <c r="D256" s="109"/>
      <c r="E256" s="109"/>
      <c r="F256" s="110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</row>
    <row r="257" spans="1:24">
      <c r="A257" s="109"/>
      <c r="B257" s="143"/>
      <c r="C257" s="144"/>
      <c r="D257" s="109"/>
      <c r="E257" s="109"/>
      <c r="F257" s="110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</row>
    <row r="258" spans="1:24">
      <c r="A258" s="109"/>
      <c r="B258" s="143"/>
      <c r="C258" s="144"/>
      <c r="D258" s="109"/>
      <c r="E258" s="109"/>
      <c r="F258" s="110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</row>
    <row r="259" spans="1:24">
      <c r="A259" s="109"/>
      <c r="B259" s="143"/>
      <c r="C259" s="144"/>
      <c r="D259" s="109"/>
      <c r="E259" s="109"/>
      <c r="F259" s="110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</row>
    <row r="260" spans="1:24">
      <c r="A260" s="109"/>
      <c r="B260" s="143"/>
      <c r="C260" s="144"/>
      <c r="D260" s="109"/>
      <c r="E260" s="109"/>
      <c r="F260" s="110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</row>
    <row r="261" spans="1:24">
      <c r="A261" s="109"/>
      <c r="B261" s="143"/>
      <c r="C261" s="144"/>
      <c r="D261" s="109"/>
      <c r="E261" s="109"/>
      <c r="F261" s="110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</row>
    <row r="262" spans="1:24">
      <c r="A262" s="109"/>
      <c r="B262" s="143"/>
      <c r="C262" s="144"/>
      <c r="D262" s="109"/>
      <c r="E262" s="109"/>
      <c r="F262" s="110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</row>
    <row r="263" spans="1:24">
      <c r="A263" s="109"/>
      <c r="B263" s="143"/>
      <c r="C263" s="144"/>
      <c r="D263" s="109"/>
      <c r="E263" s="109"/>
      <c r="F263" s="110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</row>
    <row r="264" spans="1:24">
      <c r="A264" s="109"/>
      <c r="B264" s="143"/>
      <c r="C264" s="144"/>
      <c r="D264" s="109"/>
      <c r="E264" s="109"/>
      <c r="F264" s="110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</row>
    <row r="265" spans="1:24">
      <c r="A265" s="109"/>
      <c r="B265" s="143"/>
      <c r="C265" s="144"/>
      <c r="D265" s="109"/>
      <c r="E265" s="109"/>
      <c r="F265" s="110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</row>
    <row r="266" spans="1:24">
      <c r="A266" s="109"/>
      <c r="B266" s="143"/>
      <c r="C266" s="144"/>
      <c r="D266" s="109"/>
      <c r="E266" s="109"/>
      <c r="F266" s="110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</row>
    <row r="267" spans="1:24">
      <c r="A267" s="109"/>
      <c r="B267" s="143"/>
      <c r="C267" s="144"/>
      <c r="D267" s="109"/>
      <c r="E267" s="109"/>
      <c r="F267" s="110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</row>
    <row r="268" spans="1:24">
      <c r="A268" s="109"/>
      <c r="B268" s="143"/>
      <c r="C268" s="144"/>
      <c r="D268" s="109"/>
      <c r="E268" s="109"/>
      <c r="F268" s="110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</row>
    <row r="269" spans="1:24">
      <c r="A269" s="109"/>
      <c r="B269" s="143"/>
      <c r="C269" s="144"/>
      <c r="D269" s="109"/>
      <c r="E269" s="109"/>
      <c r="F269" s="110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</row>
    <row r="270" spans="1:24">
      <c r="A270" s="109"/>
      <c r="B270" s="143"/>
      <c r="C270" s="144"/>
      <c r="D270" s="109"/>
      <c r="E270" s="109"/>
      <c r="F270" s="110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</row>
    <row r="271" spans="1:24">
      <c r="A271" s="109"/>
      <c r="B271" s="143"/>
      <c r="C271" s="144"/>
      <c r="D271" s="109"/>
      <c r="E271" s="109"/>
      <c r="F271" s="110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</row>
    <row r="272" spans="1:24">
      <c r="A272" s="109"/>
      <c r="B272" s="143"/>
      <c r="C272" s="144"/>
      <c r="D272" s="109"/>
      <c r="E272" s="109"/>
      <c r="F272" s="110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</row>
    <row r="273" spans="1:24">
      <c r="A273" s="109"/>
      <c r="B273" s="143"/>
      <c r="C273" s="144"/>
      <c r="D273" s="109"/>
      <c r="E273" s="109"/>
      <c r="F273" s="110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</row>
    <row r="274" spans="1:24">
      <c r="A274" s="109"/>
      <c r="B274" s="143"/>
      <c r="C274" s="144"/>
      <c r="D274" s="109"/>
      <c r="E274" s="109"/>
      <c r="F274" s="110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</row>
    <row r="275" spans="1:24">
      <c r="A275" s="109"/>
      <c r="B275" s="143"/>
      <c r="C275" s="144"/>
      <c r="D275" s="109"/>
      <c r="E275" s="109"/>
      <c r="F275" s="110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</row>
    <row r="276" spans="1:24">
      <c r="A276" s="109"/>
      <c r="B276" s="143"/>
      <c r="C276" s="144"/>
      <c r="D276" s="109"/>
      <c r="E276" s="109"/>
      <c r="F276" s="110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</row>
    <row r="277" spans="1:24">
      <c r="A277" s="109"/>
      <c r="B277" s="143"/>
      <c r="C277" s="144"/>
      <c r="D277" s="109"/>
      <c r="E277" s="109"/>
      <c r="F277" s="110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</row>
    <row r="278" spans="1:24">
      <c r="A278" s="109"/>
      <c r="B278" s="143"/>
      <c r="C278" s="144"/>
      <c r="D278" s="109"/>
      <c r="E278" s="109"/>
      <c r="F278" s="110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</row>
    <row r="279" spans="1:24">
      <c r="A279" s="109"/>
      <c r="B279" s="143"/>
      <c r="C279" s="144"/>
      <c r="D279" s="109"/>
      <c r="E279" s="109"/>
      <c r="F279" s="110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</row>
    <row r="280" spans="1:24">
      <c r="A280" s="109"/>
      <c r="B280" s="143"/>
      <c r="C280" s="144"/>
      <c r="D280" s="109"/>
      <c r="E280" s="109"/>
      <c r="F280" s="110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</row>
    <row r="281" spans="1:24">
      <c r="A281" s="109"/>
      <c r="B281" s="143"/>
      <c r="C281" s="144"/>
      <c r="D281" s="109"/>
      <c r="E281" s="109"/>
      <c r="F281" s="110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</row>
    <row r="282" spans="1:24">
      <c r="A282" s="109"/>
      <c r="B282" s="143"/>
      <c r="C282" s="144"/>
      <c r="D282" s="109"/>
      <c r="E282" s="109"/>
      <c r="F282" s="110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</row>
    <row r="283" spans="1:24">
      <c r="A283" s="109"/>
      <c r="B283" s="143"/>
      <c r="C283" s="144"/>
      <c r="D283" s="109"/>
      <c r="E283" s="109"/>
      <c r="F283" s="110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</row>
    <row r="284" spans="1:24">
      <c r="A284" s="109"/>
      <c r="B284" s="143"/>
      <c r="C284" s="144"/>
      <c r="D284" s="109"/>
      <c r="E284" s="109"/>
      <c r="F284" s="110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</row>
    <row r="285" spans="1:24">
      <c r="A285" s="109"/>
      <c r="B285" s="143"/>
      <c r="C285" s="144"/>
      <c r="D285" s="109"/>
      <c r="E285" s="109"/>
      <c r="F285" s="110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</row>
    <row r="286" spans="1:24">
      <c r="A286" s="109"/>
      <c r="B286" s="143"/>
      <c r="C286" s="144"/>
      <c r="D286" s="109"/>
      <c r="E286" s="109"/>
      <c r="F286" s="110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</row>
    <row r="287" spans="1:24">
      <c r="A287" s="109"/>
      <c r="B287" s="143"/>
      <c r="C287" s="144"/>
      <c r="D287" s="109"/>
      <c r="E287" s="109"/>
      <c r="F287" s="110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</row>
    <row r="288" spans="1:24">
      <c r="A288" s="109"/>
      <c r="B288" s="143"/>
      <c r="C288" s="144"/>
      <c r="D288" s="109"/>
      <c r="E288" s="109"/>
      <c r="F288" s="110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</row>
    <row r="289" spans="1:24">
      <c r="A289" s="109"/>
      <c r="B289" s="143"/>
      <c r="C289" s="144"/>
      <c r="D289" s="109"/>
      <c r="E289" s="109"/>
      <c r="F289" s="110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</row>
    <row r="290" spans="1:24">
      <c r="A290" s="109"/>
      <c r="B290" s="143"/>
      <c r="C290" s="144"/>
      <c r="D290" s="109"/>
      <c r="E290" s="109"/>
      <c r="F290" s="110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</row>
    <row r="291" spans="1:24">
      <c r="A291" s="109"/>
      <c r="B291" s="143"/>
      <c r="C291" s="144"/>
      <c r="D291" s="109"/>
      <c r="E291" s="109"/>
      <c r="F291" s="110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</row>
    <row r="292" spans="1:24">
      <c r="A292" s="109"/>
      <c r="B292" s="143"/>
      <c r="C292" s="144"/>
      <c r="D292" s="109"/>
      <c r="E292" s="109"/>
      <c r="F292" s="110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</row>
    <row r="293" spans="1:24">
      <c r="A293" s="109"/>
      <c r="B293" s="143"/>
      <c r="C293" s="144"/>
      <c r="D293" s="109"/>
      <c r="E293" s="109"/>
      <c r="F293" s="110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</row>
    <row r="294" spans="1:24">
      <c r="A294" s="109"/>
      <c r="B294" s="143"/>
      <c r="C294" s="144"/>
      <c r="D294" s="109"/>
      <c r="E294" s="109"/>
      <c r="F294" s="110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</row>
    <row r="295" spans="1:24">
      <c r="A295" s="109"/>
      <c r="B295" s="143"/>
      <c r="C295" s="144"/>
      <c r="D295" s="109"/>
      <c r="E295" s="109"/>
      <c r="F295" s="110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</row>
    <row r="296" spans="1:24">
      <c r="A296" s="109"/>
      <c r="B296" s="143"/>
      <c r="C296" s="144"/>
      <c r="D296" s="109"/>
      <c r="E296" s="109"/>
      <c r="F296" s="110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</row>
    <row r="297" spans="1:24">
      <c r="A297" s="109"/>
      <c r="B297" s="143"/>
      <c r="C297" s="144"/>
      <c r="D297" s="109"/>
      <c r="E297" s="109"/>
      <c r="F297" s="110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</row>
    <row r="298" spans="1:24">
      <c r="A298" s="109"/>
      <c r="B298" s="143"/>
      <c r="C298" s="144"/>
      <c r="D298" s="109"/>
      <c r="E298" s="109"/>
      <c r="F298" s="110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</row>
    <row r="299" spans="1:24">
      <c r="A299" s="109"/>
      <c r="B299" s="143"/>
      <c r="C299" s="144"/>
      <c r="D299" s="109"/>
      <c r="E299" s="109"/>
      <c r="F299" s="110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</row>
    <row r="300" spans="1:24">
      <c r="A300" s="109"/>
      <c r="B300" s="143"/>
      <c r="C300" s="144"/>
      <c r="D300" s="109"/>
      <c r="E300" s="109"/>
      <c r="F300" s="110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</row>
    <row r="301" spans="1:24">
      <c r="A301" s="109"/>
      <c r="B301" s="143"/>
      <c r="C301" s="144"/>
      <c r="D301" s="109"/>
      <c r="E301" s="109"/>
      <c r="F301" s="110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</row>
    <row r="302" spans="1:24">
      <c r="A302" s="109"/>
      <c r="B302" s="143"/>
      <c r="C302" s="144"/>
      <c r="D302" s="109"/>
      <c r="E302" s="109"/>
      <c r="F302" s="110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</row>
    <row r="303" spans="1:24">
      <c r="A303" s="109"/>
      <c r="B303" s="143"/>
      <c r="C303" s="144"/>
      <c r="D303" s="109"/>
      <c r="E303" s="109"/>
      <c r="F303" s="110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</row>
    <row r="304" spans="1:24">
      <c r="A304" s="109"/>
      <c r="B304" s="143"/>
      <c r="C304" s="144"/>
      <c r="D304" s="109"/>
      <c r="E304" s="109"/>
      <c r="F304" s="110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</row>
    <row r="305" spans="1:24">
      <c r="A305" s="109"/>
      <c r="B305" s="143"/>
      <c r="C305" s="144"/>
      <c r="D305" s="109"/>
      <c r="E305" s="109"/>
      <c r="F305" s="110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</row>
    <row r="306" spans="1:24">
      <c r="A306" s="109"/>
      <c r="B306" s="143"/>
      <c r="C306" s="144"/>
      <c r="D306" s="109"/>
      <c r="E306" s="109"/>
      <c r="F306" s="110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</row>
    <row r="307" spans="1:24">
      <c r="A307" s="109"/>
      <c r="B307" s="143"/>
      <c r="C307" s="144"/>
      <c r="D307" s="109"/>
      <c r="E307" s="109"/>
      <c r="F307" s="110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</row>
    <row r="308" spans="1:24">
      <c r="A308" s="109"/>
      <c r="B308" s="143"/>
      <c r="C308" s="144"/>
      <c r="D308" s="109"/>
      <c r="E308" s="109"/>
      <c r="F308" s="110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</row>
    <row r="309" spans="1:24">
      <c r="A309" s="109"/>
      <c r="B309" s="143"/>
      <c r="C309" s="144"/>
      <c r="D309" s="109"/>
      <c r="E309" s="109"/>
      <c r="F309" s="110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</row>
    <row r="310" spans="1:24">
      <c r="A310" s="109"/>
      <c r="B310" s="143"/>
      <c r="C310" s="144"/>
      <c r="D310" s="109"/>
      <c r="E310" s="109"/>
      <c r="F310" s="110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</row>
    <row r="311" spans="1:24">
      <c r="A311" s="109"/>
      <c r="B311" s="143"/>
      <c r="C311" s="144"/>
      <c r="D311" s="109"/>
      <c r="E311" s="109"/>
      <c r="F311" s="110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</row>
    <row r="312" spans="1:24">
      <c r="A312" s="109"/>
      <c r="B312" s="143"/>
      <c r="C312" s="144"/>
      <c r="D312" s="109"/>
      <c r="E312" s="109"/>
      <c r="F312" s="110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</row>
    <row r="313" spans="1:24">
      <c r="A313" s="109"/>
      <c r="B313" s="143"/>
      <c r="C313" s="144"/>
      <c r="D313" s="109"/>
      <c r="E313" s="109"/>
      <c r="F313" s="110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</row>
    <row r="314" spans="1:24">
      <c r="A314" s="109"/>
      <c r="B314" s="143"/>
      <c r="C314" s="144"/>
      <c r="D314" s="109"/>
      <c r="E314" s="109"/>
      <c r="F314" s="110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</row>
    <row r="315" spans="1:24">
      <c r="A315" s="109"/>
      <c r="B315" s="143"/>
      <c r="C315" s="144"/>
      <c r="D315" s="109"/>
      <c r="E315" s="109"/>
      <c r="F315" s="110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</row>
    <row r="316" spans="1:24">
      <c r="A316" s="109"/>
      <c r="B316" s="143"/>
      <c r="C316" s="144"/>
      <c r="D316" s="109"/>
      <c r="E316" s="109"/>
      <c r="F316" s="110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</row>
    <row r="317" spans="1:24">
      <c r="A317" s="109"/>
      <c r="B317" s="143"/>
      <c r="C317" s="144"/>
      <c r="D317" s="109"/>
      <c r="E317" s="109"/>
      <c r="F317" s="110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</row>
    <row r="318" spans="1:24">
      <c r="A318" s="109"/>
      <c r="B318" s="143"/>
      <c r="C318" s="144"/>
      <c r="D318" s="109"/>
      <c r="E318" s="109"/>
      <c r="F318" s="110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</row>
    <row r="319" spans="1:24">
      <c r="A319" s="109"/>
      <c r="B319" s="143"/>
      <c r="C319" s="144"/>
      <c r="D319" s="109"/>
      <c r="E319" s="109"/>
      <c r="F319" s="110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</row>
    <row r="320" spans="1:24">
      <c r="A320" s="109"/>
      <c r="B320" s="143"/>
      <c r="C320" s="144"/>
      <c r="D320" s="109"/>
      <c r="E320" s="109"/>
      <c r="F320" s="110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</row>
    <row r="321" spans="1:24">
      <c r="A321" s="109"/>
      <c r="B321" s="143"/>
      <c r="C321" s="144"/>
      <c r="D321" s="109"/>
      <c r="E321" s="109"/>
      <c r="F321" s="110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</row>
    <row r="322" spans="1:24">
      <c r="A322" s="109"/>
      <c r="B322" s="143"/>
      <c r="C322" s="144"/>
      <c r="D322" s="109"/>
      <c r="E322" s="109"/>
      <c r="F322" s="110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</row>
    <row r="323" spans="1:24">
      <c r="A323" s="109"/>
      <c r="B323" s="143"/>
      <c r="C323" s="144"/>
      <c r="D323" s="109"/>
      <c r="E323" s="109"/>
      <c r="F323" s="110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</row>
    <row r="324" spans="1:24">
      <c r="A324" s="109"/>
      <c r="B324" s="143"/>
      <c r="C324" s="144"/>
      <c r="D324" s="109"/>
      <c r="E324" s="109"/>
      <c r="F324" s="110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</row>
    <row r="325" spans="1:24">
      <c r="A325" s="109"/>
      <c r="B325" s="143"/>
      <c r="C325" s="144"/>
      <c r="D325" s="109"/>
      <c r="E325" s="109"/>
      <c r="F325" s="110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</row>
    <row r="326" spans="1:24">
      <c r="A326" s="109"/>
      <c r="B326" s="143"/>
      <c r="C326" s="144"/>
      <c r="D326" s="109"/>
      <c r="E326" s="109"/>
      <c r="F326" s="110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</row>
    <row r="327" spans="1:24">
      <c r="A327" s="109"/>
      <c r="B327" s="143"/>
      <c r="C327" s="144"/>
      <c r="D327" s="109"/>
      <c r="E327" s="109"/>
      <c r="F327" s="110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</row>
    <row r="328" spans="1:24">
      <c r="A328" s="109"/>
      <c r="B328" s="143"/>
      <c r="C328" s="144"/>
      <c r="D328" s="109"/>
      <c r="E328" s="109"/>
      <c r="F328" s="110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</row>
    <row r="329" spans="1:24">
      <c r="A329" s="109"/>
      <c r="B329" s="143"/>
      <c r="C329" s="144"/>
      <c r="D329" s="109"/>
      <c r="E329" s="109"/>
      <c r="F329" s="110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</row>
    <row r="330" spans="1:24">
      <c r="A330" s="109"/>
      <c r="B330" s="143"/>
      <c r="C330" s="144"/>
      <c r="D330" s="109"/>
      <c r="E330" s="109"/>
      <c r="F330" s="110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</row>
    <row r="331" spans="1:24">
      <c r="A331" s="109"/>
      <c r="B331" s="143"/>
      <c r="C331" s="144"/>
      <c r="D331" s="109"/>
      <c r="E331" s="109"/>
      <c r="F331" s="110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</row>
    <row r="332" spans="1:24">
      <c r="A332" s="109"/>
      <c r="B332" s="143"/>
      <c r="C332" s="144"/>
      <c r="D332" s="109"/>
      <c r="E332" s="109"/>
      <c r="F332" s="110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</row>
    <row r="333" spans="1:24">
      <c r="A333" s="109"/>
      <c r="B333" s="143"/>
      <c r="C333" s="144"/>
      <c r="D333" s="109"/>
      <c r="E333" s="109"/>
      <c r="F333" s="110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</row>
    <row r="334" spans="1:24">
      <c r="A334" s="109"/>
      <c r="B334" s="143"/>
      <c r="C334" s="144"/>
      <c r="D334" s="109"/>
      <c r="E334" s="109"/>
      <c r="F334" s="110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</row>
    <row r="335" spans="1:24">
      <c r="A335" s="109"/>
      <c r="B335" s="143"/>
      <c r="C335" s="144"/>
      <c r="D335" s="109"/>
      <c r="E335" s="109"/>
      <c r="F335" s="110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</row>
    <row r="336" spans="1:24">
      <c r="A336" s="109"/>
      <c r="B336" s="143"/>
      <c r="C336" s="144"/>
      <c r="D336" s="109"/>
      <c r="E336" s="109"/>
      <c r="F336" s="110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</row>
    <row r="337" spans="1:24">
      <c r="A337" s="109"/>
      <c r="B337" s="143"/>
      <c r="C337" s="144"/>
      <c r="D337" s="109"/>
      <c r="E337" s="109"/>
      <c r="F337" s="110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</row>
    <row r="338" spans="1:24">
      <c r="A338" s="109"/>
      <c r="B338" s="143"/>
      <c r="C338" s="144"/>
      <c r="D338" s="109"/>
      <c r="E338" s="109"/>
      <c r="F338" s="110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</row>
    <row r="339" spans="1:24">
      <c r="A339" s="109"/>
      <c r="B339" s="143"/>
      <c r="C339" s="144"/>
      <c r="D339" s="109"/>
      <c r="E339" s="109"/>
      <c r="F339" s="110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</row>
    <row r="340" spans="1:24">
      <c r="A340" s="109"/>
      <c r="B340" s="143"/>
      <c r="C340" s="144"/>
      <c r="D340" s="109"/>
      <c r="E340" s="109"/>
      <c r="F340" s="110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</row>
    <row r="341" spans="1:24">
      <c r="A341" s="109"/>
      <c r="B341" s="143"/>
      <c r="C341" s="144"/>
      <c r="D341" s="109"/>
      <c r="E341" s="109"/>
      <c r="F341" s="110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</row>
    <row r="342" spans="1:24">
      <c r="A342" s="109"/>
      <c r="B342" s="143"/>
      <c r="C342" s="144"/>
      <c r="D342" s="109"/>
      <c r="E342" s="109"/>
      <c r="F342" s="110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</row>
    <row r="343" spans="1:24">
      <c r="A343" s="109"/>
      <c r="B343" s="143"/>
      <c r="C343" s="144"/>
      <c r="D343" s="109"/>
      <c r="E343" s="109"/>
      <c r="F343" s="110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</row>
    <row r="344" spans="1:24">
      <c r="A344" s="109"/>
      <c r="B344" s="143"/>
      <c r="C344" s="144"/>
      <c r="D344" s="109"/>
      <c r="E344" s="109"/>
      <c r="F344" s="110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</row>
    <row r="345" spans="1:24">
      <c r="A345" s="109"/>
      <c r="B345" s="143"/>
      <c r="C345" s="144"/>
      <c r="D345" s="109"/>
      <c r="E345" s="109"/>
      <c r="F345" s="110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</row>
    <row r="346" spans="1:24">
      <c r="A346" s="109"/>
      <c r="B346" s="143"/>
      <c r="C346" s="144"/>
      <c r="D346" s="109"/>
      <c r="E346" s="109"/>
      <c r="F346" s="110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</row>
    <row r="347" spans="1:24">
      <c r="A347" s="109"/>
      <c r="B347" s="143"/>
      <c r="C347" s="144"/>
      <c r="D347" s="109"/>
      <c r="E347" s="109"/>
      <c r="F347" s="110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</row>
    <row r="348" spans="1:24">
      <c r="A348" s="109"/>
      <c r="B348" s="143"/>
      <c r="C348" s="144"/>
      <c r="D348" s="109"/>
      <c r="E348" s="109"/>
      <c r="F348" s="110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</row>
    <row r="349" spans="1:24">
      <c r="A349" s="109"/>
      <c r="B349" s="143"/>
      <c r="C349" s="144"/>
      <c r="D349" s="109"/>
      <c r="E349" s="109"/>
      <c r="F349" s="110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</row>
    <row r="350" spans="1:24">
      <c r="A350" s="109"/>
      <c r="B350" s="143"/>
      <c r="C350" s="144"/>
      <c r="D350" s="109"/>
      <c r="E350" s="109"/>
      <c r="F350" s="110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</row>
    <row r="351" spans="1:24">
      <c r="A351" s="109"/>
      <c r="B351" s="143"/>
      <c r="C351" s="144"/>
      <c r="D351" s="109"/>
      <c r="E351" s="109"/>
      <c r="F351" s="110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</row>
    <row r="352" spans="1:24">
      <c r="A352" s="109"/>
      <c r="B352" s="143"/>
      <c r="C352" s="144"/>
      <c r="D352" s="109"/>
      <c r="E352" s="109"/>
      <c r="F352" s="110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</row>
    <row r="353" spans="1:24">
      <c r="A353" s="109"/>
      <c r="B353" s="143"/>
      <c r="C353" s="144"/>
      <c r="D353" s="109"/>
      <c r="E353" s="109"/>
      <c r="F353" s="110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</row>
    <row r="354" spans="1:24">
      <c r="A354" s="109"/>
      <c r="B354" s="143"/>
      <c r="C354" s="144"/>
      <c r="D354" s="109"/>
      <c r="E354" s="109"/>
      <c r="F354" s="110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</row>
    <row r="355" spans="1:24">
      <c r="A355" s="109"/>
      <c r="B355" s="143"/>
      <c r="C355" s="144"/>
      <c r="D355" s="109"/>
      <c r="E355" s="109"/>
      <c r="F355" s="110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</row>
    <row r="356" spans="1:24">
      <c r="A356" s="109"/>
      <c r="B356" s="143"/>
      <c r="C356" s="144"/>
      <c r="D356" s="109"/>
      <c r="E356" s="109"/>
      <c r="F356" s="110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</row>
    <row r="357" spans="1:24">
      <c r="A357" s="109"/>
      <c r="B357" s="143"/>
      <c r="C357" s="144"/>
      <c r="D357" s="109"/>
      <c r="E357" s="109"/>
      <c r="F357" s="110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</row>
    <row r="358" spans="1:24">
      <c r="A358" s="109"/>
      <c r="B358" s="143"/>
      <c r="C358" s="144"/>
      <c r="D358" s="109"/>
      <c r="E358" s="109"/>
      <c r="F358" s="110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</row>
    <row r="359" spans="1:24">
      <c r="A359" s="109"/>
      <c r="B359" s="143"/>
      <c r="C359" s="144"/>
      <c r="D359" s="109"/>
      <c r="E359" s="109"/>
      <c r="F359" s="110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</row>
    <row r="360" spans="1:24">
      <c r="A360" s="109"/>
      <c r="B360" s="143"/>
      <c r="C360" s="144"/>
      <c r="D360" s="109"/>
      <c r="E360" s="109"/>
      <c r="F360" s="110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</row>
    <row r="361" spans="1:24">
      <c r="A361" s="109"/>
      <c r="B361" s="143"/>
      <c r="C361" s="144"/>
      <c r="D361" s="109"/>
      <c r="E361" s="109"/>
      <c r="F361" s="110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</row>
    <row r="362" spans="1:24">
      <c r="A362" s="109"/>
      <c r="B362" s="143"/>
      <c r="C362" s="144"/>
      <c r="D362" s="109"/>
      <c r="E362" s="109"/>
      <c r="F362" s="110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</row>
    <row r="363" spans="1:24">
      <c r="A363" s="109"/>
      <c r="B363" s="143"/>
      <c r="C363" s="144"/>
      <c r="D363" s="109"/>
      <c r="E363" s="109"/>
      <c r="F363" s="110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</row>
    <row r="364" spans="1:24">
      <c r="A364" s="109"/>
      <c r="B364" s="143"/>
      <c r="C364" s="144"/>
      <c r="D364" s="109"/>
      <c r="E364" s="109"/>
      <c r="F364" s="110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</row>
    <row r="365" spans="1:24">
      <c r="A365" s="109"/>
      <c r="B365" s="143"/>
      <c r="C365" s="144"/>
      <c r="D365" s="109"/>
      <c r="E365" s="109"/>
      <c r="F365" s="110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</row>
    <row r="366" spans="1:24">
      <c r="A366" s="109"/>
      <c r="B366" s="143"/>
      <c r="C366" s="144"/>
      <c r="D366" s="109"/>
      <c r="E366" s="109"/>
      <c r="F366" s="110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</row>
    <row r="367" spans="1:24">
      <c r="A367" s="109"/>
      <c r="B367" s="143"/>
      <c r="C367" s="144"/>
      <c r="D367" s="109"/>
      <c r="E367" s="109"/>
      <c r="F367" s="110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</row>
    <row r="368" spans="1:24">
      <c r="A368" s="109"/>
      <c r="B368" s="143"/>
      <c r="C368" s="144"/>
      <c r="D368" s="109"/>
      <c r="E368" s="109"/>
      <c r="F368" s="110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</row>
    <row r="369" spans="1:24">
      <c r="A369" s="109"/>
      <c r="B369" s="143"/>
      <c r="C369" s="144"/>
      <c r="D369" s="109"/>
      <c r="E369" s="109"/>
      <c r="F369" s="110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</row>
    <row r="370" spans="1:24">
      <c r="A370" s="109"/>
      <c r="B370" s="143"/>
      <c r="C370" s="144"/>
      <c r="D370" s="109"/>
      <c r="E370" s="109"/>
      <c r="F370" s="110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</row>
    <row r="371" spans="1:24">
      <c r="A371" s="109"/>
      <c r="B371" s="143"/>
      <c r="C371" s="144"/>
      <c r="D371" s="109"/>
      <c r="E371" s="109"/>
      <c r="F371" s="110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</row>
    <row r="372" spans="1:24">
      <c r="A372" s="109"/>
      <c r="B372" s="143"/>
      <c r="C372" s="144"/>
      <c r="D372" s="109"/>
      <c r="E372" s="109"/>
      <c r="F372" s="110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</row>
    <row r="373" spans="1:24">
      <c r="A373" s="109"/>
      <c r="B373" s="143"/>
      <c r="C373" s="144"/>
      <c r="D373" s="109"/>
      <c r="E373" s="109"/>
      <c r="F373" s="110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</row>
    <row r="374" spans="1:24">
      <c r="A374" s="109"/>
      <c r="B374" s="143"/>
      <c r="C374" s="144"/>
      <c r="D374" s="109"/>
      <c r="E374" s="109"/>
      <c r="F374" s="110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</row>
    <row r="375" spans="1:24">
      <c r="A375" s="109"/>
      <c r="B375" s="143"/>
      <c r="C375" s="144"/>
      <c r="D375" s="109"/>
      <c r="E375" s="109"/>
      <c r="F375" s="110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</row>
    <row r="376" spans="1:24">
      <c r="A376" s="109"/>
      <c r="B376" s="143"/>
      <c r="C376" s="144"/>
      <c r="D376" s="109"/>
      <c r="E376" s="109"/>
      <c r="F376" s="110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</row>
    <row r="377" spans="1:24">
      <c r="A377" s="109"/>
      <c r="B377" s="143"/>
      <c r="C377" s="144"/>
      <c r="D377" s="109"/>
      <c r="E377" s="109"/>
      <c r="F377" s="110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</row>
    <row r="378" spans="1:24">
      <c r="A378" s="109"/>
      <c r="B378" s="143"/>
      <c r="C378" s="144"/>
      <c r="D378" s="109"/>
      <c r="E378" s="109"/>
      <c r="F378" s="110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</row>
    <row r="379" spans="1:24">
      <c r="A379" s="109"/>
      <c r="B379" s="143"/>
      <c r="C379" s="144"/>
      <c r="D379" s="109"/>
      <c r="E379" s="109"/>
      <c r="F379" s="110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</row>
    <row r="380" spans="1:24">
      <c r="A380" s="109"/>
      <c r="B380" s="143"/>
      <c r="C380" s="144"/>
      <c r="D380" s="109"/>
      <c r="E380" s="109"/>
      <c r="F380" s="110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</row>
    <row r="381" spans="1:24">
      <c r="A381" s="109"/>
      <c r="B381" s="143"/>
      <c r="C381" s="144"/>
      <c r="D381" s="109"/>
      <c r="E381" s="109"/>
      <c r="F381" s="110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</row>
    <row r="382" spans="1:24">
      <c r="A382" s="109"/>
      <c r="B382" s="143"/>
      <c r="C382" s="144"/>
      <c r="D382" s="109"/>
      <c r="E382" s="109"/>
      <c r="F382" s="110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</row>
    <row r="383" spans="1:24">
      <c r="A383" s="109"/>
      <c r="B383" s="143"/>
      <c r="C383" s="144"/>
      <c r="D383" s="109"/>
      <c r="E383" s="109"/>
      <c r="F383" s="110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</row>
    <row r="384" spans="1:24">
      <c r="A384" s="109"/>
      <c r="B384" s="143"/>
      <c r="C384" s="144"/>
      <c r="D384" s="109"/>
      <c r="E384" s="109"/>
      <c r="F384" s="110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</row>
    <row r="385" spans="1:24">
      <c r="A385" s="109"/>
      <c r="B385" s="143"/>
      <c r="C385" s="144"/>
      <c r="D385" s="109"/>
      <c r="E385" s="109"/>
      <c r="F385" s="110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</row>
    <row r="386" spans="1:24">
      <c r="A386" s="109"/>
      <c r="B386" s="143"/>
      <c r="C386" s="144"/>
      <c r="D386" s="109"/>
      <c r="E386" s="109"/>
      <c r="F386" s="110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</row>
    <row r="387" spans="1:24">
      <c r="A387" s="109"/>
      <c r="B387" s="143"/>
      <c r="C387" s="144"/>
      <c r="D387" s="109"/>
      <c r="E387" s="109"/>
      <c r="F387" s="110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</row>
    <row r="388" spans="1:24">
      <c r="A388" s="109"/>
      <c r="B388" s="143"/>
      <c r="C388" s="144"/>
      <c r="D388" s="109"/>
      <c r="E388" s="109"/>
      <c r="F388" s="110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</row>
    <row r="389" spans="1:24">
      <c r="A389" s="109"/>
      <c r="B389" s="143"/>
      <c r="C389" s="144"/>
      <c r="D389" s="109"/>
      <c r="E389" s="109"/>
      <c r="F389" s="110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</row>
    <row r="390" spans="1:24">
      <c r="A390" s="109"/>
      <c r="B390" s="143"/>
      <c r="C390" s="144"/>
      <c r="D390" s="109"/>
      <c r="E390" s="109"/>
      <c r="F390" s="110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</row>
    <row r="391" spans="1:24">
      <c r="A391" s="109"/>
      <c r="B391" s="143"/>
      <c r="C391" s="144"/>
      <c r="D391" s="109"/>
      <c r="E391" s="109"/>
      <c r="F391" s="110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</row>
    <row r="392" spans="1:24">
      <c r="A392" s="109"/>
      <c r="B392" s="143"/>
      <c r="C392" s="144"/>
      <c r="D392" s="109"/>
      <c r="E392" s="109"/>
      <c r="F392" s="110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</row>
    <row r="393" spans="1:24">
      <c r="A393" s="109"/>
      <c r="B393" s="143"/>
      <c r="C393" s="144"/>
      <c r="D393" s="109"/>
      <c r="E393" s="109"/>
      <c r="F393" s="110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</row>
    <row r="394" spans="1:24">
      <c r="A394" s="109"/>
      <c r="B394" s="143"/>
      <c r="C394" s="144"/>
      <c r="D394" s="109"/>
      <c r="E394" s="109"/>
      <c r="F394" s="110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</row>
    <row r="395" spans="1:24">
      <c r="A395" s="109"/>
      <c r="B395" s="143"/>
      <c r="C395" s="144"/>
      <c r="D395" s="109"/>
      <c r="E395" s="109"/>
      <c r="F395" s="110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</row>
    <row r="396" spans="1:24">
      <c r="A396" s="109"/>
      <c r="B396" s="143"/>
      <c r="C396" s="144"/>
      <c r="D396" s="109"/>
      <c r="E396" s="109"/>
      <c r="F396" s="110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</row>
    <row r="397" spans="1:24">
      <c r="A397" s="109"/>
      <c r="B397" s="143"/>
      <c r="C397" s="144"/>
      <c r="D397" s="109"/>
      <c r="E397" s="109"/>
      <c r="F397" s="110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</row>
    <row r="398" spans="1:24">
      <c r="A398" s="109"/>
      <c r="B398" s="143"/>
      <c r="C398" s="144"/>
      <c r="D398" s="109"/>
      <c r="E398" s="109"/>
      <c r="F398" s="110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</row>
    <row r="399" spans="1:24">
      <c r="A399" s="109"/>
      <c r="B399" s="143"/>
      <c r="C399" s="144"/>
      <c r="D399" s="109"/>
      <c r="E399" s="109"/>
      <c r="F399" s="110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</row>
    <row r="400" spans="1:24">
      <c r="A400" s="109"/>
      <c r="B400" s="143"/>
      <c r="C400" s="144"/>
      <c r="D400" s="109"/>
      <c r="E400" s="109"/>
      <c r="F400" s="110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</row>
    <row r="401" spans="1:24">
      <c r="A401" s="109"/>
      <c r="B401" s="143"/>
      <c r="C401" s="144"/>
      <c r="D401" s="109"/>
      <c r="E401" s="109"/>
      <c r="F401" s="110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</row>
    <row r="402" spans="1:24">
      <c r="A402" s="109"/>
      <c r="B402" s="143"/>
      <c r="C402" s="144"/>
      <c r="D402" s="109"/>
      <c r="E402" s="109"/>
      <c r="F402" s="110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</row>
    <row r="403" spans="1:24">
      <c r="A403" s="109"/>
      <c r="B403" s="143"/>
      <c r="C403" s="144"/>
      <c r="D403" s="109"/>
      <c r="E403" s="109"/>
      <c r="F403" s="110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</row>
    <row r="404" spans="1:24">
      <c r="A404" s="109"/>
      <c r="B404" s="143"/>
      <c r="C404" s="144"/>
      <c r="D404" s="109"/>
      <c r="E404" s="109"/>
      <c r="F404" s="110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</row>
    <row r="405" spans="1:24">
      <c r="A405" s="109"/>
      <c r="B405" s="143"/>
      <c r="C405" s="144"/>
      <c r="D405" s="109"/>
      <c r="E405" s="109"/>
      <c r="F405" s="110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</row>
    <row r="406" spans="1:24">
      <c r="A406" s="109"/>
      <c r="B406" s="143"/>
      <c r="C406" s="144"/>
      <c r="D406" s="109"/>
      <c r="E406" s="109"/>
      <c r="F406" s="110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</row>
    <row r="407" spans="1:24">
      <c r="A407" s="109"/>
      <c r="B407" s="143"/>
      <c r="C407" s="144"/>
      <c r="D407" s="109"/>
      <c r="E407" s="109"/>
      <c r="F407" s="110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</row>
    <row r="408" spans="1:24">
      <c r="A408" s="109"/>
      <c r="B408" s="143"/>
      <c r="C408" s="144"/>
      <c r="D408" s="109"/>
      <c r="E408" s="109"/>
      <c r="F408" s="110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</row>
    <row r="409" spans="1:24">
      <c r="A409" s="109"/>
      <c r="B409" s="143"/>
      <c r="C409" s="144"/>
      <c r="D409" s="109"/>
      <c r="E409" s="109"/>
      <c r="F409" s="110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</row>
    <row r="410" spans="1:24">
      <c r="A410" s="109"/>
      <c r="B410" s="143"/>
      <c r="C410" s="144"/>
      <c r="D410" s="109"/>
      <c r="E410" s="109"/>
      <c r="F410" s="110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</row>
    <row r="411" spans="1:24">
      <c r="A411" s="109"/>
      <c r="B411" s="143"/>
      <c r="C411" s="144"/>
      <c r="D411" s="109"/>
      <c r="E411" s="109"/>
      <c r="F411" s="110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</row>
    <row r="412" spans="1:24">
      <c r="A412" s="109"/>
      <c r="B412" s="143"/>
      <c r="C412" s="144"/>
      <c r="D412" s="109"/>
      <c r="E412" s="109"/>
      <c r="F412" s="110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</row>
    <row r="413" spans="1:24">
      <c r="A413" s="109"/>
      <c r="B413" s="143"/>
      <c r="C413" s="144"/>
      <c r="D413" s="109"/>
      <c r="E413" s="109"/>
      <c r="F413" s="110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</row>
    <row r="414" spans="1:24">
      <c r="A414" s="109"/>
      <c r="B414" s="143"/>
      <c r="C414" s="144"/>
      <c r="D414" s="109"/>
      <c r="E414" s="109"/>
      <c r="F414" s="110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</row>
    <row r="415" spans="1:24">
      <c r="A415" s="109"/>
      <c r="B415" s="143"/>
      <c r="C415" s="144"/>
      <c r="D415" s="109"/>
      <c r="E415" s="109"/>
      <c r="F415" s="110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</row>
    <row r="416" spans="1:24">
      <c r="A416" s="109"/>
      <c r="B416" s="143"/>
      <c r="C416" s="144"/>
      <c r="D416" s="109"/>
      <c r="E416" s="109"/>
      <c r="F416" s="110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</row>
    <row r="417" spans="1:24">
      <c r="A417" s="109"/>
      <c r="B417" s="143"/>
      <c r="C417" s="144"/>
      <c r="D417" s="109"/>
      <c r="E417" s="109"/>
      <c r="F417" s="110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</row>
    <row r="418" spans="1:24">
      <c r="A418" s="109"/>
      <c r="B418" s="143"/>
      <c r="C418" s="144"/>
      <c r="D418" s="109"/>
      <c r="E418" s="109"/>
      <c r="F418" s="110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</row>
    <row r="419" spans="1:24">
      <c r="A419" s="109"/>
      <c r="B419" s="143"/>
      <c r="C419" s="144"/>
      <c r="D419" s="109"/>
      <c r="E419" s="109"/>
      <c r="F419" s="110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</row>
    <row r="420" spans="1:24">
      <c r="A420" s="109"/>
      <c r="B420" s="143"/>
      <c r="C420" s="144"/>
      <c r="D420" s="109"/>
      <c r="E420" s="109"/>
      <c r="F420" s="110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</row>
    <row r="421" spans="1:24">
      <c r="A421" s="109"/>
      <c r="B421" s="143"/>
      <c r="C421" s="144"/>
      <c r="D421" s="109"/>
      <c r="E421" s="109"/>
      <c r="F421" s="110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</row>
    <row r="422" spans="1:24">
      <c r="A422" s="109"/>
      <c r="B422" s="143"/>
      <c r="C422" s="144"/>
      <c r="D422" s="109"/>
      <c r="E422" s="109"/>
      <c r="F422" s="110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</row>
    <row r="423" spans="1:24">
      <c r="A423" s="109"/>
      <c r="B423" s="143"/>
      <c r="C423" s="144"/>
      <c r="D423" s="109"/>
      <c r="E423" s="109"/>
      <c r="F423" s="110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</row>
    <row r="424" spans="1:24">
      <c r="A424" s="109"/>
      <c r="B424" s="143"/>
      <c r="C424" s="144"/>
      <c r="D424" s="109"/>
      <c r="E424" s="109"/>
      <c r="F424" s="110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</row>
    <row r="425" spans="1:24">
      <c r="A425" s="109"/>
      <c r="B425" s="143"/>
      <c r="C425" s="144"/>
      <c r="D425" s="109"/>
      <c r="E425" s="109"/>
      <c r="F425" s="110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</row>
    <row r="426" spans="1:24">
      <c r="A426" s="109"/>
      <c r="B426" s="143"/>
      <c r="C426" s="144"/>
      <c r="D426" s="109"/>
      <c r="E426" s="109"/>
      <c r="F426" s="110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</row>
    <row r="427" spans="1:24">
      <c r="A427" s="109"/>
      <c r="B427" s="143"/>
      <c r="C427" s="144"/>
      <c r="D427" s="109"/>
      <c r="E427" s="109"/>
      <c r="F427" s="110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</row>
    <row r="428" spans="1:24">
      <c r="A428" s="109"/>
      <c r="B428" s="143"/>
      <c r="C428" s="144"/>
      <c r="D428" s="109"/>
      <c r="E428" s="109"/>
      <c r="F428" s="110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</row>
    <row r="429" spans="1:24">
      <c r="A429" s="109"/>
      <c r="B429" s="143"/>
      <c r="C429" s="144"/>
      <c r="D429" s="109"/>
      <c r="E429" s="109"/>
      <c r="F429" s="110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</row>
    <row r="430" spans="1:24">
      <c r="A430" s="109"/>
      <c r="B430" s="143"/>
      <c r="C430" s="144"/>
      <c r="D430" s="109"/>
      <c r="E430" s="109"/>
      <c r="F430" s="110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</row>
    <row r="431" spans="1:24">
      <c r="A431" s="109"/>
      <c r="B431" s="143"/>
      <c r="C431" s="144"/>
      <c r="D431" s="109"/>
      <c r="E431" s="109"/>
      <c r="F431" s="110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</row>
    <row r="432" spans="1:24">
      <c r="A432" s="109"/>
      <c r="B432" s="143"/>
      <c r="C432" s="144"/>
      <c r="D432" s="109"/>
      <c r="E432" s="109"/>
      <c r="F432" s="110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</row>
    <row r="433" spans="1:24">
      <c r="A433" s="109"/>
      <c r="B433" s="143"/>
      <c r="C433" s="144"/>
      <c r="D433" s="109"/>
      <c r="E433" s="109"/>
      <c r="F433" s="110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</row>
    <row r="434" spans="1:24">
      <c r="A434" s="109"/>
      <c r="B434" s="143"/>
      <c r="C434" s="144"/>
      <c r="D434" s="109"/>
      <c r="E434" s="109"/>
      <c r="F434" s="110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</row>
    <row r="435" spans="1:24">
      <c r="A435" s="109"/>
      <c r="B435" s="143"/>
      <c r="C435" s="144"/>
      <c r="D435" s="109"/>
      <c r="E435" s="109"/>
      <c r="F435" s="110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</row>
    <row r="436" spans="1:24">
      <c r="A436" s="109"/>
      <c r="B436" s="143"/>
      <c r="C436" s="144"/>
      <c r="D436" s="109"/>
      <c r="E436" s="109"/>
      <c r="F436" s="110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</row>
    <row r="437" spans="1:24">
      <c r="A437" s="109"/>
      <c r="B437" s="143"/>
      <c r="C437" s="144"/>
      <c r="D437" s="109"/>
      <c r="E437" s="109"/>
      <c r="F437" s="110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</row>
    <row r="438" spans="1:24">
      <c r="A438" s="109"/>
      <c r="B438" s="143"/>
      <c r="C438" s="144"/>
      <c r="D438" s="109"/>
      <c r="E438" s="109"/>
      <c r="F438" s="110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</row>
    <row r="439" spans="1:24">
      <c r="A439" s="109"/>
      <c r="B439" s="143"/>
      <c r="C439" s="144"/>
      <c r="D439" s="109"/>
      <c r="E439" s="109"/>
      <c r="F439" s="110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</row>
    <row r="440" spans="1:24">
      <c r="A440" s="109"/>
      <c r="B440" s="143"/>
      <c r="C440" s="144"/>
      <c r="D440" s="109"/>
      <c r="E440" s="109"/>
      <c r="F440" s="110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</row>
    <row r="441" spans="1:24">
      <c r="A441" s="109"/>
      <c r="B441" s="143"/>
      <c r="C441" s="144"/>
      <c r="D441" s="109"/>
      <c r="E441" s="109"/>
      <c r="F441" s="110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</row>
    <row r="442" spans="1:24">
      <c r="A442" s="109"/>
      <c r="B442" s="143"/>
      <c r="C442" s="144"/>
      <c r="D442" s="109"/>
      <c r="E442" s="109"/>
      <c r="F442" s="110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</row>
    <row r="443" spans="1:24">
      <c r="A443" s="109"/>
      <c r="B443" s="143"/>
      <c r="C443" s="144"/>
      <c r="D443" s="109"/>
      <c r="E443" s="109"/>
      <c r="F443" s="110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</row>
    <row r="444" spans="1:24">
      <c r="A444" s="109"/>
      <c r="B444" s="143"/>
      <c r="C444" s="144"/>
      <c r="D444" s="109"/>
      <c r="E444" s="109"/>
      <c r="F444" s="110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</row>
    <row r="445" spans="1:24">
      <c r="A445" s="109"/>
      <c r="B445" s="143"/>
      <c r="C445" s="144"/>
      <c r="D445" s="109"/>
      <c r="E445" s="109"/>
      <c r="F445" s="110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</row>
    <row r="446" spans="1:24">
      <c r="A446" s="109"/>
      <c r="B446" s="143"/>
      <c r="C446" s="144"/>
      <c r="D446" s="109"/>
      <c r="E446" s="109"/>
      <c r="F446" s="110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</row>
    <row r="447" spans="1:24">
      <c r="A447" s="109"/>
      <c r="B447" s="143"/>
      <c r="C447" s="144"/>
      <c r="D447" s="109"/>
      <c r="E447" s="109"/>
      <c r="F447" s="110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</row>
    <row r="448" spans="1:24">
      <c r="A448" s="109"/>
      <c r="B448" s="143"/>
      <c r="C448" s="144"/>
      <c r="D448" s="109"/>
      <c r="E448" s="109"/>
      <c r="F448" s="110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</row>
    <row r="449" spans="1:24">
      <c r="A449" s="109"/>
      <c r="B449" s="143"/>
      <c r="C449" s="144"/>
      <c r="D449" s="109"/>
      <c r="E449" s="109"/>
      <c r="F449" s="110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</row>
    <row r="450" spans="1:24">
      <c r="A450" s="109"/>
      <c r="B450" s="143"/>
      <c r="C450" s="144"/>
      <c r="D450" s="109"/>
      <c r="E450" s="109"/>
      <c r="F450" s="110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</row>
    <row r="451" spans="1:24">
      <c r="A451" s="109"/>
      <c r="B451" s="143"/>
      <c r="C451" s="144"/>
      <c r="D451" s="109"/>
      <c r="E451" s="109"/>
      <c r="F451" s="110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</row>
    <row r="452" spans="1:24">
      <c r="A452" s="109"/>
      <c r="B452" s="143"/>
      <c r="C452" s="144"/>
      <c r="D452" s="109"/>
      <c r="E452" s="109"/>
      <c r="F452" s="110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</row>
    <row r="453" spans="1:24">
      <c r="A453" s="109"/>
      <c r="B453" s="143"/>
      <c r="C453" s="144"/>
      <c r="D453" s="109"/>
      <c r="E453" s="109"/>
      <c r="F453" s="110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</row>
    <row r="454" spans="1:24">
      <c r="A454" s="109"/>
      <c r="B454" s="143"/>
      <c r="C454" s="144"/>
      <c r="D454" s="109"/>
      <c r="E454" s="109"/>
      <c r="F454" s="110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</row>
    <row r="455" spans="1:24">
      <c r="A455" s="109"/>
      <c r="B455" s="143"/>
      <c r="C455" s="144"/>
      <c r="D455" s="109"/>
      <c r="E455" s="109"/>
      <c r="F455" s="110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</row>
    <row r="456" spans="1:24">
      <c r="A456" s="109"/>
      <c r="B456" s="143"/>
      <c r="C456" s="144"/>
      <c r="D456" s="109"/>
      <c r="E456" s="109"/>
      <c r="F456" s="110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</row>
    <row r="457" spans="1:24">
      <c r="A457" s="109"/>
      <c r="B457" s="143"/>
      <c r="C457" s="144"/>
      <c r="D457" s="109"/>
      <c r="E457" s="109"/>
      <c r="F457" s="110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</row>
    <row r="458" spans="1:24">
      <c r="A458" s="109"/>
      <c r="B458" s="143"/>
      <c r="C458" s="144"/>
      <c r="D458" s="109"/>
      <c r="E458" s="109"/>
      <c r="F458" s="110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</row>
    <row r="459" spans="1:24">
      <c r="A459" s="109"/>
      <c r="B459" s="143"/>
      <c r="C459" s="144"/>
      <c r="D459" s="109"/>
      <c r="E459" s="109"/>
      <c r="F459" s="110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</row>
    <row r="460" spans="1:24">
      <c r="A460" s="109"/>
      <c r="B460" s="143"/>
      <c r="C460" s="144"/>
      <c r="D460" s="109"/>
      <c r="E460" s="109"/>
      <c r="F460" s="110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</row>
    <row r="461" spans="1:24">
      <c r="A461" s="109"/>
      <c r="B461" s="143"/>
      <c r="C461" s="144"/>
      <c r="D461" s="109"/>
      <c r="E461" s="109"/>
      <c r="F461" s="110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</row>
    <row r="462" spans="1:24">
      <c r="A462" s="109"/>
      <c r="B462" s="143"/>
      <c r="C462" s="144"/>
      <c r="D462" s="109"/>
      <c r="E462" s="109"/>
      <c r="F462" s="110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</row>
    <row r="463" spans="1:24">
      <c r="A463" s="109"/>
      <c r="B463" s="143"/>
      <c r="C463" s="144"/>
      <c r="D463" s="109"/>
      <c r="E463" s="109"/>
      <c r="F463" s="110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</row>
    <row r="464" spans="1:24">
      <c r="A464" s="109"/>
      <c r="B464" s="143"/>
      <c r="C464" s="144"/>
      <c r="D464" s="109"/>
      <c r="E464" s="109"/>
      <c r="F464" s="110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</row>
    <row r="465" spans="1:24">
      <c r="A465" s="109"/>
      <c r="B465" s="143"/>
      <c r="C465" s="144"/>
      <c r="D465" s="109"/>
      <c r="E465" s="109"/>
      <c r="F465" s="110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</row>
    <row r="466" spans="1:24">
      <c r="A466" s="109"/>
      <c r="B466" s="143"/>
      <c r="C466" s="144"/>
      <c r="D466" s="109"/>
      <c r="E466" s="109"/>
      <c r="F466" s="110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</row>
    <row r="467" spans="1:24">
      <c r="A467" s="109"/>
      <c r="B467" s="143"/>
      <c r="C467" s="144"/>
      <c r="D467" s="109"/>
      <c r="E467" s="109"/>
      <c r="F467" s="110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</row>
    <row r="468" spans="1:24">
      <c r="A468" s="109"/>
      <c r="B468" s="143"/>
      <c r="C468" s="144"/>
      <c r="D468" s="109"/>
      <c r="E468" s="109"/>
      <c r="F468" s="110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</row>
    <row r="469" spans="1:24">
      <c r="A469" s="109"/>
      <c r="B469" s="143"/>
      <c r="C469" s="144"/>
      <c r="D469" s="109"/>
      <c r="E469" s="109"/>
      <c r="F469" s="110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</row>
    <row r="470" spans="1:24">
      <c r="A470" s="109"/>
      <c r="B470" s="143"/>
      <c r="C470" s="144"/>
      <c r="D470" s="109"/>
      <c r="E470" s="109"/>
      <c r="F470" s="110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</row>
    <row r="471" spans="1:24">
      <c r="A471" s="109"/>
      <c r="B471" s="143"/>
      <c r="C471" s="144"/>
      <c r="D471" s="109"/>
      <c r="E471" s="109"/>
      <c r="F471" s="110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</row>
    <row r="472" spans="1:24">
      <c r="A472" s="109"/>
      <c r="B472" s="143"/>
      <c r="C472" s="144"/>
      <c r="D472" s="109"/>
      <c r="E472" s="109"/>
      <c r="F472" s="110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</row>
    <row r="473" spans="1:24">
      <c r="A473" s="109"/>
      <c r="B473" s="143"/>
      <c r="C473" s="144"/>
      <c r="D473" s="109"/>
      <c r="E473" s="109"/>
      <c r="F473" s="110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</row>
    <row r="474" spans="1:24">
      <c r="A474" s="109"/>
      <c r="B474" s="143"/>
      <c r="C474" s="144"/>
      <c r="D474" s="109"/>
      <c r="E474" s="109"/>
      <c r="F474" s="110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</row>
    <row r="475" spans="1:24">
      <c r="A475" s="109"/>
      <c r="B475" s="143"/>
      <c r="C475" s="144"/>
      <c r="D475" s="109"/>
      <c r="E475" s="109"/>
      <c r="F475" s="110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</row>
    <row r="476" spans="1:24">
      <c r="A476" s="109"/>
      <c r="B476" s="143"/>
      <c r="C476" s="144"/>
      <c r="D476" s="109"/>
      <c r="E476" s="109"/>
      <c r="F476" s="110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</row>
    <row r="477" spans="1:24">
      <c r="A477" s="109"/>
      <c r="B477" s="143"/>
      <c r="C477" s="144"/>
      <c r="D477" s="109"/>
      <c r="E477" s="109"/>
      <c r="F477" s="110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</row>
    <row r="478" spans="1:24">
      <c r="A478" s="109"/>
      <c r="B478" s="143"/>
      <c r="C478" s="144"/>
      <c r="D478" s="109"/>
      <c r="E478" s="109"/>
      <c r="F478" s="110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</row>
    <row r="479" spans="1:24">
      <c r="A479" s="109"/>
      <c r="B479" s="143"/>
      <c r="C479" s="144"/>
      <c r="D479" s="109"/>
      <c r="E479" s="109"/>
      <c r="F479" s="110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</row>
    <row r="480" spans="1:24">
      <c r="A480" s="109"/>
      <c r="B480" s="143"/>
      <c r="C480" s="144"/>
      <c r="D480" s="109"/>
      <c r="E480" s="109"/>
      <c r="F480" s="110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</row>
    <row r="481" spans="1:24">
      <c r="A481" s="109"/>
      <c r="B481" s="143"/>
      <c r="C481" s="144"/>
      <c r="D481" s="109"/>
      <c r="E481" s="109"/>
      <c r="F481" s="110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</row>
    <row r="482" spans="1:24">
      <c r="A482" s="109"/>
      <c r="B482" s="143"/>
      <c r="C482" s="144"/>
      <c r="D482" s="109"/>
      <c r="E482" s="109"/>
      <c r="F482" s="110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</row>
    <row r="483" spans="1:24">
      <c r="A483" s="109"/>
      <c r="B483" s="143"/>
      <c r="C483" s="144"/>
      <c r="D483" s="109"/>
      <c r="E483" s="109"/>
      <c r="F483" s="110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</row>
    <row r="484" spans="1:24">
      <c r="A484" s="109"/>
      <c r="B484" s="143"/>
      <c r="C484" s="144"/>
      <c r="D484" s="109"/>
      <c r="E484" s="109"/>
      <c r="F484" s="110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</row>
    <row r="485" spans="1:24">
      <c r="A485" s="109"/>
      <c r="B485" s="143"/>
      <c r="C485" s="144"/>
      <c r="D485" s="109"/>
      <c r="E485" s="109"/>
      <c r="F485" s="110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</row>
    <row r="486" spans="1:24">
      <c r="A486" s="109"/>
      <c r="B486" s="143"/>
      <c r="C486" s="144"/>
      <c r="D486" s="109"/>
      <c r="E486" s="109"/>
      <c r="F486" s="110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</row>
    <row r="487" spans="1:24">
      <c r="A487" s="109"/>
      <c r="B487" s="143"/>
      <c r="C487" s="144"/>
      <c r="D487" s="109"/>
      <c r="E487" s="109"/>
      <c r="F487" s="110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</row>
    <row r="488" spans="1:24">
      <c r="A488" s="109"/>
      <c r="B488" s="143"/>
      <c r="C488" s="144"/>
      <c r="D488" s="109"/>
      <c r="E488" s="109"/>
      <c r="F488" s="110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</row>
    <row r="489" spans="1:24">
      <c r="A489" s="109"/>
      <c r="B489" s="143"/>
      <c r="C489" s="144"/>
      <c r="D489" s="109"/>
      <c r="E489" s="109"/>
      <c r="F489" s="110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</row>
    <row r="490" spans="1:24">
      <c r="A490" s="109"/>
      <c r="B490" s="143"/>
      <c r="C490" s="144"/>
      <c r="D490" s="109"/>
      <c r="E490" s="109"/>
      <c r="F490" s="110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</row>
    <row r="491" spans="1:24">
      <c r="A491" s="109"/>
      <c r="B491" s="143"/>
      <c r="C491" s="144"/>
      <c r="D491" s="109"/>
      <c r="E491" s="109"/>
      <c r="F491" s="110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</row>
    <row r="492" spans="1:24">
      <c r="A492" s="109"/>
      <c r="B492" s="143"/>
      <c r="C492" s="144"/>
      <c r="D492" s="109"/>
      <c r="E492" s="109"/>
      <c r="F492" s="110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</row>
    <row r="493" spans="1:24">
      <c r="A493" s="109"/>
      <c r="B493" s="143"/>
      <c r="C493" s="144"/>
      <c r="D493" s="109"/>
      <c r="E493" s="109"/>
      <c r="F493" s="110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</row>
    <row r="494" spans="1:24">
      <c r="A494" s="109"/>
      <c r="B494" s="143"/>
      <c r="C494" s="144"/>
      <c r="D494" s="109"/>
      <c r="E494" s="109"/>
      <c r="F494" s="110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</row>
    <row r="495" spans="1:24">
      <c r="A495" s="109"/>
      <c r="B495" s="143"/>
      <c r="C495" s="144"/>
      <c r="D495" s="109"/>
      <c r="E495" s="109"/>
      <c r="F495" s="110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</row>
    <row r="496" spans="1:24">
      <c r="A496" s="109"/>
      <c r="B496" s="143"/>
      <c r="C496" s="144"/>
      <c r="D496" s="109"/>
      <c r="E496" s="109"/>
      <c r="F496" s="110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</row>
    <row r="497" spans="1:24">
      <c r="A497" s="109"/>
      <c r="B497" s="143"/>
      <c r="C497" s="144"/>
      <c r="D497" s="109"/>
      <c r="E497" s="109"/>
      <c r="F497" s="110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</row>
    <row r="498" spans="1:24">
      <c r="A498" s="109"/>
      <c r="B498" s="143"/>
      <c r="C498" s="144"/>
      <c r="D498" s="109"/>
      <c r="E498" s="109"/>
      <c r="F498" s="110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</row>
    <row r="499" spans="1:24">
      <c r="A499" s="109"/>
      <c r="B499" s="143"/>
      <c r="C499" s="144"/>
      <c r="D499" s="109"/>
      <c r="E499" s="109"/>
      <c r="F499" s="110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</row>
    <row r="500" spans="1:24">
      <c r="A500" s="109"/>
      <c r="B500" s="143"/>
      <c r="C500" s="144"/>
      <c r="D500" s="109"/>
      <c r="E500" s="109"/>
      <c r="F500" s="110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</row>
    <row r="501" spans="1:24">
      <c r="A501" s="109"/>
      <c r="B501" s="143"/>
      <c r="C501" s="144"/>
      <c r="D501" s="109"/>
      <c r="E501" s="109"/>
      <c r="F501" s="110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</row>
    <row r="502" spans="1:24">
      <c r="A502" s="109"/>
      <c r="B502" s="143"/>
      <c r="C502" s="144"/>
      <c r="D502" s="109"/>
      <c r="E502" s="109"/>
      <c r="F502" s="110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</row>
    <row r="503" spans="1:24">
      <c r="A503" s="109"/>
      <c r="B503" s="143"/>
      <c r="C503" s="144"/>
      <c r="D503" s="109"/>
      <c r="E503" s="109"/>
      <c r="F503" s="110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</row>
    <row r="504" spans="1:24">
      <c r="A504" s="109"/>
      <c r="B504" s="143"/>
      <c r="C504" s="144"/>
      <c r="D504" s="109"/>
      <c r="E504" s="109"/>
      <c r="F504" s="110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</row>
    <row r="505" spans="1:24">
      <c r="A505" s="109"/>
      <c r="B505" s="143"/>
      <c r="C505" s="144"/>
      <c r="D505" s="109"/>
      <c r="E505" s="109"/>
      <c r="F505" s="110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</row>
    <row r="506" spans="1:24">
      <c r="A506" s="109"/>
      <c r="B506" s="143"/>
      <c r="C506" s="144"/>
      <c r="D506" s="109"/>
      <c r="E506" s="109"/>
      <c r="F506" s="110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</row>
    <row r="507" spans="1:24">
      <c r="A507" s="109"/>
      <c r="B507" s="143"/>
      <c r="C507" s="144"/>
      <c r="D507" s="109"/>
      <c r="E507" s="109"/>
      <c r="F507" s="110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</row>
    <row r="508" spans="1:24">
      <c r="A508" s="109"/>
      <c r="B508" s="143"/>
      <c r="C508" s="144"/>
      <c r="D508" s="109"/>
      <c r="E508" s="109"/>
      <c r="F508" s="110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</row>
    <row r="509" spans="1:24">
      <c r="A509" s="109"/>
      <c r="B509" s="143"/>
      <c r="C509" s="144"/>
      <c r="D509" s="109"/>
      <c r="E509" s="109"/>
      <c r="F509" s="110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</row>
    <row r="510" spans="1:24">
      <c r="A510" s="109"/>
      <c r="B510" s="143"/>
      <c r="C510" s="144"/>
      <c r="D510" s="109"/>
      <c r="E510" s="109"/>
      <c r="F510" s="110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</row>
    <row r="511" spans="1:24">
      <c r="A511" s="109"/>
      <c r="B511" s="143"/>
      <c r="C511" s="144"/>
      <c r="D511" s="109"/>
      <c r="E511" s="109"/>
      <c r="F511" s="110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</row>
    <row r="512" spans="1:24">
      <c r="A512" s="109"/>
      <c r="B512" s="143"/>
      <c r="C512" s="144"/>
      <c r="D512" s="109"/>
      <c r="E512" s="109"/>
      <c r="F512" s="110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</row>
    <row r="513" spans="1:24">
      <c r="A513" s="109"/>
      <c r="B513" s="143"/>
      <c r="C513" s="144"/>
      <c r="D513" s="109"/>
      <c r="E513" s="109"/>
      <c r="F513" s="110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</row>
    <row r="514" spans="1:24">
      <c r="A514" s="109"/>
      <c r="B514" s="143"/>
      <c r="C514" s="144"/>
      <c r="D514" s="109"/>
      <c r="E514" s="109"/>
      <c r="F514" s="110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</row>
    <row r="515" spans="1:24">
      <c r="A515" s="109"/>
      <c r="B515" s="143"/>
      <c r="C515" s="144"/>
      <c r="D515" s="109"/>
      <c r="E515" s="109"/>
      <c r="F515" s="110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</row>
    <row r="516" spans="1:24">
      <c r="A516" s="109"/>
      <c r="B516" s="143"/>
      <c r="C516" s="144"/>
      <c r="D516" s="109"/>
      <c r="E516" s="109"/>
      <c r="F516" s="110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</row>
    <row r="517" spans="1:24">
      <c r="A517" s="109"/>
      <c r="B517" s="143"/>
      <c r="C517" s="144"/>
      <c r="D517" s="109"/>
      <c r="E517" s="109"/>
      <c r="F517" s="110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</row>
    <row r="518" spans="1:24">
      <c r="A518" s="109"/>
      <c r="B518" s="143"/>
      <c r="C518" s="144"/>
      <c r="D518" s="109"/>
      <c r="E518" s="109"/>
      <c r="F518" s="110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</row>
    <row r="519" spans="1:24">
      <c r="A519" s="109"/>
      <c r="B519" s="143"/>
      <c r="C519" s="144"/>
      <c r="D519" s="109"/>
      <c r="E519" s="109"/>
      <c r="F519" s="110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</row>
    <row r="520" spans="1:24">
      <c r="A520" s="109"/>
      <c r="B520" s="143"/>
      <c r="C520" s="144"/>
      <c r="D520" s="109"/>
      <c r="E520" s="109"/>
      <c r="F520" s="110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</row>
    <row r="521" spans="1:24">
      <c r="A521" s="109"/>
      <c r="B521" s="143"/>
      <c r="C521" s="144"/>
      <c r="D521" s="109"/>
      <c r="E521" s="109"/>
      <c r="F521" s="110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</row>
    <row r="522" spans="1:24">
      <c r="A522" s="109"/>
      <c r="B522" s="143"/>
      <c r="C522" s="144"/>
      <c r="D522" s="109"/>
      <c r="E522" s="109"/>
      <c r="F522" s="110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</row>
    <row r="523" spans="1:24">
      <c r="A523" s="109"/>
      <c r="B523" s="143"/>
      <c r="C523" s="144"/>
      <c r="D523" s="109"/>
      <c r="E523" s="109"/>
      <c r="F523" s="110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</row>
    <row r="524" spans="1:24">
      <c r="A524" s="109"/>
      <c r="B524" s="143"/>
      <c r="C524" s="144"/>
      <c r="D524" s="109"/>
      <c r="E524" s="109"/>
      <c r="F524" s="110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</row>
    <row r="525" spans="1:24">
      <c r="A525" s="109"/>
      <c r="B525" s="143"/>
      <c r="C525" s="144"/>
      <c r="D525" s="109"/>
      <c r="E525" s="109"/>
      <c r="F525" s="110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</row>
    <row r="526" spans="1:24">
      <c r="A526" s="109"/>
      <c r="B526" s="143"/>
      <c r="C526" s="144"/>
      <c r="D526" s="109"/>
      <c r="E526" s="109"/>
      <c r="F526" s="110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</row>
    <row r="527" spans="1:24">
      <c r="A527" s="109"/>
      <c r="B527" s="143"/>
      <c r="C527" s="144"/>
      <c r="D527" s="109"/>
      <c r="E527" s="109"/>
      <c r="F527" s="110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</row>
    <row r="528" spans="1:24">
      <c r="A528" s="109"/>
      <c r="B528" s="143"/>
      <c r="C528" s="144"/>
      <c r="D528" s="109"/>
      <c r="E528" s="109"/>
      <c r="F528" s="110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</row>
    <row r="529" spans="1:24">
      <c r="A529" s="109"/>
      <c r="B529" s="143"/>
      <c r="C529" s="144"/>
      <c r="D529" s="109"/>
      <c r="E529" s="109"/>
      <c r="F529" s="110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</row>
    <row r="530" spans="1:24">
      <c r="A530" s="109"/>
      <c r="B530" s="143"/>
      <c r="C530" s="144"/>
      <c r="D530" s="109"/>
      <c r="E530" s="109"/>
      <c r="F530" s="110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</row>
    <row r="531" spans="1:24">
      <c r="A531" s="109"/>
      <c r="B531" s="143"/>
      <c r="C531" s="144"/>
      <c r="D531" s="109"/>
      <c r="E531" s="109"/>
      <c r="F531" s="110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</row>
    <row r="532" spans="1:24">
      <c r="A532" s="109"/>
      <c r="B532" s="143"/>
      <c r="C532" s="144"/>
      <c r="D532" s="109"/>
      <c r="E532" s="109"/>
      <c r="F532" s="110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</row>
    <row r="533" spans="1:24">
      <c r="A533" s="109"/>
      <c r="B533" s="143"/>
      <c r="C533" s="144"/>
      <c r="D533" s="109"/>
      <c r="E533" s="109"/>
      <c r="F533" s="110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</row>
    <row r="534" spans="1:24">
      <c r="A534" s="109"/>
      <c r="B534" s="143"/>
      <c r="C534" s="144"/>
      <c r="D534" s="109"/>
      <c r="E534" s="109"/>
      <c r="F534" s="110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</row>
    <row r="535" spans="1:24">
      <c r="A535" s="109"/>
      <c r="B535" s="143"/>
      <c r="C535" s="144"/>
      <c r="D535" s="109"/>
      <c r="E535" s="109"/>
      <c r="F535" s="110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</row>
    <row r="536" spans="1:24">
      <c r="A536" s="109"/>
      <c r="B536" s="143"/>
      <c r="C536" s="144"/>
      <c r="D536" s="109"/>
      <c r="E536" s="109"/>
      <c r="F536" s="110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</row>
    <row r="537" spans="1:24">
      <c r="A537" s="109"/>
      <c r="B537" s="143"/>
      <c r="C537" s="144"/>
      <c r="D537" s="109"/>
      <c r="E537" s="109"/>
      <c r="F537" s="110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</row>
    <row r="538" spans="1:24">
      <c r="A538" s="109"/>
      <c r="B538" s="143"/>
      <c r="C538" s="144"/>
      <c r="D538" s="109"/>
      <c r="E538" s="109"/>
      <c r="F538" s="110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</row>
    <row r="539" spans="1:24">
      <c r="A539" s="109"/>
      <c r="B539" s="143"/>
      <c r="C539" s="144"/>
      <c r="D539" s="109"/>
      <c r="E539" s="109"/>
      <c r="F539" s="110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</row>
    <row r="540" spans="1:24">
      <c r="A540" s="109"/>
      <c r="B540" s="143"/>
      <c r="C540" s="144"/>
      <c r="D540" s="109"/>
      <c r="E540" s="109"/>
      <c r="F540" s="110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</row>
    <row r="541" spans="1:24">
      <c r="A541" s="109"/>
      <c r="B541" s="143"/>
      <c r="C541" s="144"/>
      <c r="D541" s="109"/>
      <c r="E541" s="109"/>
      <c r="F541" s="110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</row>
    <row r="542" spans="1:24">
      <c r="A542" s="109"/>
      <c r="B542" s="143"/>
      <c r="C542" s="144"/>
      <c r="D542" s="109"/>
      <c r="E542" s="109"/>
      <c r="F542" s="110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</row>
    <row r="543" spans="1:24">
      <c r="A543" s="109"/>
      <c r="B543" s="143"/>
      <c r="C543" s="144"/>
      <c r="D543" s="109"/>
      <c r="E543" s="109"/>
      <c r="F543" s="110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</row>
    <row r="544" spans="1:24">
      <c r="A544" s="109"/>
      <c r="B544" s="143"/>
      <c r="C544" s="144"/>
      <c r="D544" s="109"/>
      <c r="E544" s="109"/>
      <c r="F544" s="110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</row>
    <row r="545" spans="1:24">
      <c r="A545" s="109"/>
      <c r="B545" s="143"/>
      <c r="C545" s="144"/>
      <c r="D545" s="109"/>
      <c r="E545" s="109"/>
      <c r="F545" s="110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</row>
    <row r="546" spans="1:24">
      <c r="A546" s="109"/>
      <c r="B546" s="143"/>
      <c r="C546" s="144"/>
      <c r="D546" s="109"/>
      <c r="E546" s="109"/>
      <c r="F546" s="110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</row>
    <row r="547" spans="1:24">
      <c r="A547" s="109"/>
      <c r="B547" s="143"/>
      <c r="C547" s="144"/>
      <c r="D547" s="109"/>
      <c r="E547" s="109"/>
      <c r="F547" s="110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</row>
    <row r="548" spans="1:24">
      <c r="A548" s="109"/>
      <c r="B548" s="143"/>
      <c r="C548" s="144"/>
      <c r="D548" s="109"/>
      <c r="E548" s="109"/>
      <c r="F548" s="110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</row>
    <row r="549" spans="1:24">
      <c r="A549" s="109"/>
      <c r="B549" s="143"/>
      <c r="C549" s="144"/>
      <c r="D549" s="109"/>
      <c r="E549" s="109"/>
      <c r="F549" s="110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</row>
    <row r="550" spans="1:24">
      <c r="A550" s="109"/>
      <c r="B550" s="143"/>
      <c r="C550" s="144"/>
      <c r="D550" s="109"/>
      <c r="E550" s="109"/>
      <c r="F550" s="110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</row>
    <row r="551" spans="1:24">
      <c r="A551" s="109"/>
      <c r="B551" s="143"/>
      <c r="C551" s="144"/>
      <c r="D551" s="109"/>
      <c r="E551" s="109"/>
      <c r="F551" s="110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</row>
    <row r="552" spans="1:24">
      <c r="A552" s="109"/>
      <c r="B552" s="143"/>
      <c r="C552" s="144"/>
      <c r="D552" s="109"/>
      <c r="E552" s="109"/>
      <c r="F552" s="110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</row>
    <row r="553" spans="1:24">
      <c r="A553" s="109"/>
      <c r="B553" s="143"/>
      <c r="C553" s="144"/>
      <c r="D553" s="109"/>
      <c r="E553" s="109"/>
      <c r="F553" s="110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</row>
    <row r="554" spans="1:24">
      <c r="A554" s="109"/>
      <c r="B554" s="143"/>
      <c r="C554" s="144"/>
      <c r="D554" s="109"/>
      <c r="E554" s="109"/>
      <c r="F554" s="110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</row>
    <row r="555" spans="1:24">
      <c r="A555" s="109"/>
      <c r="B555" s="143"/>
      <c r="C555" s="144"/>
      <c r="D555" s="109"/>
      <c r="E555" s="109"/>
      <c r="F555" s="110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</row>
    <row r="556" spans="1:24">
      <c r="A556" s="109"/>
      <c r="B556" s="143"/>
      <c r="C556" s="144"/>
      <c r="D556" s="109"/>
      <c r="E556" s="109"/>
      <c r="F556" s="110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</row>
    <row r="557" spans="1:24">
      <c r="A557" s="109"/>
      <c r="B557" s="143"/>
      <c r="C557" s="144"/>
      <c r="D557" s="109"/>
      <c r="E557" s="109"/>
      <c r="F557" s="110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</row>
    <row r="558" spans="1:24">
      <c r="A558" s="109"/>
      <c r="B558" s="143"/>
      <c r="C558" s="144"/>
      <c r="D558" s="109"/>
      <c r="E558" s="109"/>
      <c r="F558" s="110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</row>
    <row r="559" spans="1:24">
      <c r="A559" s="109"/>
      <c r="B559" s="143"/>
      <c r="C559" s="144"/>
      <c r="D559" s="109"/>
      <c r="E559" s="109"/>
      <c r="F559" s="110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</row>
    <row r="560" spans="1:24">
      <c r="A560" s="109"/>
      <c r="B560" s="143"/>
      <c r="C560" s="144"/>
      <c r="D560" s="109"/>
      <c r="E560" s="109"/>
      <c r="F560" s="110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</row>
    <row r="561" spans="1:24">
      <c r="A561" s="109"/>
      <c r="B561" s="143"/>
      <c r="C561" s="144"/>
      <c r="D561" s="109"/>
      <c r="E561" s="109"/>
      <c r="F561" s="110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</row>
    <row r="562" spans="1:24">
      <c r="A562" s="109"/>
      <c r="B562" s="143"/>
      <c r="C562" s="144"/>
      <c r="D562" s="109"/>
      <c r="E562" s="109"/>
      <c r="F562" s="110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</row>
    <row r="563" spans="1:24">
      <c r="A563" s="109"/>
      <c r="B563" s="143"/>
      <c r="C563" s="144"/>
      <c r="D563" s="109"/>
      <c r="E563" s="109"/>
      <c r="F563" s="110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</row>
    <row r="564" spans="1:24">
      <c r="A564" s="109"/>
      <c r="B564" s="143"/>
      <c r="C564" s="144"/>
      <c r="D564" s="109"/>
      <c r="E564" s="109"/>
      <c r="F564" s="110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</row>
    <row r="565" spans="1:24">
      <c r="A565" s="109"/>
      <c r="B565" s="143"/>
      <c r="C565" s="144"/>
      <c r="D565" s="109"/>
      <c r="E565" s="109"/>
      <c r="F565" s="110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</row>
    <row r="566" spans="1:24">
      <c r="A566" s="109"/>
      <c r="B566" s="143"/>
      <c r="C566" s="144"/>
      <c r="D566" s="109"/>
      <c r="E566" s="109"/>
      <c r="F566" s="110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</row>
    <row r="567" spans="1:24">
      <c r="A567" s="109"/>
      <c r="B567" s="143"/>
      <c r="C567" s="144"/>
      <c r="D567" s="109"/>
      <c r="E567" s="109"/>
      <c r="F567" s="110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</row>
    <row r="568" spans="1:24">
      <c r="A568" s="109"/>
      <c r="B568" s="143"/>
      <c r="C568" s="144"/>
      <c r="D568" s="109"/>
      <c r="E568" s="109"/>
      <c r="F568" s="110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</row>
    <row r="569" spans="1:24">
      <c r="A569" s="109"/>
      <c r="B569" s="143"/>
      <c r="C569" s="144"/>
      <c r="D569" s="109"/>
      <c r="E569" s="109"/>
      <c r="F569" s="110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</row>
    <row r="570" spans="1:24">
      <c r="A570" s="109"/>
      <c r="B570" s="143"/>
      <c r="C570" s="144"/>
      <c r="D570" s="109"/>
      <c r="E570" s="109"/>
      <c r="F570" s="110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</row>
    <row r="571" spans="1:24">
      <c r="A571" s="109"/>
      <c r="B571" s="143"/>
      <c r="C571" s="144"/>
      <c r="D571" s="109"/>
      <c r="E571" s="109"/>
      <c r="F571" s="110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</row>
    <row r="572" spans="1:24">
      <c r="A572" s="109"/>
      <c r="B572" s="143"/>
      <c r="C572" s="144"/>
      <c r="D572" s="109"/>
      <c r="E572" s="109"/>
      <c r="F572" s="110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</row>
    <row r="573" spans="1:24">
      <c r="A573" s="109"/>
      <c r="B573" s="143"/>
      <c r="C573" s="144"/>
      <c r="D573" s="109"/>
      <c r="E573" s="109"/>
      <c r="F573" s="110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</row>
    <row r="574" spans="1:24">
      <c r="A574" s="109"/>
      <c r="B574" s="143"/>
      <c r="C574" s="144"/>
      <c r="D574" s="109"/>
      <c r="E574" s="109"/>
      <c r="F574" s="110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</row>
    <row r="575" spans="1:24">
      <c r="A575" s="109"/>
      <c r="B575" s="143"/>
      <c r="C575" s="144"/>
      <c r="D575" s="109"/>
      <c r="E575" s="109"/>
      <c r="F575" s="110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</row>
    <row r="576" spans="1:24">
      <c r="A576" s="109"/>
      <c r="B576" s="143"/>
      <c r="C576" s="144"/>
      <c r="D576" s="109"/>
      <c r="E576" s="109"/>
      <c r="F576" s="110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</row>
    <row r="577" spans="1:24">
      <c r="A577" s="109"/>
      <c r="B577" s="143"/>
      <c r="C577" s="144"/>
      <c r="D577" s="109"/>
      <c r="E577" s="109"/>
      <c r="F577" s="110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</row>
    <row r="578" spans="1:24">
      <c r="A578" s="109"/>
      <c r="B578" s="143"/>
      <c r="C578" s="144"/>
      <c r="D578" s="109"/>
      <c r="E578" s="109"/>
      <c r="F578" s="110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</row>
    <row r="579" spans="1:24">
      <c r="A579" s="109"/>
      <c r="B579" s="143"/>
      <c r="C579" s="144"/>
      <c r="D579" s="109"/>
      <c r="E579" s="109"/>
      <c r="F579" s="110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</row>
    <row r="580" spans="1:24">
      <c r="A580" s="109"/>
      <c r="B580" s="143"/>
      <c r="C580" s="144"/>
      <c r="D580" s="109"/>
      <c r="E580" s="109"/>
      <c r="F580" s="110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</row>
    <row r="581" spans="1:24">
      <c r="A581" s="109"/>
      <c r="B581" s="143"/>
      <c r="C581" s="144"/>
      <c r="D581" s="109"/>
      <c r="E581" s="109"/>
      <c r="F581" s="110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</row>
    <row r="582" spans="1:24">
      <c r="A582" s="109"/>
      <c r="B582" s="143"/>
      <c r="C582" s="144"/>
      <c r="D582" s="109"/>
      <c r="E582" s="109"/>
      <c r="F582" s="110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</row>
    <row r="583" spans="1:24">
      <c r="A583" s="109"/>
      <c r="B583" s="143"/>
      <c r="C583" s="144"/>
      <c r="D583" s="109"/>
      <c r="E583" s="109"/>
      <c r="F583" s="110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</row>
    <row r="584" spans="1:24">
      <c r="A584" s="109"/>
      <c r="B584" s="143"/>
      <c r="C584" s="144"/>
      <c r="D584" s="109"/>
      <c r="E584" s="109"/>
      <c r="F584" s="110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</row>
    <row r="585" spans="1:24">
      <c r="A585" s="109"/>
      <c r="B585" s="143"/>
      <c r="C585" s="144"/>
      <c r="D585" s="109"/>
      <c r="E585" s="109"/>
      <c r="F585" s="110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</row>
    <row r="586" spans="1:24">
      <c r="A586" s="109"/>
      <c r="B586" s="143"/>
      <c r="C586" s="144"/>
      <c r="D586" s="109"/>
      <c r="E586" s="109"/>
      <c r="F586" s="110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</row>
    <row r="587" spans="1:24">
      <c r="A587" s="109"/>
      <c r="B587" s="143"/>
      <c r="C587" s="144"/>
      <c r="D587" s="109"/>
      <c r="E587" s="109"/>
      <c r="F587" s="110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</row>
    <row r="588" spans="1:24">
      <c r="A588" s="109"/>
      <c r="B588" s="143"/>
      <c r="C588" s="144"/>
      <c r="D588" s="109"/>
      <c r="E588" s="109"/>
      <c r="F588" s="110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</row>
    <row r="589" spans="1:24">
      <c r="A589" s="109"/>
      <c r="B589" s="143"/>
      <c r="C589" s="144"/>
      <c r="D589" s="109"/>
      <c r="E589" s="109"/>
      <c r="F589" s="110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</row>
    <row r="590" spans="1:24">
      <c r="A590" s="109"/>
      <c r="B590" s="143"/>
      <c r="C590" s="144"/>
      <c r="D590" s="109"/>
      <c r="E590" s="109"/>
      <c r="F590" s="110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</row>
    <row r="591" spans="1:24">
      <c r="A591" s="109"/>
      <c r="B591" s="143"/>
      <c r="C591" s="144"/>
      <c r="D591" s="109"/>
      <c r="E591" s="109"/>
      <c r="F591" s="110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</row>
    <row r="592" spans="1:24">
      <c r="A592" s="109"/>
      <c r="B592" s="143"/>
      <c r="C592" s="144"/>
      <c r="D592" s="109"/>
      <c r="E592" s="109"/>
      <c r="F592" s="110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</row>
    <row r="593" spans="1:24">
      <c r="A593" s="109"/>
      <c r="B593" s="143"/>
      <c r="C593" s="144"/>
      <c r="D593" s="109"/>
      <c r="E593" s="109"/>
      <c r="F593" s="110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</row>
    <row r="594" spans="1:24">
      <c r="A594" s="109"/>
      <c r="B594" s="143"/>
      <c r="C594" s="144"/>
      <c r="D594" s="109"/>
      <c r="E594" s="109"/>
      <c r="F594" s="110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</row>
    <row r="595" spans="1:24">
      <c r="A595" s="109"/>
      <c r="B595" s="143"/>
      <c r="C595" s="144"/>
      <c r="D595" s="109"/>
      <c r="E595" s="109"/>
      <c r="F595" s="110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</row>
    <row r="596" spans="1:24">
      <c r="A596" s="109"/>
      <c r="B596" s="143"/>
      <c r="C596" s="144"/>
      <c r="D596" s="109"/>
      <c r="E596" s="109"/>
      <c r="F596" s="110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</row>
    <row r="597" spans="1:24">
      <c r="A597" s="109"/>
      <c r="B597" s="143"/>
      <c r="C597" s="144"/>
      <c r="D597" s="109"/>
      <c r="E597" s="109"/>
      <c r="F597" s="110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</row>
    <row r="598" spans="1:24">
      <c r="A598" s="109"/>
      <c r="B598" s="143"/>
      <c r="C598" s="144"/>
      <c r="D598" s="109"/>
      <c r="E598" s="109"/>
      <c r="F598" s="110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</row>
    <row r="599" spans="1:24">
      <c r="A599" s="109"/>
      <c r="B599" s="143"/>
      <c r="C599" s="144"/>
      <c r="D599" s="109"/>
      <c r="E599" s="109"/>
      <c r="F599" s="110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</row>
    <row r="600" spans="1:24">
      <c r="A600" s="109"/>
      <c r="B600" s="143"/>
      <c r="C600" s="144"/>
      <c r="D600" s="109"/>
      <c r="E600" s="109"/>
      <c r="F600" s="110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</row>
    <row r="601" spans="1:24">
      <c r="A601" s="109"/>
      <c r="B601" s="143"/>
      <c r="C601" s="144"/>
      <c r="D601" s="109"/>
      <c r="E601" s="109"/>
      <c r="F601" s="110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</row>
    <row r="602" spans="1:24">
      <c r="A602" s="109"/>
      <c r="B602" s="143"/>
      <c r="C602" s="144"/>
      <c r="D602" s="109"/>
      <c r="E602" s="109"/>
      <c r="F602" s="110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</row>
    <row r="603" spans="1:24">
      <c r="A603" s="109"/>
      <c r="B603" s="143"/>
      <c r="C603" s="144"/>
      <c r="D603" s="109"/>
      <c r="E603" s="109"/>
      <c r="F603" s="110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</row>
    <row r="604" spans="1:24">
      <c r="A604" s="109"/>
      <c r="B604" s="143"/>
      <c r="C604" s="144"/>
      <c r="D604" s="109"/>
      <c r="E604" s="109"/>
      <c r="F604" s="110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</row>
    <row r="605" spans="1:24">
      <c r="A605" s="109"/>
      <c r="B605" s="143"/>
      <c r="C605" s="144"/>
      <c r="D605" s="109"/>
      <c r="E605" s="109"/>
      <c r="F605" s="110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</row>
    <row r="606" spans="1:24">
      <c r="A606" s="109"/>
      <c r="B606" s="143"/>
      <c r="C606" s="144"/>
      <c r="D606" s="109"/>
      <c r="E606" s="109"/>
      <c r="F606" s="110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</row>
    <row r="607" spans="1:24">
      <c r="A607" s="109"/>
      <c r="B607" s="143"/>
      <c r="C607" s="144"/>
      <c r="D607" s="109"/>
      <c r="E607" s="109"/>
      <c r="F607" s="110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</row>
    <row r="608" spans="1:24">
      <c r="A608" s="109"/>
      <c r="B608" s="143"/>
      <c r="C608" s="144"/>
      <c r="D608" s="109"/>
      <c r="E608" s="109"/>
      <c r="F608" s="110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</row>
    <row r="609" spans="1:24">
      <c r="A609" s="109"/>
      <c r="B609" s="143"/>
      <c r="C609" s="144"/>
      <c r="D609" s="109"/>
      <c r="E609" s="109"/>
      <c r="F609" s="110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</row>
    <row r="610" spans="1:24">
      <c r="A610" s="109"/>
      <c r="B610" s="143"/>
      <c r="C610" s="144"/>
      <c r="D610" s="109"/>
      <c r="E610" s="109"/>
      <c r="F610" s="110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</row>
    <row r="611" spans="1:24">
      <c r="A611" s="109"/>
      <c r="B611" s="143"/>
      <c r="C611" s="144"/>
      <c r="D611" s="109"/>
      <c r="E611" s="109"/>
      <c r="F611" s="110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</row>
    <row r="612" spans="1:24">
      <c r="A612" s="109"/>
      <c r="B612" s="143"/>
      <c r="C612" s="144"/>
      <c r="D612" s="109"/>
      <c r="E612" s="109"/>
      <c r="F612" s="110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</row>
    <row r="613" spans="1:24">
      <c r="A613" s="109"/>
      <c r="B613" s="143"/>
      <c r="C613" s="144"/>
      <c r="D613" s="109"/>
      <c r="E613" s="109"/>
      <c r="F613" s="110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</row>
    <row r="614" spans="1:24">
      <c r="A614" s="109"/>
      <c r="B614" s="143"/>
      <c r="C614" s="144"/>
      <c r="D614" s="109"/>
      <c r="E614" s="109"/>
      <c r="F614" s="110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</row>
    <row r="615" spans="1:24">
      <c r="A615" s="109"/>
      <c r="B615" s="143"/>
      <c r="C615" s="144"/>
      <c r="D615" s="109"/>
      <c r="E615" s="109"/>
      <c r="F615" s="110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</row>
    <row r="616" spans="1:24">
      <c r="A616" s="109"/>
      <c r="B616" s="143"/>
      <c r="C616" s="144"/>
      <c r="D616" s="109"/>
      <c r="E616" s="109"/>
      <c r="F616" s="110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</row>
    <row r="617" spans="1:24">
      <c r="A617" s="109"/>
      <c r="B617" s="143"/>
      <c r="C617" s="144"/>
      <c r="D617" s="109"/>
      <c r="E617" s="109"/>
      <c r="F617" s="110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</row>
    <row r="618" spans="1:24">
      <c r="A618" s="109"/>
      <c r="B618" s="143"/>
      <c r="C618" s="144"/>
      <c r="D618" s="109"/>
      <c r="E618" s="109"/>
      <c r="F618" s="110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</row>
    <row r="619" spans="1:24">
      <c r="A619" s="109"/>
      <c r="B619" s="143"/>
      <c r="C619" s="144"/>
      <c r="D619" s="109"/>
      <c r="E619" s="109"/>
      <c r="F619" s="110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</row>
    <row r="620" spans="1:24">
      <c r="A620" s="109"/>
      <c r="B620" s="143"/>
      <c r="C620" s="144"/>
      <c r="D620" s="109"/>
      <c r="E620" s="109"/>
      <c r="F620" s="110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</row>
    <row r="621" spans="1:24">
      <c r="A621" s="109"/>
      <c r="B621" s="143"/>
      <c r="C621" s="144"/>
      <c r="D621" s="109"/>
      <c r="E621" s="109"/>
      <c r="F621" s="110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</row>
    <row r="622" spans="1:24">
      <c r="A622" s="109"/>
      <c r="B622" s="143"/>
      <c r="C622" s="144"/>
      <c r="D622" s="109"/>
      <c r="E622" s="109"/>
      <c r="F622" s="110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</row>
    <row r="623" spans="1:24">
      <c r="A623" s="109"/>
      <c r="B623" s="143"/>
      <c r="C623" s="144"/>
      <c r="D623" s="109"/>
      <c r="E623" s="109"/>
      <c r="F623" s="110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</row>
    <row r="624" spans="1:24">
      <c r="A624" s="109"/>
      <c r="B624" s="143"/>
      <c r="C624" s="144"/>
      <c r="D624" s="109"/>
      <c r="E624" s="109"/>
      <c r="F624" s="110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</row>
    <row r="625" spans="1:24">
      <c r="A625" s="109"/>
      <c r="B625" s="143"/>
      <c r="C625" s="144"/>
      <c r="D625" s="109"/>
      <c r="E625" s="109"/>
      <c r="F625" s="110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</row>
    <row r="626" spans="1:24">
      <c r="A626" s="109"/>
      <c r="B626" s="143"/>
      <c r="C626" s="144"/>
      <c r="D626" s="109"/>
      <c r="E626" s="109"/>
      <c r="F626" s="110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</row>
    <row r="627" spans="1:24">
      <c r="A627" s="109"/>
      <c r="B627" s="143"/>
      <c r="C627" s="144"/>
      <c r="D627" s="109"/>
      <c r="E627" s="109"/>
      <c r="F627" s="110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</row>
    <row r="628" spans="1:24">
      <c r="A628" s="109"/>
      <c r="B628" s="143"/>
      <c r="C628" s="144"/>
      <c r="D628" s="109"/>
      <c r="E628" s="109"/>
      <c r="F628" s="110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</row>
    <row r="629" spans="1:24">
      <c r="A629" s="109"/>
      <c r="B629" s="143"/>
      <c r="C629" s="144"/>
      <c r="D629" s="109"/>
      <c r="E629" s="109"/>
      <c r="F629" s="110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</row>
    <row r="630" spans="1:24">
      <c r="A630" s="109"/>
      <c r="B630" s="143"/>
      <c r="C630" s="144"/>
      <c r="D630" s="109"/>
      <c r="E630" s="109"/>
      <c r="F630" s="110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</row>
    <row r="631" spans="1:24">
      <c r="A631" s="109"/>
      <c r="B631" s="143"/>
      <c r="C631" s="144"/>
      <c r="D631" s="109"/>
      <c r="E631" s="109"/>
      <c r="F631" s="110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</row>
    <row r="632" spans="1:24">
      <c r="A632" s="109"/>
      <c r="B632" s="143"/>
      <c r="C632" s="144"/>
      <c r="D632" s="109"/>
      <c r="E632" s="109"/>
      <c r="F632" s="110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</row>
    <row r="633" spans="1:24">
      <c r="A633" s="109"/>
      <c r="B633" s="143"/>
      <c r="C633" s="144"/>
      <c r="D633" s="109"/>
      <c r="E633" s="109"/>
      <c r="F633" s="110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</row>
    <row r="634" spans="1:24">
      <c r="A634" s="109"/>
      <c r="B634" s="143"/>
      <c r="C634" s="144"/>
      <c r="D634" s="109"/>
      <c r="E634" s="109"/>
      <c r="F634" s="110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</row>
    <row r="635" spans="1:24">
      <c r="A635" s="109"/>
      <c r="B635" s="143"/>
      <c r="C635" s="144"/>
      <c r="D635" s="109"/>
      <c r="E635" s="109"/>
      <c r="F635" s="110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</row>
    <row r="636" spans="1:24">
      <c r="A636" s="109"/>
      <c r="B636" s="143"/>
      <c r="C636" s="144"/>
      <c r="D636" s="109"/>
      <c r="E636" s="109"/>
      <c r="F636" s="110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</row>
    <row r="637" spans="1:24">
      <c r="A637" s="109"/>
      <c r="B637" s="143"/>
      <c r="C637" s="144"/>
      <c r="D637" s="109"/>
      <c r="E637" s="109"/>
      <c r="F637" s="110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</row>
    <row r="638" spans="1:24">
      <c r="A638" s="109"/>
      <c r="B638" s="143"/>
      <c r="C638" s="144"/>
      <c r="D638" s="109"/>
      <c r="E638" s="109"/>
      <c r="F638" s="110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</row>
    <row r="639" spans="1:24">
      <c r="A639" s="109"/>
      <c r="B639" s="143"/>
      <c r="C639" s="144"/>
      <c r="D639" s="109"/>
      <c r="E639" s="109"/>
      <c r="F639" s="110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</row>
    <row r="640" spans="1:24">
      <c r="A640" s="109"/>
      <c r="B640" s="143"/>
      <c r="C640" s="144"/>
      <c r="D640" s="109"/>
      <c r="E640" s="109"/>
      <c r="F640" s="110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</row>
    <row r="641" spans="1:24">
      <c r="A641" s="109"/>
      <c r="B641" s="143"/>
      <c r="C641" s="144"/>
      <c r="D641" s="109"/>
      <c r="E641" s="109"/>
      <c r="F641" s="110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</row>
    <row r="642" spans="1:24">
      <c r="A642" s="109"/>
      <c r="B642" s="143"/>
      <c r="C642" s="144"/>
      <c r="D642" s="109"/>
      <c r="E642" s="109"/>
      <c r="F642" s="110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</row>
    <row r="643" spans="1:24">
      <c r="A643" s="109"/>
      <c r="B643" s="143"/>
      <c r="C643" s="144"/>
      <c r="D643" s="109"/>
      <c r="E643" s="109"/>
      <c r="F643" s="110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</row>
    <row r="644" spans="1:24">
      <c r="A644" s="109"/>
      <c r="B644" s="143"/>
      <c r="C644" s="144"/>
      <c r="D644" s="109"/>
      <c r="E644" s="109"/>
      <c r="F644" s="110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</row>
    <row r="645" spans="1:24">
      <c r="A645" s="109"/>
      <c r="B645" s="143"/>
      <c r="C645" s="144"/>
      <c r="D645" s="109"/>
      <c r="E645" s="109"/>
      <c r="F645" s="110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</row>
    <row r="646" spans="1:24">
      <c r="A646" s="109"/>
      <c r="B646" s="143"/>
      <c r="C646" s="144"/>
      <c r="D646" s="109"/>
      <c r="E646" s="109"/>
      <c r="F646" s="110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</row>
    <row r="647" spans="1:24">
      <c r="A647" s="109"/>
      <c r="B647" s="143"/>
      <c r="C647" s="144"/>
      <c r="D647" s="109"/>
      <c r="E647" s="109"/>
      <c r="F647" s="110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</row>
    <row r="648" spans="1:24">
      <c r="A648" s="109"/>
      <c r="B648" s="143"/>
      <c r="C648" s="144"/>
      <c r="D648" s="109"/>
      <c r="E648" s="109"/>
      <c r="F648" s="110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</row>
    <row r="649" spans="1:24">
      <c r="A649" s="109"/>
      <c r="B649" s="143"/>
      <c r="C649" s="144"/>
      <c r="D649" s="109"/>
      <c r="E649" s="109"/>
      <c r="F649" s="110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</row>
    <row r="650" spans="1:24">
      <c r="A650" s="109"/>
      <c r="B650" s="143"/>
      <c r="C650" s="144"/>
      <c r="D650" s="109"/>
      <c r="E650" s="109"/>
      <c r="F650" s="110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</row>
    <row r="651" spans="1:24">
      <c r="A651" s="109"/>
      <c r="B651" s="143"/>
      <c r="C651" s="144"/>
      <c r="D651" s="109"/>
      <c r="E651" s="109"/>
      <c r="F651" s="110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</row>
    <row r="652" spans="1:24">
      <c r="A652" s="109"/>
      <c r="B652" s="143"/>
      <c r="C652" s="144"/>
      <c r="D652" s="109"/>
      <c r="E652" s="109"/>
      <c r="F652" s="110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</row>
    <row r="653" spans="1:24">
      <c r="A653" s="109"/>
      <c r="B653" s="143"/>
      <c r="C653" s="144"/>
      <c r="D653" s="109"/>
      <c r="E653" s="109"/>
      <c r="F653" s="110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</row>
    <row r="654" spans="1:24">
      <c r="A654" s="109"/>
      <c r="B654" s="143"/>
      <c r="C654" s="144"/>
      <c r="D654" s="109"/>
      <c r="E654" s="109"/>
      <c r="F654" s="110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</row>
    <row r="655" spans="1:24">
      <c r="A655" s="109"/>
      <c r="B655" s="143"/>
      <c r="C655" s="144"/>
      <c r="D655" s="109"/>
      <c r="E655" s="109"/>
      <c r="F655" s="110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</row>
    <row r="656" spans="1:24">
      <c r="A656" s="109"/>
      <c r="B656" s="143"/>
      <c r="C656" s="144"/>
      <c r="D656" s="109"/>
      <c r="E656" s="109"/>
      <c r="F656" s="110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</row>
    <row r="657" spans="1:24">
      <c r="A657" s="109"/>
      <c r="B657" s="143"/>
      <c r="C657" s="144"/>
      <c r="D657" s="109"/>
      <c r="E657" s="109"/>
      <c r="F657" s="110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</row>
    <row r="658" spans="1:24">
      <c r="A658" s="109"/>
      <c r="B658" s="143"/>
      <c r="C658" s="144"/>
      <c r="D658" s="109"/>
      <c r="E658" s="109"/>
      <c r="F658" s="110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</row>
    <row r="659" spans="1:24">
      <c r="A659" s="109"/>
      <c r="B659" s="143"/>
      <c r="C659" s="144"/>
      <c r="D659" s="109"/>
      <c r="E659" s="109"/>
      <c r="F659" s="110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</row>
    <row r="660" spans="1:24">
      <c r="A660" s="109"/>
      <c r="B660" s="143"/>
      <c r="C660" s="144"/>
      <c r="D660" s="109"/>
      <c r="E660" s="109"/>
      <c r="F660" s="110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</row>
    <row r="661" spans="1:24">
      <c r="A661" s="109"/>
      <c r="B661" s="143"/>
      <c r="C661" s="144"/>
      <c r="D661" s="109"/>
      <c r="E661" s="109"/>
      <c r="F661" s="110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</row>
    <row r="662" spans="1:24">
      <c r="A662" s="109"/>
      <c r="B662" s="143"/>
      <c r="C662" s="144"/>
      <c r="D662" s="109"/>
      <c r="E662" s="109"/>
      <c r="F662" s="110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</row>
    <row r="663" spans="1:24">
      <c r="A663" s="109"/>
      <c r="B663" s="143"/>
      <c r="C663" s="144"/>
      <c r="D663" s="109"/>
      <c r="E663" s="109"/>
      <c r="F663" s="110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</row>
    <row r="664" spans="1:24">
      <c r="A664" s="109"/>
      <c r="B664" s="143"/>
      <c r="C664" s="144"/>
      <c r="D664" s="109"/>
      <c r="E664" s="109"/>
      <c r="F664" s="110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</row>
    <row r="665" spans="1:24">
      <c r="A665" s="109"/>
      <c r="B665" s="143"/>
      <c r="C665" s="144"/>
      <c r="D665" s="109"/>
      <c r="E665" s="109"/>
      <c r="F665" s="110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</row>
    <row r="666" spans="1:24">
      <c r="A666" s="109"/>
      <c r="B666" s="143"/>
      <c r="C666" s="144"/>
      <c r="D666" s="109"/>
      <c r="E666" s="109"/>
      <c r="F666" s="110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</row>
    <row r="667" spans="1:24">
      <c r="A667" s="109"/>
      <c r="B667" s="143"/>
      <c r="C667" s="144"/>
      <c r="D667" s="109"/>
      <c r="E667" s="109"/>
      <c r="F667" s="110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</row>
    <row r="668" spans="1:24">
      <c r="A668" s="109"/>
      <c r="B668" s="143"/>
      <c r="C668" s="144"/>
      <c r="D668" s="109"/>
      <c r="E668" s="109"/>
      <c r="F668" s="110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</row>
    <row r="669" spans="1:24">
      <c r="A669" s="109"/>
      <c r="B669" s="143"/>
      <c r="C669" s="144"/>
      <c r="D669" s="109"/>
      <c r="E669" s="109"/>
      <c r="F669" s="110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</row>
    <row r="670" spans="1:24">
      <c r="A670" s="109"/>
      <c r="B670" s="143"/>
      <c r="C670" s="144"/>
      <c r="D670" s="109"/>
      <c r="E670" s="109"/>
      <c r="F670" s="110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</row>
    <row r="671" spans="1:24">
      <c r="A671" s="109"/>
      <c r="B671" s="143"/>
      <c r="C671" s="144"/>
      <c r="D671" s="109"/>
      <c r="E671" s="109"/>
      <c r="F671" s="110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</row>
    <row r="672" spans="1:24">
      <c r="A672" s="109"/>
      <c r="B672" s="143"/>
      <c r="C672" s="144"/>
      <c r="D672" s="109"/>
      <c r="E672" s="109"/>
      <c r="F672" s="110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</row>
    <row r="673" spans="1:24">
      <c r="A673" s="109"/>
      <c r="B673" s="143"/>
      <c r="C673" s="144"/>
      <c r="D673" s="109"/>
      <c r="E673" s="109"/>
      <c r="F673" s="110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</row>
    <row r="674" spans="1:24">
      <c r="A674" s="109"/>
      <c r="B674" s="143"/>
      <c r="C674" s="144"/>
      <c r="D674" s="109"/>
      <c r="E674" s="109"/>
      <c r="F674" s="110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</row>
    <row r="675" spans="1:24">
      <c r="A675" s="109"/>
      <c r="B675" s="143"/>
      <c r="C675" s="144"/>
      <c r="D675" s="109"/>
      <c r="E675" s="109"/>
      <c r="F675" s="110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</row>
    <row r="676" spans="1:24">
      <c r="A676" s="109"/>
      <c r="B676" s="143"/>
      <c r="C676" s="144"/>
      <c r="D676" s="109"/>
      <c r="E676" s="109"/>
      <c r="F676" s="110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</row>
    <row r="677" spans="1:24">
      <c r="A677" s="109"/>
      <c r="B677" s="143"/>
      <c r="C677" s="144"/>
      <c r="D677" s="109"/>
      <c r="E677" s="109"/>
      <c r="F677" s="110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</row>
    <row r="678" spans="1:24">
      <c r="A678" s="109"/>
      <c r="B678" s="143"/>
      <c r="C678" s="144"/>
      <c r="D678" s="109"/>
      <c r="E678" s="109"/>
      <c r="F678" s="110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</row>
    <row r="679" spans="1:24">
      <c r="A679" s="109"/>
      <c r="B679" s="143"/>
      <c r="C679" s="144"/>
      <c r="D679" s="109"/>
      <c r="E679" s="109"/>
      <c r="F679" s="110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</row>
    <row r="680" spans="1:24">
      <c r="A680" s="109"/>
      <c r="B680" s="143"/>
      <c r="C680" s="144"/>
      <c r="D680" s="109"/>
      <c r="E680" s="109"/>
      <c r="F680" s="110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</row>
    <row r="681" spans="1:24">
      <c r="A681" s="109"/>
      <c r="B681" s="143"/>
      <c r="C681" s="144"/>
      <c r="D681" s="109"/>
      <c r="E681" s="109"/>
      <c r="F681" s="110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</row>
    <row r="682" spans="1:24">
      <c r="A682" s="109"/>
      <c r="B682" s="143"/>
      <c r="C682" s="144"/>
      <c r="D682" s="109"/>
      <c r="E682" s="109"/>
      <c r="F682" s="110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</row>
    <row r="683" spans="1:24">
      <c r="A683" s="109"/>
      <c r="B683" s="143"/>
      <c r="C683" s="144"/>
      <c r="D683" s="109"/>
      <c r="E683" s="109"/>
      <c r="F683" s="110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</row>
    <row r="684" spans="1:24">
      <c r="A684" s="109"/>
      <c r="B684" s="143"/>
      <c r="C684" s="144"/>
      <c r="D684" s="109"/>
      <c r="E684" s="109"/>
      <c r="F684" s="110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</row>
    <row r="685" spans="1:24">
      <c r="A685" s="109"/>
      <c r="B685" s="143"/>
      <c r="C685" s="144"/>
      <c r="D685" s="109"/>
      <c r="E685" s="109"/>
      <c r="F685" s="110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</row>
    <row r="686" spans="1:24">
      <c r="A686" s="109"/>
      <c r="B686" s="143"/>
      <c r="C686" s="144"/>
      <c r="D686" s="109"/>
      <c r="E686" s="109"/>
      <c r="F686" s="110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</row>
    <row r="687" spans="1:24">
      <c r="A687" s="109"/>
      <c r="B687" s="143"/>
      <c r="C687" s="144"/>
      <c r="D687" s="109"/>
      <c r="E687" s="109"/>
      <c r="F687" s="110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</row>
    <row r="688" spans="1:24">
      <c r="A688" s="109"/>
      <c r="B688" s="143"/>
      <c r="C688" s="144"/>
      <c r="D688" s="109"/>
      <c r="E688" s="109"/>
      <c r="F688" s="110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</row>
    <row r="689" spans="1:24">
      <c r="A689" s="109"/>
      <c r="B689" s="143"/>
      <c r="C689" s="144"/>
      <c r="D689" s="109"/>
      <c r="E689" s="109"/>
      <c r="F689" s="110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</row>
    <row r="690" spans="1:24">
      <c r="A690" s="109"/>
      <c r="B690" s="143"/>
      <c r="C690" s="144"/>
      <c r="D690" s="109"/>
      <c r="E690" s="109"/>
      <c r="F690" s="110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</row>
    <row r="691" spans="1:24">
      <c r="A691" s="109"/>
      <c r="B691" s="143"/>
      <c r="C691" s="144"/>
      <c r="D691" s="109"/>
      <c r="E691" s="109"/>
      <c r="F691" s="110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</row>
    <row r="692" spans="1:24">
      <c r="A692" s="109"/>
      <c r="B692" s="143"/>
      <c r="C692" s="144"/>
      <c r="D692" s="109"/>
      <c r="E692" s="109"/>
      <c r="F692" s="110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</row>
    <row r="693" spans="1:24">
      <c r="A693" s="109"/>
      <c r="B693" s="143"/>
      <c r="C693" s="144"/>
      <c r="D693" s="109"/>
      <c r="E693" s="109"/>
      <c r="F693" s="110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</row>
    <row r="694" spans="1:24">
      <c r="A694" s="109"/>
      <c r="B694" s="143"/>
      <c r="C694" s="144"/>
      <c r="D694" s="109"/>
      <c r="E694" s="109"/>
      <c r="F694" s="110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</row>
    <row r="695" spans="1:24">
      <c r="A695" s="109"/>
      <c r="B695" s="143"/>
      <c r="C695" s="144"/>
      <c r="D695" s="109"/>
      <c r="E695" s="109"/>
      <c r="F695" s="110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</row>
    <row r="696" spans="1:24">
      <c r="A696" s="109"/>
      <c r="B696" s="143"/>
      <c r="C696" s="144"/>
      <c r="D696" s="109"/>
      <c r="E696" s="109"/>
      <c r="F696" s="110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</row>
    <row r="697" spans="1:24">
      <c r="A697" s="109"/>
      <c r="B697" s="143"/>
      <c r="C697" s="144"/>
      <c r="D697" s="109"/>
      <c r="E697" s="109"/>
      <c r="F697" s="110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</row>
    <row r="698" spans="1:24">
      <c r="A698" s="109"/>
      <c r="B698" s="143"/>
      <c r="C698" s="144"/>
      <c r="D698" s="109"/>
      <c r="E698" s="109"/>
      <c r="F698" s="110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</row>
    <row r="699" spans="1:24">
      <c r="A699" s="109"/>
      <c r="B699" s="143"/>
      <c r="C699" s="144"/>
      <c r="D699" s="109"/>
      <c r="E699" s="109"/>
      <c r="F699" s="110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</row>
    <row r="700" spans="1:24">
      <c r="A700" s="109"/>
      <c r="B700" s="143"/>
      <c r="C700" s="144"/>
      <c r="D700" s="109"/>
      <c r="E700" s="109"/>
      <c r="F700" s="110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</row>
    <row r="701" spans="1:24">
      <c r="A701" s="109"/>
      <c r="B701" s="143"/>
      <c r="C701" s="144"/>
      <c r="D701" s="109"/>
      <c r="E701" s="109"/>
      <c r="F701" s="110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</row>
    <row r="702" spans="1:24">
      <c r="A702" s="109"/>
      <c r="B702" s="143"/>
      <c r="C702" s="144"/>
      <c r="D702" s="109"/>
      <c r="E702" s="109"/>
      <c r="F702" s="110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</row>
    <row r="703" spans="1:24">
      <c r="A703" s="109"/>
      <c r="B703" s="143"/>
      <c r="C703" s="144"/>
      <c r="D703" s="109"/>
      <c r="E703" s="109"/>
      <c r="F703" s="110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</row>
    <row r="704" spans="1:24">
      <c r="A704" s="109"/>
      <c r="B704" s="143"/>
      <c r="C704" s="144"/>
      <c r="D704" s="109"/>
      <c r="E704" s="109"/>
      <c r="F704" s="110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</row>
    <row r="705" spans="1:24">
      <c r="A705" s="109"/>
      <c r="B705" s="143"/>
      <c r="C705" s="144"/>
      <c r="D705" s="109"/>
      <c r="E705" s="109"/>
      <c r="F705" s="110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</row>
    <row r="706" spans="1:24">
      <c r="A706" s="109"/>
      <c r="B706" s="143"/>
      <c r="C706" s="144"/>
      <c r="D706" s="109"/>
      <c r="E706" s="109"/>
      <c r="F706" s="110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</row>
    <row r="707" spans="1:24">
      <c r="A707" s="109"/>
      <c r="B707" s="143"/>
      <c r="C707" s="144"/>
      <c r="D707" s="109"/>
      <c r="E707" s="109"/>
      <c r="F707" s="110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</row>
    <row r="708" spans="1:24">
      <c r="A708" s="109"/>
      <c r="B708" s="143"/>
      <c r="C708" s="144"/>
      <c r="D708" s="109"/>
      <c r="E708" s="109"/>
      <c r="F708" s="110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</row>
    <row r="709" spans="1:24">
      <c r="A709" s="109"/>
      <c r="B709" s="143"/>
      <c r="C709" s="144"/>
      <c r="D709" s="109"/>
      <c r="E709" s="109"/>
      <c r="F709" s="110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</row>
    <row r="710" spans="1:24">
      <c r="A710" s="109"/>
      <c r="B710" s="143"/>
      <c r="C710" s="144"/>
      <c r="D710" s="109"/>
      <c r="E710" s="109"/>
      <c r="F710" s="110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</row>
    <row r="711" spans="1:24">
      <c r="A711" s="109"/>
      <c r="B711" s="143"/>
      <c r="C711" s="144"/>
      <c r="D711" s="109"/>
      <c r="E711" s="109"/>
      <c r="F711" s="110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</row>
    <row r="712" spans="1:24">
      <c r="A712" s="109"/>
      <c r="B712" s="143"/>
      <c r="C712" s="144"/>
      <c r="D712" s="109"/>
      <c r="E712" s="109"/>
      <c r="F712" s="110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</row>
    <row r="713" spans="1:24">
      <c r="A713" s="109"/>
      <c r="B713" s="143"/>
      <c r="C713" s="144"/>
      <c r="D713" s="109"/>
      <c r="E713" s="109"/>
      <c r="F713" s="110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</row>
    <row r="714" spans="1:24">
      <c r="A714" s="109"/>
      <c r="B714" s="143"/>
      <c r="C714" s="144"/>
      <c r="D714" s="109"/>
      <c r="E714" s="109"/>
      <c r="F714" s="110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</row>
    <row r="715" spans="1:24">
      <c r="A715" s="109"/>
      <c r="B715" s="143"/>
      <c r="C715" s="144"/>
      <c r="D715" s="109"/>
      <c r="E715" s="109"/>
      <c r="F715" s="110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</row>
    <row r="716" spans="1:24">
      <c r="A716" s="109"/>
      <c r="B716" s="143"/>
      <c r="C716" s="144"/>
      <c r="D716" s="109"/>
      <c r="E716" s="109"/>
      <c r="F716" s="110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</row>
    <row r="717" spans="1:24">
      <c r="A717" s="109"/>
      <c r="B717" s="143"/>
      <c r="C717" s="144"/>
      <c r="D717" s="109"/>
      <c r="E717" s="109"/>
      <c r="F717" s="110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</row>
    <row r="718" spans="1:24">
      <c r="A718" s="109"/>
      <c r="B718" s="143"/>
      <c r="C718" s="144"/>
      <c r="D718" s="109"/>
      <c r="E718" s="109"/>
      <c r="F718" s="110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</row>
    <row r="719" spans="1:24">
      <c r="A719" s="109"/>
      <c r="B719" s="143"/>
      <c r="C719" s="144"/>
      <c r="D719" s="109"/>
      <c r="E719" s="109"/>
      <c r="F719" s="110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</row>
    <row r="720" spans="1:24">
      <c r="A720" s="109"/>
      <c r="B720" s="143"/>
      <c r="C720" s="144"/>
      <c r="D720" s="109"/>
      <c r="E720" s="109"/>
      <c r="F720" s="110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</row>
    <row r="721" spans="1:24">
      <c r="A721" s="109"/>
      <c r="B721" s="143"/>
      <c r="C721" s="144"/>
      <c r="D721" s="109"/>
      <c r="E721" s="109"/>
      <c r="F721" s="110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</row>
    <row r="722" spans="1:24">
      <c r="A722" s="109"/>
      <c r="B722" s="143"/>
      <c r="C722" s="144"/>
      <c r="D722" s="109"/>
      <c r="E722" s="109"/>
      <c r="F722" s="110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</row>
    <row r="723" spans="1:24">
      <c r="A723" s="109"/>
      <c r="B723" s="143"/>
      <c r="C723" s="144"/>
      <c r="D723" s="109"/>
      <c r="E723" s="109"/>
      <c r="F723" s="110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</row>
    <row r="724" spans="1:24">
      <c r="A724" s="109"/>
      <c r="B724" s="143"/>
      <c r="C724" s="144"/>
      <c r="D724" s="109"/>
      <c r="E724" s="109"/>
      <c r="F724" s="110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</row>
    <row r="725" spans="1:24">
      <c r="A725" s="109"/>
      <c r="B725" s="143"/>
      <c r="C725" s="144"/>
      <c r="D725" s="109"/>
      <c r="E725" s="109"/>
      <c r="F725" s="110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</row>
    <row r="726" spans="1:24">
      <c r="A726" s="109"/>
      <c r="B726" s="143"/>
      <c r="C726" s="144"/>
      <c r="D726" s="109"/>
      <c r="E726" s="109"/>
      <c r="F726" s="110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</row>
    <row r="727" spans="1:24">
      <c r="A727" s="109"/>
      <c r="B727" s="143"/>
      <c r="C727" s="144"/>
      <c r="D727" s="109"/>
      <c r="E727" s="109"/>
      <c r="F727" s="110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</row>
    <row r="728" spans="1:24">
      <c r="A728" s="109"/>
      <c r="B728" s="143"/>
      <c r="C728" s="144"/>
      <c r="D728" s="109"/>
      <c r="E728" s="109"/>
      <c r="F728" s="110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</row>
    <row r="729" spans="1:24">
      <c r="A729" s="109"/>
      <c r="B729" s="143"/>
      <c r="C729" s="144"/>
      <c r="D729" s="109"/>
      <c r="E729" s="109"/>
      <c r="F729" s="110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</row>
    <row r="730" spans="1:24">
      <c r="A730" s="109"/>
      <c r="B730" s="143"/>
      <c r="C730" s="144"/>
      <c r="D730" s="109"/>
      <c r="E730" s="109"/>
      <c r="F730" s="110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</row>
    <row r="731" spans="1:24">
      <c r="A731" s="109"/>
      <c r="B731" s="143"/>
      <c r="C731" s="144"/>
      <c r="D731" s="109"/>
      <c r="E731" s="109"/>
      <c r="F731" s="110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</row>
    <row r="732" spans="1:24">
      <c r="A732" s="109"/>
      <c r="B732" s="143"/>
      <c r="C732" s="144"/>
      <c r="D732" s="109"/>
      <c r="E732" s="109"/>
      <c r="F732" s="110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</row>
    <row r="733" spans="1:24">
      <c r="A733" s="109"/>
      <c r="B733" s="143"/>
      <c r="C733" s="144"/>
      <c r="D733" s="109"/>
      <c r="E733" s="109"/>
      <c r="F733" s="110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</row>
    <row r="734" spans="1:24">
      <c r="A734" s="109"/>
      <c r="B734" s="143"/>
      <c r="C734" s="144"/>
      <c r="D734" s="109"/>
      <c r="E734" s="109"/>
      <c r="F734" s="110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</row>
    <row r="735" spans="1:24">
      <c r="A735" s="109"/>
      <c r="B735" s="143"/>
      <c r="C735" s="144"/>
      <c r="D735" s="109"/>
      <c r="E735" s="109"/>
      <c r="F735" s="110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</row>
    <row r="736" spans="1:24">
      <c r="A736" s="109"/>
      <c r="B736" s="143"/>
      <c r="C736" s="144"/>
      <c r="D736" s="109"/>
      <c r="E736" s="109"/>
      <c r="F736" s="110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</row>
    <row r="737" spans="1:24">
      <c r="A737" s="109"/>
      <c r="B737" s="143"/>
      <c r="C737" s="144"/>
      <c r="D737" s="109"/>
      <c r="E737" s="109"/>
      <c r="F737" s="110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</row>
    <row r="738" spans="1:24">
      <c r="A738" s="109"/>
      <c r="B738" s="143"/>
      <c r="C738" s="144"/>
      <c r="D738" s="109"/>
      <c r="E738" s="109"/>
      <c r="F738" s="110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</row>
    <row r="739" spans="1:24">
      <c r="A739" s="109"/>
      <c r="B739" s="143"/>
      <c r="C739" s="144"/>
      <c r="D739" s="109"/>
      <c r="E739" s="109"/>
      <c r="F739" s="110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</row>
    <row r="740" spans="1:24">
      <c r="A740" s="109"/>
      <c r="B740" s="143"/>
      <c r="C740" s="144"/>
      <c r="D740" s="109"/>
      <c r="E740" s="109"/>
      <c r="F740" s="110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</row>
    <row r="741" spans="1:24">
      <c r="A741" s="109"/>
      <c r="B741" s="143"/>
      <c r="C741" s="144"/>
      <c r="D741" s="109"/>
      <c r="E741" s="109"/>
      <c r="F741" s="110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</row>
    <row r="742" spans="1:24">
      <c r="A742" s="109"/>
      <c r="B742" s="143"/>
      <c r="C742" s="144"/>
      <c r="D742" s="109"/>
      <c r="E742" s="109"/>
      <c r="F742" s="110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</row>
    <row r="743" spans="1:24">
      <c r="A743" s="109"/>
      <c r="B743" s="143"/>
      <c r="C743" s="144"/>
      <c r="D743" s="109"/>
      <c r="E743" s="109"/>
      <c r="F743" s="110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</row>
    <row r="744" spans="1:24">
      <c r="A744" s="109"/>
      <c r="B744" s="143"/>
      <c r="C744" s="144"/>
      <c r="D744" s="109"/>
      <c r="E744" s="109"/>
      <c r="F744" s="110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</row>
    <row r="745" spans="1:24">
      <c r="A745" s="109"/>
      <c r="B745" s="143"/>
      <c r="C745" s="144"/>
      <c r="D745" s="109"/>
      <c r="E745" s="109"/>
      <c r="F745" s="110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</row>
    <row r="746" spans="1:24">
      <c r="A746" s="109"/>
      <c r="B746" s="143"/>
      <c r="C746" s="144"/>
      <c r="D746" s="109"/>
      <c r="E746" s="109"/>
      <c r="F746" s="110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</row>
    <row r="747" spans="1:24">
      <c r="A747" s="109"/>
      <c r="B747" s="143"/>
      <c r="C747" s="144"/>
      <c r="D747" s="109"/>
      <c r="E747" s="109"/>
      <c r="F747" s="110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</row>
    <row r="748" spans="1:24">
      <c r="A748" s="109"/>
      <c r="B748" s="143"/>
      <c r="C748" s="144"/>
      <c r="D748" s="109"/>
      <c r="E748" s="109"/>
      <c r="F748" s="110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</row>
    <row r="749" spans="1:24">
      <c r="A749" s="109"/>
      <c r="B749" s="143"/>
      <c r="C749" s="144"/>
      <c r="D749" s="109"/>
      <c r="E749" s="109"/>
      <c r="F749" s="110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</row>
    <row r="750" spans="1:24">
      <c r="A750" s="109"/>
      <c r="B750" s="143"/>
      <c r="C750" s="144"/>
      <c r="D750" s="109"/>
      <c r="E750" s="109"/>
      <c r="F750" s="110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</row>
    <row r="751" spans="1:24">
      <c r="A751" s="109"/>
      <c r="B751" s="143"/>
      <c r="C751" s="144"/>
      <c r="D751" s="109"/>
      <c r="E751" s="109"/>
      <c r="F751" s="110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</row>
    <row r="752" spans="1:24">
      <c r="A752" s="109"/>
      <c r="B752" s="143"/>
      <c r="C752" s="144"/>
      <c r="D752" s="109"/>
      <c r="E752" s="109"/>
      <c r="F752" s="110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</row>
    <row r="753" spans="1:24">
      <c r="A753" s="109"/>
      <c r="B753" s="143"/>
      <c r="C753" s="144"/>
      <c r="D753" s="109"/>
      <c r="E753" s="109"/>
      <c r="F753" s="110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</row>
    <row r="754" spans="1:24">
      <c r="A754" s="109"/>
      <c r="B754" s="143"/>
      <c r="C754" s="144"/>
      <c r="D754" s="109"/>
      <c r="E754" s="109"/>
      <c r="F754" s="110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</row>
    <row r="755" spans="1:24">
      <c r="A755" s="109"/>
      <c r="B755" s="143"/>
      <c r="C755" s="144"/>
      <c r="D755" s="109"/>
      <c r="E755" s="109"/>
      <c r="F755" s="110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</row>
    <row r="756" spans="1:24">
      <c r="A756" s="109"/>
      <c r="B756" s="143"/>
      <c r="C756" s="144"/>
      <c r="D756" s="109"/>
      <c r="E756" s="109"/>
      <c r="F756" s="110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</row>
    <row r="757" spans="1:24">
      <c r="A757" s="109"/>
      <c r="B757" s="143"/>
      <c r="C757" s="144"/>
      <c r="D757" s="109"/>
      <c r="E757" s="109"/>
      <c r="F757" s="110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</row>
    <row r="758" spans="1:24">
      <c r="A758" s="109"/>
      <c r="B758" s="143"/>
      <c r="C758" s="144"/>
      <c r="D758" s="109"/>
      <c r="E758" s="109"/>
      <c r="F758" s="110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</row>
    <row r="759" spans="1:24">
      <c r="A759" s="109"/>
      <c r="B759" s="143"/>
      <c r="C759" s="144"/>
      <c r="D759" s="109"/>
      <c r="E759" s="109"/>
      <c r="F759" s="110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</row>
    <row r="760" spans="1:24">
      <c r="A760" s="109"/>
      <c r="B760" s="143"/>
      <c r="C760" s="144"/>
      <c r="D760" s="109"/>
      <c r="E760" s="109"/>
      <c r="F760" s="110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</row>
    <row r="761" spans="1:24">
      <c r="A761" s="109"/>
      <c r="B761" s="143"/>
      <c r="C761" s="144"/>
      <c r="D761" s="109"/>
      <c r="E761" s="109"/>
      <c r="F761" s="110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</row>
    <row r="762" spans="1:24">
      <c r="A762" s="109"/>
      <c r="B762" s="143"/>
      <c r="C762" s="144"/>
      <c r="D762" s="109"/>
      <c r="E762" s="109"/>
      <c r="F762" s="110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</row>
    <row r="763" spans="1:24">
      <c r="A763" s="109"/>
      <c r="B763" s="143"/>
      <c r="C763" s="144"/>
      <c r="D763" s="109"/>
      <c r="E763" s="109"/>
      <c r="F763" s="110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</row>
    <row r="764" spans="1:24">
      <c r="A764" s="109"/>
      <c r="B764" s="143"/>
      <c r="C764" s="144"/>
      <c r="D764" s="109"/>
      <c r="E764" s="109"/>
      <c r="F764" s="110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</row>
    <row r="765" spans="1:24">
      <c r="A765" s="109"/>
      <c r="B765" s="143"/>
      <c r="C765" s="144"/>
      <c r="D765" s="109"/>
      <c r="E765" s="109"/>
      <c r="F765" s="110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</row>
    <row r="766" spans="1:24">
      <c r="A766" s="109"/>
      <c r="B766" s="143"/>
      <c r="C766" s="144"/>
      <c r="D766" s="109"/>
      <c r="E766" s="109"/>
      <c r="F766" s="110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</row>
    <row r="767" spans="1:24">
      <c r="A767" s="109"/>
      <c r="B767" s="143"/>
      <c r="C767" s="144"/>
      <c r="D767" s="109"/>
      <c r="E767" s="109"/>
      <c r="F767" s="110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</row>
    <row r="768" spans="1:24">
      <c r="A768" s="109"/>
      <c r="B768" s="143"/>
      <c r="C768" s="144"/>
      <c r="D768" s="109"/>
      <c r="E768" s="109"/>
      <c r="F768" s="110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</row>
    <row r="769" spans="1:24">
      <c r="A769" s="109"/>
      <c r="B769" s="143"/>
      <c r="C769" s="144"/>
      <c r="D769" s="109"/>
      <c r="E769" s="109"/>
      <c r="F769" s="110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</row>
    <row r="770" spans="1:24">
      <c r="A770" s="109"/>
      <c r="B770" s="143"/>
      <c r="C770" s="144"/>
      <c r="D770" s="109"/>
      <c r="E770" s="109"/>
      <c r="F770" s="110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</row>
    <row r="771" spans="1:24">
      <c r="A771" s="109"/>
      <c r="B771" s="143"/>
      <c r="C771" s="144"/>
      <c r="D771" s="109"/>
      <c r="E771" s="109"/>
      <c r="F771" s="110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</row>
    <row r="772" spans="1:24">
      <c r="A772" s="109"/>
      <c r="B772" s="143"/>
      <c r="C772" s="144"/>
      <c r="D772" s="109"/>
      <c r="E772" s="109"/>
      <c r="F772" s="110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</row>
    <row r="773" spans="1:24">
      <c r="A773" s="109"/>
      <c r="B773" s="143"/>
      <c r="C773" s="144"/>
      <c r="D773" s="109"/>
      <c r="E773" s="109"/>
      <c r="F773" s="110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</row>
    <row r="774" spans="1:24">
      <c r="A774" s="109"/>
      <c r="B774" s="143"/>
      <c r="C774" s="144"/>
      <c r="D774" s="109"/>
      <c r="E774" s="109"/>
      <c r="F774" s="110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</row>
    <row r="775" spans="1:24">
      <c r="A775" s="109"/>
      <c r="B775" s="143"/>
      <c r="C775" s="144"/>
      <c r="D775" s="109"/>
      <c r="E775" s="109"/>
      <c r="F775" s="110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</row>
    <row r="776" spans="1:24">
      <c r="A776" s="109"/>
      <c r="B776" s="143"/>
      <c r="C776" s="144"/>
      <c r="D776" s="109"/>
      <c r="E776" s="109"/>
      <c r="F776" s="110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</row>
    <row r="777" spans="1:24">
      <c r="A777" s="109"/>
      <c r="B777" s="143"/>
      <c r="C777" s="144"/>
      <c r="D777" s="109"/>
      <c r="E777" s="109"/>
      <c r="F777" s="110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</row>
    <row r="778" spans="1:24">
      <c r="A778" s="109"/>
      <c r="B778" s="143"/>
      <c r="C778" s="144"/>
      <c r="D778" s="109"/>
      <c r="E778" s="109"/>
      <c r="F778" s="110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</row>
    <row r="779" spans="1:24">
      <c r="A779" s="109"/>
      <c r="B779" s="143"/>
      <c r="C779" s="144"/>
      <c r="D779" s="109"/>
      <c r="E779" s="109"/>
      <c r="F779" s="110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</row>
    <row r="780" spans="1:24">
      <c r="A780" s="109"/>
      <c r="B780" s="143"/>
      <c r="C780" s="144"/>
      <c r="D780" s="109"/>
      <c r="E780" s="109"/>
      <c r="F780" s="110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</row>
    <row r="781" spans="1:24">
      <c r="A781" s="109"/>
      <c r="B781" s="143"/>
      <c r="C781" s="144"/>
      <c r="D781" s="109"/>
      <c r="E781" s="109"/>
      <c r="F781" s="110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</row>
    <row r="782" spans="1:24">
      <c r="A782" s="109"/>
      <c r="B782" s="143"/>
      <c r="C782" s="144"/>
      <c r="D782" s="109"/>
      <c r="E782" s="109"/>
      <c r="F782" s="110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</row>
    <row r="783" spans="1:24">
      <c r="A783" s="109"/>
      <c r="B783" s="143"/>
      <c r="C783" s="144"/>
      <c r="D783" s="109"/>
      <c r="E783" s="109"/>
      <c r="F783" s="110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</row>
    <row r="784" spans="1:24">
      <c r="A784" s="109"/>
      <c r="B784" s="143"/>
      <c r="C784" s="144"/>
      <c r="D784" s="109"/>
      <c r="E784" s="109"/>
      <c r="F784" s="110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</row>
    <row r="785" spans="1:24">
      <c r="A785" s="109"/>
      <c r="B785" s="143"/>
      <c r="C785" s="144"/>
      <c r="D785" s="109"/>
      <c r="E785" s="109"/>
      <c r="F785" s="110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</row>
    <row r="786" spans="1:24">
      <c r="A786" s="109"/>
      <c r="B786" s="143"/>
      <c r="C786" s="144"/>
      <c r="D786" s="109"/>
      <c r="E786" s="109"/>
      <c r="F786" s="110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</row>
    <row r="787" spans="1:24">
      <c r="A787" s="109"/>
      <c r="B787" s="143"/>
      <c r="C787" s="144"/>
      <c r="D787" s="109"/>
      <c r="E787" s="109"/>
      <c r="F787" s="110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</row>
    <row r="788" spans="1:24">
      <c r="A788" s="109"/>
      <c r="B788" s="143"/>
      <c r="C788" s="144"/>
      <c r="D788" s="109"/>
      <c r="E788" s="109"/>
      <c r="F788" s="110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</row>
    <row r="789" spans="1:24">
      <c r="A789" s="109"/>
      <c r="B789" s="143"/>
      <c r="C789" s="144"/>
      <c r="D789" s="109"/>
      <c r="E789" s="109"/>
      <c r="F789" s="110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</row>
    <row r="790" spans="1:24">
      <c r="A790" s="109"/>
      <c r="B790" s="143"/>
      <c r="C790" s="144"/>
      <c r="D790" s="109"/>
      <c r="E790" s="109"/>
      <c r="F790" s="110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</row>
    <row r="791" spans="1:24">
      <c r="A791" s="109"/>
      <c r="B791" s="143"/>
      <c r="C791" s="144"/>
      <c r="D791" s="109"/>
      <c r="E791" s="109"/>
      <c r="F791" s="110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</row>
    <row r="792" spans="1:24">
      <c r="A792" s="109"/>
      <c r="B792" s="143"/>
      <c r="C792" s="144"/>
      <c r="D792" s="109"/>
      <c r="E792" s="109"/>
      <c r="F792" s="110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</row>
    <row r="793" spans="1:24">
      <c r="A793" s="109"/>
      <c r="B793" s="143"/>
      <c r="C793" s="144"/>
      <c r="D793" s="109"/>
      <c r="E793" s="109"/>
      <c r="F793" s="110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</row>
    <row r="794" spans="1:24">
      <c r="A794" s="109"/>
      <c r="B794" s="143"/>
      <c r="C794" s="144"/>
      <c r="D794" s="109"/>
      <c r="E794" s="109"/>
      <c r="F794" s="110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</row>
    <row r="795" spans="1:24">
      <c r="A795" s="109"/>
      <c r="B795" s="143"/>
      <c r="C795" s="144"/>
      <c r="D795" s="109"/>
      <c r="E795" s="109"/>
      <c r="F795" s="110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</row>
    <row r="796" spans="1:24">
      <c r="A796" s="109"/>
      <c r="B796" s="143"/>
      <c r="C796" s="144"/>
      <c r="D796" s="109"/>
      <c r="E796" s="109"/>
      <c r="F796" s="110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</row>
    <row r="797" spans="1:24">
      <c r="A797" s="109"/>
      <c r="B797" s="143"/>
      <c r="C797" s="144"/>
      <c r="D797" s="109"/>
      <c r="E797" s="109"/>
      <c r="F797" s="110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</row>
    <row r="798" spans="1:24">
      <c r="A798" s="109"/>
      <c r="B798" s="143"/>
      <c r="C798" s="144"/>
      <c r="D798" s="109"/>
      <c r="E798" s="109"/>
      <c r="F798" s="110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</row>
    <row r="799" spans="1:24">
      <c r="A799" s="109"/>
      <c r="B799" s="143"/>
      <c r="C799" s="144"/>
      <c r="D799" s="109"/>
      <c r="E799" s="109"/>
      <c r="F799" s="110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</row>
    <row r="800" spans="1:24">
      <c r="A800" s="109"/>
      <c r="B800" s="143"/>
      <c r="C800" s="144"/>
      <c r="D800" s="109"/>
      <c r="E800" s="109"/>
      <c r="F800" s="110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</row>
    <row r="801" spans="1:24">
      <c r="A801" s="109"/>
      <c r="B801" s="143"/>
      <c r="C801" s="144"/>
      <c r="D801" s="109"/>
      <c r="E801" s="109"/>
      <c r="F801" s="110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</row>
    <row r="802" spans="1:24">
      <c r="A802" s="109"/>
      <c r="B802" s="143"/>
      <c r="C802" s="144"/>
      <c r="D802" s="109"/>
      <c r="E802" s="109"/>
      <c r="F802" s="110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</row>
    <row r="803" spans="1:24">
      <c r="A803" s="109"/>
      <c r="B803" s="143"/>
      <c r="C803" s="144"/>
      <c r="D803" s="109"/>
      <c r="E803" s="109"/>
      <c r="F803" s="110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</row>
    <row r="804" spans="1:24">
      <c r="A804" s="109"/>
      <c r="B804" s="143"/>
      <c r="C804" s="144"/>
      <c r="D804" s="109"/>
      <c r="E804" s="109"/>
      <c r="F804" s="110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</row>
    <row r="805" spans="1:24">
      <c r="A805" s="109"/>
      <c r="B805" s="143"/>
      <c r="C805" s="144"/>
      <c r="D805" s="109"/>
      <c r="E805" s="109"/>
      <c r="F805" s="110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</row>
    <row r="806" spans="1:24">
      <c r="A806" s="109"/>
      <c r="B806" s="143"/>
      <c r="C806" s="144"/>
      <c r="D806" s="109"/>
      <c r="E806" s="109"/>
      <c r="F806" s="110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</row>
    <row r="807" spans="1:24">
      <c r="A807" s="109"/>
      <c r="B807" s="143"/>
      <c r="C807" s="144"/>
      <c r="D807" s="109"/>
      <c r="E807" s="109"/>
      <c r="F807" s="110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</row>
    <row r="808" spans="1:24">
      <c r="A808" s="109"/>
      <c r="B808" s="143"/>
      <c r="C808" s="144"/>
      <c r="D808" s="109"/>
      <c r="E808" s="109"/>
      <c r="F808" s="110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</row>
    <row r="809" spans="1:24">
      <c r="A809" s="109"/>
      <c r="B809" s="143"/>
      <c r="C809" s="144"/>
      <c r="D809" s="109"/>
      <c r="E809" s="109"/>
      <c r="F809" s="110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</row>
    <row r="810" spans="1:24">
      <c r="A810" s="109"/>
      <c r="B810" s="143"/>
      <c r="C810" s="144"/>
      <c r="D810" s="109"/>
      <c r="E810" s="109"/>
      <c r="F810" s="110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</row>
    <row r="811" spans="1:24">
      <c r="A811" s="109"/>
      <c r="B811" s="143"/>
      <c r="C811" s="144"/>
      <c r="D811" s="109"/>
      <c r="E811" s="109"/>
      <c r="F811" s="110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</row>
    <row r="812" spans="1:24">
      <c r="A812" s="109"/>
      <c r="B812" s="143"/>
      <c r="C812" s="144"/>
      <c r="D812" s="109"/>
      <c r="E812" s="109"/>
      <c r="F812" s="110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</row>
    <row r="813" spans="1:24">
      <c r="A813" s="109"/>
      <c r="B813" s="143"/>
      <c r="C813" s="144"/>
      <c r="D813" s="109"/>
      <c r="E813" s="109"/>
      <c r="F813" s="110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</row>
    <row r="814" spans="1:24">
      <c r="A814" s="109"/>
      <c r="B814" s="143"/>
      <c r="C814" s="144"/>
      <c r="D814" s="109"/>
      <c r="E814" s="109"/>
      <c r="F814" s="110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</row>
    <row r="815" spans="1:24">
      <c r="A815" s="109"/>
      <c r="B815" s="143"/>
      <c r="C815" s="144"/>
      <c r="D815" s="109"/>
      <c r="E815" s="109"/>
      <c r="F815" s="110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</row>
    <row r="816" spans="1:24">
      <c r="A816" s="109"/>
      <c r="B816" s="143"/>
      <c r="C816" s="144"/>
      <c r="D816" s="109"/>
      <c r="E816" s="109"/>
      <c r="F816" s="110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</row>
    <row r="817" spans="1:24">
      <c r="A817" s="109"/>
      <c r="B817" s="143"/>
      <c r="C817" s="144"/>
      <c r="D817" s="109"/>
      <c r="E817" s="109"/>
      <c r="F817" s="110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</row>
    <row r="818" spans="1:24">
      <c r="A818" s="109"/>
      <c r="B818" s="143"/>
      <c r="C818" s="144"/>
      <c r="D818" s="109"/>
      <c r="E818" s="109"/>
      <c r="F818" s="110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</row>
    <row r="819" spans="1:24">
      <c r="A819" s="109"/>
      <c r="B819" s="143"/>
      <c r="C819" s="144"/>
      <c r="D819" s="109"/>
      <c r="E819" s="109"/>
      <c r="F819" s="110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</row>
    <row r="820" spans="1:24">
      <c r="A820" s="109"/>
      <c r="B820" s="143"/>
      <c r="C820" s="144"/>
      <c r="D820" s="109"/>
      <c r="E820" s="109"/>
      <c r="F820" s="110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</row>
    <row r="821" spans="1:24">
      <c r="A821" s="109"/>
      <c r="B821" s="143"/>
      <c r="C821" s="144"/>
      <c r="D821" s="109"/>
      <c r="E821" s="109"/>
      <c r="F821" s="110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</row>
    <row r="822" spans="1:24">
      <c r="A822" s="109"/>
      <c r="B822" s="143"/>
      <c r="C822" s="144"/>
      <c r="D822" s="109"/>
      <c r="E822" s="109"/>
      <c r="F822" s="110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</row>
    <row r="823" spans="1:24">
      <c r="A823" s="109"/>
      <c r="B823" s="143"/>
      <c r="C823" s="144"/>
      <c r="D823" s="109"/>
      <c r="E823" s="109"/>
      <c r="F823" s="110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</row>
    <row r="824" spans="1:24">
      <c r="A824" s="109"/>
      <c r="B824" s="143"/>
      <c r="C824" s="144"/>
      <c r="D824" s="109"/>
      <c r="E824" s="109"/>
      <c r="F824" s="110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</row>
    <row r="825" spans="1:24">
      <c r="A825" s="109"/>
      <c r="B825" s="143"/>
      <c r="C825" s="144"/>
      <c r="D825" s="109"/>
      <c r="E825" s="109"/>
      <c r="F825" s="110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</row>
    <row r="826" spans="1:24">
      <c r="A826" s="109"/>
      <c r="B826" s="143"/>
      <c r="C826" s="144"/>
      <c r="D826" s="109"/>
      <c r="E826" s="109"/>
      <c r="F826" s="110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</row>
    <row r="827" spans="1:24">
      <c r="A827" s="109"/>
      <c r="B827" s="143"/>
      <c r="C827" s="144"/>
      <c r="D827" s="109"/>
      <c r="E827" s="109"/>
      <c r="F827" s="110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</row>
    <row r="828" spans="1:24">
      <c r="A828" s="109"/>
      <c r="B828" s="143"/>
      <c r="C828" s="144"/>
      <c r="D828" s="109"/>
      <c r="E828" s="109"/>
      <c r="F828" s="110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</row>
    <row r="829" spans="1:24">
      <c r="A829" s="109"/>
      <c r="B829" s="143"/>
      <c r="C829" s="144"/>
      <c r="D829" s="109"/>
      <c r="E829" s="109"/>
      <c r="F829" s="110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</row>
    <row r="830" spans="1:24">
      <c r="A830" s="109"/>
      <c r="B830" s="143"/>
      <c r="C830" s="144"/>
      <c r="D830" s="109"/>
      <c r="E830" s="109"/>
      <c r="F830" s="110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</row>
    <row r="831" spans="1:24">
      <c r="A831" s="109"/>
      <c r="B831" s="143"/>
      <c r="C831" s="144"/>
      <c r="D831" s="109"/>
      <c r="E831" s="109"/>
      <c r="F831" s="110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</row>
    <row r="832" spans="1:24">
      <c r="A832" s="109"/>
      <c r="B832" s="143"/>
      <c r="C832" s="144"/>
      <c r="D832" s="109"/>
      <c r="E832" s="109"/>
      <c r="F832" s="110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</row>
    <row r="833" spans="1:24">
      <c r="A833" s="109"/>
      <c r="B833" s="143"/>
      <c r="C833" s="144"/>
      <c r="D833" s="109"/>
      <c r="E833" s="109"/>
      <c r="F833" s="110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</row>
    <row r="834" spans="1:24">
      <c r="A834" s="109"/>
      <c r="B834" s="143"/>
      <c r="C834" s="144"/>
      <c r="D834" s="109"/>
      <c r="E834" s="109"/>
      <c r="F834" s="110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</row>
    <row r="835" spans="1:24">
      <c r="A835" s="109"/>
      <c r="B835" s="143"/>
      <c r="C835" s="144"/>
      <c r="D835" s="109"/>
      <c r="E835" s="109"/>
      <c r="F835" s="110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</row>
    <row r="836" spans="1:24">
      <c r="A836" s="109"/>
      <c r="B836" s="143"/>
      <c r="C836" s="144"/>
      <c r="D836" s="109"/>
      <c r="E836" s="109"/>
      <c r="F836" s="110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</row>
    <row r="837" spans="1:24">
      <c r="A837" s="109"/>
      <c r="B837" s="143"/>
      <c r="C837" s="144"/>
      <c r="D837" s="109"/>
      <c r="E837" s="109"/>
      <c r="F837" s="110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</row>
    <row r="838" spans="1:24">
      <c r="A838" s="109"/>
      <c r="B838" s="143"/>
      <c r="C838" s="144"/>
      <c r="D838" s="109"/>
      <c r="E838" s="109"/>
      <c r="F838" s="110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</row>
    <row r="839" spans="1:24">
      <c r="A839" s="109"/>
      <c r="B839" s="143"/>
      <c r="C839" s="144"/>
      <c r="D839" s="109"/>
      <c r="E839" s="109"/>
      <c r="F839" s="110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</row>
    <row r="840" spans="1:24">
      <c r="A840" s="109"/>
      <c r="B840" s="143"/>
      <c r="C840" s="144"/>
      <c r="D840" s="109"/>
      <c r="E840" s="109"/>
      <c r="F840" s="110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</row>
    <row r="841" spans="1:24">
      <c r="A841" s="109"/>
      <c r="B841" s="143"/>
      <c r="C841" s="144"/>
      <c r="D841" s="109"/>
      <c r="E841" s="109"/>
      <c r="F841" s="110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</row>
    <row r="842" spans="1:24">
      <c r="A842" s="109"/>
      <c r="B842" s="143"/>
      <c r="C842" s="144"/>
      <c r="D842" s="109"/>
      <c r="E842" s="109"/>
      <c r="F842" s="110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</row>
    <row r="843" spans="1:24">
      <c r="A843" s="109"/>
      <c r="B843" s="143"/>
      <c r="C843" s="144"/>
      <c r="D843" s="109"/>
      <c r="E843" s="109"/>
      <c r="F843" s="110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</row>
    <row r="844" spans="1:24">
      <c r="A844" s="109"/>
      <c r="B844" s="143"/>
      <c r="C844" s="144"/>
      <c r="D844" s="109"/>
      <c r="E844" s="109"/>
      <c r="F844" s="110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</row>
    <row r="845" spans="1:24">
      <c r="A845" s="109"/>
      <c r="B845" s="143"/>
      <c r="C845" s="144"/>
      <c r="D845" s="109"/>
      <c r="E845" s="109"/>
      <c r="F845" s="110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</row>
    <row r="846" spans="1:24">
      <c r="A846" s="109"/>
      <c r="B846" s="143"/>
      <c r="C846" s="144"/>
      <c r="D846" s="109"/>
      <c r="E846" s="109"/>
      <c r="F846" s="110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</row>
    <row r="847" spans="1:24">
      <c r="A847" s="109"/>
      <c r="B847" s="143"/>
      <c r="C847" s="144"/>
      <c r="D847" s="109"/>
      <c r="E847" s="109"/>
      <c r="F847" s="110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</row>
    <row r="848" spans="1:24">
      <c r="A848" s="109"/>
      <c r="B848" s="143"/>
      <c r="C848" s="144"/>
      <c r="D848" s="109"/>
      <c r="E848" s="109"/>
      <c r="F848" s="110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</row>
    <row r="849" spans="1:24">
      <c r="A849" s="109"/>
      <c r="B849" s="143"/>
      <c r="C849" s="144"/>
      <c r="D849" s="109"/>
      <c r="E849" s="109"/>
      <c r="F849" s="110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</row>
    <row r="850" spans="1:24">
      <c r="A850" s="109"/>
      <c r="B850" s="143"/>
      <c r="C850" s="144"/>
      <c r="D850" s="109"/>
      <c r="E850" s="109"/>
      <c r="F850" s="110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</row>
    <row r="851" spans="1:24">
      <c r="A851" s="109"/>
      <c r="B851" s="143"/>
      <c r="C851" s="144"/>
      <c r="D851" s="109"/>
      <c r="E851" s="109"/>
      <c r="F851" s="110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</row>
    <row r="852" spans="1:24">
      <c r="A852" s="109"/>
      <c r="B852" s="143"/>
      <c r="C852" s="144"/>
      <c r="D852" s="109"/>
      <c r="E852" s="109"/>
      <c r="F852" s="110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</row>
    <row r="853" spans="1:24">
      <c r="A853" s="109"/>
      <c r="B853" s="143"/>
      <c r="C853" s="144"/>
      <c r="D853" s="109"/>
      <c r="E853" s="109"/>
      <c r="F853" s="110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</row>
    <row r="854" spans="1:24">
      <c r="A854" s="109"/>
      <c r="B854" s="143"/>
      <c r="C854" s="144"/>
      <c r="D854" s="109"/>
      <c r="E854" s="109"/>
      <c r="F854" s="110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</row>
    <row r="855" spans="1:24">
      <c r="A855" s="109"/>
      <c r="B855" s="143"/>
      <c r="C855" s="144"/>
      <c r="D855" s="109"/>
      <c r="E855" s="109"/>
      <c r="F855" s="110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</row>
    <row r="856" spans="1:24">
      <c r="A856" s="109"/>
      <c r="B856" s="143"/>
      <c r="C856" s="144"/>
      <c r="D856" s="109"/>
      <c r="E856" s="109"/>
      <c r="F856" s="110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</row>
    <row r="857" spans="1:24">
      <c r="A857" s="109"/>
      <c r="B857" s="143"/>
      <c r="C857" s="144"/>
      <c r="D857" s="109"/>
      <c r="E857" s="109"/>
      <c r="F857" s="110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</row>
    <row r="858" spans="1:24">
      <c r="A858" s="109"/>
      <c r="B858" s="143"/>
      <c r="C858" s="144"/>
      <c r="D858" s="109"/>
      <c r="E858" s="109"/>
      <c r="F858" s="110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</row>
    <row r="859" spans="1:24">
      <c r="A859" s="109"/>
      <c r="B859" s="143"/>
      <c r="C859" s="144"/>
      <c r="D859" s="109"/>
      <c r="E859" s="109"/>
      <c r="F859" s="110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</row>
    <row r="860" spans="1:24">
      <c r="A860" s="109"/>
      <c r="B860" s="143"/>
      <c r="C860" s="144"/>
      <c r="D860" s="109"/>
      <c r="E860" s="109"/>
      <c r="F860" s="110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</row>
    <row r="861" spans="1:24">
      <c r="A861" s="109"/>
      <c r="B861" s="143"/>
      <c r="C861" s="144"/>
      <c r="D861" s="109"/>
      <c r="E861" s="109"/>
      <c r="F861" s="110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</row>
    <row r="862" spans="1:24">
      <c r="A862" s="109"/>
      <c r="B862" s="143"/>
      <c r="C862" s="144"/>
      <c r="D862" s="109"/>
      <c r="E862" s="109"/>
      <c r="F862" s="110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</row>
    <row r="863" spans="1:24">
      <c r="A863" s="109"/>
      <c r="B863" s="143"/>
      <c r="C863" s="144"/>
      <c r="D863" s="109"/>
      <c r="E863" s="109"/>
      <c r="F863" s="110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</row>
    <row r="864" spans="1:24">
      <c r="A864" s="109"/>
      <c r="B864" s="143"/>
      <c r="C864" s="144"/>
      <c r="D864" s="109"/>
      <c r="E864" s="109"/>
      <c r="F864" s="110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</row>
    <row r="865" spans="1:24">
      <c r="A865" s="109"/>
      <c r="B865" s="143"/>
      <c r="C865" s="144"/>
      <c r="D865" s="109"/>
      <c r="E865" s="109"/>
      <c r="F865" s="110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</row>
    <row r="866" spans="1:24">
      <c r="A866" s="109"/>
      <c r="B866" s="143"/>
      <c r="C866" s="144"/>
      <c r="D866" s="109"/>
      <c r="E866" s="109"/>
      <c r="F866" s="110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</row>
    <row r="867" spans="1:24">
      <c r="A867" s="109"/>
      <c r="B867" s="143"/>
      <c r="C867" s="144"/>
      <c r="D867" s="109"/>
      <c r="E867" s="109"/>
      <c r="F867" s="110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</row>
    <row r="868" spans="1:24">
      <c r="A868" s="109"/>
      <c r="B868" s="143"/>
      <c r="C868" s="144"/>
      <c r="D868" s="109"/>
      <c r="E868" s="109"/>
      <c r="F868" s="110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</row>
    <row r="869" spans="1:24">
      <c r="A869" s="109"/>
      <c r="B869" s="143"/>
      <c r="C869" s="144"/>
      <c r="D869" s="109"/>
      <c r="E869" s="109"/>
      <c r="F869" s="110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</row>
    <row r="870" spans="1:24">
      <c r="A870" s="109"/>
      <c r="B870" s="143"/>
      <c r="C870" s="144"/>
      <c r="D870" s="109"/>
      <c r="E870" s="109"/>
      <c r="F870" s="110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</row>
    <row r="871" spans="1:24">
      <c r="A871" s="109"/>
      <c r="B871" s="143"/>
      <c r="C871" s="144"/>
      <c r="D871" s="109"/>
      <c r="E871" s="109"/>
      <c r="F871" s="110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</row>
    <row r="872" spans="1:24">
      <c r="A872" s="109"/>
      <c r="B872" s="143"/>
      <c r="C872" s="144"/>
      <c r="D872" s="109"/>
      <c r="E872" s="109"/>
      <c r="F872" s="110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</row>
    <row r="873" spans="1:24">
      <c r="A873" s="109"/>
      <c r="B873" s="143"/>
      <c r="C873" s="144"/>
      <c r="D873" s="109"/>
      <c r="E873" s="109"/>
      <c r="F873" s="110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</row>
    <row r="874" spans="1:24">
      <c r="A874" s="109"/>
      <c r="B874" s="143"/>
      <c r="C874" s="144"/>
      <c r="D874" s="109"/>
      <c r="E874" s="109"/>
      <c r="F874" s="110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</row>
    <row r="875" spans="1:24">
      <c r="A875" s="109"/>
      <c r="B875" s="143"/>
      <c r="C875" s="144"/>
      <c r="D875" s="109"/>
      <c r="E875" s="109"/>
      <c r="F875" s="110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</row>
    <row r="876" spans="1:24">
      <c r="A876" s="109"/>
      <c r="B876" s="143"/>
      <c r="C876" s="144"/>
      <c r="D876" s="109"/>
      <c r="E876" s="109"/>
      <c r="F876" s="110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</row>
    <row r="877" spans="1:24">
      <c r="A877" s="109"/>
      <c r="B877" s="143"/>
      <c r="C877" s="144"/>
      <c r="D877" s="109"/>
      <c r="E877" s="109"/>
      <c r="F877" s="110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</row>
    <row r="878" spans="1:24">
      <c r="A878" s="109"/>
      <c r="B878" s="143"/>
      <c r="C878" s="144"/>
      <c r="D878" s="109"/>
      <c r="E878" s="109"/>
      <c r="F878" s="110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</row>
    <row r="879" spans="1:24">
      <c r="A879" s="109"/>
      <c r="B879" s="143"/>
      <c r="C879" s="144"/>
      <c r="D879" s="109"/>
      <c r="E879" s="109"/>
      <c r="F879" s="110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</row>
    <row r="880" spans="1:24">
      <c r="A880" s="109"/>
      <c r="B880" s="143"/>
      <c r="C880" s="144"/>
      <c r="D880" s="109"/>
      <c r="E880" s="109"/>
      <c r="F880" s="110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</row>
    <row r="881" spans="1:24">
      <c r="A881" s="109"/>
      <c r="B881" s="143"/>
      <c r="C881" s="144"/>
      <c r="D881" s="109"/>
      <c r="E881" s="109"/>
      <c r="F881" s="110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</row>
    <row r="882" spans="1:24">
      <c r="A882" s="109"/>
      <c r="B882" s="143"/>
      <c r="C882" s="144"/>
      <c r="D882" s="109"/>
      <c r="E882" s="109"/>
      <c r="F882" s="110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</row>
    <row r="883" spans="1:24">
      <c r="A883" s="109"/>
      <c r="B883" s="143"/>
      <c r="C883" s="144"/>
      <c r="D883" s="109"/>
      <c r="E883" s="109"/>
      <c r="F883" s="110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</row>
    <row r="884" spans="1:24">
      <c r="A884" s="109"/>
      <c r="B884" s="143"/>
      <c r="C884" s="144"/>
      <c r="D884" s="109"/>
      <c r="E884" s="109"/>
      <c r="F884" s="110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</row>
    <row r="885" spans="1:24">
      <c r="A885" s="109"/>
      <c r="B885" s="143"/>
      <c r="C885" s="144"/>
      <c r="D885" s="109"/>
      <c r="E885" s="109"/>
      <c r="F885" s="110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</row>
    <row r="886" spans="1:24">
      <c r="A886" s="109"/>
      <c r="B886" s="143"/>
      <c r="C886" s="144"/>
      <c r="D886" s="109"/>
      <c r="E886" s="109"/>
      <c r="F886" s="110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</row>
    <row r="887" spans="1:24">
      <c r="A887" s="109"/>
      <c r="B887" s="143"/>
      <c r="C887" s="144"/>
      <c r="D887" s="109"/>
      <c r="E887" s="109"/>
      <c r="F887" s="110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</row>
    <row r="888" spans="1:24">
      <c r="A888" s="109"/>
      <c r="B888" s="143"/>
      <c r="C888" s="144"/>
      <c r="D888" s="109"/>
      <c r="E888" s="109"/>
      <c r="F888" s="110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</row>
    <row r="889" spans="1:24">
      <c r="A889" s="109"/>
      <c r="B889" s="143"/>
      <c r="C889" s="144"/>
      <c r="D889" s="109"/>
      <c r="E889" s="109"/>
      <c r="F889" s="110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</row>
    <row r="890" spans="1:24">
      <c r="A890" s="109"/>
      <c r="B890" s="143"/>
      <c r="C890" s="144"/>
      <c r="D890" s="109"/>
      <c r="E890" s="109"/>
      <c r="F890" s="110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</row>
    <row r="891" spans="1:24">
      <c r="A891" s="109"/>
      <c r="B891" s="143"/>
      <c r="C891" s="144"/>
      <c r="D891" s="109"/>
      <c r="E891" s="109"/>
      <c r="F891" s="110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</row>
    <row r="892" spans="1:24">
      <c r="A892" s="109"/>
      <c r="B892" s="143"/>
      <c r="C892" s="144"/>
      <c r="D892" s="109"/>
      <c r="E892" s="109"/>
      <c r="F892" s="110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</row>
    <row r="893" spans="1:24">
      <c r="A893" s="109"/>
      <c r="B893" s="143"/>
      <c r="C893" s="144"/>
      <c r="D893" s="109"/>
      <c r="E893" s="109"/>
      <c r="F893" s="110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</row>
    <row r="894" spans="1:24">
      <c r="A894" s="109"/>
      <c r="B894" s="143"/>
      <c r="C894" s="144"/>
      <c r="D894" s="109"/>
      <c r="E894" s="109"/>
      <c r="F894" s="110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</row>
    <row r="895" spans="1:24">
      <c r="A895" s="109"/>
      <c r="B895" s="143"/>
      <c r="C895" s="144"/>
      <c r="D895" s="109"/>
      <c r="E895" s="109"/>
      <c r="F895" s="110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</row>
    <row r="896" spans="1:24">
      <c r="A896" s="109"/>
      <c r="B896" s="143"/>
      <c r="C896" s="144"/>
      <c r="D896" s="109"/>
      <c r="E896" s="109"/>
      <c r="F896" s="110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</row>
    <row r="897" spans="1:24">
      <c r="A897" s="109"/>
      <c r="B897" s="143"/>
      <c r="C897" s="144"/>
      <c r="D897" s="109"/>
      <c r="E897" s="109"/>
      <c r="F897" s="110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</row>
    <row r="898" spans="1:24">
      <c r="A898" s="109"/>
      <c r="B898" s="143"/>
      <c r="C898" s="144"/>
      <c r="D898" s="109"/>
      <c r="E898" s="109"/>
      <c r="F898" s="110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</row>
    <row r="899" spans="1:24">
      <c r="A899" s="109"/>
      <c r="B899" s="143"/>
      <c r="C899" s="144"/>
      <c r="D899" s="109"/>
      <c r="E899" s="109"/>
      <c r="F899" s="110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</row>
    <row r="900" spans="1:24">
      <c r="A900" s="109"/>
      <c r="B900" s="143"/>
      <c r="C900" s="144"/>
      <c r="D900" s="109"/>
      <c r="E900" s="109"/>
      <c r="F900" s="110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</row>
    <row r="901" spans="1:24">
      <c r="A901" s="109"/>
      <c r="B901" s="143"/>
      <c r="C901" s="144"/>
      <c r="D901" s="109"/>
      <c r="E901" s="109"/>
      <c r="F901" s="110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</row>
    <row r="902" spans="1:24">
      <c r="A902" s="109"/>
      <c r="B902" s="143"/>
      <c r="C902" s="144"/>
      <c r="D902" s="109"/>
      <c r="E902" s="109"/>
      <c r="F902" s="110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</row>
    <row r="903" spans="1:24">
      <c r="A903" s="109"/>
      <c r="B903" s="143"/>
      <c r="C903" s="144"/>
      <c r="D903" s="109"/>
      <c r="E903" s="109"/>
      <c r="F903" s="110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</row>
    <row r="904" spans="1:24">
      <c r="A904" s="109"/>
      <c r="B904" s="143"/>
      <c r="C904" s="144"/>
      <c r="D904" s="109"/>
      <c r="E904" s="109"/>
      <c r="F904" s="110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</row>
    <row r="905" spans="1:24">
      <c r="A905" s="109"/>
      <c r="B905" s="143"/>
      <c r="C905" s="144"/>
      <c r="D905" s="109"/>
      <c r="E905" s="109"/>
      <c r="F905" s="110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</row>
    <row r="906" spans="1:24">
      <c r="A906" s="109"/>
      <c r="B906" s="143"/>
      <c r="C906" s="144"/>
      <c r="D906" s="109"/>
      <c r="E906" s="109"/>
      <c r="F906" s="110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</row>
    <row r="907" spans="1:24">
      <c r="A907" s="109"/>
      <c r="B907" s="143"/>
      <c r="C907" s="144"/>
      <c r="D907" s="109"/>
      <c r="E907" s="109"/>
      <c r="F907" s="110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</row>
    <row r="908" spans="1:24">
      <c r="A908" s="109"/>
      <c r="B908" s="143"/>
      <c r="C908" s="144"/>
      <c r="D908" s="109"/>
      <c r="E908" s="109"/>
      <c r="F908" s="110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</row>
    <row r="909" spans="1:24">
      <c r="A909" s="109"/>
      <c r="B909" s="143"/>
      <c r="C909" s="144"/>
      <c r="D909" s="109"/>
      <c r="E909" s="109"/>
      <c r="F909" s="110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</row>
    <row r="910" spans="1:24">
      <c r="A910" s="109"/>
      <c r="B910" s="143"/>
      <c r="C910" s="144"/>
      <c r="D910" s="109"/>
      <c r="E910" s="109"/>
      <c r="F910" s="110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</row>
    <row r="911" spans="1:24">
      <c r="A911" s="109"/>
      <c r="B911" s="143"/>
      <c r="C911" s="144"/>
      <c r="D911" s="109"/>
      <c r="E911" s="109"/>
      <c r="F911" s="110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</row>
    <row r="912" spans="1:24">
      <c r="A912" s="109"/>
      <c r="B912" s="143"/>
      <c r="C912" s="144"/>
      <c r="D912" s="109"/>
      <c r="E912" s="109"/>
      <c r="F912" s="110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</row>
    <row r="913" spans="1:24">
      <c r="A913" s="109"/>
      <c r="B913" s="143"/>
      <c r="C913" s="144"/>
      <c r="D913" s="109"/>
      <c r="E913" s="109"/>
      <c r="F913" s="110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</row>
    <row r="914" spans="1:24">
      <c r="A914" s="109"/>
      <c r="B914" s="143"/>
      <c r="C914" s="144"/>
      <c r="D914" s="109"/>
      <c r="E914" s="109"/>
      <c r="F914" s="110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</row>
    <row r="915" spans="1:24">
      <c r="A915" s="109"/>
      <c r="B915" s="143"/>
      <c r="C915" s="144"/>
      <c r="D915" s="109"/>
      <c r="E915" s="109"/>
      <c r="F915" s="110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</row>
    <row r="916" spans="1:24">
      <c r="A916" s="109"/>
      <c r="B916" s="143"/>
      <c r="C916" s="144"/>
      <c r="D916" s="109"/>
      <c r="E916" s="109"/>
      <c r="F916" s="110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</row>
    <row r="917" spans="1:24">
      <c r="A917" s="109"/>
      <c r="B917" s="143"/>
      <c r="C917" s="144"/>
      <c r="D917" s="109"/>
      <c r="E917" s="109"/>
      <c r="F917" s="110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</row>
    <row r="918" spans="1:24">
      <c r="A918" s="109"/>
      <c r="B918" s="143"/>
      <c r="C918" s="144"/>
      <c r="D918" s="109"/>
      <c r="E918" s="109"/>
      <c r="F918" s="110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</row>
    <row r="919" spans="1:24">
      <c r="A919" s="109"/>
      <c r="B919" s="143"/>
      <c r="C919" s="144"/>
      <c r="D919" s="109"/>
      <c r="E919" s="109"/>
      <c r="F919" s="110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</row>
    <row r="920" spans="1:24">
      <c r="A920" s="109"/>
      <c r="B920" s="143"/>
      <c r="C920" s="144"/>
      <c r="D920" s="109"/>
      <c r="E920" s="109"/>
      <c r="F920" s="110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</row>
    <row r="921" spans="1:24">
      <c r="A921" s="109"/>
      <c r="B921" s="143"/>
      <c r="C921" s="144"/>
      <c r="D921" s="109"/>
      <c r="E921" s="109"/>
      <c r="F921" s="110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</row>
    <row r="922" spans="1:24">
      <c r="A922" s="109"/>
      <c r="B922" s="143"/>
      <c r="C922" s="144"/>
      <c r="D922" s="109"/>
      <c r="E922" s="109"/>
      <c r="F922" s="110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</row>
    <row r="923" spans="1:24">
      <c r="A923" s="109"/>
      <c r="B923" s="143"/>
      <c r="C923" s="144"/>
      <c r="D923" s="109"/>
      <c r="E923" s="109"/>
      <c r="F923" s="110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</row>
    <row r="924" spans="1:24">
      <c r="A924" s="109"/>
      <c r="B924" s="143"/>
      <c r="C924" s="144"/>
      <c r="D924" s="109"/>
      <c r="E924" s="109"/>
      <c r="F924" s="110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</row>
    <row r="925" spans="1:24">
      <c r="A925" s="109"/>
      <c r="B925" s="143"/>
      <c r="C925" s="144"/>
      <c r="D925" s="109"/>
      <c r="E925" s="109"/>
      <c r="F925" s="110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</row>
    <row r="926" spans="1:24">
      <c r="A926" s="109"/>
      <c r="B926" s="143"/>
      <c r="C926" s="144"/>
      <c r="D926" s="109"/>
      <c r="E926" s="109"/>
      <c r="F926" s="110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</row>
    <row r="927" spans="1:24">
      <c r="A927" s="109"/>
      <c r="B927" s="143"/>
      <c r="C927" s="144"/>
      <c r="D927" s="109"/>
      <c r="E927" s="109"/>
      <c r="F927" s="110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</row>
    <row r="928" spans="1:24">
      <c r="A928" s="109"/>
      <c r="B928" s="143"/>
      <c r="C928" s="144"/>
      <c r="D928" s="109"/>
      <c r="E928" s="109"/>
      <c r="F928" s="110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</row>
    <row r="929" spans="1:24">
      <c r="A929" s="109"/>
      <c r="B929" s="143"/>
      <c r="C929" s="144"/>
      <c r="D929" s="109"/>
      <c r="E929" s="109"/>
      <c r="F929" s="110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</row>
    <row r="930" spans="1:24">
      <c r="A930" s="109"/>
      <c r="B930" s="143"/>
      <c r="C930" s="144"/>
      <c r="D930" s="109"/>
      <c r="E930" s="109"/>
      <c r="F930" s="110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</row>
    <row r="931" spans="1:24">
      <c r="A931" s="109"/>
      <c r="B931" s="143"/>
      <c r="C931" s="144"/>
      <c r="D931" s="109"/>
      <c r="E931" s="109"/>
      <c r="F931" s="110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</row>
    <row r="932" spans="1:24">
      <c r="A932" s="109"/>
      <c r="B932" s="143"/>
      <c r="C932" s="144"/>
      <c r="D932" s="109"/>
      <c r="E932" s="109"/>
      <c r="F932" s="110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</row>
    <row r="933" spans="1:24">
      <c r="A933" s="109"/>
      <c r="B933" s="143"/>
      <c r="C933" s="144"/>
      <c r="D933" s="109"/>
      <c r="E933" s="109"/>
      <c r="F933" s="110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</row>
    <row r="934" spans="1:24">
      <c r="A934" s="109"/>
      <c r="B934" s="143"/>
      <c r="C934" s="144"/>
      <c r="D934" s="109"/>
      <c r="E934" s="109"/>
      <c r="F934" s="110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</row>
    <row r="935" spans="1:24">
      <c r="A935" s="109"/>
      <c r="B935" s="143"/>
      <c r="C935" s="144"/>
      <c r="D935" s="109"/>
      <c r="E935" s="109"/>
      <c r="F935" s="110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</row>
    <row r="936" spans="1:24">
      <c r="A936" s="109"/>
      <c r="B936" s="143"/>
      <c r="C936" s="144"/>
      <c r="D936" s="109"/>
      <c r="E936" s="109"/>
      <c r="F936" s="110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</row>
    <row r="937" spans="1:24">
      <c r="A937" s="109"/>
      <c r="B937" s="143"/>
      <c r="C937" s="144"/>
      <c r="D937" s="109"/>
      <c r="E937" s="109"/>
      <c r="F937" s="110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</row>
    <row r="938" spans="1:24">
      <c r="A938" s="109"/>
      <c r="B938" s="143"/>
      <c r="C938" s="144"/>
      <c r="D938" s="109"/>
      <c r="E938" s="109"/>
      <c r="F938" s="110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</row>
    <row r="939" spans="1:24">
      <c r="A939" s="109"/>
      <c r="B939" s="143"/>
      <c r="C939" s="144"/>
      <c r="D939" s="109"/>
      <c r="E939" s="109"/>
      <c r="F939" s="110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</row>
    <row r="940" spans="1:24">
      <c r="A940" s="109"/>
      <c r="B940" s="143"/>
      <c r="C940" s="144"/>
      <c r="D940" s="109"/>
      <c r="E940" s="109"/>
      <c r="F940" s="110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</row>
    <row r="941" spans="1:24">
      <c r="A941" s="109"/>
      <c r="B941" s="143"/>
      <c r="C941" s="144"/>
      <c r="D941" s="109"/>
      <c r="E941" s="109"/>
      <c r="F941" s="110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</row>
    <row r="942" spans="1:24">
      <c r="A942" s="109"/>
      <c r="B942" s="143"/>
      <c r="C942" s="144"/>
      <c r="D942" s="109"/>
      <c r="E942" s="109"/>
      <c r="F942" s="110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</row>
    <row r="943" spans="1:24">
      <c r="A943" s="109"/>
      <c r="B943" s="143"/>
      <c r="C943" s="144"/>
      <c r="D943" s="109"/>
      <c r="E943" s="109"/>
      <c r="F943" s="110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</row>
    <row r="944" spans="1:24">
      <c r="A944" s="109"/>
      <c r="B944" s="143"/>
      <c r="C944" s="144"/>
      <c r="D944" s="109"/>
      <c r="E944" s="109"/>
      <c r="F944" s="110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</row>
    <row r="945" spans="1:24">
      <c r="A945" s="109"/>
      <c r="B945" s="143"/>
      <c r="C945" s="144"/>
      <c r="D945" s="109"/>
      <c r="E945" s="109"/>
      <c r="F945" s="110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</row>
    <row r="946" spans="1:24">
      <c r="A946" s="109"/>
      <c r="B946" s="143"/>
      <c r="C946" s="144"/>
      <c r="D946" s="109"/>
      <c r="E946" s="109"/>
      <c r="F946" s="110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</row>
    <row r="947" spans="1:24">
      <c r="A947" s="109"/>
      <c r="B947" s="143"/>
      <c r="C947" s="144"/>
      <c r="D947" s="109"/>
      <c r="E947" s="109"/>
      <c r="F947" s="110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</row>
    <row r="948" spans="1:24">
      <c r="A948" s="109"/>
      <c r="B948" s="143"/>
      <c r="C948" s="144"/>
      <c r="D948" s="109"/>
      <c r="E948" s="109"/>
      <c r="F948" s="110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</row>
    <row r="949" spans="1:24">
      <c r="A949" s="109"/>
      <c r="B949" s="143"/>
      <c r="C949" s="144"/>
      <c r="D949" s="109"/>
      <c r="E949" s="109"/>
      <c r="F949" s="110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</row>
    <row r="950" spans="1:24">
      <c r="A950" s="109"/>
      <c r="B950" s="143"/>
      <c r="C950" s="144"/>
      <c r="D950" s="109"/>
      <c r="E950" s="109"/>
      <c r="F950" s="110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</row>
    <row r="951" spans="1:24">
      <c r="A951" s="109"/>
      <c r="B951" s="143"/>
      <c r="C951" s="144"/>
      <c r="D951" s="109"/>
      <c r="E951" s="109"/>
      <c r="F951" s="110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</row>
    <row r="952" spans="1:24">
      <c r="A952" s="109"/>
      <c r="B952" s="143"/>
      <c r="C952" s="144"/>
      <c r="D952" s="109"/>
      <c r="E952" s="109"/>
      <c r="F952" s="110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</row>
    <row r="953" spans="1:24">
      <c r="A953" s="109"/>
      <c r="B953" s="143"/>
      <c r="C953" s="144"/>
      <c r="D953" s="109"/>
      <c r="E953" s="109"/>
      <c r="F953" s="110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</row>
    <row r="954" spans="1:24">
      <c r="A954" s="109"/>
      <c r="B954" s="143"/>
      <c r="C954" s="144"/>
      <c r="D954" s="109"/>
      <c r="E954" s="109"/>
      <c r="F954" s="110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</row>
    <row r="955" spans="1:24">
      <c r="A955" s="109"/>
      <c r="B955" s="143"/>
      <c r="C955" s="144"/>
      <c r="D955" s="109"/>
      <c r="E955" s="109"/>
      <c r="F955" s="110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</row>
    <row r="956" spans="1:24">
      <c r="A956" s="109"/>
      <c r="B956" s="143"/>
      <c r="C956" s="144"/>
      <c r="D956" s="109"/>
      <c r="E956" s="109"/>
      <c r="F956" s="110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</row>
    <row r="957" spans="1:24">
      <c r="A957" s="109"/>
      <c r="B957" s="143"/>
      <c r="C957" s="144"/>
      <c r="D957" s="109"/>
      <c r="E957" s="109"/>
      <c r="F957" s="110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</row>
    <row r="958" spans="1:24">
      <c r="A958" s="109"/>
      <c r="B958" s="143"/>
      <c r="C958" s="144"/>
      <c r="D958" s="109"/>
      <c r="E958" s="109"/>
      <c r="F958" s="110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</row>
    <row r="959" spans="1:24">
      <c r="A959" s="109"/>
      <c r="B959" s="143"/>
      <c r="C959" s="144"/>
      <c r="D959" s="109"/>
      <c r="E959" s="109"/>
      <c r="F959" s="110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</row>
    <row r="960" spans="1:24">
      <c r="A960" s="109"/>
      <c r="B960" s="143"/>
      <c r="C960" s="144"/>
      <c r="D960" s="109"/>
      <c r="E960" s="109"/>
      <c r="F960" s="110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</row>
    <row r="961" spans="1:24">
      <c r="A961" s="109"/>
      <c r="B961" s="143"/>
      <c r="C961" s="144"/>
      <c r="D961" s="109"/>
      <c r="E961" s="109"/>
      <c r="F961" s="110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</row>
    <row r="962" spans="1:24">
      <c r="A962" s="109"/>
      <c r="B962" s="143"/>
      <c r="C962" s="144"/>
      <c r="D962" s="109"/>
      <c r="E962" s="109"/>
      <c r="F962" s="110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</row>
    <row r="963" spans="1:24">
      <c r="A963" s="109"/>
      <c r="B963" s="143"/>
      <c r="C963" s="144"/>
      <c r="D963" s="109"/>
      <c r="E963" s="109"/>
      <c r="F963" s="110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</row>
    <row r="964" spans="1:24">
      <c r="A964" s="109"/>
      <c r="B964" s="143"/>
      <c r="C964" s="144"/>
      <c r="D964" s="109"/>
      <c r="E964" s="109"/>
      <c r="F964" s="110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</row>
    <row r="965" spans="1:24">
      <c r="A965" s="109"/>
      <c r="B965" s="143"/>
      <c r="C965" s="144"/>
      <c r="D965" s="109"/>
      <c r="E965" s="109"/>
      <c r="F965" s="110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</row>
    <row r="966" spans="1:24">
      <c r="A966" s="109"/>
      <c r="B966" s="143"/>
      <c r="C966" s="144"/>
      <c r="D966" s="109"/>
      <c r="E966" s="109"/>
      <c r="F966" s="110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</row>
    <row r="967" spans="1:24">
      <c r="A967" s="109"/>
      <c r="B967" s="143"/>
      <c r="C967" s="144"/>
      <c r="D967" s="109"/>
      <c r="E967" s="109"/>
      <c r="F967" s="110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</row>
    <row r="968" spans="1:24">
      <c r="A968" s="109"/>
      <c r="B968" s="143"/>
      <c r="C968" s="144"/>
      <c r="D968" s="109"/>
      <c r="E968" s="109"/>
      <c r="F968" s="110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</row>
    <row r="969" spans="1:24">
      <c r="A969" s="109"/>
      <c r="B969" s="143"/>
      <c r="C969" s="144"/>
      <c r="D969" s="109"/>
      <c r="E969" s="109"/>
      <c r="F969" s="110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</row>
    <row r="970" spans="1:24">
      <c r="A970" s="109"/>
      <c r="B970" s="143"/>
      <c r="C970" s="144"/>
      <c r="D970" s="109"/>
      <c r="E970" s="109"/>
      <c r="F970" s="110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</row>
    <row r="971" spans="1:24">
      <c r="A971" s="109"/>
      <c r="B971" s="143"/>
      <c r="C971" s="144"/>
      <c r="D971" s="109"/>
      <c r="E971" s="109"/>
      <c r="F971" s="110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</row>
    <row r="972" spans="1:24">
      <c r="A972" s="109"/>
      <c r="B972" s="143"/>
      <c r="C972" s="144"/>
      <c r="D972" s="109"/>
      <c r="E972" s="109"/>
      <c r="F972" s="110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</row>
    <row r="973" spans="1:24">
      <c r="A973" s="109"/>
      <c r="B973" s="143"/>
      <c r="C973" s="144"/>
      <c r="D973" s="109"/>
      <c r="E973" s="109"/>
      <c r="F973" s="110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</row>
    <row r="974" spans="1:24">
      <c r="A974" s="109"/>
      <c r="B974" s="143"/>
      <c r="C974" s="144"/>
      <c r="D974" s="109"/>
      <c r="E974" s="109"/>
      <c r="F974" s="110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</row>
    <row r="975" spans="1:24">
      <c r="A975" s="109"/>
      <c r="B975" s="143"/>
      <c r="C975" s="144"/>
      <c r="D975" s="109"/>
      <c r="E975" s="109"/>
      <c r="F975" s="110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</row>
    <row r="976" spans="1:24">
      <c r="A976" s="109"/>
      <c r="B976" s="143"/>
      <c r="C976" s="144"/>
      <c r="D976" s="109"/>
      <c r="E976" s="109"/>
      <c r="F976" s="110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</row>
    <row r="977" spans="1:24">
      <c r="A977" s="109"/>
      <c r="B977" s="143"/>
      <c r="C977" s="144"/>
      <c r="D977" s="109"/>
      <c r="E977" s="109"/>
      <c r="F977" s="110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</row>
    <row r="978" spans="1:24">
      <c r="A978" s="109"/>
      <c r="B978" s="143"/>
      <c r="C978" s="144"/>
      <c r="D978" s="109"/>
      <c r="E978" s="109"/>
      <c r="F978" s="110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</row>
    <row r="979" spans="1:24">
      <c r="A979" s="109"/>
      <c r="B979" s="143"/>
      <c r="C979" s="144"/>
      <c r="D979" s="109"/>
      <c r="E979" s="109"/>
      <c r="F979" s="110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</row>
    <row r="980" spans="1:24">
      <c r="A980" s="109"/>
      <c r="B980" s="143"/>
      <c r="C980" s="144"/>
      <c r="D980" s="109"/>
      <c r="E980" s="109"/>
      <c r="F980" s="110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</row>
    <row r="981" spans="1:24">
      <c r="A981" s="109"/>
      <c r="B981" s="143"/>
      <c r="C981" s="144"/>
      <c r="D981" s="109"/>
      <c r="E981" s="109"/>
      <c r="F981" s="110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</row>
    <row r="982" spans="1:24">
      <c r="A982" s="109"/>
      <c r="B982" s="143"/>
      <c r="C982" s="144"/>
      <c r="D982" s="109"/>
      <c r="E982" s="109"/>
      <c r="F982" s="110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</row>
    <row r="983" spans="1:24">
      <c r="A983" s="109"/>
      <c r="B983" s="143"/>
      <c r="C983" s="144"/>
      <c r="D983" s="109"/>
      <c r="E983" s="109"/>
      <c r="F983" s="110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</row>
    <row r="984" spans="1:24">
      <c r="A984" s="109"/>
      <c r="B984" s="143"/>
      <c r="C984" s="144"/>
      <c r="D984" s="109"/>
      <c r="E984" s="109"/>
      <c r="F984" s="110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</row>
    <row r="985" spans="1:24">
      <c r="A985" s="109"/>
      <c r="B985" s="143"/>
      <c r="C985" s="144"/>
      <c r="D985" s="109"/>
      <c r="E985" s="109"/>
      <c r="F985" s="110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</row>
    <row r="986" spans="1:24">
      <c r="A986" s="109"/>
      <c r="B986" s="143"/>
      <c r="C986" s="144"/>
      <c r="D986" s="109"/>
      <c r="E986" s="109"/>
      <c r="F986" s="110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</row>
    <row r="987" spans="1:24">
      <c r="A987" s="109"/>
      <c r="B987" s="143"/>
      <c r="C987" s="144"/>
      <c r="D987" s="109"/>
      <c r="E987" s="109"/>
      <c r="F987" s="110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</row>
    <row r="988" spans="1:24">
      <c r="A988" s="109"/>
      <c r="B988" s="143"/>
      <c r="C988" s="144"/>
      <c r="D988" s="109"/>
      <c r="E988" s="109"/>
      <c r="F988" s="110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</row>
    <row r="989" spans="1:24">
      <c r="A989" s="109"/>
      <c r="B989" s="143"/>
      <c r="C989" s="144"/>
      <c r="D989" s="109"/>
      <c r="E989" s="109"/>
      <c r="F989" s="110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</row>
    <row r="990" spans="1:24">
      <c r="A990" s="109"/>
      <c r="B990" s="143"/>
      <c r="C990" s="144"/>
      <c r="D990" s="109"/>
      <c r="E990" s="109"/>
      <c r="F990" s="110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</row>
    <row r="991" spans="1:24">
      <c r="A991" s="109"/>
      <c r="B991" s="143"/>
      <c r="C991" s="144"/>
      <c r="D991" s="109"/>
      <c r="E991" s="109"/>
      <c r="F991" s="110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</row>
    <row r="992" spans="1:24">
      <c r="A992" s="109"/>
      <c r="B992" s="143"/>
      <c r="C992" s="144"/>
      <c r="D992" s="109"/>
      <c r="E992" s="109"/>
      <c r="F992" s="110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</row>
    <row r="993" spans="1:24">
      <c r="A993" s="109"/>
      <c r="B993" s="143"/>
      <c r="C993" s="144"/>
      <c r="D993" s="109"/>
      <c r="E993" s="109"/>
      <c r="F993" s="110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</row>
    <row r="994" spans="1:24">
      <c r="A994" s="109"/>
      <c r="B994" s="143"/>
      <c r="C994" s="144"/>
      <c r="D994" s="109"/>
      <c r="E994" s="109"/>
      <c r="F994" s="110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</row>
    <row r="995" spans="1:24">
      <c r="A995" s="109"/>
      <c r="B995" s="143"/>
      <c r="C995" s="144"/>
      <c r="D995" s="109"/>
      <c r="E995" s="109"/>
      <c r="F995" s="110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</row>
    <row r="996" spans="1:24">
      <c r="A996" s="109"/>
      <c r="B996" s="143"/>
      <c r="C996" s="144"/>
      <c r="D996" s="109"/>
      <c r="E996" s="109"/>
      <c r="F996" s="110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</row>
    <row r="997" spans="1:24">
      <c r="A997" s="109"/>
      <c r="B997" s="143"/>
      <c r="C997" s="144"/>
      <c r="D997" s="109"/>
      <c r="E997" s="109"/>
      <c r="F997" s="110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</row>
    <row r="998" spans="1:24">
      <c r="A998" s="109"/>
      <c r="B998" s="143"/>
      <c r="C998" s="144"/>
      <c r="D998" s="109"/>
      <c r="E998" s="109"/>
      <c r="F998" s="110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</row>
    <row r="999" spans="1:24">
      <c r="B999" s="80"/>
      <c r="C999" s="152"/>
    </row>
    <row r="1000" spans="1:24">
      <c r="B1000" s="80"/>
      <c r="C1000" s="152"/>
    </row>
  </sheetData>
  <autoFilter ref="A3:K86" xr:uid="{00000000-0009-0000-0000-00000A000000}">
    <sortState xmlns:xlrd2="http://schemas.microsoft.com/office/spreadsheetml/2017/richdata2" ref="A4:K86">
      <sortCondition ref="A3:A86"/>
    </sortState>
  </autoFilter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C4:J1000"/>
  <sheetViews>
    <sheetView topLeftCell="D1" workbookViewId="0">
      <selection activeCell="J7" sqref="J7"/>
    </sheetView>
  </sheetViews>
  <sheetFormatPr defaultColWidth="14.453125" defaultRowHeight="15" customHeight="1"/>
  <cols>
    <col min="1" max="2" width="14.453125" customWidth="1"/>
    <col min="3" max="3" width="16.08984375" customWidth="1"/>
    <col min="4" max="4" width="34.6328125" customWidth="1"/>
    <col min="5" max="5" width="18.90625" customWidth="1"/>
    <col min="6" max="6" width="14.453125" customWidth="1"/>
  </cols>
  <sheetData>
    <row r="4" spans="3:10" ht="15" customHeight="1">
      <c r="C4" s="153" t="s">
        <v>442</v>
      </c>
      <c r="D4" s="153" t="s">
        <v>443</v>
      </c>
      <c r="E4" s="154" t="s">
        <v>444</v>
      </c>
      <c r="F4" s="154" t="s">
        <v>445</v>
      </c>
      <c r="G4" s="154" t="s">
        <v>446</v>
      </c>
      <c r="H4" s="154" t="s">
        <v>447</v>
      </c>
      <c r="I4" s="154" t="s">
        <v>448</v>
      </c>
      <c r="J4" s="154" t="s">
        <v>12</v>
      </c>
    </row>
    <row r="5" spans="3:10" ht="15" customHeight="1">
      <c r="C5" s="10" t="s">
        <v>96</v>
      </c>
      <c r="D5" s="17" t="s">
        <v>97</v>
      </c>
      <c r="E5" s="155">
        <v>5</v>
      </c>
      <c r="F5" s="156">
        <v>9.4</v>
      </c>
      <c r="G5" s="156">
        <v>9.3309999999999995</v>
      </c>
      <c r="H5" s="155" t="s">
        <v>449</v>
      </c>
      <c r="I5" s="155">
        <f>AVERAGE(0.5,0.55)</f>
        <v>0.52500000000000002</v>
      </c>
      <c r="J5" s="157">
        <f t="shared" ref="J5:J9" si="0">0.0673*(I5*G5*G5*F5)^0.976</f>
        <v>25.001332458213074</v>
      </c>
    </row>
    <row r="6" spans="3:10" ht="15" customHeight="1">
      <c r="C6" s="10" t="s">
        <v>37</v>
      </c>
      <c r="D6" s="11" t="s">
        <v>38</v>
      </c>
      <c r="E6" s="52">
        <v>19</v>
      </c>
      <c r="F6" s="158">
        <v>7.13</v>
      </c>
      <c r="G6" s="72">
        <v>7.5090000000000003</v>
      </c>
      <c r="H6" s="143">
        <v>0.82</v>
      </c>
      <c r="I6" s="52">
        <v>0.82</v>
      </c>
      <c r="J6" s="159">
        <f t="shared" si="0"/>
        <v>19.304076631881127</v>
      </c>
    </row>
    <row r="7" spans="3:10" ht="15" customHeight="1">
      <c r="C7" s="10" t="s">
        <v>53</v>
      </c>
      <c r="D7" s="11" t="s">
        <v>54</v>
      </c>
      <c r="E7" s="52">
        <v>22</v>
      </c>
      <c r="F7" s="158">
        <v>7.57</v>
      </c>
      <c r="G7" s="72">
        <v>32.07</v>
      </c>
      <c r="H7" s="52">
        <v>0.73</v>
      </c>
      <c r="I7" s="52">
        <v>0.73</v>
      </c>
      <c r="J7" s="159">
        <f t="shared" si="0"/>
        <v>310.82856532271245</v>
      </c>
    </row>
    <row r="8" spans="3:10" ht="15" customHeight="1">
      <c r="C8" s="10" t="s">
        <v>64</v>
      </c>
      <c r="D8" s="11" t="s">
        <v>450</v>
      </c>
      <c r="E8" s="72">
        <v>8</v>
      </c>
      <c r="F8" s="72">
        <v>7.125</v>
      </c>
      <c r="G8" s="72">
        <v>6.9859999999999998</v>
      </c>
      <c r="H8" s="52">
        <v>1</v>
      </c>
      <c r="I8" s="52">
        <v>1</v>
      </c>
      <c r="J8" s="159">
        <f t="shared" si="0"/>
        <v>20.336082110655344</v>
      </c>
    </row>
    <row r="9" spans="3:10" ht="15" customHeight="1">
      <c r="C9" s="10" t="s">
        <v>66</v>
      </c>
      <c r="D9" s="11" t="s">
        <v>67</v>
      </c>
      <c r="E9" s="52">
        <v>10</v>
      </c>
      <c r="F9" s="158">
        <v>9.35</v>
      </c>
      <c r="G9" s="158">
        <v>20.878</v>
      </c>
      <c r="H9" s="52">
        <v>0.76</v>
      </c>
      <c r="I9" s="52">
        <v>0.76</v>
      </c>
      <c r="J9" s="159">
        <f t="shared" si="0"/>
        <v>171.88341832964909</v>
      </c>
    </row>
    <row r="10" spans="3:10" ht="15" customHeight="1">
      <c r="C10" s="160"/>
      <c r="D10" s="161"/>
      <c r="E10" s="81"/>
      <c r="F10" s="162"/>
      <c r="G10" s="162"/>
      <c r="H10" s="81"/>
      <c r="I10" s="2"/>
      <c r="J10" s="16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C4:J9" xr:uid="{00000000-0009-0000-0000-00000B000000}"/>
  <pageMargins left="0.511811024" right="0.511811024" top="0.78740157499999996" bottom="0.78740157499999996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I1000"/>
  <sheetViews>
    <sheetView workbookViewId="0"/>
  </sheetViews>
  <sheetFormatPr defaultColWidth="14.453125" defaultRowHeight="15" customHeight="1"/>
  <cols>
    <col min="1" max="1" width="8.6328125" customWidth="1"/>
    <col min="2" max="2" width="16.08984375" customWidth="1"/>
    <col min="3" max="3" width="36" customWidth="1"/>
    <col min="4" max="4" width="14.54296875" customWidth="1"/>
    <col min="5" max="5" width="12.453125" customWidth="1"/>
    <col min="6" max="6" width="10.6328125" customWidth="1"/>
    <col min="7" max="7" width="25.54296875" customWidth="1"/>
    <col min="8" max="8" width="18.90625" customWidth="1"/>
    <col min="9" max="9" width="8.6328125" customWidth="1"/>
  </cols>
  <sheetData>
    <row r="1" spans="2:9" ht="14.25" customHeight="1"/>
    <row r="2" spans="2:9" ht="14.25" customHeight="1"/>
    <row r="3" spans="2:9" ht="14.25" customHeight="1">
      <c r="B3" s="153" t="s">
        <v>442</v>
      </c>
      <c r="C3" s="153" t="s">
        <v>443</v>
      </c>
      <c r="D3" s="153" t="s">
        <v>444</v>
      </c>
      <c r="E3" s="153" t="s">
        <v>445</v>
      </c>
      <c r="F3" s="153" t="s">
        <v>446</v>
      </c>
      <c r="G3" s="153" t="s">
        <v>447</v>
      </c>
      <c r="H3" s="153" t="s">
        <v>448</v>
      </c>
      <c r="I3" s="153" t="s">
        <v>12</v>
      </c>
    </row>
    <row r="4" spans="2:9" ht="14.25" customHeight="1">
      <c r="B4" s="164" t="s">
        <v>229</v>
      </c>
      <c r="C4" s="165" t="s">
        <v>451</v>
      </c>
      <c r="D4" s="155">
        <v>30</v>
      </c>
      <c r="E4" s="156">
        <v>6.0730000000000004</v>
      </c>
      <c r="F4" s="156">
        <v>15.321</v>
      </c>
      <c r="G4" s="155" t="s">
        <v>452</v>
      </c>
      <c r="H4" s="155">
        <f>AVERAGE(0.6,0.78)</f>
        <v>0.69</v>
      </c>
      <c r="I4" s="157">
        <f t="shared" ref="I4:I8" si="0">0.0673*(H4*F4*F4*E4)^0.976</f>
        <v>56.106583358570511</v>
      </c>
    </row>
    <row r="5" spans="2:9" ht="14.25" customHeight="1">
      <c r="B5" s="52" t="s">
        <v>453</v>
      </c>
      <c r="C5" s="166" t="s">
        <v>21</v>
      </c>
      <c r="D5" s="52">
        <v>5</v>
      </c>
      <c r="E5" s="158">
        <v>8.9</v>
      </c>
      <c r="F5" s="72">
        <v>14.968</v>
      </c>
      <c r="G5" s="143" t="s">
        <v>454</v>
      </c>
      <c r="H5" s="52">
        <f>AVERAGE(0.84,1.1)</f>
        <v>0.97</v>
      </c>
      <c r="I5" s="159">
        <f t="shared" si="0"/>
        <v>108.54969590937642</v>
      </c>
    </row>
    <row r="6" spans="2:9" ht="14.25" customHeight="1">
      <c r="B6" s="72" t="s">
        <v>455</v>
      </c>
      <c r="C6" s="166" t="s">
        <v>330</v>
      </c>
      <c r="D6" s="52">
        <v>5</v>
      </c>
      <c r="E6" s="158">
        <v>8.8000000000000007</v>
      </c>
      <c r="F6" s="72">
        <v>28.503</v>
      </c>
      <c r="G6" s="52" t="s">
        <v>456</v>
      </c>
      <c r="H6" s="52">
        <f>AVERAGE(0.8,1.1)</f>
        <v>0.95000000000000007</v>
      </c>
      <c r="I6" s="159">
        <f t="shared" si="0"/>
        <v>369.85780602979401</v>
      </c>
    </row>
    <row r="7" spans="2:9" ht="14.25" customHeight="1">
      <c r="B7" s="167" t="s">
        <v>316</v>
      </c>
      <c r="C7" s="166" t="s">
        <v>287</v>
      </c>
      <c r="D7" s="72">
        <v>7</v>
      </c>
      <c r="E7" s="72">
        <v>6.3280000000000003</v>
      </c>
      <c r="F7" s="72">
        <v>6.7110000000000003</v>
      </c>
      <c r="G7" s="52" t="s">
        <v>457</v>
      </c>
      <c r="H7" s="52">
        <f>AVERAGE(0.5,0.7)</f>
        <v>0.6</v>
      </c>
      <c r="I7" s="159">
        <f t="shared" si="0"/>
        <v>10.172213105459354</v>
      </c>
    </row>
    <row r="8" spans="2:9" ht="14.25" customHeight="1">
      <c r="B8" s="167" t="s">
        <v>458</v>
      </c>
      <c r="C8" s="166" t="s">
        <v>56</v>
      </c>
      <c r="D8" s="52">
        <v>14</v>
      </c>
      <c r="E8" s="158">
        <v>6.2850000000000001</v>
      </c>
      <c r="F8" s="158">
        <v>17.869</v>
      </c>
      <c r="G8" s="52" t="s">
        <v>459</v>
      </c>
      <c r="H8" s="52">
        <f>AVERAGE(0.58,0.77)</f>
        <v>0.67500000000000004</v>
      </c>
      <c r="I8" s="159">
        <f t="shared" si="0"/>
        <v>76.67630698562192</v>
      </c>
    </row>
    <row r="9" spans="2:9" ht="14.25" customHeight="1">
      <c r="B9" s="160"/>
      <c r="C9" s="161"/>
      <c r="D9" s="81"/>
      <c r="E9" s="162"/>
      <c r="F9" s="162"/>
      <c r="G9" s="81"/>
      <c r="H9" s="2"/>
      <c r="I9" s="163"/>
    </row>
    <row r="10" spans="2:9" ht="14.25" customHeight="1"/>
    <row r="11" spans="2:9" ht="14.25" customHeight="1"/>
    <row r="12" spans="2:9" ht="14.25" customHeight="1"/>
    <row r="13" spans="2:9" ht="14.25" customHeight="1"/>
    <row r="14" spans="2:9" ht="14.25" customHeight="1"/>
    <row r="15" spans="2:9" ht="14.25" customHeight="1"/>
    <row r="16" spans="2:9" ht="14.25" customHeight="1"/>
    <row r="17" spans="3:3" ht="14.25" customHeight="1"/>
    <row r="18" spans="3:3" ht="14.25" customHeight="1"/>
    <row r="19" spans="3:3" ht="14.25" customHeight="1"/>
    <row r="20" spans="3:3" ht="14.25" customHeight="1"/>
    <row r="21" spans="3:3" ht="14.25" customHeight="1"/>
    <row r="22" spans="3:3" ht="14.25" customHeight="1">
      <c r="C22" s="2"/>
    </row>
    <row r="23" spans="3:3" ht="14.25" customHeight="1">
      <c r="C23" s="2"/>
    </row>
    <row r="24" spans="3:3" ht="14.25" customHeight="1">
      <c r="C24" s="2"/>
    </row>
    <row r="25" spans="3:3" ht="14.25" customHeight="1">
      <c r="C25" s="2"/>
    </row>
    <row r="26" spans="3:3" ht="14.25" customHeight="1"/>
    <row r="27" spans="3:3" ht="14.25" customHeight="1"/>
    <row r="28" spans="3:3" ht="14.25" customHeight="1"/>
    <row r="29" spans="3:3" ht="14.25" customHeight="1"/>
    <row r="30" spans="3:3" ht="14.25" customHeight="1"/>
    <row r="31" spans="3:3" ht="14.25" customHeight="1"/>
    <row r="32" spans="3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0555555555596" right="0.51180555555555596" top="0.78749999999999998" bottom="0.78749999999999998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B4:I1000"/>
  <sheetViews>
    <sheetView workbookViewId="0"/>
  </sheetViews>
  <sheetFormatPr defaultColWidth="14.453125" defaultRowHeight="15" customHeight="1"/>
  <cols>
    <col min="1" max="1" width="14.453125" customWidth="1"/>
    <col min="2" max="2" width="16.08984375" customWidth="1"/>
    <col min="3" max="3" width="34.6328125" customWidth="1"/>
    <col min="4" max="5" width="15.54296875" customWidth="1"/>
    <col min="6" max="6" width="14.453125" customWidth="1"/>
    <col min="7" max="7" width="25.54296875" customWidth="1"/>
    <col min="8" max="9" width="18.90625" customWidth="1"/>
  </cols>
  <sheetData>
    <row r="4" spans="2:9" ht="15" customHeight="1">
      <c r="B4" s="153" t="s">
        <v>442</v>
      </c>
      <c r="C4" s="153" t="s">
        <v>443</v>
      </c>
      <c r="D4" s="153" t="s">
        <v>444</v>
      </c>
      <c r="E4" s="153" t="s">
        <v>445</v>
      </c>
      <c r="F4" s="153" t="s">
        <v>446</v>
      </c>
      <c r="G4" s="153" t="s">
        <v>447</v>
      </c>
      <c r="H4" s="153" t="s">
        <v>448</v>
      </c>
      <c r="I4" s="153" t="s">
        <v>12</v>
      </c>
    </row>
    <row r="5" spans="2:9" ht="15" customHeight="1">
      <c r="B5" s="9" t="s">
        <v>112</v>
      </c>
      <c r="C5" s="15" t="s">
        <v>113</v>
      </c>
      <c r="D5" s="168">
        <v>7</v>
      </c>
      <c r="E5" s="169">
        <v>9.3569999999999993</v>
      </c>
      <c r="F5" s="169">
        <v>29.34</v>
      </c>
      <c r="G5" s="168">
        <v>0.8</v>
      </c>
      <c r="H5" s="168">
        <v>0.8</v>
      </c>
      <c r="I5" s="170">
        <f t="shared" ref="I5:I9" si="0">0.0673*(H5*F5*F5*E5)^0.976</f>
        <v>351.35195602351052</v>
      </c>
    </row>
    <row r="6" spans="2:9" ht="15" customHeight="1">
      <c r="B6" s="9" t="s">
        <v>130</v>
      </c>
      <c r="C6" s="10" t="s">
        <v>129</v>
      </c>
      <c r="D6" s="15">
        <v>9</v>
      </c>
      <c r="E6" s="94">
        <v>6.6660000000000004</v>
      </c>
      <c r="F6" s="94">
        <v>7.1790000000000003</v>
      </c>
      <c r="G6" s="171" t="s">
        <v>460</v>
      </c>
      <c r="H6" s="168">
        <f>AVERAGE(0.25,0.41)</f>
        <v>0.32999999999999996</v>
      </c>
      <c r="I6" s="172">
        <f t="shared" si="0"/>
        <v>6.8110496847148108</v>
      </c>
    </row>
    <row r="7" spans="2:9" ht="15" customHeight="1">
      <c r="B7" s="173" t="s">
        <v>56</v>
      </c>
      <c r="C7" s="15" t="s">
        <v>139</v>
      </c>
      <c r="D7" s="15">
        <v>6</v>
      </c>
      <c r="E7" s="94">
        <v>5.1829999999999998</v>
      </c>
      <c r="F7" s="94">
        <v>8.7789999999999999</v>
      </c>
      <c r="G7" s="15" t="s">
        <v>456</v>
      </c>
      <c r="H7" s="15">
        <f>AVERAGE(0.8,1.1)</f>
        <v>0.95000000000000007</v>
      </c>
      <c r="I7" s="172">
        <f t="shared" si="0"/>
        <v>22.146714063656372</v>
      </c>
    </row>
    <row r="8" spans="2:9" ht="15" customHeight="1">
      <c r="B8" s="9" t="s">
        <v>162</v>
      </c>
      <c r="C8" s="15" t="s">
        <v>161</v>
      </c>
      <c r="D8" s="94">
        <v>6</v>
      </c>
      <c r="E8" s="94">
        <v>5.0830000000000002</v>
      </c>
      <c r="F8" s="94">
        <v>7.7539999999999996</v>
      </c>
      <c r="G8" s="15" t="s">
        <v>461</v>
      </c>
      <c r="H8" s="15">
        <f>AVERAGE(0.5,0.68)</f>
        <v>0.59000000000000008</v>
      </c>
      <c r="I8" s="172">
        <f t="shared" si="0"/>
        <v>10.712583245311944</v>
      </c>
    </row>
    <row r="9" spans="2:9" ht="15" customHeight="1">
      <c r="B9" s="9" t="s">
        <v>179</v>
      </c>
      <c r="C9" s="10" t="s">
        <v>180</v>
      </c>
      <c r="D9" s="15">
        <v>6</v>
      </c>
      <c r="E9" s="94">
        <v>5.9160000000000004</v>
      </c>
      <c r="F9" s="94">
        <v>8.2159999999999993</v>
      </c>
      <c r="G9" s="15">
        <v>0.41</v>
      </c>
      <c r="H9" s="15">
        <v>0.41</v>
      </c>
      <c r="I9" s="172">
        <f t="shared" si="0"/>
        <v>9.7500930015640179</v>
      </c>
    </row>
    <row r="19" spans="2:3" ht="15" customHeight="1">
      <c r="B19" s="57"/>
      <c r="C19" s="2"/>
    </row>
    <row r="20" spans="2:3" ht="15" customHeight="1">
      <c r="B20" s="57"/>
      <c r="C20" s="25"/>
    </row>
    <row r="21" spans="2:3" ht="15" customHeight="1">
      <c r="B21" s="25"/>
      <c r="C21" s="81"/>
    </row>
    <row r="22" spans="2:3" ht="15.75" customHeight="1">
      <c r="B22" s="57"/>
      <c r="C22" s="2"/>
    </row>
    <row r="23" spans="2:3" ht="15.75" customHeight="1">
      <c r="B23" s="57"/>
      <c r="C23" s="25"/>
    </row>
    <row r="24" spans="2:3" ht="15.75" customHeight="1"/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511811024" right="0.511811024" top="0.78740157499999996" bottom="0.78740157499999996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C5:J1000"/>
  <sheetViews>
    <sheetView workbookViewId="0"/>
  </sheetViews>
  <sheetFormatPr defaultColWidth="14.453125" defaultRowHeight="15" customHeight="1"/>
  <cols>
    <col min="1" max="2" width="14.453125" customWidth="1"/>
    <col min="3" max="3" width="16.54296875" customWidth="1"/>
    <col min="4" max="4" width="33.453125" customWidth="1"/>
    <col min="5" max="5" width="15.54296875" customWidth="1"/>
    <col min="6" max="6" width="14.453125" customWidth="1"/>
    <col min="8" max="8" width="25.54296875" customWidth="1"/>
  </cols>
  <sheetData>
    <row r="5" spans="3:10" ht="15" customHeight="1">
      <c r="C5" s="153" t="s">
        <v>442</v>
      </c>
      <c r="D5" s="153" t="s">
        <v>443</v>
      </c>
      <c r="E5" s="153" t="s">
        <v>444</v>
      </c>
      <c r="F5" s="153" t="s">
        <v>445</v>
      </c>
      <c r="G5" s="153" t="s">
        <v>446</v>
      </c>
      <c r="H5" s="153" t="s">
        <v>447</v>
      </c>
      <c r="I5" s="153" t="s">
        <v>448</v>
      </c>
      <c r="J5" s="153" t="s">
        <v>12</v>
      </c>
    </row>
    <row r="6" spans="3:10" ht="15" customHeight="1">
      <c r="C6" s="9" t="s">
        <v>66</v>
      </c>
      <c r="D6" s="10" t="s">
        <v>203</v>
      </c>
      <c r="E6" s="168">
        <v>6</v>
      </c>
      <c r="F6" s="169">
        <v>7.25</v>
      </c>
      <c r="G6" s="169">
        <v>18.864000000000001</v>
      </c>
      <c r="H6" s="168" t="s">
        <v>462</v>
      </c>
      <c r="I6" s="168">
        <f>AVERAGE(0.74,0.79)</f>
        <v>0.76500000000000001</v>
      </c>
      <c r="J6" s="170">
        <f t="shared" ref="J6:J10" si="0">0.0673*(I6*G6*G6*F6)^0.976</f>
        <v>110.71224898876744</v>
      </c>
    </row>
    <row r="7" spans="3:10" ht="15" customHeight="1">
      <c r="C7" s="9" t="s">
        <v>130</v>
      </c>
      <c r="D7" s="10" t="s">
        <v>129</v>
      </c>
      <c r="E7" s="15">
        <v>15</v>
      </c>
      <c r="F7" s="94">
        <v>6.6859999999999999</v>
      </c>
      <c r="G7" s="94">
        <v>6.4160000000000004</v>
      </c>
      <c r="H7" s="171" t="s">
        <v>460</v>
      </c>
      <c r="I7" s="168">
        <f>AVERAGE(0.25,0.41)</f>
        <v>0.32999999999999996</v>
      </c>
      <c r="J7" s="172">
        <f t="shared" si="0"/>
        <v>5.4856370585059535</v>
      </c>
    </row>
    <row r="8" spans="3:10" ht="15" customHeight="1">
      <c r="C8" s="9" t="s">
        <v>186</v>
      </c>
      <c r="D8" s="10" t="s">
        <v>187</v>
      </c>
      <c r="E8" s="15">
        <v>19</v>
      </c>
      <c r="F8" s="94">
        <v>7.242</v>
      </c>
      <c r="G8" s="94">
        <v>10.672000000000001</v>
      </c>
      <c r="H8" s="15">
        <v>0.44</v>
      </c>
      <c r="I8" s="15">
        <v>0.44</v>
      </c>
      <c r="J8" s="172">
        <f t="shared" si="0"/>
        <v>21.202282970881079</v>
      </c>
    </row>
    <row r="9" spans="3:10" ht="15" customHeight="1">
      <c r="C9" s="9" t="s">
        <v>179</v>
      </c>
      <c r="D9" s="10" t="s">
        <v>180</v>
      </c>
      <c r="E9" s="15">
        <v>8</v>
      </c>
      <c r="F9" s="94">
        <v>5.6870000000000003</v>
      </c>
      <c r="G9" s="94">
        <v>9.3469999999999995</v>
      </c>
      <c r="H9" s="15">
        <v>0.41</v>
      </c>
      <c r="I9" s="15">
        <v>0.41</v>
      </c>
      <c r="J9" s="172">
        <f t="shared" si="0"/>
        <v>12.067306868969833</v>
      </c>
    </row>
    <row r="10" spans="3:10" ht="15" customHeight="1">
      <c r="C10" s="9" t="s">
        <v>188</v>
      </c>
      <c r="D10" s="9" t="s">
        <v>207</v>
      </c>
      <c r="E10" s="15">
        <v>8</v>
      </c>
      <c r="F10" s="94">
        <v>4.0250000000000004</v>
      </c>
      <c r="G10" s="94">
        <v>5.4690000000000003</v>
      </c>
      <c r="H10" s="15">
        <v>0.8</v>
      </c>
      <c r="I10" s="15">
        <v>0.8</v>
      </c>
      <c r="J10" s="172">
        <f t="shared" si="0"/>
        <v>5.8086961778718349</v>
      </c>
    </row>
    <row r="15" spans="3:10" ht="15" customHeight="1">
      <c r="C15" s="9" t="s">
        <v>56</v>
      </c>
      <c r="D15" s="52" t="s">
        <v>139</v>
      </c>
      <c r="E15" s="72">
        <v>4</v>
      </c>
      <c r="F15" s="72">
        <v>6.75</v>
      </c>
      <c r="G15" s="72">
        <v>19.481999999999999</v>
      </c>
      <c r="H15" s="15">
        <f>AVERAGE(0.8,1.1)</f>
        <v>0.95000000000000007</v>
      </c>
      <c r="I15" s="172">
        <f t="shared" ref="I15:I16" si="1">0.0673*(H15*G15*G15*F15)^0.976</f>
        <v>135.84337200567776</v>
      </c>
      <c r="J15" s="109" t="s">
        <v>463</v>
      </c>
    </row>
    <row r="16" spans="3:10" ht="15" customHeight="1">
      <c r="C16" s="9" t="s">
        <v>114</v>
      </c>
      <c r="D16" s="174" t="s">
        <v>113</v>
      </c>
      <c r="E16" s="72">
        <v>4</v>
      </c>
      <c r="F16" s="72">
        <v>8.6199999999999992</v>
      </c>
      <c r="G16" s="72">
        <v>21.64</v>
      </c>
      <c r="H16" s="72">
        <v>0.8</v>
      </c>
      <c r="I16" s="172">
        <f t="shared" si="1"/>
        <v>179.02271843075999</v>
      </c>
    </row>
    <row r="17" spans="3:4" ht="15" customHeight="1">
      <c r="C17" s="57"/>
      <c r="D17" s="25"/>
    </row>
    <row r="18" spans="3:4" ht="15" customHeight="1">
      <c r="C18" s="57"/>
      <c r="D18" s="25"/>
    </row>
    <row r="21" spans="3:4" ht="15.75" customHeight="1"/>
    <row r="22" spans="3:4" ht="15.75" customHeight="1"/>
    <row r="23" spans="3:4" ht="15.75" customHeight="1"/>
    <row r="24" spans="3:4" ht="15.75" customHeight="1"/>
    <row r="25" spans="3:4" ht="15.75" customHeight="1"/>
    <row r="26" spans="3:4" ht="15.75" customHeight="1"/>
    <row r="27" spans="3:4" ht="15.75" customHeight="1"/>
    <row r="28" spans="3:4" ht="15.75" customHeight="1"/>
    <row r="29" spans="3:4" ht="15.75" customHeight="1"/>
    <row r="30" spans="3:4" ht="15.75" customHeight="1"/>
    <row r="31" spans="3:4" ht="15.75" customHeight="1"/>
    <row r="32" spans="3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C5:J10" xr:uid="{00000000-0009-0000-0000-00000E000000}"/>
  <pageMargins left="0.511811024" right="0.511811024" top="0.78740157499999996" bottom="0.78740157499999996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000"/>
  <sheetViews>
    <sheetView workbookViewId="0"/>
  </sheetViews>
  <sheetFormatPr defaultColWidth="14.453125" defaultRowHeight="15" customHeight="1"/>
  <cols>
    <col min="1" max="1" width="8.6328125" customWidth="1"/>
    <col min="2" max="2" width="16.36328125" customWidth="1"/>
    <col min="3" max="3" width="26.54296875" customWidth="1"/>
    <col min="4" max="4" width="19" customWidth="1"/>
    <col min="5" max="5" width="12.453125" customWidth="1"/>
    <col min="6" max="6" width="19.36328125" customWidth="1"/>
    <col min="7" max="7" width="28.6328125" customWidth="1"/>
    <col min="8" max="8" width="18.90625" customWidth="1"/>
    <col min="9" max="10" width="8.6328125" customWidth="1"/>
    <col min="11" max="11" width="25.453125" customWidth="1"/>
    <col min="12" max="16" width="8.6328125" customWidth="1"/>
  </cols>
  <sheetData>
    <row r="1" spans="1:16" ht="14.25" customHeight="1"/>
    <row r="2" spans="1:16" ht="14.25" customHeight="1"/>
    <row r="3" spans="1:16" ht="14.25" customHeight="1">
      <c r="A3" s="2" t="s">
        <v>464</v>
      </c>
      <c r="B3" s="175" t="s">
        <v>442</v>
      </c>
      <c r="C3" s="153" t="s">
        <v>443</v>
      </c>
      <c r="D3" s="176" t="s">
        <v>444</v>
      </c>
      <c r="E3" s="176" t="s">
        <v>445</v>
      </c>
      <c r="F3" s="176" t="s">
        <v>446</v>
      </c>
      <c r="G3" s="177" t="s">
        <v>447</v>
      </c>
      <c r="H3" s="153" t="s">
        <v>448</v>
      </c>
      <c r="I3" s="178" t="s">
        <v>12</v>
      </c>
    </row>
    <row r="4" spans="1:16" ht="14.25" customHeight="1">
      <c r="B4" s="164" t="s">
        <v>128</v>
      </c>
      <c r="C4" s="165" t="s">
        <v>129</v>
      </c>
      <c r="D4" s="155">
        <v>6</v>
      </c>
      <c r="E4" s="156">
        <v>6.6749999999999998</v>
      </c>
      <c r="F4" s="156">
        <v>11.559514331210201</v>
      </c>
      <c r="G4" s="179" t="s">
        <v>460</v>
      </c>
      <c r="H4" s="46">
        <f>AVERAGE(0.25,0.41)</f>
        <v>0.32999999999999996</v>
      </c>
      <c r="I4" s="159">
        <f t="shared" ref="I4:I7" si="0">0.0673*(H4*F4*F4*E4)^0.976</f>
        <v>17.282524625630849</v>
      </c>
    </row>
    <row r="5" spans="1:16" ht="14.25" customHeight="1">
      <c r="B5" s="167" t="s">
        <v>260</v>
      </c>
      <c r="C5" s="166" t="s">
        <v>261</v>
      </c>
      <c r="D5" s="52">
        <v>7</v>
      </c>
      <c r="E5" s="158">
        <v>6.3571428571428603</v>
      </c>
      <c r="F5" s="158">
        <v>13.5805277525023</v>
      </c>
      <c r="G5" s="180" t="s">
        <v>465</v>
      </c>
      <c r="H5" s="174">
        <f>AVERAGE(0.26,0.39)</f>
        <v>0.32500000000000001</v>
      </c>
      <c r="I5" s="159">
        <f t="shared" si="0"/>
        <v>22.235669172759916</v>
      </c>
    </row>
    <row r="6" spans="1:16" ht="14.25" customHeight="1">
      <c r="B6" s="167" t="s">
        <v>288</v>
      </c>
      <c r="C6" s="166" t="s">
        <v>289</v>
      </c>
      <c r="D6" s="52">
        <v>5</v>
      </c>
      <c r="E6" s="158">
        <v>6.0823529411764703</v>
      </c>
      <c r="F6" s="158">
        <v>13.0558261521169</v>
      </c>
      <c r="G6" s="180" t="s">
        <v>466</v>
      </c>
      <c r="H6" s="174">
        <f>AVERAGE(0.33,0.44)</f>
        <v>0.38500000000000001</v>
      </c>
      <c r="I6" s="159">
        <f t="shared" si="0"/>
        <v>23.266376014888703</v>
      </c>
    </row>
    <row r="7" spans="1:16" ht="14.25" customHeight="1">
      <c r="B7" s="167" t="s">
        <v>286</v>
      </c>
      <c r="C7" s="166" t="s">
        <v>287</v>
      </c>
      <c r="D7" s="52">
        <v>9</v>
      </c>
      <c r="E7" s="158">
        <v>5.9197802197802201</v>
      </c>
      <c r="F7" s="158">
        <v>12.5712185903269</v>
      </c>
      <c r="G7" s="180" t="s">
        <v>467</v>
      </c>
      <c r="H7" s="174">
        <f>AVERAGE(0.5,0.7)</f>
        <v>0.6</v>
      </c>
      <c r="I7" s="159">
        <f t="shared" si="0"/>
        <v>32.452306998947435</v>
      </c>
      <c r="K7" s="181" t="s">
        <v>468</v>
      </c>
    </row>
    <row r="8" spans="1:16" ht="14.25" customHeight="1">
      <c r="B8" s="167" t="s">
        <v>273</v>
      </c>
      <c r="C8" s="166" t="s">
        <v>274</v>
      </c>
      <c r="D8" s="52">
        <v>5</v>
      </c>
      <c r="E8" s="158">
        <v>5.22022471910112</v>
      </c>
      <c r="F8" s="158">
        <v>11.3400844485794</v>
      </c>
      <c r="G8" s="180" t="s">
        <v>469</v>
      </c>
      <c r="H8" s="174"/>
      <c r="I8" s="159"/>
      <c r="P8" s="2" t="s">
        <v>470</v>
      </c>
    </row>
    <row r="9" spans="1:16" ht="14.25" customHeight="1">
      <c r="B9" s="167" t="s">
        <v>229</v>
      </c>
      <c r="C9" s="166" t="s">
        <v>451</v>
      </c>
      <c r="D9" s="52">
        <v>27</v>
      </c>
      <c r="E9" s="158">
        <v>5.1320610687022903</v>
      </c>
      <c r="F9" s="158">
        <v>11.200223659260001</v>
      </c>
      <c r="G9" s="180" t="s">
        <v>452</v>
      </c>
      <c r="H9" s="182">
        <f>AVERAGE(0.6,0.78)</f>
        <v>0.69</v>
      </c>
      <c r="I9" s="159">
        <f>0.0673*(H9*F9*F9*E9)^0.976</f>
        <v>25.826591774400637</v>
      </c>
    </row>
    <row r="10" spans="1:16" ht="14.25" customHeight="1"/>
    <row r="11" spans="1:16" ht="14.25" customHeight="1"/>
    <row r="12" spans="1:16" ht="14.25" customHeight="1">
      <c r="G12" s="183"/>
    </row>
    <row r="13" spans="1:16" ht="14.25" customHeight="1">
      <c r="D13" s="2"/>
      <c r="E13" s="2"/>
      <c r="F13" s="2"/>
      <c r="G13" s="2"/>
      <c r="H13" s="2"/>
      <c r="I13" s="2"/>
    </row>
    <row r="14" spans="1:16" ht="14.25" customHeight="1">
      <c r="D14" s="2"/>
      <c r="E14" s="2"/>
      <c r="F14" s="2"/>
      <c r="G14" s="2"/>
      <c r="H14" s="2"/>
      <c r="I14" s="2"/>
    </row>
    <row r="15" spans="1:16" ht="14.25" customHeight="1">
      <c r="D15" s="2"/>
      <c r="E15" s="184"/>
      <c r="F15" s="184"/>
      <c r="G15" s="184"/>
      <c r="H15" s="184"/>
      <c r="I15" s="2"/>
    </row>
    <row r="16" spans="1:16" ht="14.25" customHeight="1">
      <c r="D16" s="2"/>
      <c r="E16" s="57"/>
      <c r="F16" s="25"/>
      <c r="G16" s="25"/>
      <c r="H16" s="58"/>
      <c r="I16" s="2"/>
    </row>
    <row r="17" spans="4:9" ht="14.25" customHeight="1">
      <c r="D17" s="2"/>
      <c r="E17" s="57"/>
      <c r="F17" s="25"/>
      <c r="G17" s="41"/>
      <c r="H17" s="58"/>
      <c r="I17" s="2"/>
    </row>
    <row r="18" spans="4:9" ht="14.25" customHeight="1">
      <c r="D18" s="2"/>
      <c r="E18" s="57"/>
      <c r="F18" s="41"/>
      <c r="G18" s="41"/>
      <c r="H18" s="58"/>
      <c r="I18" s="2"/>
    </row>
    <row r="19" spans="4:9" ht="14.25" customHeight="1">
      <c r="D19" s="2"/>
      <c r="E19" s="57"/>
      <c r="F19" s="41"/>
      <c r="G19" s="41"/>
      <c r="H19" s="58"/>
      <c r="I19" s="2"/>
    </row>
    <row r="20" spans="4:9" ht="14.25" customHeight="1">
      <c r="D20" s="2"/>
      <c r="E20" s="57"/>
      <c r="F20" s="41"/>
      <c r="G20" s="41"/>
      <c r="H20" s="58"/>
      <c r="I20" s="2"/>
    </row>
    <row r="21" spans="4:9" ht="14.25" customHeight="1">
      <c r="D21" s="2"/>
      <c r="E21" s="57"/>
      <c r="F21" s="41"/>
      <c r="G21" s="41"/>
      <c r="H21" s="58"/>
      <c r="I21" s="2"/>
    </row>
    <row r="22" spans="4:9" ht="14.25" customHeight="1">
      <c r="D22" s="2"/>
      <c r="E22" s="57"/>
      <c r="F22" s="41"/>
      <c r="G22" s="41"/>
      <c r="H22" s="58"/>
      <c r="I22" s="2"/>
    </row>
    <row r="23" spans="4:9" ht="14.25" customHeight="1"/>
    <row r="24" spans="4:9" ht="14.25" customHeight="1"/>
    <row r="25" spans="4:9" ht="14.25" customHeight="1"/>
    <row r="26" spans="4:9" ht="14.25" customHeight="1"/>
    <row r="27" spans="4:9" ht="14.25" customHeight="1"/>
    <row r="28" spans="4:9" ht="14.25" customHeight="1"/>
    <row r="29" spans="4:9" ht="14.25" customHeight="1"/>
    <row r="30" spans="4:9" ht="14.25" customHeight="1"/>
    <row r="31" spans="4:9" ht="14.25" customHeight="1"/>
    <row r="32" spans="4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B3:G9" xr:uid="{00000000-0009-0000-0000-00000F000000}"/>
  <pageMargins left="0.51180555555555596" right="0.51180555555555596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Monitoramento CSA 2022</vt:lpstr>
      <vt:lpstr>Resende-Sao Jorge</vt:lpstr>
      <vt:lpstr>Resende-Santa Helena</vt:lpstr>
      <vt:lpstr>Monitoramento Miguel Pereira 22</vt:lpstr>
      <vt:lpstr>Regua (BP)</vt:lpstr>
      <vt:lpstr>Regua PAI VEIO 4</vt:lpstr>
      <vt:lpstr>Área 1- EEG</vt:lpstr>
      <vt:lpstr>Área 2- EEG</vt:lpstr>
      <vt:lpstr>Área 3- EEG</vt:lpstr>
      <vt:lpstr>Área 4-EEG</vt:lpstr>
      <vt:lpstr>Área 5- EEG</vt:lpstr>
      <vt:lpstr>Biomassa CSA</vt:lpstr>
      <vt:lpstr>Biomassa Miguel Pereira</vt:lpstr>
      <vt:lpstr>Biomassa Resende-Sao Jorge</vt:lpstr>
      <vt:lpstr>Biomassa Resende-Santa Helena </vt:lpstr>
      <vt:lpstr>Biomassa regua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Ariani Dario</dc:creator>
  <cp:lastModifiedBy>Laíla Arnauth</cp:lastModifiedBy>
  <dcterms:created xsi:type="dcterms:W3CDTF">2022-07-15T13:02:19Z</dcterms:created>
  <dcterms:modified xsi:type="dcterms:W3CDTF">2026-02-11T18:51:12Z</dcterms:modified>
</cp:coreProperties>
</file>